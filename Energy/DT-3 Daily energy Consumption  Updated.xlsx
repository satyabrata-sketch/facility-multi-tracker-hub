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bre-my.sharepoint.com/personal/satyabrata_mohanty1_cbre_com/Documents/Desktop/Trackers/Energy/"/>
    </mc:Choice>
  </mc:AlternateContent>
  <xr:revisionPtr revIDLastSave="0" documentId="11_7DE94F786D3F266B3D3C691F2F968C23F97354D7" xr6:coauthVersionLast="47" xr6:coauthVersionMax="47" xr10:uidLastSave="{00000000-0000-0000-0000-000000000000}"/>
  <bookViews>
    <workbookView xWindow="0" yWindow="0" windowWidth="19200" windowHeight="11280" tabRatio="599" xr2:uid="{00000000-000D-0000-FFFF-FFFF00000000}"/>
  </bookViews>
  <sheets>
    <sheet name="Dashboard" sheetId="1" r:id="rId1"/>
    <sheet name="Mar-24" sheetId="2" r:id="rId2"/>
    <sheet name="Apr-24" sheetId="3" r:id="rId3"/>
    <sheet name="May-24" sheetId="4" r:id="rId4"/>
    <sheet name="June-24" sheetId="5" r:id="rId5"/>
    <sheet name="July 24" sheetId="6" r:id="rId6"/>
    <sheet name="August 24" sheetId="7" r:id="rId7"/>
    <sheet name="September 24" sheetId="8" r:id="rId8"/>
    <sheet name="Oct 24" sheetId="9" r:id="rId9"/>
    <sheet name="Nov 24" sheetId="10" r:id="rId10"/>
    <sheet name="DEC - 2024" sheetId="11" r:id="rId11"/>
    <sheet name="summary" sheetId="12" r:id="rId12"/>
    <sheet name="July-2026" sheetId="13" r:id="rId13"/>
    <sheet name="Jun-2026" sheetId="14" r:id="rId14"/>
    <sheet name="May-2026" sheetId="15" r:id="rId15"/>
    <sheet name="April-2026" sheetId="16" r:id="rId16"/>
    <sheet name="Mar-2026" sheetId="17" r:id="rId17"/>
    <sheet name="Feb-2026" sheetId="18" r:id="rId18"/>
    <sheet name="Jan-2026" sheetId="19" r:id="rId19"/>
    <sheet name="Dec-25" sheetId="20" r:id="rId20"/>
    <sheet name="Nov-25" sheetId="21" r:id="rId21"/>
    <sheet name="Oct-25" sheetId="22" r:id="rId22"/>
    <sheet name="Sep-2025" sheetId="23" r:id="rId23"/>
    <sheet name="Aug-25" sheetId="24" r:id="rId24"/>
    <sheet name="July-2025" sheetId="25" r:id="rId25"/>
    <sheet name="June - 2025" sheetId="26" r:id="rId26"/>
    <sheet name="May-2025" sheetId="27" r:id="rId27"/>
    <sheet name="April-2025" sheetId="28" r:id="rId28"/>
    <sheet name="March-25" sheetId="29" r:id="rId29"/>
    <sheet name="Feb-2025" sheetId="30" r:id="rId30"/>
    <sheet name="Jan-2025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0" i="31" l="1"/>
  <c r="V80" i="31"/>
  <c r="K80" i="31"/>
  <c r="H80" i="31"/>
  <c r="AI79" i="31"/>
  <c r="AH79" i="31"/>
  <c r="AG79" i="31"/>
  <c r="AF79" i="31"/>
  <c r="AE79" i="31"/>
  <c r="AD79" i="31"/>
  <c r="AC79" i="31"/>
  <c r="AB79" i="31"/>
  <c r="AA79" i="31"/>
  <c r="Z79" i="31"/>
  <c r="Z80" i="31" s="1"/>
  <c r="Y79" i="31"/>
  <c r="X79" i="31"/>
  <c r="W79" i="31"/>
  <c r="V79" i="31"/>
  <c r="U79" i="31"/>
  <c r="T79" i="31"/>
  <c r="S79" i="31"/>
  <c r="R79" i="31"/>
  <c r="Q79" i="31"/>
  <c r="P79" i="31"/>
  <c r="O79" i="31"/>
  <c r="N79" i="31"/>
  <c r="M79" i="31"/>
  <c r="L79" i="31"/>
  <c r="L80" i="31" s="1"/>
  <c r="K79" i="31"/>
  <c r="J79" i="31"/>
  <c r="I79" i="31"/>
  <c r="H79" i="31"/>
  <c r="G79" i="31"/>
  <c r="F79" i="31"/>
  <c r="E79" i="31"/>
  <c r="AJ79" i="31" s="1"/>
  <c r="AI78" i="31"/>
  <c r="AH78" i="31"/>
  <c r="AG78" i="31"/>
  <c r="AG80" i="31" s="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S80" i="31" s="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E80" i="31" s="1"/>
  <c r="AI77" i="31"/>
  <c r="AH77" i="31"/>
  <c r="AH80" i="31" s="1"/>
  <c r="AG77" i="31"/>
  <c r="AF77" i="31"/>
  <c r="AE77" i="31"/>
  <c r="AE80" i="31" s="1"/>
  <c r="AD77" i="31"/>
  <c r="AC77" i="31"/>
  <c r="AB77" i="31"/>
  <c r="AA77" i="31"/>
  <c r="Z77" i="31"/>
  <c r="Y77" i="31"/>
  <c r="X77" i="31"/>
  <c r="W77" i="31"/>
  <c r="W80" i="31" s="1"/>
  <c r="V77" i="31"/>
  <c r="U77" i="31"/>
  <c r="T77" i="31"/>
  <c r="T80" i="31" s="1"/>
  <c r="S77" i="31"/>
  <c r="R77" i="31"/>
  <c r="Q77" i="31"/>
  <c r="Q80" i="31" s="1"/>
  <c r="P77" i="31"/>
  <c r="O77" i="31"/>
  <c r="N77" i="31"/>
  <c r="M77" i="31"/>
  <c r="L77" i="31"/>
  <c r="K77" i="31"/>
  <c r="J77" i="31"/>
  <c r="I77" i="31"/>
  <c r="I80" i="31" s="1"/>
  <c r="H77" i="31"/>
  <c r="G77" i="31"/>
  <c r="F77" i="31"/>
  <c r="E77" i="31"/>
  <c r="AI76" i="31"/>
  <c r="AI80" i="31" s="1"/>
  <c r="AH76" i="31"/>
  <c r="AG76" i="31"/>
  <c r="AF76" i="31"/>
  <c r="AF80" i="31" s="1"/>
  <c r="AE76" i="31"/>
  <c r="AD76" i="31"/>
  <c r="AD80" i="31" s="1"/>
  <c r="AC76" i="31"/>
  <c r="AC80" i="31" s="1"/>
  <c r="AB76" i="31"/>
  <c r="AB80" i="31" s="1"/>
  <c r="AA76" i="31"/>
  <c r="AA80" i="31" s="1"/>
  <c r="Z76" i="31"/>
  <c r="Y76" i="31"/>
  <c r="X76" i="31"/>
  <c r="X80" i="31" s="1"/>
  <c r="W76" i="31"/>
  <c r="V76" i="31"/>
  <c r="U76" i="31"/>
  <c r="U80" i="31" s="1"/>
  <c r="T76" i="31"/>
  <c r="S76" i="31"/>
  <c r="R76" i="31"/>
  <c r="R80" i="31" s="1"/>
  <c r="Q76" i="31"/>
  <c r="P76" i="31"/>
  <c r="P80" i="31" s="1"/>
  <c r="O76" i="31"/>
  <c r="O80" i="31" s="1"/>
  <c r="N76" i="31"/>
  <c r="N80" i="31" s="1"/>
  <c r="M76" i="31"/>
  <c r="M80" i="31" s="1"/>
  <c r="L76" i="31"/>
  <c r="K76" i="31"/>
  <c r="J76" i="31"/>
  <c r="J80" i="31" s="1"/>
  <c r="I76" i="31"/>
  <c r="H76" i="31"/>
  <c r="G76" i="31"/>
  <c r="G80" i="31" s="1"/>
  <c r="F76" i="31"/>
  <c r="E76" i="31"/>
  <c r="AC75" i="31"/>
  <c r="R75" i="31"/>
  <c r="P75" i="31"/>
  <c r="O75" i="31"/>
  <c r="N75" i="31"/>
  <c r="F75" i="31"/>
  <c r="AG74" i="31"/>
  <c r="AF74" i="31"/>
  <c r="S74" i="31"/>
  <c r="R74" i="31"/>
  <c r="E74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AJ73" i="31" s="1"/>
  <c r="G73" i="31"/>
  <c r="F73" i="31"/>
  <c r="E73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AI71" i="31"/>
  <c r="AH71" i="31"/>
  <c r="AG71" i="31"/>
  <c r="AF71" i="31"/>
  <c r="AE71" i="31"/>
  <c r="AE75" i="31" s="1"/>
  <c r="AD71" i="31"/>
  <c r="AC71" i="31"/>
  <c r="AB71" i="31"/>
  <c r="AA71" i="31"/>
  <c r="Z71" i="31"/>
  <c r="Y71" i="31"/>
  <c r="X71" i="31"/>
  <c r="W71" i="31"/>
  <c r="V71" i="31"/>
  <c r="U71" i="31"/>
  <c r="T71" i="31"/>
  <c r="T75" i="31" s="1"/>
  <c r="S71" i="31"/>
  <c r="R71" i="31"/>
  <c r="Q71" i="31"/>
  <c r="Q75" i="31" s="1"/>
  <c r="P71" i="31"/>
  <c r="O71" i="31"/>
  <c r="N71" i="31"/>
  <c r="M71" i="31"/>
  <c r="L71" i="31"/>
  <c r="K71" i="31"/>
  <c r="J71" i="31"/>
  <c r="I71" i="31"/>
  <c r="H71" i="31"/>
  <c r="G71" i="31"/>
  <c r="F71" i="31"/>
  <c r="AJ71" i="31" s="1"/>
  <c r="E71" i="31"/>
  <c r="AI70" i="31"/>
  <c r="AI74" i="31" s="1"/>
  <c r="AH70" i="31"/>
  <c r="AH74" i="31" s="1"/>
  <c r="AG70" i="31"/>
  <c r="AF70" i="31"/>
  <c r="AE70" i="31"/>
  <c r="AD70" i="31"/>
  <c r="AC70" i="31"/>
  <c r="AB70" i="31"/>
  <c r="AA70" i="31"/>
  <c r="Z70" i="31"/>
  <c r="Y70" i="31"/>
  <c r="X70" i="31"/>
  <c r="W70" i="31"/>
  <c r="V70" i="31"/>
  <c r="U70" i="31"/>
  <c r="U74" i="31" s="1"/>
  <c r="T70" i="31"/>
  <c r="T74" i="31" s="1"/>
  <c r="S70" i="31"/>
  <c r="R70" i="31"/>
  <c r="Q70" i="31"/>
  <c r="P70" i="31"/>
  <c r="O70" i="31"/>
  <c r="N70" i="31"/>
  <c r="M70" i="31"/>
  <c r="L70" i="31"/>
  <c r="K70" i="31"/>
  <c r="J70" i="31"/>
  <c r="I70" i="31"/>
  <c r="H70" i="31"/>
  <c r="G70" i="31"/>
  <c r="G74" i="31" s="1"/>
  <c r="F70" i="31"/>
  <c r="AJ70" i="31" s="1"/>
  <c r="E70" i="31"/>
  <c r="AI69" i="31"/>
  <c r="AH69" i="31"/>
  <c r="AG69" i="31"/>
  <c r="AF69" i="31"/>
  <c r="AE69" i="31"/>
  <c r="AD69" i="31"/>
  <c r="AC69" i="31"/>
  <c r="AB69" i="31"/>
  <c r="AB75" i="31" s="1"/>
  <c r="AA69" i="31"/>
  <c r="AA75" i="31" s="1"/>
  <c r="Z69" i="31"/>
  <c r="Z75" i="31" s="1"/>
  <c r="Y69" i="31"/>
  <c r="X69" i="31"/>
  <c r="W69" i="31"/>
  <c r="V69" i="31"/>
  <c r="U69" i="31"/>
  <c r="T69" i="31"/>
  <c r="S69" i="31"/>
  <c r="R69" i="31"/>
  <c r="Q69" i="31"/>
  <c r="P69" i="31"/>
  <c r="O69" i="31"/>
  <c r="N69" i="31"/>
  <c r="M69" i="31"/>
  <c r="M75" i="31" s="1"/>
  <c r="L69" i="31"/>
  <c r="L75" i="31" s="1"/>
  <c r="K69" i="31"/>
  <c r="J69" i="31"/>
  <c r="I69" i="31"/>
  <c r="H69" i="31"/>
  <c r="G69" i="31"/>
  <c r="F69" i="31"/>
  <c r="E69" i="31"/>
  <c r="AI68" i="31"/>
  <c r="AH68" i="31"/>
  <c r="AG68" i="31"/>
  <c r="AF68" i="31"/>
  <c r="AE68" i="31"/>
  <c r="AE74" i="31" s="1"/>
  <c r="AD68" i="31"/>
  <c r="AC68" i="31"/>
  <c r="AB68" i="31"/>
  <c r="AA68" i="31"/>
  <c r="Z68" i="31"/>
  <c r="Y68" i="31"/>
  <c r="X68" i="31"/>
  <c r="W68" i="31"/>
  <c r="V68" i="31"/>
  <c r="U68" i="31"/>
  <c r="T68" i="31"/>
  <c r="S68" i="31"/>
  <c r="R68" i="31"/>
  <c r="Q68" i="31"/>
  <c r="Q74" i="31" s="1"/>
  <c r="P68" i="31"/>
  <c r="O68" i="31"/>
  <c r="N68" i="31"/>
  <c r="M68" i="31"/>
  <c r="L68" i="31"/>
  <c r="K68" i="31"/>
  <c r="J68" i="31"/>
  <c r="I68" i="31"/>
  <c r="H68" i="31"/>
  <c r="G68" i="31"/>
  <c r="F68" i="31"/>
  <c r="E68" i="31"/>
  <c r="AI67" i="31"/>
  <c r="AI75" i="31" s="1"/>
  <c r="AH67" i="31"/>
  <c r="AG67" i="31"/>
  <c r="AG75" i="31" s="1"/>
  <c r="AF67" i="31"/>
  <c r="AF75" i="31" s="1"/>
  <c r="AE67" i="31"/>
  <c r="AD67" i="31"/>
  <c r="AC67" i="31"/>
  <c r="AB67" i="31"/>
  <c r="AA67" i="31"/>
  <c r="Z67" i="31"/>
  <c r="Y67" i="31"/>
  <c r="X67" i="31"/>
  <c r="W67" i="31"/>
  <c r="V67" i="31"/>
  <c r="U67" i="31"/>
  <c r="U75" i="31" s="1"/>
  <c r="T67" i="31"/>
  <c r="S67" i="31"/>
  <c r="S75" i="31" s="1"/>
  <c r="R67" i="31"/>
  <c r="Q67" i="31"/>
  <c r="P67" i="31"/>
  <c r="O67" i="31"/>
  <c r="N67" i="31"/>
  <c r="M67" i="31"/>
  <c r="L67" i="31"/>
  <c r="K67" i="31"/>
  <c r="J67" i="31"/>
  <c r="I67" i="31"/>
  <c r="H67" i="31"/>
  <c r="G67" i="31"/>
  <c r="G75" i="31" s="1"/>
  <c r="F67" i="31"/>
  <c r="E67" i="31"/>
  <c r="AI66" i="31"/>
  <c r="AH66" i="31"/>
  <c r="AG66" i="31"/>
  <c r="AF66" i="31"/>
  <c r="AE66" i="31"/>
  <c r="AD66" i="31"/>
  <c r="AC66" i="31"/>
  <c r="AB66" i="31"/>
  <c r="AA66" i="31"/>
  <c r="Z66" i="31"/>
  <c r="Y66" i="31"/>
  <c r="Y74" i="31" s="1"/>
  <c r="X66" i="31"/>
  <c r="W66" i="31"/>
  <c r="W74" i="31" s="1"/>
  <c r="V66" i="31"/>
  <c r="V74" i="31" s="1"/>
  <c r="U66" i="31"/>
  <c r="T66" i="31"/>
  <c r="S66" i="31"/>
  <c r="R66" i="31"/>
  <c r="Q66" i="31"/>
  <c r="P66" i="31"/>
  <c r="O66" i="31"/>
  <c r="N66" i="31"/>
  <c r="M66" i="31"/>
  <c r="L66" i="31"/>
  <c r="K66" i="31"/>
  <c r="K74" i="31" s="1"/>
  <c r="J66" i="31"/>
  <c r="J74" i="31" s="1"/>
  <c r="I66" i="31"/>
  <c r="I74" i="31" s="1"/>
  <c r="H66" i="31"/>
  <c r="H74" i="31" s="1"/>
  <c r="G66" i="31"/>
  <c r="F66" i="31"/>
  <c r="E66" i="31"/>
  <c r="L63" i="31"/>
  <c r="AE62" i="31"/>
  <c r="AD62" i="31"/>
  <c r="Q62" i="31"/>
  <c r="Z61" i="31"/>
  <c r="Z63" i="31" s="1"/>
  <c r="U61" i="31"/>
  <c r="U63" i="31" s="1"/>
  <c r="L61" i="31"/>
  <c r="AI60" i="31"/>
  <c r="AH60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AI59" i="31"/>
  <c r="AH59" i="31"/>
  <c r="AH61" i="31" s="1"/>
  <c r="AH63" i="31" s="1"/>
  <c r="AG59" i="31"/>
  <c r="AF59" i="31"/>
  <c r="AF61" i="31" s="1"/>
  <c r="AF63" i="31" s="1"/>
  <c r="AE59" i="31"/>
  <c r="AE61" i="31" s="1"/>
  <c r="AE63" i="31" s="1"/>
  <c r="AD59" i="31"/>
  <c r="AC59" i="31"/>
  <c r="AB59" i="31"/>
  <c r="AA59" i="31"/>
  <c r="Z59" i="31"/>
  <c r="Y59" i="31"/>
  <c r="X59" i="31"/>
  <c r="W59" i="31"/>
  <c r="V59" i="31"/>
  <c r="U59" i="31"/>
  <c r="T59" i="31"/>
  <c r="T61" i="31" s="1"/>
  <c r="T63" i="31" s="1"/>
  <c r="S59" i="31"/>
  <c r="R59" i="31"/>
  <c r="R61" i="31" s="1"/>
  <c r="R63" i="31" s="1"/>
  <c r="Q59" i="31"/>
  <c r="Q61" i="31" s="1"/>
  <c r="Q63" i="31" s="1"/>
  <c r="P59" i="31"/>
  <c r="O59" i="31"/>
  <c r="N59" i="31"/>
  <c r="M59" i="31"/>
  <c r="L59" i="31"/>
  <c r="K59" i="31"/>
  <c r="J59" i="31"/>
  <c r="I59" i="31"/>
  <c r="H59" i="31"/>
  <c r="G59" i="31"/>
  <c r="F59" i="31"/>
  <c r="F61" i="31" s="1"/>
  <c r="F63" i="31" s="1"/>
  <c r="E59" i="31"/>
  <c r="AI58" i="31"/>
  <c r="AH58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V62" i="31" s="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AL57" i="31"/>
  <c r="AI57" i="31"/>
  <c r="AH57" i="31"/>
  <c r="AG57" i="31"/>
  <c r="AF57" i="31"/>
  <c r="AE57" i="31"/>
  <c r="AD57" i="31"/>
  <c r="AC57" i="31"/>
  <c r="AB57" i="31"/>
  <c r="AA57" i="31"/>
  <c r="Z57" i="31"/>
  <c r="Y57" i="31"/>
  <c r="Y61" i="31" s="1"/>
  <c r="Y63" i="31" s="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K61" i="31" s="1"/>
  <c r="K63" i="31" s="1"/>
  <c r="J57" i="31"/>
  <c r="I57" i="31"/>
  <c r="H57" i="31"/>
  <c r="G57" i="31"/>
  <c r="F57" i="31"/>
  <c r="E57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AL55" i="31"/>
  <c r="AI55" i="31"/>
  <c r="AI61" i="31" s="1"/>
  <c r="AI63" i="31" s="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G61" i="31" s="1"/>
  <c r="G63" i="31" s="1"/>
  <c r="F55" i="31"/>
  <c r="E55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AI52" i="31"/>
  <c r="AH52" i="31"/>
  <c r="AG52" i="31"/>
  <c r="AG62" i="31" s="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S62" i="31" s="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X61" i="31" s="1"/>
  <c r="X63" i="31" s="1"/>
  <c r="W51" i="31"/>
  <c r="V51" i="31"/>
  <c r="V61" i="31" s="1"/>
  <c r="V63" i="31" s="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H61" i="31" s="1"/>
  <c r="H63" i="31" s="1"/>
  <c r="G51" i="31"/>
  <c r="F51" i="31"/>
  <c r="E51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AI48" i="31"/>
  <c r="AI62" i="31" s="1"/>
  <c r="AH48" i="31"/>
  <c r="AG48" i="31"/>
  <c r="AF48" i="31"/>
  <c r="AE48" i="31"/>
  <c r="AD48" i="31"/>
  <c r="AC48" i="31"/>
  <c r="AB48" i="31"/>
  <c r="AA48" i="31"/>
  <c r="Z48" i="31"/>
  <c r="Y48" i="31"/>
  <c r="X48" i="31"/>
  <c r="W48" i="31"/>
  <c r="W62" i="31" s="1"/>
  <c r="V48" i="31"/>
  <c r="U48" i="31"/>
  <c r="U62" i="31" s="1"/>
  <c r="T48" i="31"/>
  <c r="S48" i="31"/>
  <c r="R48" i="31"/>
  <c r="Q48" i="31"/>
  <c r="P48" i="31"/>
  <c r="O48" i="31"/>
  <c r="N48" i="31"/>
  <c r="M48" i="31"/>
  <c r="L48" i="31"/>
  <c r="K48" i="31"/>
  <c r="J48" i="31"/>
  <c r="I48" i="31"/>
  <c r="I62" i="31" s="1"/>
  <c r="H48" i="31"/>
  <c r="G48" i="31"/>
  <c r="G62" i="31" s="1"/>
  <c r="F48" i="31"/>
  <c r="E48" i="31"/>
  <c r="AI47" i="31"/>
  <c r="AH47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AJ47" i="31" s="1"/>
  <c r="G47" i="31"/>
  <c r="F47" i="31"/>
  <c r="E47" i="31"/>
  <c r="AI46" i="31"/>
  <c r="AH46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AJ45" i="31" s="1"/>
  <c r="G45" i="31"/>
  <c r="F45" i="31"/>
  <c r="E45" i="31"/>
  <c r="AH43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AJ36" i="31"/>
  <c r="AJ35" i="31"/>
  <c r="AJ34" i="31"/>
  <c r="AJ33" i="31"/>
  <c r="AJ31" i="31"/>
  <c r="AJ30" i="31"/>
  <c r="AJ29" i="31"/>
  <c r="AJ28" i="31"/>
  <c r="AJ27" i="31"/>
  <c r="AJ26" i="31"/>
  <c r="AJ25" i="31"/>
  <c r="AJ24" i="31"/>
  <c r="AJ22" i="31"/>
  <c r="AJ21" i="31"/>
  <c r="AJ20" i="31"/>
  <c r="AJ19" i="31"/>
  <c r="AJ18" i="31"/>
  <c r="AJ17" i="31"/>
  <c r="AJ16" i="31"/>
  <c r="AJ15" i="31"/>
  <c r="AJ14" i="31"/>
  <c r="AJ13" i="31"/>
  <c r="AJ12" i="31"/>
  <c r="AJ11" i="31"/>
  <c r="AJ10" i="31"/>
  <c r="AJ9" i="31"/>
  <c r="AJ8" i="31"/>
  <c r="AJ7" i="31"/>
  <c r="AL54" i="31" s="1"/>
  <c r="AF80" i="30"/>
  <c r="AA80" i="30"/>
  <c r="Z80" i="30"/>
  <c r="X80" i="30"/>
  <c r="N80" i="30"/>
  <c r="M80" i="30"/>
  <c r="L80" i="30"/>
  <c r="J80" i="30"/>
  <c r="AF79" i="30"/>
  <c r="AE79" i="30"/>
  <c r="AD79" i="30"/>
  <c r="AC79" i="30"/>
  <c r="AB79" i="30"/>
  <c r="AA79" i="30"/>
  <c r="Z79" i="30"/>
  <c r="Y79" i="30"/>
  <c r="Y80" i="30" s="1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K80" i="30" s="1"/>
  <c r="J79" i="30"/>
  <c r="I79" i="30"/>
  <c r="H79" i="30"/>
  <c r="G79" i="30"/>
  <c r="F79" i="30"/>
  <c r="E79" i="30"/>
  <c r="AG79" i="30" s="1"/>
  <c r="AF78" i="30"/>
  <c r="AE78" i="30"/>
  <c r="AD78" i="30"/>
  <c r="AD80" i="30" s="1"/>
  <c r="AC78" i="30"/>
  <c r="AB78" i="30"/>
  <c r="AB80" i="30" s="1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AF77" i="30"/>
  <c r="AE77" i="30"/>
  <c r="AD77" i="30"/>
  <c r="AC77" i="30"/>
  <c r="AC80" i="30" s="1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O80" i="30" s="1"/>
  <c r="N77" i="30"/>
  <c r="M77" i="30"/>
  <c r="L77" i="30"/>
  <c r="K77" i="30"/>
  <c r="J77" i="30"/>
  <c r="I77" i="30"/>
  <c r="H77" i="30"/>
  <c r="G77" i="30"/>
  <c r="F77" i="30"/>
  <c r="E77" i="30"/>
  <c r="AG77" i="30" s="1"/>
  <c r="AF76" i="30"/>
  <c r="AE76" i="30"/>
  <c r="AD76" i="30"/>
  <c r="AC76" i="30"/>
  <c r="AB76" i="30"/>
  <c r="AA76" i="30"/>
  <c r="Z76" i="30"/>
  <c r="Y76" i="30"/>
  <c r="X76" i="30"/>
  <c r="W76" i="30"/>
  <c r="W80" i="30" s="1"/>
  <c r="V76" i="30"/>
  <c r="V80" i="30" s="1"/>
  <c r="U76" i="30"/>
  <c r="U80" i="30" s="1"/>
  <c r="T76" i="30"/>
  <c r="T80" i="30" s="1"/>
  <c r="S76" i="30"/>
  <c r="S80" i="30" s="1"/>
  <c r="R76" i="30"/>
  <c r="Q76" i="30"/>
  <c r="P76" i="30"/>
  <c r="P80" i="30" s="1"/>
  <c r="O76" i="30"/>
  <c r="N76" i="30"/>
  <c r="M76" i="30"/>
  <c r="L76" i="30"/>
  <c r="K76" i="30"/>
  <c r="J76" i="30"/>
  <c r="I76" i="30"/>
  <c r="I80" i="30" s="1"/>
  <c r="H76" i="30"/>
  <c r="H80" i="30" s="1"/>
  <c r="G76" i="30"/>
  <c r="G80" i="30" s="1"/>
  <c r="F76" i="30"/>
  <c r="F80" i="30" s="1"/>
  <c r="E76" i="30"/>
  <c r="E80" i="30" s="1"/>
  <c r="AF75" i="30"/>
  <c r="W75" i="30"/>
  <c r="R75" i="30"/>
  <c r="I75" i="30"/>
  <c r="G75" i="30"/>
  <c r="E75" i="30"/>
  <c r="X74" i="30"/>
  <c r="V74" i="30"/>
  <c r="T74" i="30"/>
  <c r="S74" i="30"/>
  <c r="E74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T75" i="30" s="1"/>
  <c r="S73" i="30"/>
  <c r="S75" i="30" s="1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F75" i="30" s="1"/>
  <c r="E73" i="30"/>
  <c r="AG73" i="30" s="1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U74" i="30" s="1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G74" i="30" s="1"/>
  <c r="F72" i="30"/>
  <c r="F74" i="30" s="1"/>
  <c r="E72" i="30"/>
  <c r="AG72" i="30" s="1"/>
  <c r="AF71" i="30"/>
  <c r="AE71" i="30"/>
  <c r="AD71" i="30"/>
  <c r="AC71" i="30"/>
  <c r="AB71" i="30"/>
  <c r="AA71" i="30"/>
  <c r="Z71" i="30"/>
  <c r="Y71" i="30"/>
  <c r="X71" i="30"/>
  <c r="W71" i="30"/>
  <c r="V71" i="30"/>
  <c r="V75" i="30" s="1"/>
  <c r="U71" i="30"/>
  <c r="U75" i="30" s="1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H75" i="30" s="1"/>
  <c r="G71" i="30"/>
  <c r="F71" i="30"/>
  <c r="E71" i="30"/>
  <c r="AF70" i="30"/>
  <c r="AE70" i="30"/>
  <c r="AD70" i="30"/>
  <c r="AC70" i="30"/>
  <c r="AB70" i="30"/>
  <c r="AA70" i="30"/>
  <c r="Z70" i="30"/>
  <c r="Y70" i="30"/>
  <c r="X70" i="30"/>
  <c r="W70" i="30"/>
  <c r="W74" i="30" s="1"/>
  <c r="V70" i="30"/>
  <c r="U70" i="30"/>
  <c r="T70" i="30"/>
  <c r="S70" i="30"/>
  <c r="R70" i="30"/>
  <c r="Q70" i="30"/>
  <c r="P70" i="30"/>
  <c r="O70" i="30"/>
  <c r="N70" i="30"/>
  <c r="M70" i="30"/>
  <c r="L70" i="30"/>
  <c r="K70" i="30"/>
  <c r="J70" i="30"/>
  <c r="I70" i="30"/>
  <c r="I74" i="30" s="1"/>
  <c r="H70" i="30"/>
  <c r="H74" i="30" s="1"/>
  <c r="G70" i="30"/>
  <c r="F70" i="30"/>
  <c r="E70" i="30"/>
  <c r="AF69" i="30"/>
  <c r="AE69" i="30"/>
  <c r="AD69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J69" i="30"/>
  <c r="I69" i="30"/>
  <c r="H69" i="30"/>
  <c r="G69" i="30"/>
  <c r="F69" i="30"/>
  <c r="E69" i="30"/>
  <c r="AF68" i="30"/>
  <c r="AE68" i="30"/>
  <c r="AD68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J68" i="30"/>
  <c r="J74" i="30" s="1"/>
  <c r="I68" i="30"/>
  <c r="H68" i="30"/>
  <c r="G68" i="30"/>
  <c r="F68" i="30"/>
  <c r="E68" i="30"/>
  <c r="AF67" i="30"/>
  <c r="AE67" i="30"/>
  <c r="AE75" i="30" s="1"/>
  <c r="AD67" i="30"/>
  <c r="AD75" i="30" s="1"/>
  <c r="AC67" i="30"/>
  <c r="AC75" i="30" s="1"/>
  <c r="AB67" i="30"/>
  <c r="AB75" i="30" s="1"/>
  <c r="AA67" i="30"/>
  <c r="AA75" i="30" s="1"/>
  <c r="Z67" i="30"/>
  <c r="Z75" i="30" s="1"/>
  <c r="Y67" i="30"/>
  <c r="Y75" i="30" s="1"/>
  <c r="X67" i="30"/>
  <c r="X75" i="30" s="1"/>
  <c r="W67" i="30"/>
  <c r="V67" i="30"/>
  <c r="U67" i="30"/>
  <c r="T67" i="30"/>
  <c r="S67" i="30"/>
  <c r="R67" i="30"/>
  <c r="Q67" i="30"/>
  <c r="Q75" i="30" s="1"/>
  <c r="P67" i="30"/>
  <c r="P75" i="30" s="1"/>
  <c r="O67" i="30"/>
  <c r="O75" i="30" s="1"/>
  <c r="N67" i="30"/>
  <c r="N75" i="30" s="1"/>
  <c r="M67" i="30"/>
  <c r="M75" i="30" s="1"/>
  <c r="L67" i="30"/>
  <c r="L75" i="30" s="1"/>
  <c r="K67" i="30"/>
  <c r="K75" i="30" s="1"/>
  <c r="J67" i="30"/>
  <c r="J75" i="30" s="1"/>
  <c r="I67" i="30"/>
  <c r="H67" i="30"/>
  <c r="G67" i="30"/>
  <c r="F67" i="30"/>
  <c r="E67" i="30"/>
  <c r="AF66" i="30"/>
  <c r="AF74" i="30" s="1"/>
  <c r="AE66" i="30"/>
  <c r="AE74" i="30" s="1"/>
  <c r="AD66" i="30"/>
  <c r="AD74" i="30" s="1"/>
  <c r="AC66" i="30"/>
  <c r="AC74" i="30" s="1"/>
  <c r="AB66" i="30"/>
  <c r="AB74" i="30" s="1"/>
  <c r="AA66" i="30"/>
  <c r="AA74" i="30" s="1"/>
  <c r="Z66" i="30"/>
  <c r="Z74" i="30" s="1"/>
  <c r="Y66" i="30"/>
  <c r="Y74" i="30" s="1"/>
  <c r="X66" i="30"/>
  <c r="W66" i="30"/>
  <c r="V66" i="30"/>
  <c r="U66" i="30"/>
  <c r="T66" i="30"/>
  <c r="S66" i="30"/>
  <c r="R66" i="30"/>
  <c r="R74" i="30" s="1"/>
  <c r="Q66" i="30"/>
  <c r="Q74" i="30" s="1"/>
  <c r="P66" i="30"/>
  <c r="P74" i="30" s="1"/>
  <c r="O66" i="30"/>
  <c r="O74" i="30" s="1"/>
  <c r="N66" i="30"/>
  <c r="N74" i="30" s="1"/>
  <c r="M66" i="30"/>
  <c r="M74" i="30" s="1"/>
  <c r="L66" i="30"/>
  <c r="L74" i="30" s="1"/>
  <c r="K66" i="30"/>
  <c r="K74" i="30" s="1"/>
  <c r="J66" i="30"/>
  <c r="I66" i="30"/>
  <c r="H66" i="30"/>
  <c r="G66" i="30"/>
  <c r="F66" i="30"/>
  <c r="E66" i="30"/>
  <c r="AE63" i="30"/>
  <c r="AC63" i="30"/>
  <c r="AC62" i="30"/>
  <c r="AB62" i="30"/>
  <c r="P62" i="30"/>
  <c r="O62" i="30"/>
  <c r="N62" i="30"/>
  <c r="Q61" i="30"/>
  <c r="Q63" i="30" s="1"/>
  <c r="P61" i="30"/>
  <c r="P63" i="30" s="1"/>
  <c r="O61" i="30"/>
  <c r="O63" i="30" s="1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R62" i="30" s="1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AF59" i="30"/>
  <c r="AF61" i="30" s="1"/>
  <c r="AF63" i="30" s="1"/>
  <c r="AE59" i="30"/>
  <c r="AE61" i="30" s="1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S61" i="30" s="1"/>
  <c r="S63" i="30" s="1"/>
  <c r="R59" i="30"/>
  <c r="R61" i="30" s="1"/>
  <c r="R63" i="30" s="1"/>
  <c r="Q59" i="30"/>
  <c r="P59" i="30"/>
  <c r="O59" i="30"/>
  <c r="N59" i="30"/>
  <c r="M59" i="30"/>
  <c r="L59" i="30"/>
  <c r="K59" i="30"/>
  <c r="J59" i="30"/>
  <c r="I59" i="30"/>
  <c r="H59" i="30"/>
  <c r="G59" i="30"/>
  <c r="G61" i="30" s="1"/>
  <c r="G63" i="30" s="1"/>
  <c r="F59" i="30"/>
  <c r="E59" i="30"/>
  <c r="E61" i="30" s="1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T62" i="30" s="1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AF55" i="30"/>
  <c r="AE55" i="30"/>
  <c r="AD55" i="30"/>
  <c r="AD61" i="30" s="1"/>
  <c r="AD63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AF52" i="30"/>
  <c r="AE52" i="30"/>
  <c r="AD52" i="30"/>
  <c r="AD62" i="30" s="1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AF51" i="30"/>
  <c r="AE51" i="30"/>
  <c r="AD51" i="30"/>
  <c r="AC51" i="30"/>
  <c r="AC61" i="30" s="1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AG51" i="30" s="1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F62" i="30" s="1"/>
  <c r="E50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AG47" i="30" s="1"/>
  <c r="AF46" i="30"/>
  <c r="AE46" i="30"/>
  <c r="AD46" i="30"/>
  <c r="AC46" i="30"/>
  <c r="AB46" i="30"/>
  <c r="AA46" i="30"/>
  <c r="AA62" i="30" s="1"/>
  <c r="Z46" i="30"/>
  <c r="Z62" i="30" s="1"/>
  <c r="Y46" i="30"/>
  <c r="Y62" i="30" s="1"/>
  <c r="X46" i="30"/>
  <c r="W46" i="30"/>
  <c r="V46" i="30"/>
  <c r="U46" i="30"/>
  <c r="U62" i="30" s="1"/>
  <c r="T46" i="30"/>
  <c r="S46" i="30"/>
  <c r="R46" i="30"/>
  <c r="Q46" i="30"/>
  <c r="P46" i="30"/>
  <c r="O46" i="30"/>
  <c r="N46" i="30"/>
  <c r="M46" i="30"/>
  <c r="M62" i="30" s="1"/>
  <c r="L46" i="30"/>
  <c r="L62" i="30" s="1"/>
  <c r="K46" i="30"/>
  <c r="K62" i="30" s="1"/>
  <c r="J46" i="30"/>
  <c r="I46" i="30"/>
  <c r="H46" i="30"/>
  <c r="G46" i="30"/>
  <c r="G62" i="30" s="1"/>
  <c r="F46" i="30"/>
  <c r="E46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AG36" i="30"/>
  <c r="AG35" i="30"/>
  <c r="AG34" i="30"/>
  <c r="AG33" i="30"/>
  <c r="AG31" i="30"/>
  <c r="AG30" i="30"/>
  <c r="AG29" i="30"/>
  <c r="AG28" i="30"/>
  <c r="AG27" i="30"/>
  <c r="AG26" i="30"/>
  <c r="AG25" i="30"/>
  <c r="AG24" i="30"/>
  <c r="AG22" i="30"/>
  <c r="AG21" i="30"/>
  <c r="AG20" i="30"/>
  <c r="AG19" i="30"/>
  <c r="AG18" i="30"/>
  <c r="AG17" i="30"/>
  <c r="AG16" i="30"/>
  <c r="AG15" i="30"/>
  <c r="AG14" i="30"/>
  <c r="AG13" i="30"/>
  <c r="AG12" i="30"/>
  <c r="AG11" i="30"/>
  <c r="AG10" i="30"/>
  <c r="AI57" i="30" s="1"/>
  <c r="AG9" i="30"/>
  <c r="AG8" i="30"/>
  <c r="AG7" i="30"/>
  <c r="AI79" i="29"/>
  <c r="AH79" i="29"/>
  <c r="AG79" i="29"/>
  <c r="AF79" i="29"/>
  <c r="AE79" i="29"/>
  <c r="AD79" i="29"/>
  <c r="AC79" i="29"/>
  <c r="AB79" i="29"/>
  <c r="AA79" i="29"/>
  <c r="Z79" i="29"/>
  <c r="Y79" i="29"/>
  <c r="X79" i="29"/>
  <c r="W79" i="29"/>
  <c r="V79" i="29"/>
  <c r="U79" i="29"/>
  <c r="T79" i="29"/>
  <c r="S79" i="29"/>
  <c r="R79" i="29"/>
  <c r="Q79" i="29"/>
  <c r="P79" i="29"/>
  <c r="O79" i="29"/>
  <c r="N79" i="29"/>
  <c r="M79" i="29"/>
  <c r="L79" i="29"/>
  <c r="K79" i="29"/>
  <c r="J79" i="29"/>
  <c r="I79" i="29"/>
  <c r="H79" i="29"/>
  <c r="G79" i="29"/>
  <c r="F79" i="29"/>
  <c r="E79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AJ78" i="29" s="1"/>
  <c r="E78" i="29"/>
  <c r="AI77" i="29"/>
  <c r="AH77" i="29"/>
  <c r="AG77" i="29"/>
  <c r="AF77" i="29"/>
  <c r="AE77" i="29"/>
  <c r="AD77" i="29"/>
  <c r="AC77" i="29"/>
  <c r="AB77" i="29"/>
  <c r="AA77" i="29"/>
  <c r="Z77" i="29"/>
  <c r="Z80" i="29" s="1"/>
  <c r="Y77" i="29"/>
  <c r="X77" i="29"/>
  <c r="X80" i="29" s="1"/>
  <c r="W77" i="29"/>
  <c r="W80" i="29" s="1"/>
  <c r="V77" i="29"/>
  <c r="U77" i="29"/>
  <c r="T77" i="29"/>
  <c r="S77" i="29"/>
  <c r="R77" i="29"/>
  <c r="Q77" i="29"/>
  <c r="P77" i="29"/>
  <c r="O77" i="29"/>
  <c r="N77" i="29"/>
  <c r="M77" i="29"/>
  <c r="L77" i="29"/>
  <c r="L80" i="29" s="1"/>
  <c r="K77" i="29"/>
  <c r="J77" i="29"/>
  <c r="J80" i="29" s="1"/>
  <c r="I77" i="29"/>
  <c r="I80" i="29" s="1"/>
  <c r="H77" i="29"/>
  <c r="G77" i="29"/>
  <c r="F77" i="29"/>
  <c r="E77" i="29"/>
  <c r="AI76" i="29"/>
  <c r="AH76" i="29"/>
  <c r="AG76" i="29"/>
  <c r="AF76" i="29"/>
  <c r="AE76" i="29"/>
  <c r="AD76" i="29"/>
  <c r="AC76" i="29"/>
  <c r="AC80" i="29" s="1"/>
  <c r="AB76" i="29"/>
  <c r="AB80" i="29" s="1"/>
  <c r="AA76" i="29"/>
  <c r="AA80" i="29" s="1"/>
  <c r="Z76" i="29"/>
  <c r="Y76" i="29"/>
  <c r="X76" i="29"/>
  <c r="W76" i="29"/>
  <c r="V76" i="29"/>
  <c r="U76" i="29"/>
  <c r="T76" i="29"/>
  <c r="S76" i="29"/>
  <c r="R76" i="29"/>
  <c r="Q76" i="29"/>
  <c r="P76" i="29"/>
  <c r="O76" i="29"/>
  <c r="O80" i="29" s="1"/>
  <c r="N76" i="29"/>
  <c r="N80" i="29" s="1"/>
  <c r="M76" i="29"/>
  <c r="M80" i="29" s="1"/>
  <c r="L76" i="29"/>
  <c r="K76" i="29"/>
  <c r="J76" i="29"/>
  <c r="I76" i="29"/>
  <c r="H76" i="29"/>
  <c r="G76" i="29"/>
  <c r="F76" i="29"/>
  <c r="E76" i="29"/>
  <c r="AF75" i="29"/>
  <c r="AC75" i="29"/>
  <c r="W75" i="29"/>
  <c r="U75" i="29"/>
  <c r="T75" i="29"/>
  <c r="S75" i="29"/>
  <c r="R75" i="29"/>
  <c r="X74" i="29"/>
  <c r="W74" i="29"/>
  <c r="V74" i="29"/>
  <c r="H74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AI71" i="29"/>
  <c r="AH71" i="29"/>
  <c r="AH75" i="29" s="1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F75" i="29" s="1"/>
  <c r="E71" i="29"/>
  <c r="AI70" i="29"/>
  <c r="AH70" i="29"/>
  <c r="AG70" i="29"/>
  <c r="AF70" i="29"/>
  <c r="AE70" i="29"/>
  <c r="AD70" i="29"/>
  <c r="AC70" i="29"/>
  <c r="AB70" i="29"/>
  <c r="AA70" i="29"/>
  <c r="Z70" i="29"/>
  <c r="Y70" i="29"/>
  <c r="X70" i="29"/>
  <c r="W70" i="29"/>
  <c r="V70" i="29"/>
  <c r="U70" i="29"/>
  <c r="T70" i="29"/>
  <c r="S70" i="29"/>
  <c r="R70" i="29"/>
  <c r="Q70" i="29"/>
  <c r="P70" i="29"/>
  <c r="O70" i="29"/>
  <c r="N70" i="29"/>
  <c r="M70" i="29"/>
  <c r="L70" i="29"/>
  <c r="K70" i="29"/>
  <c r="J70" i="29"/>
  <c r="J74" i="29" s="1"/>
  <c r="I70" i="29"/>
  <c r="H70" i="29"/>
  <c r="G70" i="29"/>
  <c r="F70" i="29"/>
  <c r="E70" i="29"/>
  <c r="AI69" i="29"/>
  <c r="AH69" i="29"/>
  <c r="AG69" i="29"/>
  <c r="AF69" i="29"/>
  <c r="AE69" i="29"/>
  <c r="AE75" i="29" s="1"/>
  <c r="AD69" i="29"/>
  <c r="AD75" i="29" s="1"/>
  <c r="AC69" i="29"/>
  <c r="AB69" i="29"/>
  <c r="AA69" i="29"/>
  <c r="Z69" i="29"/>
  <c r="Y69" i="29"/>
  <c r="X69" i="29"/>
  <c r="W69" i="29"/>
  <c r="V69" i="29"/>
  <c r="U69" i="29"/>
  <c r="T69" i="29"/>
  <c r="S69" i="29"/>
  <c r="R69" i="29"/>
  <c r="Q69" i="29"/>
  <c r="Q75" i="29" s="1"/>
  <c r="P69" i="29"/>
  <c r="P75" i="29" s="1"/>
  <c r="O69" i="29"/>
  <c r="N69" i="29"/>
  <c r="M69" i="29"/>
  <c r="L69" i="29"/>
  <c r="K69" i="29"/>
  <c r="J69" i="29"/>
  <c r="I69" i="29"/>
  <c r="H69" i="29"/>
  <c r="G69" i="29"/>
  <c r="F69" i="29"/>
  <c r="E69" i="29"/>
  <c r="AI68" i="29"/>
  <c r="AI74" i="29" s="1"/>
  <c r="AH68" i="29"/>
  <c r="AH74" i="29" s="1"/>
  <c r="AG68" i="29"/>
  <c r="AF68" i="29"/>
  <c r="AE68" i="29"/>
  <c r="AD68" i="29"/>
  <c r="AC68" i="29"/>
  <c r="AB68" i="29"/>
  <c r="AA68" i="29"/>
  <c r="Z68" i="29"/>
  <c r="Y68" i="29"/>
  <c r="Y74" i="29" s="1"/>
  <c r="X68" i="29"/>
  <c r="W68" i="29"/>
  <c r="V68" i="29"/>
  <c r="U68" i="29"/>
  <c r="U74" i="29" s="1"/>
  <c r="T68" i="29"/>
  <c r="T74" i="29" s="1"/>
  <c r="S68" i="29"/>
  <c r="R68" i="29"/>
  <c r="Q68" i="29"/>
  <c r="P68" i="29"/>
  <c r="O68" i="29"/>
  <c r="N68" i="29"/>
  <c r="M68" i="29"/>
  <c r="L68" i="29"/>
  <c r="K68" i="29"/>
  <c r="J68" i="29"/>
  <c r="I68" i="29"/>
  <c r="H68" i="29"/>
  <c r="G68" i="29"/>
  <c r="G74" i="29" s="1"/>
  <c r="F68" i="29"/>
  <c r="F74" i="29" s="1"/>
  <c r="E68" i="29"/>
  <c r="AI67" i="29"/>
  <c r="AH67" i="29"/>
  <c r="AG67" i="29"/>
  <c r="AF67" i="29"/>
  <c r="AE67" i="29"/>
  <c r="AD67" i="29"/>
  <c r="AC67" i="29"/>
  <c r="AB67" i="29"/>
  <c r="AB75" i="29" s="1"/>
  <c r="AA67" i="29"/>
  <c r="AA75" i="29" s="1"/>
  <c r="Z67" i="29"/>
  <c r="Z75" i="29" s="1"/>
  <c r="Y67" i="29"/>
  <c r="Y75" i="29" s="1"/>
  <c r="X67" i="29"/>
  <c r="X75" i="29" s="1"/>
  <c r="W67" i="29"/>
  <c r="V67" i="29"/>
  <c r="V75" i="29" s="1"/>
  <c r="U67" i="29"/>
  <c r="T67" i="29"/>
  <c r="S67" i="29"/>
  <c r="R67" i="29"/>
  <c r="Q67" i="29"/>
  <c r="P67" i="29"/>
  <c r="O67" i="29"/>
  <c r="O75" i="29" s="1"/>
  <c r="N67" i="29"/>
  <c r="N75" i="29" s="1"/>
  <c r="M67" i="29"/>
  <c r="M75" i="29" s="1"/>
  <c r="L67" i="29"/>
  <c r="L75" i="29" s="1"/>
  <c r="K67" i="29"/>
  <c r="K75" i="29" s="1"/>
  <c r="J67" i="29"/>
  <c r="J75" i="29" s="1"/>
  <c r="I67" i="29"/>
  <c r="H67" i="29"/>
  <c r="H75" i="29" s="1"/>
  <c r="G67" i="29"/>
  <c r="F67" i="29"/>
  <c r="E67" i="29"/>
  <c r="AI66" i="29"/>
  <c r="AH66" i="29"/>
  <c r="AG66" i="29"/>
  <c r="AG74" i="29" s="1"/>
  <c r="AF66" i="29"/>
  <c r="AF74" i="29" s="1"/>
  <c r="AE66" i="29"/>
  <c r="AE74" i="29" s="1"/>
  <c r="AD66" i="29"/>
  <c r="AD74" i="29" s="1"/>
  <c r="AC66" i="29"/>
  <c r="AB66" i="29"/>
  <c r="AB74" i="29" s="1"/>
  <c r="AA66" i="29"/>
  <c r="AA74" i="29" s="1"/>
  <c r="Z66" i="29"/>
  <c r="Z74" i="29" s="1"/>
  <c r="Y66" i="29"/>
  <c r="X66" i="29"/>
  <c r="W66" i="29"/>
  <c r="V66" i="29"/>
  <c r="U66" i="29"/>
  <c r="T66" i="29"/>
  <c r="S66" i="29"/>
  <c r="S74" i="29" s="1"/>
  <c r="R66" i="29"/>
  <c r="R74" i="29" s="1"/>
  <c r="Q66" i="29"/>
  <c r="Q74" i="29" s="1"/>
  <c r="P66" i="29"/>
  <c r="P74" i="29" s="1"/>
  <c r="O66" i="29"/>
  <c r="N66" i="29"/>
  <c r="N74" i="29" s="1"/>
  <c r="M66" i="29"/>
  <c r="M74" i="29" s="1"/>
  <c r="L66" i="29"/>
  <c r="L74" i="29" s="1"/>
  <c r="K66" i="29"/>
  <c r="J66" i="29"/>
  <c r="I66" i="29"/>
  <c r="H66" i="29"/>
  <c r="G66" i="29"/>
  <c r="F66" i="29"/>
  <c r="E66" i="29"/>
  <c r="AD63" i="29"/>
  <c r="S62" i="29"/>
  <c r="M62" i="29"/>
  <c r="AI60" i="29"/>
  <c r="AH60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AI59" i="29"/>
  <c r="AI61" i="29" s="1"/>
  <c r="AI63" i="29" s="1"/>
  <c r="AH59" i="29"/>
  <c r="AG59" i="29"/>
  <c r="AF59" i="29"/>
  <c r="AF61" i="29" s="1"/>
  <c r="AF63" i="29" s="1"/>
  <c r="AE59" i="29"/>
  <c r="AD59" i="29"/>
  <c r="AC59" i="29"/>
  <c r="AB59" i="29"/>
  <c r="AA59" i="29"/>
  <c r="Z59" i="29"/>
  <c r="Y59" i="29"/>
  <c r="X59" i="29"/>
  <c r="W59" i="29"/>
  <c r="V59" i="29"/>
  <c r="U59" i="29"/>
  <c r="U61" i="29" s="1"/>
  <c r="U63" i="29" s="1"/>
  <c r="T59" i="29"/>
  <c r="S59" i="29"/>
  <c r="R59" i="29"/>
  <c r="R61" i="29" s="1"/>
  <c r="R63" i="29" s="1"/>
  <c r="Q59" i="29"/>
  <c r="P59" i="29"/>
  <c r="O59" i="29"/>
  <c r="N59" i="29"/>
  <c r="M59" i="29"/>
  <c r="L59" i="29"/>
  <c r="K59" i="29"/>
  <c r="J59" i="29"/>
  <c r="I59" i="29"/>
  <c r="H59" i="29"/>
  <c r="G59" i="29"/>
  <c r="G61" i="29" s="1"/>
  <c r="G63" i="29" s="1"/>
  <c r="F59" i="29"/>
  <c r="E59" i="29"/>
  <c r="AI58" i="29"/>
  <c r="AH58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AI57" i="29"/>
  <c r="AH57" i="29"/>
  <c r="AG57" i="29"/>
  <c r="AF57" i="29"/>
  <c r="AE57" i="29"/>
  <c r="AD57" i="29"/>
  <c r="AD61" i="29" s="1"/>
  <c r="AC57" i="29"/>
  <c r="AB57" i="29"/>
  <c r="AB61" i="29" s="1"/>
  <c r="AB63" i="29" s="1"/>
  <c r="AA57" i="29"/>
  <c r="Z57" i="29"/>
  <c r="Z61" i="29" s="1"/>
  <c r="Z63" i="29" s="1"/>
  <c r="Y57" i="29"/>
  <c r="X57" i="29"/>
  <c r="W57" i="29"/>
  <c r="V57" i="29"/>
  <c r="U57" i="29"/>
  <c r="T57" i="29"/>
  <c r="S57" i="29"/>
  <c r="R57" i="29"/>
  <c r="Q57" i="29"/>
  <c r="P57" i="29"/>
  <c r="P61" i="29" s="1"/>
  <c r="P63" i="29" s="1"/>
  <c r="O57" i="29"/>
  <c r="N57" i="29"/>
  <c r="N61" i="29" s="1"/>
  <c r="N63" i="29" s="1"/>
  <c r="M57" i="29"/>
  <c r="L57" i="29"/>
  <c r="L61" i="29" s="1"/>
  <c r="L63" i="29" s="1"/>
  <c r="K57" i="29"/>
  <c r="J57" i="29"/>
  <c r="I57" i="29"/>
  <c r="H57" i="29"/>
  <c r="G57" i="29"/>
  <c r="F57" i="29"/>
  <c r="E57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T62" i="29" s="1"/>
  <c r="S56" i="29"/>
  <c r="R56" i="29"/>
  <c r="Q56" i="29"/>
  <c r="Q62" i="29" s="1"/>
  <c r="P56" i="29"/>
  <c r="O56" i="29"/>
  <c r="N56" i="29"/>
  <c r="M56" i="29"/>
  <c r="L56" i="29"/>
  <c r="K56" i="29"/>
  <c r="J56" i="29"/>
  <c r="I56" i="29"/>
  <c r="H56" i="29"/>
  <c r="G56" i="29"/>
  <c r="F56" i="29"/>
  <c r="E56" i="29"/>
  <c r="AL55" i="29"/>
  <c r="AI55" i="29"/>
  <c r="AH55" i="29"/>
  <c r="AG55" i="29"/>
  <c r="AF55" i="29"/>
  <c r="AE55" i="29"/>
  <c r="AD55" i="29"/>
  <c r="AC55" i="29"/>
  <c r="AB55" i="29"/>
  <c r="AA55" i="29"/>
  <c r="Z55" i="29"/>
  <c r="Y55" i="29"/>
  <c r="Y61" i="29" s="1"/>
  <c r="Y63" i="29" s="1"/>
  <c r="X55" i="29"/>
  <c r="X61" i="29" s="1"/>
  <c r="X63" i="29" s="1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K61" i="29" s="1"/>
  <c r="K63" i="29" s="1"/>
  <c r="J55" i="29"/>
  <c r="I55" i="29"/>
  <c r="H55" i="29"/>
  <c r="AJ55" i="29" s="1"/>
  <c r="G55" i="29"/>
  <c r="F55" i="29"/>
  <c r="E55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Q61" i="29" s="1"/>
  <c r="Q63" i="29" s="1"/>
  <c r="P53" i="29"/>
  <c r="O53" i="29"/>
  <c r="N53" i="29"/>
  <c r="M53" i="29"/>
  <c r="L53" i="29"/>
  <c r="K53" i="29"/>
  <c r="J53" i="29"/>
  <c r="I53" i="29"/>
  <c r="H53" i="29"/>
  <c r="G53" i="29"/>
  <c r="F53" i="29"/>
  <c r="E53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AJ51" i="29" s="1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I62" i="29" s="1"/>
  <c r="H50" i="29"/>
  <c r="G50" i="29"/>
  <c r="F50" i="29"/>
  <c r="E50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AI48" i="29"/>
  <c r="AH48" i="29"/>
  <c r="AG48" i="29"/>
  <c r="AF48" i="29"/>
  <c r="AE48" i="29"/>
  <c r="AD48" i="29"/>
  <c r="AC48" i="29"/>
  <c r="AB48" i="29"/>
  <c r="AA48" i="29"/>
  <c r="Z48" i="29"/>
  <c r="Z62" i="29" s="1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L62" i="29" s="1"/>
  <c r="K48" i="29"/>
  <c r="J48" i="29"/>
  <c r="I48" i="29"/>
  <c r="H48" i="29"/>
  <c r="G48" i="29"/>
  <c r="F48" i="29"/>
  <c r="E48" i="29"/>
  <c r="AI47" i="29"/>
  <c r="AH47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AJ47" i="29" s="1"/>
  <c r="AI46" i="29"/>
  <c r="AI62" i="29" s="1"/>
  <c r="AH46" i="29"/>
  <c r="AG46" i="29"/>
  <c r="AG62" i="29" s="1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U62" i="29" s="1"/>
  <c r="T46" i="29"/>
  <c r="S46" i="29"/>
  <c r="R46" i="29"/>
  <c r="Q46" i="29"/>
  <c r="P46" i="29"/>
  <c r="O46" i="29"/>
  <c r="N46" i="29"/>
  <c r="M46" i="29"/>
  <c r="L46" i="29"/>
  <c r="K46" i="29"/>
  <c r="K62" i="29" s="1"/>
  <c r="J46" i="29"/>
  <c r="I46" i="29"/>
  <c r="H46" i="29"/>
  <c r="G46" i="29"/>
  <c r="G62" i="29" s="1"/>
  <c r="F46" i="29"/>
  <c r="E46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AJ45" i="29" s="1"/>
  <c r="G45" i="29"/>
  <c r="F45" i="29"/>
  <c r="E45" i="29"/>
  <c r="AH43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AJ36" i="29"/>
  <c r="AJ35" i="29"/>
  <c r="AJ34" i="29"/>
  <c r="AJ33" i="29"/>
  <c r="AJ31" i="29"/>
  <c r="AJ30" i="29"/>
  <c r="AJ29" i="29"/>
  <c r="AJ28" i="29"/>
  <c r="AJ27" i="29"/>
  <c r="AJ26" i="29"/>
  <c r="AJ25" i="29"/>
  <c r="AJ24" i="29"/>
  <c r="AJ22" i="29"/>
  <c r="AJ21" i="29"/>
  <c r="AJ20" i="29"/>
  <c r="AJ19" i="29"/>
  <c r="AJ18" i="29"/>
  <c r="AJ17" i="29"/>
  <c r="AJ16" i="29"/>
  <c r="AJ15" i="29"/>
  <c r="AJ14" i="29"/>
  <c r="AJ13" i="29"/>
  <c r="AJ12" i="29"/>
  <c r="AJ11" i="29"/>
  <c r="AJ10" i="29"/>
  <c r="AJ9" i="29"/>
  <c r="AJ8" i="29"/>
  <c r="AJ7" i="29"/>
  <c r="AL54" i="29" s="1"/>
  <c r="V79" i="28"/>
  <c r="U79" i="28"/>
  <c r="T79" i="28"/>
  <c r="S79" i="28"/>
  <c r="R79" i="28"/>
  <c r="O79" i="28"/>
  <c r="K79" i="28"/>
  <c r="H79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AH77" i="28"/>
  <c r="AG77" i="28"/>
  <c r="AF77" i="28"/>
  <c r="AE77" i="28"/>
  <c r="AD77" i="28"/>
  <c r="AC77" i="28"/>
  <c r="AB77" i="28"/>
  <c r="AA77" i="28"/>
  <c r="Z77" i="28"/>
  <c r="Y77" i="28"/>
  <c r="Y79" i="28" s="1"/>
  <c r="X77" i="28"/>
  <c r="W77" i="28"/>
  <c r="V77" i="28"/>
  <c r="U77" i="28"/>
  <c r="T77" i="28"/>
  <c r="S77" i="28"/>
  <c r="R77" i="28"/>
  <c r="Q77" i="28"/>
  <c r="Q79" i="28" s="1"/>
  <c r="P77" i="28"/>
  <c r="O77" i="28"/>
  <c r="N77" i="28"/>
  <c r="M77" i="28"/>
  <c r="L77" i="28"/>
  <c r="K77" i="28"/>
  <c r="J77" i="28"/>
  <c r="I77" i="28"/>
  <c r="H77" i="28"/>
  <c r="G77" i="28"/>
  <c r="AI77" i="28" s="1"/>
  <c r="F77" i="28"/>
  <c r="E77" i="28"/>
  <c r="AH76" i="28"/>
  <c r="AH79" i="28" s="1"/>
  <c r="AG76" i="28"/>
  <c r="AF76" i="28"/>
  <c r="AE76" i="28"/>
  <c r="AD76" i="28"/>
  <c r="AC76" i="28"/>
  <c r="AC79" i="28" s="1"/>
  <c r="AB76" i="28"/>
  <c r="AA76" i="28"/>
  <c r="Z76" i="28"/>
  <c r="Y76" i="28"/>
  <c r="X76" i="28"/>
  <c r="X79" i="28" s="1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J79" i="28" s="1"/>
  <c r="I76" i="28"/>
  <c r="H76" i="28"/>
  <c r="G76" i="28"/>
  <c r="F76" i="28"/>
  <c r="E76" i="28"/>
  <c r="AH75" i="28"/>
  <c r="AG75" i="28"/>
  <c r="AG79" i="28" s="1"/>
  <c r="AF75" i="28"/>
  <c r="AF79" i="28" s="1"/>
  <c r="AE75" i="28"/>
  <c r="AD75" i="28"/>
  <c r="AC75" i="28"/>
  <c r="AB75" i="28"/>
  <c r="AA75" i="28"/>
  <c r="AA79" i="28" s="1"/>
  <c r="Z75" i="28"/>
  <c r="Z79" i="28" s="1"/>
  <c r="Y75" i="28"/>
  <c r="X75" i="28"/>
  <c r="W75" i="28"/>
  <c r="W79" i="28" s="1"/>
  <c r="V75" i="28"/>
  <c r="U75" i="28"/>
  <c r="T75" i="28"/>
  <c r="S75" i="28"/>
  <c r="R75" i="28"/>
  <c r="Q75" i="28"/>
  <c r="P75" i="28"/>
  <c r="O75" i="28"/>
  <c r="N75" i="28"/>
  <c r="M75" i="28"/>
  <c r="M79" i="28" s="1"/>
  <c r="L75" i="28"/>
  <c r="L79" i="28" s="1"/>
  <c r="K75" i="28"/>
  <c r="J75" i="28"/>
  <c r="I75" i="28"/>
  <c r="I79" i="28" s="1"/>
  <c r="H75" i="28"/>
  <c r="G75" i="28"/>
  <c r="G79" i="28" s="1"/>
  <c r="F75" i="28"/>
  <c r="F79" i="28" s="1"/>
  <c r="E75" i="28"/>
  <c r="E79" i="28" s="1"/>
  <c r="E74" i="28"/>
  <c r="AG73" i="28"/>
  <c r="AC73" i="28"/>
  <c r="H73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AH70" i="28"/>
  <c r="AG70" i="28"/>
  <c r="AF70" i="28"/>
  <c r="AF74" i="28" s="1"/>
  <c r="AE70" i="28"/>
  <c r="AD70" i="28"/>
  <c r="AC70" i="28"/>
  <c r="AB70" i="28"/>
  <c r="AA70" i="28"/>
  <c r="Z70" i="28"/>
  <c r="Y70" i="28"/>
  <c r="X70" i="28"/>
  <c r="W70" i="28"/>
  <c r="V70" i="28"/>
  <c r="U70" i="28"/>
  <c r="U74" i="28" s="1"/>
  <c r="T70" i="28"/>
  <c r="T74" i="28" s="1"/>
  <c r="S70" i="28"/>
  <c r="S74" i="28" s="1"/>
  <c r="R70" i="28"/>
  <c r="R74" i="28" s="1"/>
  <c r="Q70" i="28"/>
  <c r="P70" i="28"/>
  <c r="O70" i="28"/>
  <c r="N70" i="28"/>
  <c r="M70" i="28"/>
  <c r="L70" i="28"/>
  <c r="K70" i="28"/>
  <c r="J70" i="28"/>
  <c r="I70" i="28"/>
  <c r="H70" i="28"/>
  <c r="G70" i="28"/>
  <c r="G74" i="28" s="1"/>
  <c r="F70" i="28"/>
  <c r="E70" i="28"/>
  <c r="AH69" i="28"/>
  <c r="AG69" i="28"/>
  <c r="AF69" i="28"/>
  <c r="AE69" i="28"/>
  <c r="AD69" i="28"/>
  <c r="AC69" i="28"/>
  <c r="AB69" i="28"/>
  <c r="AA69" i="28"/>
  <c r="Z69" i="28"/>
  <c r="Y69" i="28"/>
  <c r="X69" i="28"/>
  <c r="W69" i="28"/>
  <c r="V69" i="28"/>
  <c r="U69" i="28"/>
  <c r="T69" i="28"/>
  <c r="S69" i="28"/>
  <c r="R69" i="28"/>
  <c r="Q69" i="28"/>
  <c r="P69" i="28"/>
  <c r="O69" i="28"/>
  <c r="N69" i="28"/>
  <c r="M69" i="28"/>
  <c r="L69" i="28"/>
  <c r="K69" i="28"/>
  <c r="J69" i="28"/>
  <c r="J73" i="28" s="1"/>
  <c r="I69" i="28"/>
  <c r="I73" i="28" s="1"/>
  <c r="H69" i="28"/>
  <c r="G69" i="28"/>
  <c r="G73" i="28" s="1"/>
  <c r="F69" i="28"/>
  <c r="E69" i="28"/>
  <c r="AH68" i="28"/>
  <c r="AG68" i="28"/>
  <c r="AF68" i="28"/>
  <c r="AE68" i="28"/>
  <c r="AD68" i="28"/>
  <c r="AC68" i="28"/>
  <c r="AB68" i="28"/>
  <c r="AA68" i="28"/>
  <c r="Z68" i="28"/>
  <c r="Y68" i="28"/>
  <c r="X68" i="28"/>
  <c r="X74" i="28" s="1"/>
  <c r="W68" i="28"/>
  <c r="W74" i="28" s="1"/>
  <c r="V68" i="28"/>
  <c r="V74" i="28" s="1"/>
  <c r="U68" i="28"/>
  <c r="T68" i="28"/>
  <c r="S68" i="28"/>
  <c r="R68" i="28"/>
  <c r="Q68" i="28"/>
  <c r="P68" i="28"/>
  <c r="O68" i="28"/>
  <c r="N68" i="28"/>
  <c r="M68" i="28"/>
  <c r="L68" i="28"/>
  <c r="K68" i="28"/>
  <c r="J68" i="28"/>
  <c r="J74" i="28" s="1"/>
  <c r="I68" i="28"/>
  <c r="I74" i="28" s="1"/>
  <c r="H68" i="28"/>
  <c r="G68" i="28"/>
  <c r="F68" i="28"/>
  <c r="E68" i="28"/>
  <c r="AH67" i="28"/>
  <c r="AG67" i="28"/>
  <c r="AF67" i="28"/>
  <c r="AE67" i="28"/>
  <c r="AD67" i="28"/>
  <c r="AC67" i="28"/>
  <c r="AB67" i="28"/>
  <c r="AA67" i="28"/>
  <c r="AA73" i="28" s="1"/>
  <c r="Z67" i="28"/>
  <c r="Z73" i="28" s="1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M73" i="28" s="1"/>
  <c r="L67" i="28"/>
  <c r="L73" i="28" s="1"/>
  <c r="K67" i="28"/>
  <c r="K73" i="28" s="1"/>
  <c r="J67" i="28"/>
  <c r="I67" i="28"/>
  <c r="H67" i="28"/>
  <c r="G67" i="28"/>
  <c r="F67" i="28"/>
  <c r="E67" i="28"/>
  <c r="AH66" i="28"/>
  <c r="AG66" i="28"/>
  <c r="AG74" i="28" s="1"/>
  <c r="AF66" i="28"/>
  <c r="AE66" i="28"/>
  <c r="AD66" i="28"/>
  <c r="AD74" i="28" s="1"/>
  <c r="AC66" i="28"/>
  <c r="AB66" i="28"/>
  <c r="AB74" i="28" s="1"/>
  <c r="AA66" i="28"/>
  <c r="AA74" i="28" s="1"/>
  <c r="Z66" i="28"/>
  <c r="Z74" i="28" s="1"/>
  <c r="Y66" i="28"/>
  <c r="X66" i="28"/>
  <c r="W66" i="28"/>
  <c r="V66" i="28"/>
  <c r="U66" i="28"/>
  <c r="T66" i="28"/>
  <c r="S66" i="28"/>
  <c r="R66" i="28"/>
  <c r="Q66" i="28"/>
  <c r="P66" i="28"/>
  <c r="P74" i="28" s="1"/>
  <c r="O66" i="28"/>
  <c r="N66" i="28"/>
  <c r="N74" i="28" s="1"/>
  <c r="M66" i="28"/>
  <c r="M74" i="28" s="1"/>
  <c r="L66" i="28"/>
  <c r="K66" i="28"/>
  <c r="J66" i="28"/>
  <c r="I66" i="28"/>
  <c r="H66" i="28"/>
  <c r="G66" i="28"/>
  <c r="F66" i="28"/>
  <c r="E66" i="28"/>
  <c r="AH65" i="28"/>
  <c r="AG65" i="28"/>
  <c r="AF65" i="28"/>
  <c r="AE65" i="28"/>
  <c r="AD65" i="28"/>
  <c r="AD73" i="28" s="1"/>
  <c r="AC65" i="28"/>
  <c r="AB65" i="28"/>
  <c r="AA65" i="28"/>
  <c r="Z65" i="28"/>
  <c r="Y65" i="28"/>
  <c r="X65" i="28"/>
  <c r="W65" i="28"/>
  <c r="W73" i="28" s="1"/>
  <c r="V65" i="28"/>
  <c r="V73" i="28" s="1"/>
  <c r="U65" i="28"/>
  <c r="U73" i="28" s="1"/>
  <c r="T65" i="28"/>
  <c r="S65" i="28"/>
  <c r="S73" i="28" s="1"/>
  <c r="R65" i="28"/>
  <c r="Q65" i="28"/>
  <c r="P65" i="28"/>
  <c r="P73" i="28" s="1"/>
  <c r="O65" i="28"/>
  <c r="O73" i="28" s="1"/>
  <c r="N65" i="28"/>
  <c r="M65" i="28"/>
  <c r="L65" i="28"/>
  <c r="K65" i="28"/>
  <c r="J65" i="28"/>
  <c r="I65" i="28"/>
  <c r="H65" i="28"/>
  <c r="G65" i="28"/>
  <c r="F65" i="28"/>
  <c r="E65" i="28"/>
  <c r="J61" i="28"/>
  <c r="G61" i="28"/>
  <c r="E61" i="28"/>
  <c r="AA60" i="28"/>
  <c r="AA62" i="28" s="1"/>
  <c r="Z60" i="28"/>
  <c r="Z62" i="28" s="1"/>
  <c r="S60" i="28"/>
  <c r="S62" i="28" s="1"/>
  <c r="E60" i="28"/>
  <c r="AH59" i="28"/>
  <c r="AG59" i="28"/>
  <c r="AF59" i="28"/>
  <c r="AE59" i="28"/>
  <c r="AD59" i="28"/>
  <c r="AC59" i="28"/>
  <c r="AB59" i="28"/>
  <c r="AA59" i="28"/>
  <c r="Z59" i="28"/>
  <c r="Y59" i="28"/>
  <c r="X59" i="28"/>
  <c r="W59" i="28"/>
  <c r="V59" i="28"/>
  <c r="U59" i="28"/>
  <c r="T59" i="28"/>
  <c r="S59" i="28"/>
  <c r="R59" i="28"/>
  <c r="Q59" i="28"/>
  <c r="P59" i="28"/>
  <c r="O59" i="28"/>
  <c r="N59" i="28"/>
  <c r="M59" i="28"/>
  <c r="L59" i="28"/>
  <c r="K59" i="28"/>
  <c r="J59" i="28"/>
  <c r="I59" i="28"/>
  <c r="H59" i="28"/>
  <c r="G59" i="28"/>
  <c r="AI59" i="28" s="1"/>
  <c r="F59" i="28"/>
  <c r="E59" i="28"/>
  <c r="AH58" i="28"/>
  <c r="AG58" i="28"/>
  <c r="AG60" i="28" s="1"/>
  <c r="AG62" i="28" s="1"/>
  <c r="AF58" i="28"/>
  <c r="AE58" i="28"/>
  <c r="AD58" i="28"/>
  <c r="AC58" i="28"/>
  <c r="AC60" i="28" s="1"/>
  <c r="AC62" i="28" s="1"/>
  <c r="AB58" i="28"/>
  <c r="AA58" i="28"/>
  <c r="Z58" i="28"/>
  <c r="Y58" i="28"/>
  <c r="X58" i="28"/>
  <c r="X60" i="28" s="1"/>
  <c r="X62" i="28" s="1"/>
  <c r="W58" i="28"/>
  <c r="V58" i="28"/>
  <c r="U58" i="28"/>
  <c r="T58" i="28"/>
  <c r="S58" i="28"/>
  <c r="R58" i="28"/>
  <c r="Q58" i="28"/>
  <c r="P58" i="28"/>
  <c r="O58" i="28"/>
  <c r="N58" i="28"/>
  <c r="M58" i="28"/>
  <c r="L58" i="28"/>
  <c r="K58" i="28"/>
  <c r="J58" i="28"/>
  <c r="J60" i="28" s="1"/>
  <c r="J62" i="28" s="1"/>
  <c r="I58" i="28"/>
  <c r="I60" i="28" s="1"/>
  <c r="I62" i="28" s="1"/>
  <c r="H58" i="28"/>
  <c r="G58" i="28"/>
  <c r="F58" i="28"/>
  <c r="E58" i="28"/>
  <c r="AH57" i="28"/>
  <c r="AG57" i="28"/>
  <c r="AF57" i="28"/>
  <c r="AE57" i="28"/>
  <c r="AD57" i="28"/>
  <c r="AC57" i="28"/>
  <c r="AB57" i="28"/>
  <c r="AA57" i="28"/>
  <c r="Z57" i="28"/>
  <c r="Y57" i="28"/>
  <c r="X57" i="28"/>
  <c r="W57" i="28"/>
  <c r="V57" i="28"/>
  <c r="U57" i="28"/>
  <c r="T57" i="28"/>
  <c r="S57" i="28"/>
  <c r="R57" i="28"/>
  <c r="Q57" i="28"/>
  <c r="P57" i="28"/>
  <c r="O57" i="28"/>
  <c r="N57" i="28"/>
  <c r="M57" i="28"/>
  <c r="L57" i="28"/>
  <c r="K57" i="28"/>
  <c r="J57" i="28"/>
  <c r="I57" i="28"/>
  <c r="H57" i="28"/>
  <c r="G57" i="28"/>
  <c r="F57" i="28"/>
  <c r="E57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AI55" i="28" s="1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AH51" i="28"/>
  <c r="AG51" i="28"/>
  <c r="AF51" i="28"/>
  <c r="AE51" i="28"/>
  <c r="AD51" i="28"/>
  <c r="AD61" i="28" s="1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AI49" i="28" s="1"/>
  <c r="F49" i="28"/>
  <c r="E49" i="28"/>
  <c r="AH48" i="28"/>
  <c r="AG48" i="28"/>
  <c r="AF48" i="28"/>
  <c r="AE48" i="28"/>
  <c r="AD48" i="28"/>
  <c r="AC48" i="28"/>
  <c r="AB48" i="28"/>
  <c r="AA48" i="28"/>
  <c r="Z48" i="28"/>
  <c r="Y48" i="28"/>
  <c r="X48" i="28"/>
  <c r="W48" i="28"/>
  <c r="V48" i="28"/>
  <c r="U48" i="28"/>
  <c r="T48" i="28"/>
  <c r="S48" i="28"/>
  <c r="R48" i="28"/>
  <c r="Q48" i="28"/>
  <c r="P48" i="28"/>
  <c r="O48" i="28"/>
  <c r="N48" i="28"/>
  <c r="M48" i="28"/>
  <c r="L48" i="28"/>
  <c r="K48" i="28"/>
  <c r="J48" i="28"/>
  <c r="I48" i="28"/>
  <c r="H48" i="28"/>
  <c r="G48" i="28"/>
  <c r="F48" i="28"/>
  <c r="E48" i="28"/>
  <c r="AH47" i="28"/>
  <c r="AG47" i="28"/>
  <c r="AF47" i="28"/>
  <c r="AE47" i="28"/>
  <c r="AD47" i="28"/>
  <c r="AC47" i="28"/>
  <c r="AB47" i="28"/>
  <c r="AB61" i="28" s="1"/>
  <c r="AA47" i="28"/>
  <c r="Z47" i="28"/>
  <c r="Y47" i="28"/>
  <c r="Y61" i="28" s="1"/>
  <c r="X47" i="28"/>
  <c r="W47" i="28"/>
  <c r="V47" i="28"/>
  <c r="U47" i="28"/>
  <c r="T47" i="28"/>
  <c r="S47" i="28"/>
  <c r="R47" i="28"/>
  <c r="Q47" i="28"/>
  <c r="P47" i="28"/>
  <c r="O47" i="28"/>
  <c r="N47" i="28"/>
  <c r="N61" i="28" s="1"/>
  <c r="M47" i="28"/>
  <c r="L47" i="28"/>
  <c r="K47" i="28"/>
  <c r="K61" i="28" s="1"/>
  <c r="J47" i="28"/>
  <c r="I47" i="28"/>
  <c r="H47" i="28"/>
  <c r="G47" i="28"/>
  <c r="F47" i="28"/>
  <c r="E47" i="28"/>
  <c r="AH46" i="28"/>
  <c r="AG46" i="28"/>
  <c r="AF46" i="28"/>
  <c r="AE46" i="28"/>
  <c r="AD46" i="28"/>
  <c r="AC46" i="28"/>
  <c r="AB46" i="28"/>
  <c r="AA46" i="28"/>
  <c r="Z46" i="28"/>
  <c r="Y46" i="28"/>
  <c r="X46" i="28"/>
  <c r="W46" i="28"/>
  <c r="V46" i="28"/>
  <c r="U46" i="28"/>
  <c r="T46" i="28"/>
  <c r="S46" i="28"/>
  <c r="R46" i="28"/>
  <c r="O46" i="28"/>
  <c r="N46" i="28"/>
  <c r="M46" i="28"/>
  <c r="L46" i="28"/>
  <c r="K46" i="28"/>
  <c r="J46" i="28"/>
  <c r="I46" i="28"/>
  <c r="H46" i="28"/>
  <c r="G46" i="28"/>
  <c r="F46" i="28"/>
  <c r="E46" i="28"/>
  <c r="AH45" i="28"/>
  <c r="AG45" i="28"/>
  <c r="AF45" i="28"/>
  <c r="AF61" i="28" s="1"/>
  <c r="AE45" i="28"/>
  <c r="AD45" i="28"/>
  <c r="AC45" i="28"/>
  <c r="AC61" i="28" s="1"/>
  <c r="AB45" i="28"/>
  <c r="AA45" i="28"/>
  <c r="AA61" i="28" s="1"/>
  <c r="Z45" i="28"/>
  <c r="Y45" i="28"/>
  <c r="X45" i="28"/>
  <c r="X61" i="28" s="1"/>
  <c r="W45" i="28"/>
  <c r="V45" i="28"/>
  <c r="U45" i="28"/>
  <c r="T45" i="28"/>
  <c r="S45" i="28"/>
  <c r="R45" i="28"/>
  <c r="R61" i="28" s="1"/>
  <c r="Q45" i="28"/>
  <c r="P45" i="28"/>
  <c r="O45" i="28"/>
  <c r="O61" i="28" s="1"/>
  <c r="N45" i="28"/>
  <c r="M45" i="28"/>
  <c r="M61" i="28" s="1"/>
  <c r="L45" i="28"/>
  <c r="K45" i="28"/>
  <c r="J45" i="28"/>
  <c r="I45" i="28"/>
  <c r="I61" i="28" s="1"/>
  <c r="H45" i="28"/>
  <c r="G45" i="28"/>
  <c r="F45" i="28"/>
  <c r="E45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AI44" i="28" s="1"/>
  <c r="F44" i="28"/>
  <c r="E44" i="28"/>
  <c r="AH42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AI35" i="28"/>
  <c r="AI34" i="28"/>
  <c r="AI33" i="28"/>
  <c r="AI32" i="28"/>
  <c r="AI30" i="28"/>
  <c r="AI29" i="28"/>
  <c r="AI28" i="28"/>
  <c r="AI27" i="28"/>
  <c r="AI26" i="28"/>
  <c r="AI25" i="28"/>
  <c r="AI24" i="28"/>
  <c r="AI23" i="28"/>
  <c r="AI21" i="28"/>
  <c r="AI20" i="28"/>
  <c r="AI19" i="28"/>
  <c r="AI18" i="28"/>
  <c r="AI17" i="28"/>
  <c r="AI16" i="28"/>
  <c r="AI15" i="28"/>
  <c r="AI14" i="28"/>
  <c r="AI13" i="28"/>
  <c r="AI12" i="28"/>
  <c r="AI11" i="28"/>
  <c r="AI10" i="28"/>
  <c r="AI9" i="28"/>
  <c r="AI8" i="28"/>
  <c r="AI7" i="28"/>
  <c r="AI6" i="28"/>
  <c r="F79" i="27"/>
  <c r="E79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V79" i="27" s="1"/>
  <c r="U78" i="27"/>
  <c r="U79" i="27" s="1"/>
  <c r="T78" i="27"/>
  <c r="T79" i="27" s="1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AI77" i="27"/>
  <c r="AH77" i="27"/>
  <c r="AG77" i="27"/>
  <c r="AF77" i="27"/>
  <c r="AE77" i="27"/>
  <c r="AD77" i="27"/>
  <c r="AC77" i="27"/>
  <c r="AB77" i="27"/>
  <c r="AA77" i="27"/>
  <c r="Z77" i="27"/>
  <c r="Z79" i="27" s="1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L79" i="27" s="1"/>
  <c r="K77" i="27"/>
  <c r="J77" i="27"/>
  <c r="I77" i="27"/>
  <c r="H77" i="27"/>
  <c r="G77" i="27"/>
  <c r="F77" i="27"/>
  <c r="E77" i="27"/>
  <c r="AI76" i="27"/>
  <c r="AH76" i="27"/>
  <c r="AG76" i="27"/>
  <c r="AF76" i="27"/>
  <c r="AE76" i="27"/>
  <c r="AD76" i="27"/>
  <c r="AD79" i="27" s="1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P79" i="27" s="1"/>
  <c r="O76" i="27"/>
  <c r="N76" i="27"/>
  <c r="M76" i="27"/>
  <c r="L76" i="27"/>
  <c r="K76" i="27"/>
  <c r="J76" i="27"/>
  <c r="I76" i="27"/>
  <c r="H76" i="27"/>
  <c r="G76" i="27"/>
  <c r="F76" i="27"/>
  <c r="E76" i="27"/>
  <c r="AI75" i="27"/>
  <c r="AH75" i="27"/>
  <c r="AG75" i="27"/>
  <c r="AG79" i="27" s="1"/>
  <c r="AF75" i="27"/>
  <c r="AF79" i="27" s="1"/>
  <c r="AE75" i="27"/>
  <c r="AE79" i="27" s="1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S79" i="27" s="1"/>
  <c r="R75" i="27"/>
  <c r="R79" i="27" s="1"/>
  <c r="Q75" i="27"/>
  <c r="Q79" i="27" s="1"/>
  <c r="P75" i="27"/>
  <c r="O75" i="27"/>
  <c r="N75" i="27"/>
  <c r="M75" i="27"/>
  <c r="L75" i="27"/>
  <c r="K75" i="27"/>
  <c r="J75" i="27"/>
  <c r="I75" i="27"/>
  <c r="H75" i="27"/>
  <c r="G75" i="27"/>
  <c r="F75" i="27"/>
  <c r="E75" i="27"/>
  <c r="AI74" i="27"/>
  <c r="AG74" i="27"/>
  <c r="U74" i="27"/>
  <c r="O74" i="27"/>
  <c r="K74" i="27"/>
  <c r="AE73" i="27"/>
  <c r="AD73" i="27"/>
  <c r="AC73" i="27"/>
  <c r="Q73" i="27"/>
  <c r="O73" i="27"/>
  <c r="M73" i="27"/>
  <c r="L73" i="27"/>
  <c r="K73" i="27"/>
  <c r="AI72" i="27"/>
  <c r="AH72" i="27"/>
  <c r="AG72" i="27"/>
  <c r="AF72" i="27"/>
  <c r="AE72" i="27"/>
  <c r="AD72" i="27"/>
  <c r="AC72" i="27"/>
  <c r="AB72" i="27"/>
  <c r="AB74" i="27" s="1"/>
  <c r="AA72" i="27"/>
  <c r="Z72" i="27"/>
  <c r="Y72" i="27"/>
  <c r="X72" i="27"/>
  <c r="W72" i="27"/>
  <c r="V72" i="27"/>
  <c r="U72" i="27"/>
  <c r="T72" i="27"/>
  <c r="S72" i="27"/>
  <c r="R72" i="27"/>
  <c r="Q72" i="27"/>
  <c r="Q74" i="27" s="1"/>
  <c r="P72" i="27"/>
  <c r="O72" i="27"/>
  <c r="N72" i="27"/>
  <c r="N74" i="27" s="1"/>
  <c r="M72" i="27"/>
  <c r="M74" i="27" s="1"/>
  <c r="L72" i="27"/>
  <c r="K72" i="27"/>
  <c r="J72" i="27"/>
  <c r="I72" i="27"/>
  <c r="H72" i="27"/>
  <c r="G72" i="27"/>
  <c r="F72" i="27"/>
  <c r="E72" i="27"/>
  <c r="AI71" i="27"/>
  <c r="AI73" i="27" s="1"/>
  <c r="AH71" i="27"/>
  <c r="AG71" i="27"/>
  <c r="AF71" i="27"/>
  <c r="AF73" i="27" s="1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AI70" i="27"/>
  <c r="AH70" i="27"/>
  <c r="AG70" i="27"/>
  <c r="AF70" i="27"/>
  <c r="AE70" i="27"/>
  <c r="AD70" i="27"/>
  <c r="AC70" i="27"/>
  <c r="AB70" i="27"/>
  <c r="AA70" i="27"/>
  <c r="Z70" i="27"/>
  <c r="Y70" i="27"/>
  <c r="X70" i="27"/>
  <c r="W70" i="27"/>
  <c r="V70" i="27"/>
  <c r="U70" i="27"/>
  <c r="T70" i="27"/>
  <c r="S70" i="27"/>
  <c r="R70" i="27"/>
  <c r="Q70" i="27"/>
  <c r="P70" i="27"/>
  <c r="O70" i="27"/>
  <c r="N70" i="27"/>
  <c r="M70" i="27"/>
  <c r="L70" i="27"/>
  <c r="K70" i="27"/>
  <c r="J70" i="27"/>
  <c r="I70" i="27"/>
  <c r="H70" i="27"/>
  <c r="G70" i="27"/>
  <c r="F70" i="27"/>
  <c r="AJ70" i="27" s="1"/>
  <c r="E70" i="27"/>
  <c r="AI69" i="27"/>
  <c r="AH69" i="27"/>
  <c r="AG69" i="27"/>
  <c r="AF69" i="27"/>
  <c r="AE69" i="27"/>
  <c r="AD69" i="27"/>
  <c r="AC69" i="27"/>
  <c r="AB69" i="27"/>
  <c r="AA69" i="27"/>
  <c r="Z69" i="27"/>
  <c r="Y69" i="27"/>
  <c r="X69" i="27"/>
  <c r="W69" i="27"/>
  <c r="V69" i="27"/>
  <c r="U69" i="27"/>
  <c r="T69" i="27"/>
  <c r="S69" i="27"/>
  <c r="R69" i="27"/>
  <c r="Q69" i="27"/>
  <c r="P69" i="27"/>
  <c r="O69" i="27"/>
  <c r="N69" i="27"/>
  <c r="M69" i="27"/>
  <c r="L69" i="27"/>
  <c r="K69" i="27"/>
  <c r="J69" i="27"/>
  <c r="I69" i="27"/>
  <c r="H69" i="27"/>
  <c r="G69" i="27"/>
  <c r="F69" i="27"/>
  <c r="E69" i="27"/>
  <c r="AI68" i="27"/>
  <c r="AH68" i="27"/>
  <c r="AG68" i="27"/>
  <c r="AF68" i="27"/>
  <c r="AF74" i="27" s="1"/>
  <c r="AE68" i="27"/>
  <c r="AD68" i="27"/>
  <c r="AC68" i="27"/>
  <c r="AB68" i="27"/>
  <c r="AA68" i="27"/>
  <c r="Z68" i="27"/>
  <c r="Y68" i="27"/>
  <c r="X68" i="27"/>
  <c r="X74" i="27" s="1"/>
  <c r="W68" i="27"/>
  <c r="V68" i="27"/>
  <c r="V74" i="27" s="1"/>
  <c r="U68" i="27"/>
  <c r="T68" i="27"/>
  <c r="S68" i="27"/>
  <c r="R68" i="27"/>
  <c r="Q68" i="27"/>
  <c r="P68" i="27"/>
  <c r="O68" i="27"/>
  <c r="N68" i="27"/>
  <c r="M68" i="27"/>
  <c r="L68" i="27"/>
  <c r="K68" i="27"/>
  <c r="J68" i="27"/>
  <c r="J74" i="27" s="1"/>
  <c r="I68" i="27"/>
  <c r="H68" i="27"/>
  <c r="G68" i="27"/>
  <c r="F68" i="27"/>
  <c r="E68" i="27"/>
  <c r="AI67" i="27"/>
  <c r="AH67" i="27"/>
  <c r="AG67" i="27"/>
  <c r="AF67" i="27"/>
  <c r="AE67" i="27"/>
  <c r="AD67" i="27"/>
  <c r="AC67" i="27"/>
  <c r="AB67" i="27"/>
  <c r="AB73" i="27" s="1"/>
  <c r="AA67" i="27"/>
  <c r="Z67" i="27"/>
  <c r="Z73" i="27" s="1"/>
  <c r="Y67" i="27"/>
  <c r="Y73" i="27" s="1"/>
  <c r="X67" i="27"/>
  <c r="W67" i="27"/>
  <c r="V67" i="27"/>
  <c r="U67" i="27"/>
  <c r="T67" i="27"/>
  <c r="S67" i="27"/>
  <c r="R67" i="27"/>
  <c r="Q67" i="27"/>
  <c r="P67" i="27"/>
  <c r="O67" i="27"/>
  <c r="N67" i="27"/>
  <c r="N73" i="27" s="1"/>
  <c r="M67" i="27"/>
  <c r="L67" i="27"/>
  <c r="K67" i="27"/>
  <c r="J67" i="27"/>
  <c r="I67" i="27"/>
  <c r="H67" i="27"/>
  <c r="AJ67" i="27" s="1"/>
  <c r="G67" i="27"/>
  <c r="F67" i="27"/>
  <c r="E67" i="27"/>
  <c r="AI66" i="27"/>
  <c r="AH66" i="27"/>
  <c r="AG66" i="27"/>
  <c r="AF66" i="27"/>
  <c r="AE66" i="27"/>
  <c r="AE74" i="27" s="1"/>
  <c r="AD66" i="27"/>
  <c r="AC66" i="27"/>
  <c r="AC74" i="27" s="1"/>
  <c r="AB66" i="27"/>
  <c r="AA66" i="27"/>
  <c r="Z66" i="27"/>
  <c r="Z74" i="27" s="1"/>
  <c r="Y66" i="27"/>
  <c r="Y74" i="27" s="1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L74" i="27" s="1"/>
  <c r="K66" i="27"/>
  <c r="J66" i="27"/>
  <c r="I66" i="27"/>
  <c r="H66" i="27"/>
  <c r="G66" i="27"/>
  <c r="G74" i="27" s="1"/>
  <c r="F66" i="27"/>
  <c r="E66" i="27"/>
  <c r="AI65" i="27"/>
  <c r="AH65" i="27"/>
  <c r="AG65" i="27"/>
  <c r="AF65" i="27"/>
  <c r="AE65" i="27"/>
  <c r="AD65" i="27"/>
  <c r="AC65" i="27"/>
  <c r="AB65" i="27"/>
  <c r="AA65" i="27"/>
  <c r="AA73" i="27" s="1"/>
  <c r="Z65" i="27"/>
  <c r="Y65" i="27"/>
  <c r="X65" i="27"/>
  <c r="W65" i="27"/>
  <c r="V65" i="27"/>
  <c r="U65" i="27"/>
  <c r="U73" i="27" s="1"/>
  <c r="T65" i="27"/>
  <c r="S65" i="27"/>
  <c r="R65" i="27"/>
  <c r="Q65" i="27"/>
  <c r="P65" i="27"/>
  <c r="P73" i="27" s="1"/>
  <c r="O65" i="27"/>
  <c r="N65" i="27"/>
  <c r="M65" i="27"/>
  <c r="L65" i="27"/>
  <c r="K65" i="27"/>
  <c r="J65" i="27"/>
  <c r="I65" i="27"/>
  <c r="H65" i="27"/>
  <c r="G65" i="27"/>
  <c r="F65" i="27"/>
  <c r="E65" i="27"/>
  <c r="W62" i="27"/>
  <c r="AF60" i="27"/>
  <c r="AF62" i="27" s="1"/>
  <c r="J60" i="27"/>
  <c r="J62" i="27" s="1"/>
  <c r="I60" i="27"/>
  <c r="I62" i="27" s="1"/>
  <c r="AI59" i="27"/>
  <c r="AH59" i="27"/>
  <c r="AG59" i="27"/>
  <c r="AF59" i="27"/>
  <c r="AE59" i="27"/>
  <c r="AD59" i="27"/>
  <c r="AC59" i="27"/>
  <c r="AB59" i="27"/>
  <c r="AA59" i="27"/>
  <c r="Z59" i="27"/>
  <c r="Y59" i="27"/>
  <c r="X59" i="27"/>
  <c r="W59" i="27"/>
  <c r="V59" i="27"/>
  <c r="U59" i="27"/>
  <c r="T59" i="27"/>
  <c r="S59" i="27"/>
  <c r="R59" i="27"/>
  <c r="Q59" i="27"/>
  <c r="P59" i="27"/>
  <c r="O59" i="27"/>
  <c r="N59" i="27"/>
  <c r="M59" i="27"/>
  <c r="L59" i="27"/>
  <c r="K59" i="27"/>
  <c r="J59" i="27"/>
  <c r="I59" i="27"/>
  <c r="H59" i="27"/>
  <c r="G59" i="27"/>
  <c r="F59" i="27"/>
  <c r="E59" i="27"/>
  <c r="AI58" i="27"/>
  <c r="AH58" i="27"/>
  <c r="AG58" i="27"/>
  <c r="AG60" i="27" s="1"/>
  <c r="AG62" i="27" s="1"/>
  <c r="AF58" i="27"/>
  <c r="AE58" i="27"/>
  <c r="AD58" i="27"/>
  <c r="AC58" i="27"/>
  <c r="AB58" i="27"/>
  <c r="AA58" i="27"/>
  <c r="Z58" i="27"/>
  <c r="Y58" i="27"/>
  <c r="X58" i="27"/>
  <c r="W58" i="27"/>
  <c r="V58" i="27"/>
  <c r="U58" i="27"/>
  <c r="T58" i="27"/>
  <c r="S58" i="27"/>
  <c r="S60" i="27" s="1"/>
  <c r="S62" i="27" s="1"/>
  <c r="R58" i="27"/>
  <c r="Q58" i="27"/>
  <c r="P58" i="27"/>
  <c r="O58" i="27"/>
  <c r="N58" i="27"/>
  <c r="M58" i="27"/>
  <c r="L58" i="27"/>
  <c r="K58" i="27"/>
  <c r="J58" i="27"/>
  <c r="I58" i="27"/>
  <c r="H58" i="27"/>
  <c r="G58" i="27"/>
  <c r="F58" i="27"/>
  <c r="E58" i="27"/>
  <c r="AI57" i="27"/>
  <c r="AH57" i="27"/>
  <c r="AG57" i="27"/>
  <c r="AF57" i="27"/>
  <c r="AE57" i="27"/>
  <c r="AD57" i="27"/>
  <c r="AC57" i="27"/>
  <c r="AB57" i="27"/>
  <c r="AA57" i="27"/>
  <c r="Z57" i="27"/>
  <c r="Y57" i="27"/>
  <c r="X57" i="27"/>
  <c r="W57" i="27"/>
  <c r="V57" i="27"/>
  <c r="U57" i="27"/>
  <c r="T57" i="27"/>
  <c r="S57" i="27"/>
  <c r="R57" i="27"/>
  <c r="Q57" i="27"/>
  <c r="P57" i="27"/>
  <c r="O57" i="27"/>
  <c r="N57" i="27"/>
  <c r="M57" i="27"/>
  <c r="L57" i="27"/>
  <c r="K57" i="27"/>
  <c r="J57" i="27"/>
  <c r="I57" i="27"/>
  <c r="H57" i="27"/>
  <c r="G57" i="27"/>
  <c r="AJ57" i="27" s="1"/>
  <c r="F57" i="27"/>
  <c r="E57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T60" i="27" s="1"/>
  <c r="T62" i="27" s="1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AI55" i="27"/>
  <c r="AH55" i="27"/>
  <c r="AG55" i="27"/>
  <c r="AG61" i="27" s="1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S61" i="27" s="1"/>
  <c r="R55" i="27"/>
  <c r="Q55" i="27"/>
  <c r="P55" i="27"/>
  <c r="O55" i="27"/>
  <c r="O61" i="27" s="1"/>
  <c r="N55" i="27"/>
  <c r="M55" i="27"/>
  <c r="L55" i="27"/>
  <c r="K55" i="27"/>
  <c r="J55" i="27"/>
  <c r="I55" i="27"/>
  <c r="H55" i="27"/>
  <c r="G55" i="27"/>
  <c r="F55" i="27"/>
  <c r="E55" i="27"/>
  <c r="AJ55" i="27" s="1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W60" i="27" s="1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AJ53" i="27" s="1"/>
  <c r="G53" i="27"/>
  <c r="F53" i="27"/>
  <c r="E53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AJ51" i="27" s="1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M61" i="27" s="1"/>
  <c r="L49" i="27"/>
  <c r="K49" i="27"/>
  <c r="K61" i="27" s="1"/>
  <c r="J49" i="27"/>
  <c r="I49" i="27"/>
  <c r="H49" i="27"/>
  <c r="G49" i="27"/>
  <c r="F49" i="27"/>
  <c r="E49" i="27"/>
  <c r="AI48" i="27"/>
  <c r="AH48" i="27"/>
  <c r="AG48" i="27"/>
  <c r="AF48" i="27"/>
  <c r="AE48" i="27"/>
  <c r="AD48" i="27"/>
  <c r="AC48" i="27"/>
  <c r="AB48" i="27"/>
  <c r="AA48" i="27"/>
  <c r="AA60" i="27" s="1"/>
  <c r="AA62" i="27" s="1"/>
  <c r="Z48" i="27"/>
  <c r="Y48" i="27"/>
  <c r="X48" i="27"/>
  <c r="W48" i="27"/>
  <c r="V48" i="27"/>
  <c r="U48" i="27"/>
  <c r="T48" i="27"/>
  <c r="S48" i="27"/>
  <c r="R48" i="27"/>
  <c r="Q48" i="27"/>
  <c r="P48" i="27"/>
  <c r="O48" i="27"/>
  <c r="N48" i="27"/>
  <c r="M48" i="27"/>
  <c r="L48" i="27"/>
  <c r="K48" i="27"/>
  <c r="J48" i="27"/>
  <c r="I48" i="27"/>
  <c r="H48" i="27"/>
  <c r="G48" i="27"/>
  <c r="F48" i="27"/>
  <c r="E48" i="27"/>
  <c r="AI47" i="27"/>
  <c r="AH47" i="27"/>
  <c r="AG47" i="27"/>
  <c r="AF47" i="27"/>
  <c r="AF61" i="27" s="1"/>
  <c r="AE47" i="27"/>
  <c r="AE61" i="27" s="1"/>
  <c r="AD47" i="27"/>
  <c r="AC47" i="27"/>
  <c r="AB47" i="27"/>
  <c r="AA47" i="27"/>
  <c r="Z47" i="27"/>
  <c r="Y47" i="27"/>
  <c r="X47" i="27"/>
  <c r="W47" i="27"/>
  <c r="V47" i="27"/>
  <c r="U47" i="27"/>
  <c r="T47" i="27"/>
  <c r="S47" i="27"/>
  <c r="R47" i="27"/>
  <c r="Q47" i="27"/>
  <c r="Q61" i="27" s="1"/>
  <c r="P47" i="27"/>
  <c r="P61" i="27" s="1"/>
  <c r="O47" i="27"/>
  <c r="N47" i="27"/>
  <c r="M47" i="27"/>
  <c r="L47" i="27"/>
  <c r="K47" i="27"/>
  <c r="J47" i="27"/>
  <c r="I47" i="27"/>
  <c r="H47" i="27"/>
  <c r="G47" i="27"/>
  <c r="F47" i="27"/>
  <c r="E47" i="27"/>
  <c r="AI46" i="27"/>
  <c r="AH46" i="27"/>
  <c r="AH60" i="27" s="1"/>
  <c r="AH62" i="27" s="1"/>
  <c r="AG46" i="27"/>
  <c r="AF46" i="27"/>
  <c r="AE46" i="27"/>
  <c r="AD46" i="27"/>
  <c r="AC46" i="27"/>
  <c r="AB46" i="27"/>
  <c r="AA46" i="27"/>
  <c r="Z46" i="27"/>
  <c r="Y46" i="27"/>
  <c r="X46" i="27"/>
  <c r="W46" i="27"/>
  <c r="V46" i="27"/>
  <c r="U46" i="27"/>
  <c r="T46" i="27"/>
  <c r="S46" i="27"/>
  <c r="R46" i="27"/>
  <c r="O46" i="27"/>
  <c r="N46" i="27"/>
  <c r="M46" i="27"/>
  <c r="L46" i="27"/>
  <c r="K46" i="27"/>
  <c r="J46" i="27"/>
  <c r="I46" i="27"/>
  <c r="H46" i="27"/>
  <c r="H60" i="27" s="1"/>
  <c r="H62" i="27" s="1"/>
  <c r="G46" i="27"/>
  <c r="F46" i="27"/>
  <c r="E46" i="27"/>
  <c r="AI45" i="27"/>
  <c r="AH45" i="27"/>
  <c r="AG45" i="27"/>
  <c r="AF45" i="27"/>
  <c r="AE45" i="27"/>
  <c r="AD45" i="27"/>
  <c r="AC45" i="27"/>
  <c r="AB45" i="27"/>
  <c r="AA45" i="27"/>
  <c r="Z45" i="27"/>
  <c r="Z61" i="27" s="1"/>
  <c r="Y45" i="27"/>
  <c r="X45" i="27"/>
  <c r="W45" i="27"/>
  <c r="W61" i="27" s="1"/>
  <c r="V45" i="27"/>
  <c r="V61" i="27" s="1"/>
  <c r="U45" i="27"/>
  <c r="T45" i="27"/>
  <c r="S45" i="27"/>
  <c r="R45" i="27"/>
  <c r="Q45" i="27"/>
  <c r="P45" i="27"/>
  <c r="O45" i="27"/>
  <c r="N45" i="27"/>
  <c r="M45" i="27"/>
  <c r="L45" i="27"/>
  <c r="L61" i="27" s="1"/>
  <c r="K45" i="27"/>
  <c r="J45" i="27"/>
  <c r="I45" i="27"/>
  <c r="I61" i="27" s="1"/>
  <c r="H45" i="27"/>
  <c r="H61" i="27" s="1"/>
  <c r="G45" i="27"/>
  <c r="F45" i="27"/>
  <c r="E45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AI42" i="27"/>
  <c r="AH42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AJ35" i="27"/>
  <c r="AJ34" i="27"/>
  <c r="AJ33" i="27"/>
  <c r="AJ32" i="27"/>
  <c r="AJ30" i="27"/>
  <c r="AJ29" i="27"/>
  <c r="AJ28" i="27"/>
  <c r="AJ27" i="27"/>
  <c r="AJ26" i="27"/>
  <c r="AJ25" i="27"/>
  <c r="AJ24" i="27"/>
  <c r="AJ23" i="27"/>
  <c r="AJ21" i="27"/>
  <c r="AJ20" i="27"/>
  <c r="AJ19" i="27"/>
  <c r="AJ18" i="27"/>
  <c r="AJ17" i="27"/>
  <c r="AJ16" i="27"/>
  <c r="AJ15" i="27"/>
  <c r="AJ14" i="27"/>
  <c r="AJ13" i="27"/>
  <c r="AJ12" i="27"/>
  <c r="AJ11" i="27"/>
  <c r="AJ10" i="27"/>
  <c r="AJ9" i="27"/>
  <c r="AJ8" i="27"/>
  <c r="AJ7" i="27"/>
  <c r="AJ6" i="27"/>
  <c r="AF79" i="26"/>
  <c r="R79" i="26"/>
  <c r="F79" i="26"/>
  <c r="E79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V79" i="26" s="1"/>
  <c r="U78" i="26"/>
  <c r="U79" i="26" s="1"/>
  <c r="T78" i="26"/>
  <c r="T79" i="26" s="1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G79" i="26" s="1"/>
  <c r="F78" i="26"/>
  <c r="E78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W79" i="26" s="1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I79" i="26" s="1"/>
  <c r="H77" i="26"/>
  <c r="G77" i="26"/>
  <c r="F77" i="26"/>
  <c r="E77" i="26"/>
  <c r="AH76" i="26"/>
  <c r="AG76" i="26"/>
  <c r="AF76" i="26"/>
  <c r="AE76" i="26"/>
  <c r="AD76" i="26"/>
  <c r="AC76" i="26"/>
  <c r="AB76" i="26"/>
  <c r="AA76" i="26"/>
  <c r="AA79" i="26" s="1"/>
  <c r="Z76" i="26"/>
  <c r="Z79" i="26" s="1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M79" i="26" s="1"/>
  <c r="L76" i="26"/>
  <c r="K76" i="26"/>
  <c r="J76" i="26"/>
  <c r="I76" i="26"/>
  <c r="H76" i="26"/>
  <c r="H79" i="26" s="1"/>
  <c r="G76" i="26"/>
  <c r="F76" i="26"/>
  <c r="E76" i="26"/>
  <c r="AH75" i="26"/>
  <c r="AG75" i="26"/>
  <c r="AG79" i="26" s="1"/>
  <c r="AF75" i="26"/>
  <c r="AE75" i="26"/>
  <c r="AE79" i="26" s="1"/>
  <c r="AD75" i="26"/>
  <c r="AD79" i="26" s="1"/>
  <c r="AC75" i="26"/>
  <c r="AC79" i="26" s="1"/>
  <c r="AB75" i="26"/>
  <c r="AA75" i="26"/>
  <c r="Z75" i="26"/>
  <c r="Y75" i="26"/>
  <c r="X75" i="26"/>
  <c r="X79" i="26" s="1"/>
  <c r="W75" i="26"/>
  <c r="V75" i="26"/>
  <c r="U75" i="26"/>
  <c r="T75" i="26"/>
  <c r="S75" i="26"/>
  <c r="S79" i="26" s="1"/>
  <c r="R75" i="26"/>
  <c r="Q75" i="26"/>
  <c r="Q79" i="26" s="1"/>
  <c r="P75" i="26"/>
  <c r="P79" i="26" s="1"/>
  <c r="O75" i="26"/>
  <c r="O79" i="26" s="1"/>
  <c r="N75" i="26"/>
  <c r="M75" i="26"/>
  <c r="L75" i="26"/>
  <c r="K75" i="26"/>
  <c r="J75" i="26"/>
  <c r="I75" i="26"/>
  <c r="H75" i="26"/>
  <c r="G75" i="26"/>
  <c r="F75" i="26"/>
  <c r="E75" i="26"/>
  <c r="AH74" i="26"/>
  <c r="AG74" i="26"/>
  <c r="AF74" i="26"/>
  <c r="AE74" i="26"/>
  <c r="T74" i="26"/>
  <c r="R74" i="26"/>
  <c r="Q74" i="26"/>
  <c r="AC73" i="26"/>
  <c r="AB73" i="26"/>
  <c r="O73" i="26"/>
  <c r="L73" i="26"/>
  <c r="AH72" i="26"/>
  <c r="AG72" i="26"/>
  <c r="AF72" i="26"/>
  <c r="AE72" i="26"/>
  <c r="AD72" i="26"/>
  <c r="AC72" i="26"/>
  <c r="AC74" i="26" s="1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O74" i="26" s="1"/>
  <c r="N72" i="26"/>
  <c r="N74" i="26" s="1"/>
  <c r="M72" i="26"/>
  <c r="L72" i="26"/>
  <c r="K72" i="26"/>
  <c r="J72" i="26"/>
  <c r="I72" i="26"/>
  <c r="H72" i="26"/>
  <c r="G72" i="26"/>
  <c r="F72" i="26"/>
  <c r="E72" i="26"/>
  <c r="AH71" i="26"/>
  <c r="AG71" i="26"/>
  <c r="AF71" i="26"/>
  <c r="AE71" i="26"/>
  <c r="AE73" i="26" s="1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R73" i="26" s="1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AH70" i="26"/>
  <c r="AG70" i="26"/>
  <c r="AF70" i="26"/>
  <c r="AE70" i="26"/>
  <c r="AD70" i="26"/>
  <c r="AC70" i="26"/>
  <c r="AB70" i="26"/>
  <c r="AA70" i="26"/>
  <c r="Z70" i="26"/>
  <c r="Y70" i="26"/>
  <c r="X70" i="26"/>
  <c r="W70" i="26"/>
  <c r="V70" i="26"/>
  <c r="U70" i="26"/>
  <c r="T70" i="26"/>
  <c r="S70" i="26"/>
  <c r="R70" i="26"/>
  <c r="Q70" i="26"/>
  <c r="P70" i="26"/>
  <c r="O70" i="26"/>
  <c r="N70" i="26"/>
  <c r="M70" i="26"/>
  <c r="L70" i="26"/>
  <c r="K70" i="26"/>
  <c r="J70" i="26"/>
  <c r="I70" i="26"/>
  <c r="H70" i="26"/>
  <c r="G70" i="26"/>
  <c r="AJ70" i="26" s="1"/>
  <c r="F70" i="26"/>
  <c r="E70" i="26"/>
  <c r="AH69" i="26"/>
  <c r="AG69" i="26"/>
  <c r="AF69" i="26"/>
  <c r="AE69" i="26"/>
  <c r="AD69" i="26"/>
  <c r="AC69" i="26"/>
  <c r="AB69" i="26"/>
  <c r="AA69" i="26"/>
  <c r="Z69" i="26"/>
  <c r="Y69" i="26"/>
  <c r="X69" i="26"/>
  <c r="W69" i="26"/>
  <c r="V69" i="26"/>
  <c r="U69" i="26"/>
  <c r="T69" i="26"/>
  <c r="S69" i="26"/>
  <c r="R69" i="26"/>
  <c r="Q69" i="26"/>
  <c r="P69" i="26"/>
  <c r="O69" i="26"/>
  <c r="N69" i="26"/>
  <c r="M69" i="26"/>
  <c r="L69" i="26"/>
  <c r="K69" i="26"/>
  <c r="J69" i="26"/>
  <c r="I69" i="26"/>
  <c r="H69" i="26"/>
  <c r="G69" i="26"/>
  <c r="AJ69" i="26" s="1"/>
  <c r="F69" i="26"/>
  <c r="E69" i="26"/>
  <c r="AH68" i="26"/>
  <c r="AG68" i="26"/>
  <c r="AF68" i="26"/>
  <c r="AE68" i="26"/>
  <c r="AD68" i="26"/>
  <c r="AC68" i="26"/>
  <c r="AB68" i="26"/>
  <c r="AA68" i="26"/>
  <c r="Z68" i="26"/>
  <c r="Z74" i="26" s="1"/>
  <c r="Y68" i="26"/>
  <c r="X68" i="26"/>
  <c r="W68" i="26"/>
  <c r="V68" i="26"/>
  <c r="U68" i="26"/>
  <c r="T68" i="26"/>
  <c r="S68" i="26"/>
  <c r="S74" i="26" s="1"/>
  <c r="R68" i="26"/>
  <c r="Q68" i="26"/>
  <c r="P68" i="26"/>
  <c r="O68" i="26"/>
  <c r="N68" i="26"/>
  <c r="M68" i="26"/>
  <c r="L68" i="26"/>
  <c r="L74" i="26" s="1"/>
  <c r="K68" i="26"/>
  <c r="J68" i="26"/>
  <c r="I68" i="26"/>
  <c r="H68" i="26"/>
  <c r="G68" i="26"/>
  <c r="F68" i="26"/>
  <c r="E68" i="26"/>
  <c r="AH67" i="26"/>
  <c r="AG67" i="26"/>
  <c r="AF67" i="26"/>
  <c r="AE67" i="26"/>
  <c r="AD67" i="26"/>
  <c r="AC67" i="26"/>
  <c r="AB67" i="26"/>
  <c r="AA67" i="26"/>
  <c r="Z67" i="26"/>
  <c r="Y67" i="26"/>
  <c r="X67" i="26"/>
  <c r="W67" i="26"/>
  <c r="V67" i="26"/>
  <c r="V73" i="26" s="1"/>
  <c r="U67" i="26"/>
  <c r="T67" i="26"/>
  <c r="T73" i="26" s="1"/>
  <c r="S67" i="26"/>
  <c r="R67" i="26"/>
  <c r="Q67" i="26"/>
  <c r="P67" i="26"/>
  <c r="O67" i="26"/>
  <c r="N67" i="26"/>
  <c r="M67" i="26"/>
  <c r="L67" i="26"/>
  <c r="K67" i="26"/>
  <c r="J67" i="26"/>
  <c r="I67" i="26"/>
  <c r="H67" i="26"/>
  <c r="H73" i="26" s="1"/>
  <c r="G67" i="26"/>
  <c r="F67" i="26"/>
  <c r="AJ67" i="26" s="1"/>
  <c r="E67" i="26"/>
  <c r="AH66" i="26"/>
  <c r="AG66" i="26"/>
  <c r="AF66" i="26"/>
  <c r="AE66" i="26"/>
  <c r="AD66" i="26"/>
  <c r="AC66" i="26"/>
  <c r="AB66" i="26"/>
  <c r="AB74" i="26" s="1"/>
  <c r="AA66" i="26"/>
  <c r="Z66" i="26"/>
  <c r="Y66" i="26"/>
  <c r="Y74" i="26" s="1"/>
  <c r="X66" i="26"/>
  <c r="X74" i="26" s="1"/>
  <c r="W66" i="26"/>
  <c r="V66" i="26"/>
  <c r="U66" i="26"/>
  <c r="T66" i="26"/>
  <c r="S66" i="26"/>
  <c r="R66" i="26"/>
  <c r="Q66" i="26"/>
  <c r="P66" i="26"/>
  <c r="O66" i="26"/>
  <c r="N66" i="26"/>
  <c r="M66" i="26"/>
  <c r="M74" i="26" s="1"/>
  <c r="L66" i="26"/>
  <c r="K66" i="26"/>
  <c r="K74" i="26" s="1"/>
  <c r="J66" i="26"/>
  <c r="J74" i="26" s="1"/>
  <c r="I66" i="26"/>
  <c r="H66" i="26"/>
  <c r="G66" i="26"/>
  <c r="F66" i="26"/>
  <c r="F74" i="26" s="1"/>
  <c r="E66" i="26"/>
  <c r="AH65" i="26"/>
  <c r="AH73" i="26" s="1"/>
  <c r="AG65" i="26"/>
  <c r="AF65" i="26"/>
  <c r="AE65" i="26"/>
  <c r="AD65" i="26"/>
  <c r="AD73" i="26" s="1"/>
  <c r="AC65" i="26"/>
  <c r="AB65" i="26"/>
  <c r="AA65" i="26"/>
  <c r="AA73" i="26" s="1"/>
  <c r="Z65" i="26"/>
  <c r="Z73" i="26" s="1"/>
  <c r="Y65" i="26"/>
  <c r="X65" i="26"/>
  <c r="W65" i="26"/>
  <c r="V65" i="26"/>
  <c r="U65" i="26"/>
  <c r="U73" i="26" s="1"/>
  <c r="T65" i="26"/>
  <c r="S65" i="26"/>
  <c r="R65" i="26"/>
  <c r="Q65" i="26"/>
  <c r="P65" i="26"/>
  <c r="P73" i="26" s="1"/>
  <c r="O65" i="26"/>
  <c r="N65" i="26"/>
  <c r="N73" i="26" s="1"/>
  <c r="M65" i="26"/>
  <c r="M73" i="26" s="1"/>
  <c r="L65" i="26"/>
  <c r="K65" i="26"/>
  <c r="J65" i="26"/>
  <c r="I65" i="26"/>
  <c r="H65" i="26"/>
  <c r="G65" i="26"/>
  <c r="G73" i="26" s="1"/>
  <c r="F65" i="26"/>
  <c r="F73" i="26" s="1"/>
  <c r="E65" i="26"/>
  <c r="AG62" i="26"/>
  <c r="AH61" i="26"/>
  <c r="AG60" i="26"/>
  <c r="AC60" i="26"/>
  <c r="AC62" i="26" s="1"/>
  <c r="AB60" i="26"/>
  <c r="AB62" i="26" s="1"/>
  <c r="T60" i="26"/>
  <c r="T62" i="26" s="1"/>
  <c r="O60" i="26"/>
  <c r="O62" i="26" s="1"/>
  <c r="AH59" i="26"/>
  <c r="AG59" i="26"/>
  <c r="AF59" i="26"/>
  <c r="AF61" i="26" s="1"/>
  <c r="AE59" i="26"/>
  <c r="AD59" i="26"/>
  <c r="AD61" i="26" s="1"/>
  <c r="AC59" i="26"/>
  <c r="AB59" i="26"/>
  <c r="AA59" i="26"/>
  <c r="Z59" i="26"/>
  <c r="Y59" i="26"/>
  <c r="X59" i="26"/>
  <c r="W59" i="26"/>
  <c r="V59" i="26"/>
  <c r="U59" i="26"/>
  <c r="T59" i="26"/>
  <c r="S59" i="26"/>
  <c r="R59" i="26"/>
  <c r="Q59" i="26"/>
  <c r="P59" i="26"/>
  <c r="P61" i="26" s="1"/>
  <c r="O59" i="26"/>
  <c r="N59" i="26"/>
  <c r="M59" i="26"/>
  <c r="L59" i="26"/>
  <c r="K59" i="26"/>
  <c r="J59" i="26"/>
  <c r="I59" i="26"/>
  <c r="H59" i="26"/>
  <c r="G59" i="26"/>
  <c r="F59" i="26"/>
  <c r="E59" i="26"/>
  <c r="AH58" i="26"/>
  <c r="AG58" i="26"/>
  <c r="AF58" i="26"/>
  <c r="AE58" i="26"/>
  <c r="AD58" i="26"/>
  <c r="AC58" i="26"/>
  <c r="AB58" i="26"/>
  <c r="AA58" i="26"/>
  <c r="Z58" i="26"/>
  <c r="Y58" i="26"/>
  <c r="X58" i="26"/>
  <c r="W58" i="26"/>
  <c r="V58" i="26"/>
  <c r="U58" i="26"/>
  <c r="U60" i="26" s="1"/>
  <c r="U62" i="26" s="1"/>
  <c r="T58" i="26"/>
  <c r="S58" i="26"/>
  <c r="S60" i="26" s="1"/>
  <c r="S62" i="26" s="1"/>
  <c r="R58" i="26"/>
  <c r="Q58" i="26"/>
  <c r="P58" i="26"/>
  <c r="O58" i="26"/>
  <c r="N58" i="26"/>
  <c r="M58" i="26"/>
  <c r="L58" i="26"/>
  <c r="K58" i="26"/>
  <c r="J58" i="26"/>
  <c r="I58" i="26"/>
  <c r="H58" i="26"/>
  <c r="G58" i="26"/>
  <c r="G60" i="26" s="1"/>
  <c r="G62" i="26" s="1"/>
  <c r="F58" i="26"/>
  <c r="E58" i="26"/>
  <c r="E60" i="26" s="1"/>
  <c r="AH57" i="26"/>
  <c r="AG57" i="26"/>
  <c r="AF57" i="26"/>
  <c r="AE57" i="26"/>
  <c r="AD57" i="26"/>
  <c r="AC57" i="26"/>
  <c r="AB57" i="26"/>
  <c r="AA57" i="26"/>
  <c r="Z57" i="26"/>
  <c r="Y57" i="26"/>
  <c r="X57" i="26"/>
  <c r="W57" i="26"/>
  <c r="V57" i="26"/>
  <c r="U57" i="26"/>
  <c r="T57" i="26"/>
  <c r="S57" i="26"/>
  <c r="R57" i="26"/>
  <c r="Q57" i="26"/>
  <c r="P57" i="26"/>
  <c r="O57" i="26"/>
  <c r="N57" i="26"/>
  <c r="M57" i="26"/>
  <c r="L57" i="26"/>
  <c r="K57" i="26"/>
  <c r="J57" i="26"/>
  <c r="I57" i="26"/>
  <c r="H57" i="26"/>
  <c r="G57" i="26"/>
  <c r="F57" i="26"/>
  <c r="E57" i="26"/>
  <c r="AJ57" i="26" s="1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W60" i="26" s="1"/>
  <c r="W62" i="26" s="1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P60" i="26" s="1"/>
  <c r="P62" i="26" s="1"/>
  <c r="O54" i="26"/>
  <c r="N54" i="26"/>
  <c r="M54" i="26"/>
  <c r="L54" i="26"/>
  <c r="K54" i="26"/>
  <c r="J54" i="26"/>
  <c r="I54" i="26"/>
  <c r="H54" i="26"/>
  <c r="G54" i="26"/>
  <c r="F54" i="26"/>
  <c r="E54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AJ53" i="26" s="1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N60" i="26" s="1"/>
  <c r="N62" i="26" s="1"/>
  <c r="M52" i="26"/>
  <c r="L52" i="26"/>
  <c r="K52" i="26"/>
  <c r="J52" i="26"/>
  <c r="J60" i="26" s="1"/>
  <c r="J62" i="26" s="1"/>
  <c r="I52" i="26"/>
  <c r="H52" i="26"/>
  <c r="G52" i="26"/>
  <c r="F52" i="26"/>
  <c r="E52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AH50" i="26"/>
  <c r="AG50" i="26"/>
  <c r="AF50" i="26"/>
  <c r="AE50" i="26"/>
  <c r="AD50" i="26"/>
  <c r="AD60" i="26" s="1"/>
  <c r="AD62" i="26" s="1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S61" i="26" s="1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AH48" i="26"/>
  <c r="AG48" i="26"/>
  <c r="AF48" i="26"/>
  <c r="AE48" i="26"/>
  <c r="AD48" i="26"/>
  <c r="AC48" i="26"/>
  <c r="AB48" i="26"/>
  <c r="AA48" i="26"/>
  <c r="Z48" i="26"/>
  <c r="Y48" i="26"/>
  <c r="X48" i="26"/>
  <c r="W48" i="26"/>
  <c r="V48" i="26"/>
  <c r="U48" i="26"/>
  <c r="T48" i="26"/>
  <c r="S48" i="26"/>
  <c r="R48" i="26"/>
  <c r="Q48" i="26"/>
  <c r="P48" i="26"/>
  <c r="O48" i="26"/>
  <c r="N48" i="26"/>
  <c r="M48" i="26"/>
  <c r="L48" i="26"/>
  <c r="K48" i="26"/>
  <c r="J48" i="26"/>
  <c r="I48" i="26"/>
  <c r="H48" i="26"/>
  <c r="G48" i="26"/>
  <c r="F48" i="26"/>
  <c r="AJ48" i="26" s="1"/>
  <c r="E48" i="26"/>
  <c r="AH47" i="26"/>
  <c r="AG47" i="26"/>
  <c r="AF47" i="26"/>
  <c r="AE47" i="26"/>
  <c r="AD47" i="26"/>
  <c r="AC47" i="26"/>
  <c r="AB47" i="26"/>
  <c r="AA47" i="26"/>
  <c r="Z47" i="26"/>
  <c r="Y47" i="26"/>
  <c r="X47" i="26"/>
  <c r="X61" i="26" s="1"/>
  <c r="W47" i="26"/>
  <c r="V47" i="26"/>
  <c r="U47" i="26"/>
  <c r="T47" i="26"/>
  <c r="S47" i="26"/>
  <c r="R47" i="26"/>
  <c r="Q47" i="26"/>
  <c r="P47" i="26"/>
  <c r="O47" i="26"/>
  <c r="N47" i="26"/>
  <c r="M47" i="26"/>
  <c r="L47" i="26"/>
  <c r="K47" i="26"/>
  <c r="J47" i="26"/>
  <c r="I47" i="26"/>
  <c r="H47" i="26"/>
  <c r="G47" i="26"/>
  <c r="F47" i="26"/>
  <c r="E47" i="26"/>
  <c r="AH46" i="26"/>
  <c r="AG46" i="26"/>
  <c r="AF46" i="26"/>
  <c r="AE46" i="26"/>
  <c r="AD46" i="26"/>
  <c r="AC46" i="26"/>
  <c r="AB46" i="26"/>
  <c r="AA46" i="26"/>
  <c r="Z46" i="26"/>
  <c r="Y46" i="26"/>
  <c r="X46" i="26"/>
  <c r="W46" i="26"/>
  <c r="V46" i="26"/>
  <c r="U46" i="26"/>
  <c r="T46" i="26"/>
  <c r="S46" i="26"/>
  <c r="R46" i="26"/>
  <c r="O46" i="26"/>
  <c r="N46" i="26"/>
  <c r="M46" i="26"/>
  <c r="M60" i="26" s="1"/>
  <c r="M62" i="26" s="1"/>
  <c r="L46" i="26"/>
  <c r="I46" i="26"/>
  <c r="H46" i="26"/>
  <c r="G46" i="26"/>
  <c r="F46" i="26"/>
  <c r="E46" i="26"/>
  <c r="AH45" i="26"/>
  <c r="AG45" i="26"/>
  <c r="AF45" i="26"/>
  <c r="AE45" i="26"/>
  <c r="AE61" i="26" s="1"/>
  <c r="AD45" i="26"/>
  <c r="AC45" i="26"/>
  <c r="AC61" i="26" s="1"/>
  <c r="AB45" i="26"/>
  <c r="AA45" i="26"/>
  <c r="AA61" i="26" s="1"/>
  <c r="Z45" i="26"/>
  <c r="Y45" i="26"/>
  <c r="Y61" i="26" s="1"/>
  <c r="X45" i="26"/>
  <c r="W45" i="26"/>
  <c r="V45" i="26"/>
  <c r="U45" i="26"/>
  <c r="T45" i="26"/>
  <c r="S45" i="26"/>
  <c r="R45" i="26"/>
  <c r="R61" i="26" s="1"/>
  <c r="Q45" i="26"/>
  <c r="Q61" i="26" s="1"/>
  <c r="P45" i="26"/>
  <c r="O45" i="26"/>
  <c r="O61" i="26" s="1"/>
  <c r="N45" i="26"/>
  <c r="M45" i="26"/>
  <c r="M61" i="26" s="1"/>
  <c r="L45" i="26"/>
  <c r="L61" i="26" s="1"/>
  <c r="K45" i="26"/>
  <c r="K61" i="26" s="1"/>
  <c r="J45" i="26"/>
  <c r="J61" i="26" s="1"/>
  <c r="I45" i="26"/>
  <c r="H45" i="26"/>
  <c r="G45" i="26"/>
  <c r="F45" i="26"/>
  <c r="E45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AH42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AJ35" i="26"/>
  <c r="AJ34" i="26"/>
  <c r="AJ33" i="26"/>
  <c r="AJ32" i="26"/>
  <c r="AJ30" i="26"/>
  <c r="AJ29" i="26"/>
  <c r="AJ28" i="26"/>
  <c r="AJ27" i="26"/>
  <c r="AJ26" i="26"/>
  <c r="AJ25" i="26"/>
  <c r="AJ24" i="26"/>
  <c r="AJ23" i="26"/>
  <c r="AJ21" i="26"/>
  <c r="AJ20" i="26"/>
  <c r="AJ19" i="26"/>
  <c r="AJ18" i="26"/>
  <c r="AJ17" i="26"/>
  <c r="AJ16" i="26"/>
  <c r="AJ15" i="26"/>
  <c r="AJ14" i="26"/>
  <c r="AJ13" i="26"/>
  <c r="AJ12" i="26"/>
  <c r="AJ11" i="26"/>
  <c r="AJ10" i="26"/>
  <c r="AJ9" i="26"/>
  <c r="AJ8" i="26"/>
  <c r="AJ7" i="26"/>
  <c r="AJ6" i="26"/>
  <c r="AC79" i="25"/>
  <c r="Z79" i="25"/>
  <c r="J79" i="25"/>
  <c r="I79" i="25"/>
  <c r="H79" i="25"/>
  <c r="G79" i="25"/>
  <c r="AI78" i="25"/>
  <c r="AH78" i="25"/>
  <c r="AG78" i="25"/>
  <c r="AF78" i="25"/>
  <c r="AE78" i="25"/>
  <c r="AD78" i="25"/>
  <c r="AC78" i="25"/>
  <c r="AB78" i="25"/>
  <c r="AA78" i="25"/>
  <c r="Z78" i="25"/>
  <c r="Y78" i="25"/>
  <c r="Y79" i="25" s="1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K79" i="25" s="1"/>
  <c r="J78" i="25"/>
  <c r="I78" i="25"/>
  <c r="H78" i="25"/>
  <c r="AJ78" i="25" s="1"/>
  <c r="G78" i="25"/>
  <c r="F78" i="25"/>
  <c r="E78" i="25"/>
  <c r="AI77" i="25"/>
  <c r="AH77" i="25"/>
  <c r="AG77" i="25"/>
  <c r="AF77" i="25"/>
  <c r="AE77" i="25"/>
  <c r="AD77" i="25"/>
  <c r="AD79" i="25" s="1"/>
  <c r="AC77" i="25"/>
  <c r="AB77" i="25"/>
  <c r="AA77" i="25"/>
  <c r="Z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M79" i="25" s="1"/>
  <c r="L77" i="25"/>
  <c r="K77" i="25"/>
  <c r="J77" i="25"/>
  <c r="I77" i="25"/>
  <c r="H77" i="25"/>
  <c r="G77" i="25"/>
  <c r="F77" i="25"/>
  <c r="E77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O79" i="25" s="1"/>
  <c r="N76" i="25"/>
  <c r="M76" i="25"/>
  <c r="L76" i="25"/>
  <c r="K76" i="25"/>
  <c r="J76" i="25"/>
  <c r="I76" i="25"/>
  <c r="H76" i="25"/>
  <c r="G76" i="25"/>
  <c r="F76" i="25"/>
  <c r="E76" i="25"/>
  <c r="AI75" i="25"/>
  <c r="AI79" i="25" s="1"/>
  <c r="AH75" i="25"/>
  <c r="AG75" i="25"/>
  <c r="AG79" i="25" s="1"/>
  <c r="AF75" i="25"/>
  <c r="AF79" i="25" s="1"/>
  <c r="AE75" i="25"/>
  <c r="AE79" i="25" s="1"/>
  <c r="AD75" i="25"/>
  <c r="AC75" i="25"/>
  <c r="AB75" i="25"/>
  <c r="AA75" i="25"/>
  <c r="AA79" i="25" s="1"/>
  <c r="Z75" i="25"/>
  <c r="X75" i="25"/>
  <c r="X79" i="25" s="1"/>
  <c r="W75" i="25"/>
  <c r="W79" i="25" s="1"/>
  <c r="V75" i="25"/>
  <c r="V79" i="25" s="1"/>
  <c r="U75" i="25"/>
  <c r="U79" i="25" s="1"/>
  <c r="T75" i="25"/>
  <c r="T79" i="25" s="1"/>
  <c r="S75" i="25"/>
  <c r="R75" i="25"/>
  <c r="R79" i="25" s="1"/>
  <c r="Q75" i="25"/>
  <c r="Q79" i="25" s="1"/>
  <c r="P75" i="25"/>
  <c r="P79" i="25" s="1"/>
  <c r="O75" i="25"/>
  <c r="N75" i="25"/>
  <c r="M75" i="25"/>
  <c r="L75" i="25"/>
  <c r="L79" i="25" s="1"/>
  <c r="K75" i="25"/>
  <c r="J75" i="25"/>
  <c r="I75" i="25"/>
  <c r="H75" i="25"/>
  <c r="G75" i="25"/>
  <c r="F75" i="25"/>
  <c r="E75" i="25"/>
  <c r="E79" i="25" s="1"/>
  <c r="AC74" i="25"/>
  <c r="AA74" i="25"/>
  <c r="Z74" i="25"/>
  <c r="W74" i="25"/>
  <c r="N74" i="25"/>
  <c r="H74" i="25"/>
  <c r="AE73" i="25"/>
  <c r="AB73" i="25"/>
  <c r="AA73" i="25"/>
  <c r="Z73" i="25"/>
  <c r="Y73" i="25"/>
  <c r="Q73" i="25"/>
  <c r="O73" i="25"/>
  <c r="N73" i="25"/>
  <c r="L73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AI71" i="25"/>
  <c r="AH71" i="25"/>
  <c r="AG71" i="25"/>
  <c r="AF71" i="25"/>
  <c r="AE71" i="25"/>
  <c r="AD71" i="25"/>
  <c r="AC71" i="25"/>
  <c r="AB71" i="25"/>
  <c r="AA71" i="25"/>
  <c r="Z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AI70" i="25"/>
  <c r="AH70" i="25"/>
  <c r="AG70" i="25"/>
  <c r="AF70" i="25"/>
  <c r="AE70" i="25"/>
  <c r="AD70" i="25"/>
  <c r="AC70" i="25"/>
  <c r="AB70" i="25"/>
  <c r="AA70" i="25"/>
  <c r="Z70" i="25"/>
  <c r="Y70" i="25"/>
  <c r="Y74" i="25" s="1"/>
  <c r="X70" i="25"/>
  <c r="W70" i="25"/>
  <c r="V70" i="25"/>
  <c r="U70" i="25"/>
  <c r="T70" i="25"/>
  <c r="S70" i="25"/>
  <c r="R70" i="25"/>
  <c r="Q70" i="25"/>
  <c r="P70" i="25"/>
  <c r="O70" i="25"/>
  <c r="N70" i="25"/>
  <c r="M70" i="25"/>
  <c r="L70" i="25"/>
  <c r="K70" i="25"/>
  <c r="K74" i="25" s="1"/>
  <c r="J70" i="25"/>
  <c r="I70" i="25"/>
  <c r="H70" i="25"/>
  <c r="G70" i="25"/>
  <c r="F70" i="25"/>
  <c r="E70" i="25"/>
  <c r="AI69" i="25"/>
  <c r="AH69" i="25"/>
  <c r="AG69" i="25"/>
  <c r="AF69" i="25"/>
  <c r="AE69" i="25"/>
  <c r="AD69" i="25"/>
  <c r="AC69" i="25"/>
  <c r="AC73" i="25" s="1"/>
  <c r="AB69" i="25"/>
  <c r="AA69" i="25"/>
  <c r="Z69" i="25"/>
  <c r="Y69" i="25"/>
  <c r="X69" i="25"/>
  <c r="W69" i="25"/>
  <c r="V69" i="25"/>
  <c r="U69" i="25"/>
  <c r="T69" i="25"/>
  <c r="S69" i="25"/>
  <c r="R69" i="25"/>
  <c r="Q69" i="25"/>
  <c r="P69" i="25"/>
  <c r="O69" i="25"/>
  <c r="N69" i="25"/>
  <c r="M69" i="25"/>
  <c r="L69" i="25"/>
  <c r="K69" i="25"/>
  <c r="J69" i="25"/>
  <c r="I69" i="25"/>
  <c r="H69" i="25"/>
  <c r="G69" i="25"/>
  <c r="F69" i="25"/>
  <c r="E69" i="25"/>
  <c r="AI68" i="25"/>
  <c r="AI74" i="25" s="1"/>
  <c r="AH68" i="25"/>
  <c r="AG68" i="25"/>
  <c r="AF68" i="25"/>
  <c r="AE68" i="25"/>
  <c r="AD68" i="25"/>
  <c r="AC68" i="25"/>
  <c r="AB68" i="25"/>
  <c r="AA68" i="25"/>
  <c r="Z68" i="25"/>
  <c r="Y68" i="25"/>
  <c r="X68" i="25"/>
  <c r="X74" i="25" s="1"/>
  <c r="W68" i="25"/>
  <c r="V68" i="25"/>
  <c r="V74" i="25" s="1"/>
  <c r="U68" i="25"/>
  <c r="T68" i="25"/>
  <c r="S68" i="25"/>
  <c r="R68" i="25"/>
  <c r="Q68" i="25"/>
  <c r="P68" i="25"/>
  <c r="O68" i="25"/>
  <c r="N68" i="25"/>
  <c r="M68" i="25"/>
  <c r="L68" i="25"/>
  <c r="K68" i="25"/>
  <c r="J68" i="25"/>
  <c r="J74" i="25" s="1"/>
  <c r="I68" i="25"/>
  <c r="I74" i="25" s="1"/>
  <c r="H68" i="25"/>
  <c r="G68" i="25"/>
  <c r="F68" i="25"/>
  <c r="AJ68" i="25" s="1"/>
  <c r="E68" i="25"/>
  <c r="AI67" i="25"/>
  <c r="AH67" i="25"/>
  <c r="AG67" i="25"/>
  <c r="AF67" i="25"/>
  <c r="AE67" i="25"/>
  <c r="AD67" i="25"/>
  <c r="AC67" i="25"/>
  <c r="AB67" i="25"/>
  <c r="AA67" i="25"/>
  <c r="Z67" i="25"/>
  <c r="Y67" i="25"/>
  <c r="X67" i="25"/>
  <c r="W67" i="25"/>
  <c r="W73" i="25" s="1"/>
  <c r="V67" i="25"/>
  <c r="U67" i="25"/>
  <c r="T67" i="25"/>
  <c r="S67" i="25"/>
  <c r="R67" i="25"/>
  <c r="Q67" i="25"/>
  <c r="P67" i="25"/>
  <c r="O67" i="25"/>
  <c r="N67" i="25"/>
  <c r="M67" i="25"/>
  <c r="M73" i="25" s="1"/>
  <c r="L67" i="25"/>
  <c r="K67" i="25"/>
  <c r="K73" i="25" s="1"/>
  <c r="J67" i="25"/>
  <c r="I67" i="25"/>
  <c r="I73" i="25" s="1"/>
  <c r="H67" i="25"/>
  <c r="G67" i="25"/>
  <c r="AJ67" i="25" s="1"/>
  <c r="F67" i="25"/>
  <c r="E67" i="25"/>
  <c r="AI66" i="25"/>
  <c r="AH66" i="25"/>
  <c r="AG66" i="25"/>
  <c r="AF66" i="25"/>
  <c r="AE66" i="25"/>
  <c r="AD66" i="25"/>
  <c r="AC66" i="25"/>
  <c r="AB66" i="25"/>
  <c r="AB74" i="25" s="1"/>
  <c r="AA66" i="25"/>
  <c r="Z66" i="25"/>
  <c r="Y66" i="25"/>
  <c r="X66" i="25"/>
  <c r="W66" i="25"/>
  <c r="V66" i="25"/>
  <c r="U66" i="25"/>
  <c r="U74" i="25" s="1"/>
  <c r="T66" i="25"/>
  <c r="S66" i="25"/>
  <c r="R66" i="25"/>
  <c r="Q66" i="25"/>
  <c r="P66" i="25"/>
  <c r="O66" i="25"/>
  <c r="N66" i="25"/>
  <c r="M66" i="25"/>
  <c r="M74" i="25" s="1"/>
  <c r="L66" i="25"/>
  <c r="K66" i="25"/>
  <c r="J66" i="25"/>
  <c r="I66" i="25"/>
  <c r="H66" i="25"/>
  <c r="G66" i="25"/>
  <c r="G74" i="25" s="1"/>
  <c r="F66" i="25"/>
  <c r="E66" i="25"/>
  <c r="AI65" i="25"/>
  <c r="AH65" i="25"/>
  <c r="AG65" i="25"/>
  <c r="AF65" i="25"/>
  <c r="AF73" i="25" s="1"/>
  <c r="AE65" i="25"/>
  <c r="AD65" i="25"/>
  <c r="AD73" i="25" s="1"/>
  <c r="AC65" i="25"/>
  <c r="AB65" i="25"/>
  <c r="AA65" i="25"/>
  <c r="Z65" i="25"/>
  <c r="Y65" i="25"/>
  <c r="X65" i="25"/>
  <c r="W65" i="25"/>
  <c r="V65" i="25"/>
  <c r="U65" i="25"/>
  <c r="T65" i="25"/>
  <c r="S65" i="25"/>
  <c r="R65" i="25"/>
  <c r="R73" i="25" s="1"/>
  <c r="Q65" i="25"/>
  <c r="P65" i="25"/>
  <c r="P73" i="25" s="1"/>
  <c r="O65" i="25"/>
  <c r="N65" i="25"/>
  <c r="M65" i="25"/>
  <c r="L65" i="25"/>
  <c r="K65" i="25"/>
  <c r="J65" i="25"/>
  <c r="I65" i="25"/>
  <c r="H65" i="25"/>
  <c r="G65" i="25"/>
  <c r="F65" i="25"/>
  <c r="E65" i="25"/>
  <c r="M61" i="25"/>
  <c r="AD60" i="25"/>
  <c r="AD62" i="25" s="1"/>
  <c r="Q60" i="25"/>
  <c r="Q62" i="25" s="1"/>
  <c r="AI59" i="25"/>
  <c r="AH59" i="25"/>
  <c r="AG59" i="25"/>
  <c r="AF59" i="25"/>
  <c r="AE59" i="25"/>
  <c r="AD59" i="25"/>
  <c r="AC59" i="25"/>
  <c r="AB59" i="25"/>
  <c r="AA59" i="25"/>
  <c r="Z59" i="25"/>
  <c r="Y59" i="25"/>
  <c r="X59" i="25"/>
  <c r="W59" i="25"/>
  <c r="V59" i="25"/>
  <c r="U59" i="25"/>
  <c r="T59" i="25"/>
  <c r="S59" i="25"/>
  <c r="R59" i="25"/>
  <c r="Q59" i="25"/>
  <c r="P59" i="25"/>
  <c r="O59" i="25"/>
  <c r="N59" i="25"/>
  <c r="M59" i="25"/>
  <c r="L59" i="25"/>
  <c r="K59" i="25"/>
  <c r="J59" i="25"/>
  <c r="I59" i="25"/>
  <c r="H59" i="25"/>
  <c r="AJ59" i="25" s="1"/>
  <c r="G59" i="25"/>
  <c r="F59" i="25"/>
  <c r="E59" i="25"/>
  <c r="AI58" i="25"/>
  <c r="AH58" i="25"/>
  <c r="AG58" i="25"/>
  <c r="AF58" i="25"/>
  <c r="AE58" i="25"/>
  <c r="AD58" i="25"/>
  <c r="AC58" i="25"/>
  <c r="AB58" i="25"/>
  <c r="AA58" i="25"/>
  <c r="AA60" i="25" s="1"/>
  <c r="AA62" i="25" s="1"/>
  <c r="Z58" i="25"/>
  <c r="Y58" i="25"/>
  <c r="X58" i="25"/>
  <c r="W58" i="25"/>
  <c r="V58" i="25"/>
  <c r="U58" i="25"/>
  <c r="T58" i="25"/>
  <c r="S58" i="25"/>
  <c r="R58" i="25"/>
  <c r="Q58" i="25"/>
  <c r="P58" i="25"/>
  <c r="O58" i="25"/>
  <c r="N58" i="25"/>
  <c r="M58" i="25"/>
  <c r="L58" i="25"/>
  <c r="K58" i="25"/>
  <c r="J58" i="25"/>
  <c r="I58" i="25"/>
  <c r="H58" i="25"/>
  <c r="G58" i="25"/>
  <c r="F58" i="25"/>
  <c r="E58" i="25"/>
  <c r="AI57" i="25"/>
  <c r="AH57" i="25"/>
  <c r="AG57" i="25"/>
  <c r="AF57" i="25"/>
  <c r="AE57" i="25"/>
  <c r="AD57" i="25"/>
  <c r="AC57" i="25"/>
  <c r="AB57" i="25"/>
  <c r="Z57" i="25"/>
  <c r="X57" i="25"/>
  <c r="W57" i="25"/>
  <c r="V57" i="25"/>
  <c r="U57" i="25"/>
  <c r="T57" i="25"/>
  <c r="S57" i="25"/>
  <c r="R57" i="25"/>
  <c r="Q57" i="25"/>
  <c r="P57" i="25"/>
  <c r="O57" i="25"/>
  <c r="N57" i="25"/>
  <c r="M57" i="25"/>
  <c r="L57" i="25"/>
  <c r="K57" i="25"/>
  <c r="J57" i="25"/>
  <c r="I57" i="25"/>
  <c r="H57" i="25"/>
  <c r="G57" i="25"/>
  <c r="F57" i="25"/>
  <c r="E57" i="25"/>
  <c r="AJ57" i="25" s="1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W60" i="25" s="1"/>
  <c r="W62" i="25" s="1"/>
  <c r="V56" i="25"/>
  <c r="V60" i="25" s="1"/>
  <c r="V62" i="25" s="1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I60" i="25" s="1"/>
  <c r="I62" i="25" s="1"/>
  <c r="H56" i="25"/>
  <c r="H60" i="25" s="1"/>
  <c r="H62" i="25" s="1"/>
  <c r="G56" i="25"/>
  <c r="F56" i="25"/>
  <c r="E56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AJ55" i="25" s="1"/>
  <c r="G55" i="25"/>
  <c r="F55" i="25"/>
  <c r="E55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AJ53" i="25" s="1"/>
  <c r="E53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AJ51" i="25" s="1"/>
  <c r="G51" i="25"/>
  <c r="F51" i="25"/>
  <c r="E51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AJ49" i="25" s="1"/>
  <c r="E49" i="25"/>
  <c r="AI48" i="25"/>
  <c r="AH48" i="25"/>
  <c r="AG48" i="25"/>
  <c r="AF48" i="25"/>
  <c r="AE48" i="25"/>
  <c r="AD48" i="25"/>
  <c r="AC48" i="25"/>
  <c r="AB48" i="25"/>
  <c r="AA48" i="25"/>
  <c r="Z48" i="25"/>
  <c r="Y48" i="25"/>
  <c r="X48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J48" i="25"/>
  <c r="I48" i="25"/>
  <c r="H48" i="25"/>
  <c r="AJ48" i="25" s="1"/>
  <c r="G48" i="25"/>
  <c r="F48" i="25"/>
  <c r="F60" i="25" s="1"/>
  <c r="F62" i="25" s="1"/>
  <c r="E48" i="25"/>
  <c r="AI47" i="25"/>
  <c r="AH47" i="25"/>
  <c r="AG47" i="25"/>
  <c r="AF47" i="25"/>
  <c r="AE47" i="25"/>
  <c r="AD47" i="25"/>
  <c r="AC47" i="25"/>
  <c r="AB47" i="25"/>
  <c r="AA47" i="25"/>
  <c r="AA61" i="25" s="1"/>
  <c r="Z47" i="25"/>
  <c r="Y47" i="25"/>
  <c r="X47" i="25"/>
  <c r="W47" i="25"/>
  <c r="W61" i="25" s="1"/>
  <c r="V47" i="25"/>
  <c r="U47" i="25"/>
  <c r="T47" i="25"/>
  <c r="S47" i="25"/>
  <c r="R47" i="25"/>
  <c r="Q47" i="25"/>
  <c r="P47" i="25"/>
  <c r="O47" i="25"/>
  <c r="N47" i="25"/>
  <c r="M47" i="25"/>
  <c r="L47" i="25"/>
  <c r="K47" i="25"/>
  <c r="J47" i="25"/>
  <c r="I47" i="25"/>
  <c r="I61" i="25" s="1"/>
  <c r="H47" i="25"/>
  <c r="G47" i="25"/>
  <c r="F47" i="25"/>
  <c r="E47" i="25"/>
  <c r="AI46" i="25"/>
  <c r="AH46" i="25"/>
  <c r="AG46" i="25"/>
  <c r="AF46" i="25"/>
  <c r="AE46" i="25"/>
  <c r="AE60" i="25" s="1"/>
  <c r="AE62" i="25" s="1"/>
  <c r="AD46" i="25"/>
  <c r="AC46" i="25"/>
  <c r="AB46" i="25"/>
  <c r="AA46" i="25"/>
  <c r="Z46" i="25"/>
  <c r="Y46" i="25"/>
  <c r="X46" i="25"/>
  <c r="W46" i="25"/>
  <c r="V46" i="25"/>
  <c r="U46" i="25"/>
  <c r="T46" i="25"/>
  <c r="S46" i="25"/>
  <c r="R46" i="25"/>
  <c r="O46" i="25"/>
  <c r="N46" i="25"/>
  <c r="M46" i="25"/>
  <c r="L46" i="25"/>
  <c r="I46" i="25"/>
  <c r="H46" i="25"/>
  <c r="G46" i="25"/>
  <c r="F46" i="25"/>
  <c r="E46" i="25"/>
  <c r="AI45" i="25"/>
  <c r="AH45" i="25"/>
  <c r="AG45" i="25"/>
  <c r="AF45" i="25"/>
  <c r="AF61" i="25" s="1"/>
  <c r="AE45" i="25"/>
  <c r="AE61" i="25" s="1"/>
  <c r="AD45" i="25"/>
  <c r="AD61" i="25" s="1"/>
  <c r="AC45" i="25"/>
  <c r="AC61" i="25" s="1"/>
  <c r="AB45" i="25"/>
  <c r="AB61" i="25" s="1"/>
  <c r="AA45" i="25"/>
  <c r="Z45" i="25"/>
  <c r="Z61" i="25" s="1"/>
  <c r="Y45" i="25"/>
  <c r="X45" i="25"/>
  <c r="W45" i="25"/>
  <c r="V45" i="25"/>
  <c r="U45" i="25"/>
  <c r="T45" i="25"/>
  <c r="S45" i="25"/>
  <c r="R45" i="25"/>
  <c r="R61" i="25" s="1"/>
  <c r="Q45" i="25"/>
  <c r="Q61" i="25" s="1"/>
  <c r="P45" i="25"/>
  <c r="P61" i="25" s="1"/>
  <c r="O45" i="25"/>
  <c r="O61" i="25" s="1"/>
  <c r="N45" i="25"/>
  <c r="M45" i="25"/>
  <c r="L45" i="25"/>
  <c r="L61" i="25" s="1"/>
  <c r="K45" i="25"/>
  <c r="J45" i="25"/>
  <c r="I45" i="25"/>
  <c r="H45" i="25"/>
  <c r="G45" i="25"/>
  <c r="F45" i="25"/>
  <c r="E45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T60" i="25" s="1"/>
  <c r="T62" i="25" s="1"/>
  <c r="S44" i="25"/>
  <c r="S60" i="25" s="1"/>
  <c r="S62" i="25" s="1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AI42" i="25"/>
  <c r="AH42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AJ35" i="25"/>
  <c r="AJ34" i="25"/>
  <c r="AJ33" i="25"/>
  <c r="AJ32" i="25"/>
  <c r="AJ30" i="25"/>
  <c r="AJ29" i="25"/>
  <c r="AJ28" i="25"/>
  <c r="AJ27" i="25"/>
  <c r="AJ26" i="25"/>
  <c r="AJ25" i="25"/>
  <c r="AJ24" i="25"/>
  <c r="AJ23" i="25"/>
  <c r="AJ21" i="25"/>
  <c r="AJ20" i="25"/>
  <c r="AJ19" i="25"/>
  <c r="AJ18" i="25"/>
  <c r="AJ17" i="25"/>
  <c r="AJ16" i="25"/>
  <c r="AJ15" i="25"/>
  <c r="AJ14" i="25"/>
  <c r="AJ13" i="25"/>
  <c r="AJ12" i="25"/>
  <c r="AJ11" i="25"/>
  <c r="AJ10" i="25"/>
  <c r="AJ9" i="25"/>
  <c r="AJ8" i="25"/>
  <c r="AJ7" i="25"/>
  <c r="AJ6" i="25"/>
  <c r="Z79" i="24"/>
  <c r="O79" i="24"/>
  <c r="E79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AJ78" i="24" s="1"/>
  <c r="AI77" i="24"/>
  <c r="AH77" i="24"/>
  <c r="AG77" i="24"/>
  <c r="AF77" i="24"/>
  <c r="AE77" i="24"/>
  <c r="AD77" i="24"/>
  <c r="AC77" i="24"/>
  <c r="AB77" i="24"/>
  <c r="AA77" i="24"/>
  <c r="Z77" i="24"/>
  <c r="Y77" i="24"/>
  <c r="Y79" i="24" s="1"/>
  <c r="X77" i="24"/>
  <c r="X79" i="24" s="1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J79" i="24" s="1"/>
  <c r="I77" i="24"/>
  <c r="H77" i="24"/>
  <c r="G77" i="24"/>
  <c r="F77" i="24"/>
  <c r="E77" i="24"/>
  <c r="AI76" i="24"/>
  <c r="AH76" i="24"/>
  <c r="AG76" i="24"/>
  <c r="AF76" i="24"/>
  <c r="AE76" i="24"/>
  <c r="AD76" i="24"/>
  <c r="AC76" i="24"/>
  <c r="AB76" i="24"/>
  <c r="AA76" i="24"/>
  <c r="AA79" i="24" s="1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M79" i="24" s="1"/>
  <c r="L76" i="24"/>
  <c r="K76" i="24"/>
  <c r="J76" i="24"/>
  <c r="I76" i="24"/>
  <c r="H76" i="24"/>
  <c r="G76" i="24"/>
  <c r="F76" i="24"/>
  <c r="E76" i="24"/>
  <c r="AI75" i="24"/>
  <c r="AH75" i="24"/>
  <c r="AG75" i="24"/>
  <c r="AG79" i="24" s="1"/>
  <c r="AF75" i="24"/>
  <c r="AF79" i="24" s="1"/>
  <c r="AE75" i="24"/>
  <c r="AE79" i="24" s="1"/>
  <c r="AD75" i="24"/>
  <c r="AD79" i="24" s="1"/>
  <c r="AC75" i="24"/>
  <c r="AB75" i="24"/>
  <c r="AB79" i="24" s="1"/>
  <c r="AA75" i="24"/>
  <c r="Z75" i="24"/>
  <c r="Y75" i="24"/>
  <c r="X75" i="24"/>
  <c r="W75" i="24"/>
  <c r="V75" i="24"/>
  <c r="U75" i="24"/>
  <c r="T75" i="24"/>
  <c r="S75" i="24"/>
  <c r="S79" i="24" s="1"/>
  <c r="R75" i="24"/>
  <c r="R79" i="24" s="1"/>
  <c r="Q75" i="24"/>
  <c r="Q79" i="24" s="1"/>
  <c r="P75" i="24"/>
  <c r="P79" i="24" s="1"/>
  <c r="O75" i="24"/>
  <c r="N75" i="24"/>
  <c r="M75" i="24"/>
  <c r="L75" i="24"/>
  <c r="K75" i="24"/>
  <c r="J75" i="24"/>
  <c r="I75" i="24"/>
  <c r="H75" i="24"/>
  <c r="G75" i="24"/>
  <c r="F75" i="24"/>
  <c r="E75" i="24"/>
  <c r="AI74" i="24"/>
  <c r="Q74" i="24"/>
  <c r="P74" i="24"/>
  <c r="AI73" i="24"/>
  <c r="AH73" i="24"/>
  <c r="Y73" i="24"/>
  <c r="M73" i="24"/>
  <c r="L73" i="24"/>
  <c r="K73" i="24"/>
  <c r="J73" i="24"/>
  <c r="H73" i="24"/>
  <c r="G73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K74" i="24" s="1"/>
  <c r="J72" i="24"/>
  <c r="I72" i="24"/>
  <c r="H72" i="24"/>
  <c r="G72" i="24"/>
  <c r="F72" i="24"/>
  <c r="E72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O73" i="24" s="1"/>
  <c r="N71" i="24"/>
  <c r="M71" i="24"/>
  <c r="L71" i="24"/>
  <c r="K71" i="24"/>
  <c r="J71" i="24"/>
  <c r="I71" i="24"/>
  <c r="H71" i="24"/>
  <c r="G71" i="24"/>
  <c r="F71" i="24"/>
  <c r="E71" i="24"/>
  <c r="AI70" i="24"/>
  <c r="AH70" i="24"/>
  <c r="AH74" i="24" s="1"/>
  <c r="AG70" i="24"/>
  <c r="AF70" i="24"/>
  <c r="AE70" i="24"/>
  <c r="AD70" i="24"/>
  <c r="AC70" i="24"/>
  <c r="AB70" i="24"/>
  <c r="AA70" i="24"/>
  <c r="Z70" i="24"/>
  <c r="Y70" i="24"/>
  <c r="X70" i="24"/>
  <c r="W70" i="24"/>
  <c r="V70" i="24"/>
  <c r="U70" i="24"/>
  <c r="T70" i="24"/>
  <c r="T74" i="24" s="1"/>
  <c r="S70" i="24"/>
  <c r="R70" i="24"/>
  <c r="Q70" i="24"/>
  <c r="P70" i="24"/>
  <c r="O70" i="24"/>
  <c r="N70" i="24"/>
  <c r="M70" i="24"/>
  <c r="L70" i="24"/>
  <c r="K70" i="24"/>
  <c r="J70" i="24"/>
  <c r="I70" i="24"/>
  <c r="I74" i="24" s="1"/>
  <c r="H70" i="24"/>
  <c r="G70" i="24"/>
  <c r="F70" i="24"/>
  <c r="AJ70" i="24" s="1"/>
  <c r="E70" i="24"/>
  <c r="AI69" i="24"/>
  <c r="AH69" i="24"/>
  <c r="AG69" i="24"/>
  <c r="AF69" i="24"/>
  <c r="AE69" i="24"/>
  <c r="AD69" i="24"/>
  <c r="AC69" i="24"/>
  <c r="AB69" i="24"/>
  <c r="AA69" i="24"/>
  <c r="AA73" i="24" s="1"/>
  <c r="Z69" i="24"/>
  <c r="Y69" i="24"/>
  <c r="X69" i="24"/>
  <c r="W69" i="24"/>
  <c r="V69" i="24"/>
  <c r="U69" i="24"/>
  <c r="T69" i="24"/>
  <c r="S69" i="24"/>
  <c r="R69" i="24"/>
  <c r="Q69" i="24"/>
  <c r="P69" i="24"/>
  <c r="O69" i="24"/>
  <c r="N69" i="24"/>
  <c r="M69" i="24"/>
  <c r="L69" i="24"/>
  <c r="K69" i="24"/>
  <c r="J69" i="24"/>
  <c r="I69" i="24"/>
  <c r="H69" i="24"/>
  <c r="G69" i="24"/>
  <c r="F69" i="24"/>
  <c r="E69" i="24"/>
  <c r="AI68" i="24"/>
  <c r="AH68" i="24"/>
  <c r="AG68" i="24"/>
  <c r="AG74" i="24" s="1"/>
  <c r="AF68" i="24"/>
  <c r="AF74" i="24" s="1"/>
  <c r="AE68" i="24"/>
  <c r="AD68" i="24"/>
  <c r="AC68" i="24"/>
  <c r="AB68" i="24"/>
  <c r="AA68" i="24"/>
  <c r="Z68" i="24"/>
  <c r="Y68" i="24"/>
  <c r="X68" i="24"/>
  <c r="W68" i="24"/>
  <c r="V68" i="24"/>
  <c r="U68" i="24"/>
  <c r="U74" i="24" s="1"/>
  <c r="T68" i="24"/>
  <c r="S68" i="24"/>
  <c r="S74" i="24" s="1"/>
  <c r="R68" i="24"/>
  <c r="R74" i="24" s="1"/>
  <c r="Q68" i="24"/>
  <c r="P68" i="24"/>
  <c r="O68" i="24"/>
  <c r="N68" i="24"/>
  <c r="N74" i="24" s="1"/>
  <c r="M68" i="24"/>
  <c r="L68" i="24"/>
  <c r="K68" i="24"/>
  <c r="J68" i="24"/>
  <c r="I68" i="24"/>
  <c r="H68" i="24"/>
  <c r="G68" i="24"/>
  <c r="G74" i="24" s="1"/>
  <c r="F68" i="24"/>
  <c r="E68" i="24"/>
  <c r="AJ68" i="24" s="1"/>
  <c r="AI67" i="24"/>
  <c r="AH67" i="24"/>
  <c r="AG67" i="24"/>
  <c r="AF67" i="24"/>
  <c r="AF73" i="24" s="1"/>
  <c r="AE67" i="24"/>
  <c r="AD67" i="24"/>
  <c r="AC67" i="24"/>
  <c r="AB67" i="24"/>
  <c r="AA67" i="24"/>
  <c r="Z67" i="24"/>
  <c r="Y67" i="24"/>
  <c r="X67" i="24"/>
  <c r="X73" i="24" s="1"/>
  <c r="W67" i="24"/>
  <c r="V67" i="24"/>
  <c r="V73" i="24" s="1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AI66" i="24"/>
  <c r="AH66" i="24"/>
  <c r="AG66" i="24"/>
  <c r="AF66" i="24"/>
  <c r="AE66" i="24"/>
  <c r="AD66" i="24"/>
  <c r="AD74" i="24" s="1"/>
  <c r="AC66" i="24"/>
  <c r="AC74" i="24" s="1"/>
  <c r="AB66" i="24"/>
  <c r="AB74" i="24" s="1"/>
  <c r="AA66" i="24"/>
  <c r="Z66" i="24"/>
  <c r="Y66" i="24"/>
  <c r="X66" i="24"/>
  <c r="W66" i="24"/>
  <c r="V66" i="24"/>
  <c r="V74" i="24" s="1"/>
  <c r="U66" i="24"/>
  <c r="T66" i="24"/>
  <c r="S66" i="24"/>
  <c r="R66" i="24"/>
  <c r="Q66" i="24"/>
  <c r="P66" i="24"/>
  <c r="O66" i="24"/>
  <c r="O74" i="24" s="1"/>
  <c r="N66" i="24"/>
  <c r="M66" i="24"/>
  <c r="L66" i="24"/>
  <c r="K66" i="24"/>
  <c r="J66" i="24"/>
  <c r="I66" i="24"/>
  <c r="H66" i="24"/>
  <c r="H74" i="24" s="1"/>
  <c r="G66" i="24"/>
  <c r="F66" i="24"/>
  <c r="E66" i="24"/>
  <c r="E74" i="24" s="1"/>
  <c r="AI65" i="24"/>
  <c r="AH65" i="24"/>
  <c r="AG65" i="24"/>
  <c r="AG73" i="24" s="1"/>
  <c r="AF65" i="24"/>
  <c r="AE65" i="24"/>
  <c r="AD65" i="24"/>
  <c r="AD73" i="24" s="1"/>
  <c r="AC65" i="24"/>
  <c r="AB65" i="24"/>
  <c r="AB73" i="24" s="1"/>
  <c r="AA65" i="24"/>
  <c r="Z65" i="24"/>
  <c r="Z73" i="24" s="1"/>
  <c r="Y65" i="24"/>
  <c r="X65" i="24"/>
  <c r="W65" i="24"/>
  <c r="V65" i="24"/>
  <c r="U65" i="24"/>
  <c r="U73" i="24" s="1"/>
  <c r="T65" i="24"/>
  <c r="T73" i="24" s="1"/>
  <c r="S65" i="24"/>
  <c r="S73" i="24" s="1"/>
  <c r="R65" i="24"/>
  <c r="Q65" i="24"/>
  <c r="P65" i="24"/>
  <c r="P73" i="24" s="1"/>
  <c r="O65" i="24"/>
  <c r="N65" i="24"/>
  <c r="N73" i="24" s="1"/>
  <c r="M65" i="24"/>
  <c r="L65" i="24"/>
  <c r="K65" i="24"/>
  <c r="J65" i="24"/>
  <c r="I65" i="24"/>
  <c r="H65" i="24"/>
  <c r="G65" i="24"/>
  <c r="F65" i="24"/>
  <c r="F73" i="24" s="1"/>
  <c r="E65" i="24"/>
  <c r="AE61" i="24"/>
  <c r="Z61" i="24"/>
  <c r="Q61" i="24"/>
  <c r="AF60" i="24"/>
  <c r="AF62" i="24" s="1"/>
  <c r="AE60" i="24"/>
  <c r="AE62" i="24" s="1"/>
  <c r="AI59" i="24"/>
  <c r="AH59" i="24"/>
  <c r="AG59" i="24"/>
  <c r="AF59" i="24"/>
  <c r="AE59" i="24"/>
  <c r="AD59" i="24"/>
  <c r="AC59" i="24"/>
  <c r="AB59" i="24"/>
  <c r="AA59" i="24"/>
  <c r="Z59" i="24"/>
  <c r="Y59" i="24"/>
  <c r="X59" i="24"/>
  <c r="W59" i="24"/>
  <c r="V59" i="24"/>
  <c r="U59" i="24"/>
  <c r="T59" i="24"/>
  <c r="S59" i="24"/>
  <c r="R59" i="24"/>
  <c r="Q59" i="24"/>
  <c r="P59" i="24"/>
  <c r="O59" i="24"/>
  <c r="N59" i="24"/>
  <c r="M59" i="24"/>
  <c r="L59" i="24"/>
  <c r="K59" i="24"/>
  <c r="J59" i="24"/>
  <c r="I59" i="24"/>
  <c r="H59" i="24"/>
  <c r="AJ59" i="24" s="1"/>
  <c r="G59" i="24"/>
  <c r="F59" i="24"/>
  <c r="E59" i="24"/>
  <c r="AI58" i="24"/>
  <c r="AH58" i="24"/>
  <c r="AG58" i="24"/>
  <c r="AF58" i="24"/>
  <c r="AE58" i="24"/>
  <c r="AD58" i="24"/>
  <c r="AC58" i="24"/>
  <c r="AB58" i="24"/>
  <c r="AA58" i="24"/>
  <c r="AA60" i="24" s="1"/>
  <c r="AA62" i="24" s="1"/>
  <c r="Z58" i="24"/>
  <c r="Z60" i="24" s="1"/>
  <c r="Z62" i="24" s="1"/>
  <c r="Y58" i="24"/>
  <c r="Y60" i="24" s="1"/>
  <c r="Y62" i="24" s="1"/>
  <c r="X58" i="24"/>
  <c r="W58" i="24"/>
  <c r="V58" i="24"/>
  <c r="U58" i="24"/>
  <c r="T58" i="24"/>
  <c r="S58" i="24"/>
  <c r="R58" i="24"/>
  <c r="Q58" i="24"/>
  <c r="P58" i="24"/>
  <c r="O58" i="24"/>
  <c r="N58" i="24"/>
  <c r="M58" i="24"/>
  <c r="M60" i="24" s="1"/>
  <c r="M62" i="24" s="1"/>
  <c r="L58" i="24"/>
  <c r="L60" i="24" s="1"/>
  <c r="L62" i="24" s="1"/>
  <c r="K58" i="24"/>
  <c r="K60" i="24" s="1"/>
  <c r="K62" i="24" s="1"/>
  <c r="J58" i="24"/>
  <c r="I58" i="24"/>
  <c r="H58" i="24"/>
  <c r="G58" i="24"/>
  <c r="F58" i="24"/>
  <c r="E58" i="24"/>
  <c r="AI57" i="24"/>
  <c r="AH57" i="24"/>
  <c r="AG57" i="24"/>
  <c r="AF57" i="24"/>
  <c r="AE57" i="24"/>
  <c r="AD57" i="24"/>
  <c r="AC57" i="24"/>
  <c r="AB57" i="24"/>
  <c r="Z57" i="24"/>
  <c r="X57" i="24"/>
  <c r="W57" i="24"/>
  <c r="V57" i="24"/>
  <c r="U57" i="24"/>
  <c r="T57" i="24"/>
  <c r="S57" i="24"/>
  <c r="R57" i="24"/>
  <c r="Q57" i="24"/>
  <c r="P57" i="24"/>
  <c r="O57" i="24"/>
  <c r="N57" i="24"/>
  <c r="M57" i="24"/>
  <c r="L57" i="24"/>
  <c r="K57" i="24"/>
  <c r="J57" i="24"/>
  <c r="I57" i="24"/>
  <c r="H57" i="24"/>
  <c r="G57" i="24"/>
  <c r="F57" i="24"/>
  <c r="E57" i="24"/>
  <c r="AI56" i="24"/>
  <c r="AH56" i="24"/>
  <c r="AG56" i="24"/>
  <c r="AF56" i="24"/>
  <c r="AE56" i="24"/>
  <c r="AD56" i="24"/>
  <c r="AD60" i="24" s="1"/>
  <c r="AD62" i="24" s="1"/>
  <c r="AC56" i="24"/>
  <c r="AB56" i="24"/>
  <c r="AA56" i="24"/>
  <c r="Z56" i="24"/>
  <c r="Y56" i="24"/>
  <c r="X56" i="24"/>
  <c r="W56" i="24"/>
  <c r="V56" i="24"/>
  <c r="U56" i="24"/>
  <c r="T56" i="24"/>
  <c r="S56" i="24"/>
  <c r="R56" i="24"/>
  <c r="R60" i="24" s="1"/>
  <c r="R62" i="24" s="1"/>
  <c r="Q56" i="24"/>
  <c r="Q60" i="24" s="1"/>
  <c r="Q62" i="24" s="1"/>
  <c r="P56" i="24"/>
  <c r="P60" i="24" s="1"/>
  <c r="P62" i="24" s="1"/>
  <c r="O56" i="24"/>
  <c r="N56" i="24"/>
  <c r="M56" i="24"/>
  <c r="L56" i="24"/>
  <c r="K56" i="24"/>
  <c r="J56" i="24"/>
  <c r="I56" i="24"/>
  <c r="H56" i="24"/>
  <c r="G56" i="24"/>
  <c r="F56" i="24"/>
  <c r="E56" i="24"/>
  <c r="AI55" i="24"/>
  <c r="AH55" i="24"/>
  <c r="AG55" i="24"/>
  <c r="AF55" i="24"/>
  <c r="AE55" i="24"/>
  <c r="AD55" i="24"/>
  <c r="AC55" i="24"/>
  <c r="AC61" i="24" s="1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AI54" i="24"/>
  <c r="AH54" i="24"/>
  <c r="AG54" i="24"/>
  <c r="AG60" i="24" s="1"/>
  <c r="AG62" i="24" s="1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S60" i="24" s="1"/>
  <c r="S62" i="24" s="1"/>
  <c r="R54" i="24"/>
  <c r="Q54" i="24"/>
  <c r="P54" i="24"/>
  <c r="O54" i="24"/>
  <c r="N54" i="24"/>
  <c r="M54" i="24"/>
  <c r="L54" i="24"/>
  <c r="K54" i="24"/>
  <c r="J54" i="24"/>
  <c r="I54" i="24"/>
  <c r="H54" i="24"/>
  <c r="AJ54" i="24" s="1"/>
  <c r="G54" i="24"/>
  <c r="F54" i="24"/>
  <c r="E54" i="24"/>
  <c r="E60" i="24" s="1"/>
  <c r="AI53" i="24"/>
  <c r="AH53" i="24"/>
  <c r="AG53" i="24"/>
  <c r="AF53" i="24"/>
  <c r="AE53" i="24"/>
  <c r="AD53" i="24"/>
  <c r="AC53" i="24"/>
  <c r="AB53" i="24"/>
  <c r="AA53" i="24"/>
  <c r="AA61" i="24" s="1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AI51" i="24"/>
  <c r="AH51" i="24"/>
  <c r="AH61" i="24" s="1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T61" i="24" s="1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AI50" i="24"/>
  <c r="AI60" i="24" s="1"/>
  <c r="AI62" i="24" s="1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U60" i="24" s="1"/>
  <c r="U62" i="24" s="1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M61" i="24" s="1"/>
  <c r="L49" i="24"/>
  <c r="K49" i="24"/>
  <c r="J49" i="24"/>
  <c r="I49" i="24"/>
  <c r="H49" i="24"/>
  <c r="G49" i="24"/>
  <c r="F49" i="24"/>
  <c r="E49" i="24"/>
  <c r="AI48" i="24"/>
  <c r="AH48" i="24"/>
  <c r="AG48" i="24"/>
  <c r="AF48" i="24"/>
  <c r="AE48" i="24"/>
  <c r="AD48" i="24"/>
  <c r="AC48" i="24"/>
  <c r="AB48" i="24"/>
  <c r="AA48" i="24"/>
  <c r="Z48" i="24"/>
  <c r="Y48" i="24"/>
  <c r="X48" i="24"/>
  <c r="W48" i="24"/>
  <c r="V48" i="24"/>
  <c r="U48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F48" i="24"/>
  <c r="E48" i="24"/>
  <c r="AI47" i="24"/>
  <c r="AI61" i="24" s="1"/>
  <c r="AH47" i="24"/>
  <c r="AG47" i="24"/>
  <c r="AF47" i="24"/>
  <c r="AE47" i="24"/>
  <c r="AD47" i="24"/>
  <c r="AC47" i="24"/>
  <c r="AB47" i="24"/>
  <c r="AA47" i="24"/>
  <c r="Z47" i="24"/>
  <c r="Y47" i="24"/>
  <c r="X47" i="24"/>
  <c r="W47" i="24"/>
  <c r="V47" i="24"/>
  <c r="U47" i="24"/>
  <c r="T47" i="24"/>
  <c r="S47" i="24"/>
  <c r="R47" i="24"/>
  <c r="R61" i="24" s="1"/>
  <c r="Q47" i="24"/>
  <c r="P47" i="24"/>
  <c r="O47" i="24"/>
  <c r="N47" i="24"/>
  <c r="M47" i="24"/>
  <c r="L47" i="24"/>
  <c r="K47" i="24"/>
  <c r="J47" i="24"/>
  <c r="J61" i="24" s="1"/>
  <c r="I47" i="24"/>
  <c r="H47" i="24"/>
  <c r="G47" i="24"/>
  <c r="F47" i="24"/>
  <c r="E47" i="24"/>
  <c r="AI46" i="24"/>
  <c r="AH46" i="24"/>
  <c r="AG46" i="24"/>
  <c r="AF46" i="24"/>
  <c r="AE46" i="24"/>
  <c r="AD46" i="24"/>
  <c r="AC46" i="24"/>
  <c r="AB46" i="24"/>
  <c r="AA46" i="24"/>
  <c r="Z46" i="24"/>
  <c r="Y46" i="24"/>
  <c r="X46" i="24"/>
  <c r="W46" i="24"/>
  <c r="V46" i="24"/>
  <c r="U46" i="24"/>
  <c r="T46" i="24"/>
  <c r="S46" i="24"/>
  <c r="R46" i="24"/>
  <c r="Q46" i="24"/>
  <c r="P46" i="24"/>
  <c r="O46" i="24"/>
  <c r="N46" i="24"/>
  <c r="M46" i="24"/>
  <c r="L46" i="24"/>
  <c r="K46" i="24"/>
  <c r="J46" i="24"/>
  <c r="I46" i="24"/>
  <c r="H46" i="24"/>
  <c r="AJ46" i="24" s="1"/>
  <c r="G46" i="24"/>
  <c r="F46" i="24"/>
  <c r="E46" i="24"/>
  <c r="AI45" i="24"/>
  <c r="AH45" i="24"/>
  <c r="AG45" i="24"/>
  <c r="AF45" i="24"/>
  <c r="AE45" i="24"/>
  <c r="AD45" i="24"/>
  <c r="AC45" i="24"/>
  <c r="AB45" i="24"/>
  <c r="AA45" i="24"/>
  <c r="Z45" i="24"/>
  <c r="Y45" i="24"/>
  <c r="Y61" i="24" s="1"/>
  <c r="X45" i="24"/>
  <c r="W45" i="24"/>
  <c r="V45" i="24"/>
  <c r="U45" i="24"/>
  <c r="T45" i="24"/>
  <c r="S45" i="24"/>
  <c r="R45" i="24"/>
  <c r="Q45" i="24"/>
  <c r="P45" i="24"/>
  <c r="O45" i="24"/>
  <c r="N45" i="24"/>
  <c r="N61" i="24" s="1"/>
  <c r="M45" i="24"/>
  <c r="L45" i="24"/>
  <c r="L61" i="24" s="1"/>
  <c r="K45" i="24"/>
  <c r="K61" i="24" s="1"/>
  <c r="J45" i="24"/>
  <c r="I45" i="24"/>
  <c r="H45" i="24"/>
  <c r="G45" i="24"/>
  <c r="F45" i="24"/>
  <c r="E45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AI42" i="24"/>
  <c r="AH42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AJ35" i="24"/>
  <c r="AJ34" i="24"/>
  <c r="AJ33" i="24"/>
  <c r="AJ32" i="24"/>
  <c r="AJ30" i="24"/>
  <c r="AJ29" i="24"/>
  <c r="AJ28" i="24"/>
  <c r="AJ27" i="24"/>
  <c r="AJ26" i="24"/>
  <c r="AJ25" i="24"/>
  <c r="AJ24" i="24"/>
  <c r="AJ23" i="24"/>
  <c r="AJ21" i="24"/>
  <c r="AJ20" i="24"/>
  <c r="AJ19" i="24"/>
  <c r="AJ18" i="24"/>
  <c r="AJ17" i="24"/>
  <c r="AJ16" i="24"/>
  <c r="AJ15" i="24"/>
  <c r="AJ14" i="24"/>
  <c r="AJ13" i="24"/>
  <c r="AJ12" i="24"/>
  <c r="AJ11" i="24"/>
  <c r="AJ10" i="24"/>
  <c r="AJ9" i="24"/>
  <c r="AJ8" i="24"/>
  <c r="AJ7" i="24"/>
  <c r="AJ6" i="24"/>
  <c r="AC79" i="23"/>
  <c r="AB79" i="23"/>
  <c r="W79" i="23"/>
  <c r="N79" i="23"/>
  <c r="L79" i="23"/>
  <c r="K79" i="23"/>
  <c r="H79" i="23"/>
  <c r="G79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AH77" i="23"/>
  <c r="AG77" i="23"/>
  <c r="AF77" i="23"/>
  <c r="AE77" i="23"/>
  <c r="AE79" i="23" s="1"/>
  <c r="AD77" i="23"/>
  <c r="AC77" i="23"/>
  <c r="AB77" i="23"/>
  <c r="AA77" i="23"/>
  <c r="AA79" i="23" s="1"/>
  <c r="Z77" i="23"/>
  <c r="Y77" i="23"/>
  <c r="X77" i="23"/>
  <c r="W77" i="23"/>
  <c r="V77" i="23"/>
  <c r="U77" i="23"/>
  <c r="T77" i="23"/>
  <c r="S77" i="23"/>
  <c r="R77" i="23"/>
  <c r="Q77" i="23"/>
  <c r="P77" i="23"/>
  <c r="O77" i="23"/>
  <c r="O79" i="23" s="1"/>
  <c r="N77" i="23"/>
  <c r="M77" i="23"/>
  <c r="M79" i="23" s="1"/>
  <c r="L77" i="23"/>
  <c r="K77" i="23"/>
  <c r="J77" i="23"/>
  <c r="I77" i="23"/>
  <c r="H77" i="23"/>
  <c r="G77" i="23"/>
  <c r="F77" i="23"/>
  <c r="E77" i="23"/>
  <c r="AH76" i="23"/>
  <c r="AG76" i="23"/>
  <c r="AF76" i="23"/>
  <c r="AF79" i="23" s="1"/>
  <c r="AE76" i="23"/>
  <c r="AD76" i="23"/>
  <c r="AD79" i="23" s="1"/>
  <c r="AC76" i="23"/>
  <c r="AB76" i="23"/>
  <c r="AA76" i="23"/>
  <c r="Z76" i="23"/>
  <c r="Y76" i="23"/>
  <c r="X76" i="23"/>
  <c r="W76" i="23"/>
  <c r="V76" i="23"/>
  <c r="U76" i="23"/>
  <c r="T76" i="23"/>
  <c r="S76" i="23"/>
  <c r="R76" i="23"/>
  <c r="R79" i="23" s="1"/>
  <c r="Q76" i="23"/>
  <c r="P76" i="23"/>
  <c r="O76" i="23"/>
  <c r="N76" i="23"/>
  <c r="M76" i="23"/>
  <c r="L76" i="23"/>
  <c r="K76" i="23"/>
  <c r="J76" i="23"/>
  <c r="I76" i="23"/>
  <c r="H76" i="23"/>
  <c r="G76" i="23"/>
  <c r="AI76" i="23" s="1"/>
  <c r="F76" i="23"/>
  <c r="E76" i="23"/>
  <c r="AH75" i="23"/>
  <c r="AG75" i="23"/>
  <c r="AG79" i="23" s="1"/>
  <c r="AF75" i="23"/>
  <c r="AE75" i="23"/>
  <c r="AD75" i="23"/>
  <c r="AC75" i="23"/>
  <c r="AB75" i="23"/>
  <c r="AA75" i="23"/>
  <c r="Z75" i="23"/>
  <c r="Z79" i="23" s="1"/>
  <c r="Y75" i="23"/>
  <c r="Y79" i="23" s="1"/>
  <c r="X75" i="23"/>
  <c r="W75" i="23"/>
  <c r="V75" i="23"/>
  <c r="V79" i="23" s="1"/>
  <c r="U75" i="23"/>
  <c r="U79" i="23" s="1"/>
  <c r="T75" i="23"/>
  <c r="S75" i="23"/>
  <c r="S79" i="23" s="1"/>
  <c r="R75" i="23"/>
  <c r="Q75" i="23"/>
  <c r="Q79" i="23" s="1"/>
  <c r="P75" i="23"/>
  <c r="O75" i="23"/>
  <c r="N75" i="23"/>
  <c r="M75" i="23"/>
  <c r="L75" i="23"/>
  <c r="K75" i="23"/>
  <c r="J75" i="23"/>
  <c r="I75" i="23"/>
  <c r="I79" i="23" s="1"/>
  <c r="H75" i="23"/>
  <c r="G75" i="23"/>
  <c r="F75" i="23"/>
  <c r="E75" i="23"/>
  <c r="AH74" i="23"/>
  <c r="I74" i="23"/>
  <c r="H74" i="23"/>
  <c r="W73" i="23"/>
  <c r="N73" i="23"/>
  <c r="L73" i="23"/>
  <c r="K73" i="23"/>
  <c r="I73" i="23"/>
  <c r="F73" i="23"/>
  <c r="AH72" i="23"/>
  <c r="AG72" i="23"/>
  <c r="AF72" i="23"/>
  <c r="AE72" i="23"/>
  <c r="AD72" i="23"/>
  <c r="AC72" i="23"/>
  <c r="AB72" i="23"/>
  <c r="AA72" i="23"/>
  <c r="Z72" i="23"/>
  <c r="Z74" i="23" s="1"/>
  <c r="Y72" i="23"/>
  <c r="Y74" i="23" s="1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K74" i="23" s="1"/>
  <c r="J72" i="23"/>
  <c r="I72" i="23"/>
  <c r="H72" i="23"/>
  <c r="G72" i="23"/>
  <c r="F72" i="23"/>
  <c r="E72" i="23"/>
  <c r="AH71" i="23"/>
  <c r="AG71" i="23"/>
  <c r="AF71" i="23"/>
  <c r="AE71" i="23"/>
  <c r="AD71" i="23"/>
  <c r="AC71" i="23"/>
  <c r="AC73" i="23" s="1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AH70" i="23"/>
  <c r="AG70" i="23"/>
  <c r="AF70" i="23"/>
  <c r="AE70" i="23"/>
  <c r="AD70" i="23"/>
  <c r="AC70" i="23"/>
  <c r="AB70" i="23"/>
  <c r="AA70" i="23"/>
  <c r="AA74" i="23" s="1"/>
  <c r="Z70" i="23"/>
  <c r="Y70" i="23"/>
  <c r="X70" i="23"/>
  <c r="W70" i="23"/>
  <c r="V70" i="23"/>
  <c r="U70" i="23"/>
  <c r="T70" i="23"/>
  <c r="S70" i="23"/>
  <c r="R70" i="23"/>
  <c r="Q70" i="23"/>
  <c r="P70" i="23"/>
  <c r="O70" i="23"/>
  <c r="N70" i="23"/>
  <c r="M70" i="23"/>
  <c r="L70" i="23"/>
  <c r="K70" i="23"/>
  <c r="J70" i="23"/>
  <c r="I70" i="23"/>
  <c r="H70" i="23"/>
  <c r="G70" i="23"/>
  <c r="F70" i="23"/>
  <c r="E70" i="23"/>
  <c r="AH69" i="23"/>
  <c r="AG69" i="23"/>
  <c r="AF69" i="23"/>
  <c r="AE69" i="23"/>
  <c r="AD69" i="23"/>
  <c r="AC69" i="23"/>
  <c r="AB69" i="23"/>
  <c r="AB73" i="23" s="1"/>
  <c r="AA69" i="23"/>
  <c r="Z69" i="23"/>
  <c r="Y69" i="23"/>
  <c r="X69" i="23"/>
  <c r="W69" i="23"/>
  <c r="V69" i="23"/>
  <c r="U69" i="23"/>
  <c r="T69" i="23"/>
  <c r="S69" i="23"/>
  <c r="R69" i="23"/>
  <c r="Q69" i="23"/>
  <c r="P69" i="23"/>
  <c r="O69" i="23"/>
  <c r="N69" i="23"/>
  <c r="M69" i="23"/>
  <c r="L69" i="23"/>
  <c r="K69" i="23"/>
  <c r="J69" i="23"/>
  <c r="I69" i="23"/>
  <c r="H69" i="23"/>
  <c r="H73" i="23" s="1"/>
  <c r="G69" i="23"/>
  <c r="F69" i="23"/>
  <c r="E69" i="23"/>
  <c r="AI69" i="23" s="1"/>
  <c r="AH68" i="23"/>
  <c r="AG68" i="23"/>
  <c r="AF68" i="23"/>
  <c r="AE68" i="23"/>
  <c r="AD68" i="23"/>
  <c r="AC68" i="23"/>
  <c r="AB68" i="23"/>
  <c r="AA68" i="23"/>
  <c r="Z68" i="23"/>
  <c r="Y68" i="23"/>
  <c r="X68" i="23"/>
  <c r="X74" i="23" s="1"/>
  <c r="W68" i="23"/>
  <c r="V68" i="23"/>
  <c r="U68" i="23"/>
  <c r="T68" i="23"/>
  <c r="S68" i="23"/>
  <c r="R68" i="23"/>
  <c r="Q68" i="23"/>
  <c r="P68" i="23"/>
  <c r="O68" i="23"/>
  <c r="N68" i="23"/>
  <c r="M68" i="23"/>
  <c r="L68" i="23"/>
  <c r="K68" i="23"/>
  <c r="J68" i="23"/>
  <c r="J74" i="23" s="1"/>
  <c r="I68" i="23"/>
  <c r="H68" i="23"/>
  <c r="G68" i="23"/>
  <c r="AI68" i="23" s="1"/>
  <c r="F68" i="23"/>
  <c r="E68" i="23"/>
  <c r="AH67" i="23"/>
  <c r="AG67" i="23"/>
  <c r="AF67" i="23"/>
  <c r="AE67" i="23"/>
  <c r="AD67" i="23"/>
  <c r="AC67" i="23"/>
  <c r="AB67" i="23"/>
  <c r="AA67" i="23"/>
  <c r="AA73" i="23" s="1"/>
  <c r="Z67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M73" i="23" s="1"/>
  <c r="L67" i="23"/>
  <c r="K67" i="23"/>
  <c r="J67" i="23"/>
  <c r="I67" i="23"/>
  <c r="H67" i="23"/>
  <c r="G67" i="23"/>
  <c r="F67" i="23"/>
  <c r="E67" i="23"/>
  <c r="AH66" i="23"/>
  <c r="AG66" i="23"/>
  <c r="AF66" i="23"/>
  <c r="AE66" i="23"/>
  <c r="AE74" i="23" s="1"/>
  <c r="AD66" i="23"/>
  <c r="AC66" i="23"/>
  <c r="AC74" i="23" s="1"/>
  <c r="AB66" i="23"/>
  <c r="AB74" i="23" s="1"/>
  <c r="AA66" i="23"/>
  <c r="Z66" i="23"/>
  <c r="Y66" i="23"/>
  <c r="X66" i="23"/>
  <c r="W66" i="23"/>
  <c r="W74" i="23" s="1"/>
  <c r="V66" i="23"/>
  <c r="U66" i="23"/>
  <c r="T66" i="23"/>
  <c r="T74" i="23" s="1"/>
  <c r="S66" i="23"/>
  <c r="S74" i="23" s="1"/>
  <c r="R66" i="23"/>
  <c r="Q66" i="23"/>
  <c r="Q74" i="23" s="1"/>
  <c r="P66" i="23"/>
  <c r="O66" i="23"/>
  <c r="O74" i="23" s="1"/>
  <c r="N66" i="23"/>
  <c r="N74" i="23" s="1"/>
  <c r="M66" i="23"/>
  <c r="L66" i="23"/>
  <c r="K66" i="23"/>
  <c r="J66" i="23"/>
  <c r="I66" i="23"/>
  <c r="H66" i="23"/>
  <c r="G66" i="23"/>
  <c r="F66" i="23"/>
  <c r="E66" i="23"/>
  <c r="E74" i="23" s="1"/>
  <c r="AH65" i="23"/>
  <c r="AG65" i="23"/>
  <c r="AF65" i="23"/>
  <c r="AF73" i="23" s="1"/>
  <c r="AE65" i="23"/>
  <c r="AE73" i="23" s="1"/>
  <c r="AD65" i="23"/>
  <c r="AC65" i="23"/>
  <c r="AB65" i="23"/>
  <c r="AA65" i="23"/>
  <c r="Z65" i="23"/>
  <c r="Y65" i="23"/>
  <c r="Y73" i="23" s="1"/>
  <c r="X65" i="23"/>
  <c r="W65" i="23"/>
  <c r="V65" i="23"/>
  <c r="U65" i="23"/>
  <c r="U73" i="23" s="1"/>
  <c r="T65" i="23"/>
  <c r="T73" i="23" s="1"/>
  <c r="S65" i="23"/>
  <c r="R65" i="23"/>
  <c r="R73" i="23" s="1"/>
  <c r="Q65" i="23"/>
  <c r="Q73" i="23" s="1"/>
  <c r="P65" i="23"/>
  <c r="P73" i="23" s="1"/>
  <c r="O65" i="23"/>
  <c r="N65" i="23"/>
  <c r="M65" i="23"/>
  <c r="L65" i="23"/>
  <c r="K65" i="23"/>
  <c r="J65" i="23"/>
  <c r="I65" i="23"/>
  <c r="H65" i="23"/>
  <c r="G65" i="23"/>
  <c r="G73" i="23" s="1"/>
  <c r="F65" i="23"/>
  <c r="E65" i="23"/>
  <c r="K62" i="23"/>
  <c r="G62" i="23"/>
  <c r="X61" i="23"/>
  <c r="N61" i="23"/>
  <c r="L60" i="23"/>
  <c r="L62" i="23" s="1"/>
  <c r="K60" i="23"/>
  <c r="F60" i="23"/>
  <c r="F62" i="23" s="1"/>
  <c r="AH59" i="23"/>
  <c r="AG59" i="23"/>
  <c r="AF59" i="23"/>
  <c r="AE59" i="23"/>
  <c r="AD59" i="23"/>
  <c r="AC59" i="23"/>
  <c r="AB59" i="23"/>
  <c r="AA59" i="23"/>
  <c r="Z59" i="23"/>
  <c r="Y59" i="23"/>
  <c r="X59" i="23"/>
  <c r="W59" i="23"/>
  <c r="V59" i="23"/>
  <c r="U59" i="23"/>
  <c r="T59" i="23"/>
  <c r="S59" i="23"/>
  <c r="R59" i="23"/>
  <c r="Q59" i="23"/>
  <c r="P59" i="23"/>
  <c r="O59" i="23"/>
  <c r="N59" i="23"/>
  <c r="M59" i="23"/>
  <c r="L59" i="23"/>
  <c r="K59" i="23"/>
  <c r="J59" i="23"/>
  <c r="I59" i="23"/>
  <c r="H59" i="23"/>
  <c r="G59" i="23"/>
  <c r="F59" i="23"/>
  <c r="E59" i="23"/>
  <c r="AH58" i="23"/>
  <c r="AG58" i="23"/>
  <c r="AF58" i="23"/>
  <c r="AE58" i="23"/>
  <c r="AD58" i="23"/>
  <c r="AC58" i="23"/>
  <c r="AB58" i="23"/>
  <c r="AB60" i="23" s="1"/>
  <c r="AB62" i="23" s="1"/>
  <c r="AA58" i="23"/>
  <c r="Z58" i="23"/>
  <c r="Z60" i="23" s="1"/>
  <c r="Z62" i="23" s="1"/>
  <c r="Y58" i="23"/>
  <c r="X58" i="23"/>
  <c r="W58" i="23"/>
  <c r="W60" i="23" s="1"/>
  <c r="W62" i="23" s="1"/>
  <c r="V58" i="23"/>
  <c r="U58" i="23"/>
  <c r="T58" i="23"/>
  <c r="S58" i="23"/>
  <c r="R58" i="23"/>
  <c r="Q58" i="23"/>
  <c r="P58" i="23"/>
  <c r="O58" i="23"/>
  <c r="N58" i="23"/>
  <c r="N60" i="23" s="1"/>
  <c r="N62" i="23" s="1"/>
  <c r="M58" i="23"/>
  <c r="L58" i="23"/>
  <c r="K58" i="23"/>
  <c r="J58" i="23"/>
  <c r="I58" i="23"/>
  <c r="I60" i="23" s="1"/>
  <c r="I62" i="23" s="1"/>
  <c r="H58" i="23"/>
  <c r="G58" i="23"/>
  <c r="F58" i="23"/>
  <c r="E58" i="23"/>
  <c r="AH57" i="23"/>
  <c r="AG57" i="23"/>
  <c r="AF57" i="23"/>
  <c r="AE57" i="23"/>
  <c r="AD57" i="23"/>
  <c r="AC57" i="23"/>
  <c r="AB57" i="23"/>
  <c r="Z57" i="23"/>
  <c r="X57" i="23"/>
  <c r="W57" i="23"/>
  <c r="V57" i="23"/>
  <c r="U57" i="23"/>
  <c r="T57" i="23"/>
  <c r="S57" i="23"/>
  <c r="R57" i="23"/>
  <c r="Q57" i="23"/>
  <c r="P57" i="23"/>
  <c r="O57" i="23"/>
  <c r="N57" i="23"/>
  <c r="M57" i="23"/>
  <c r="L57" i="23"/>
  <c r="K57" i="23"/>
  <c r="J57" i="23"/>
  <c r="I57" i="23"/>
  <c r="H57" i="23"/>
  <c r="G57" i="23"/>
  <c r="F57" i="23"/>
  <c r="E57" i="23"/>
  <c r="AH56" i="23"/>
  <c r="AG56" i="23"/>
  <c r="AF56" i="23"/>
  <c r="AE56" i="23"/>
  <c r="AD56" i="23"/>
  <c r="AD60" i="23" s="1"/>
  <c r="AD62" i="23" s="1"/>
  <c r="AC56" i="23"/>
  <c r="AB56" i="23"/>
  <c r="AA56" i="23"/>
  <c r="AA60" i="23" s="1"/>
  <c r="AA62" i="23" s="1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M60" i="23" s="1"/>
  <c r="M62" i="23" s="1"/>
  <c r="L56" i="23"/>
  <c r="K56" i="23"/>
  <c r="J56" i="23"/>
  <c r="I56" i="23"/>
  <c r="H56" i="23"/>
  <c r="G56" i="23"/>
  <c r="F56" i="23"/>
  <c r="E56" i="23"/>
  <c r="AI56" i="23" s="1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T61" i="23" s="1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AI55" i="23" s="1"/>
  <c r="AH54" i="23"/>
  <c r="AG54" i="23"/>
  <c r="AF54" i="23"/>
  <c r="AE54" i="23"/>
  <c r="AD54" i="23"/>
  <c r="AC54" i="23"/>
  <c r="AB54" i="23"/>
  <c r="AA54" i="23"/>
  <c r="Z54" i="23"/>
  <c r="Y54" i="23"/>
  <c r="Y60" i="23" s="1"/>
  <c r="Y62" i="23" s="1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AI53" i="23" s="1"/>
  <c r="F53" i="23"/>
  <c r="E53" i="23"/>
  <c r="AH52" i="23"/>
  <c r="AG52" i="23"/>
  <c r="AF52" i="23"/>
  <c r="AE52" i="23"/>
  <c r="AD52" i="23"/>
  <c r="AC52" i="23"/>
  <c r="AC60" i="23" s="1"/>
  <c r="AC62" i="23" s="1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J60" i="23" s="1"/>
  <c r="J62" i="23" s="1"/>
  <c r="I52" i="23"/>
  <c r="H52" i="23"/>
  <c r="G52" i="23"/>
  <c r="F52" i="23"/>
  <c r="E52" i="23"/>
  <c r="AI52" i="23" s="1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R61" i="23" s="1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AH50" i="23"/>
  <c r="AH60" i="23" s="1"/>
  <c r="AH62" i="23" s="1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G60" i="23" s="1"/>
  <c r="F50" i="23"/>
  <c r="AI50" i="23" s="1"/>
  <c r="E50" i="23"/>
  <c r="AH49" i="23"/>
  <c r="AG49" i="23"/>
  <c r="AF49" i="23"/>
  <c r="AE49" i="23"/>
  <c r="AD49" i="23"/>
  <c r="AC49" i="23"/>
  <c r="AB49" i="23"/>
  <c r="AB61" i="23" s="1"/>
  <c r="AA49" i="23"/>
  <c r="Z49" i="23"/>
  <c r="Y49" i="23"/>
  <c r="Y61" i="23" s="1"/>
  <c r="X49" i="23"/>
  <c r="W49" i="23"/>
  <c r="W61" i="23" s="1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I61" i="23" s="1"/>
  <c r="H49" i="23"/>
  <c r="G49" i="23"/>
  <c r="F49" i="23"/>
  <c r="E49" i="23"/>
  <c r="AI49" i="23" s="1"/>
  <c r="AH48" i="23"/>
  <c r="AG48" i="23"/>
  <c r="AF48" i="23"/>
  <c r="AE48" i="23"/>
  <c r="AD48" i="23"/>
  <c r="AC48" i="23"/>
  <c r="AB48" i="23"/>
  <c r="AA48" i="23"/>
  <c r="Z48" i="23"/>
  <c r="Y48" i="23"/>
  <c r="X48" i="23"/>
  <c r="W48" i="23"/>
  <c r="V48" i="23"/>
  <c r="U48" i="23"/>
  <c r="T48" i="23"/>
  <c r="S48" i="23"/>
  <c r="R48" i="23"/>
  <c r="Q48" i="23"/>
  <c r="P48" i="23"/>
  <c r="O48" i="23"/>
  <c r="N48" i="23"/>
  <c r="M48" i="23"/>
  <c r="L48" i="23"/>
  <c r="K48" i="23"/>
  <c r="J48" i="23"/>
  <c r="I48" i="23"/>
  <c r="H48" i="23"/>
  <c r="G48" i="23"/>
  <c r="F48" i="23"/>
  <c r="E48" i="23"/>
  <c r="AH47" i="23"/>
  <c r="AG47" i="23"/>
  <c r="AF47" i="23"/>
  <c r="AE47" i="23"/>
  <c r="AD47" i="23"/>
  <c r="AC47" i="23"/>
  <c r="AC61" i="23" s="1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E47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E46" i="23"/>
  <c r="AH45" i="23"/>
  <c r="AG45" i="23"/>
  <c r="AF45" i="23"/>
  <c r="AE45" i="23"/>
  <c r="AD45" i="23"/>
  <c r="AC45" i="23"/>
  <c r="AB45" i="23"/>
  <c r="AA45" i="23"/>
  <c r="Z45" i="23"/>
  <c r="Z61" i="23" s="1"/>
  <c r="Y45" i="23"/>
  <c r="X45" i="23"/>
  <c r="W45" i="23"/>
  <c r="V45" i="23"/>
  <c r="V61" i="23" s="1"/>
  <c r="U45" i="23"/>
  <c r="U61" i="23" s="1"/>
  <c r="T45" i="23"/>
  <c r="S45" i="23"/>
  <c r="R45" i="23"/>
  <c r="Q45" i="23"/>
  <c r="P45" i="23"/>
  <c r="O45" i="23"/>
  <c r="N45" i="23"/>
  <c r="M45" i="23"/>
  <c r="L45" i="23"/>
  <c r="L61" i="23" s="1"/>
  <c r="K45" i="23"/>
  <c r="J45" i="23"/>
  <c r="I45" i="23"/>
  <c r="H45" i="23"/>
  <c r="H61" i="23" s="1"/>
  <c r="G45" i="23"/>
  <c r="G61" i="23" s="1"/>
  <c r="F45" i="23"/>
  <c r="E45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AH42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AI35" i="23"/>
  <c r="AI34" i="23"/>
  <c r="AI33" i="23"/>
  <c r="AI32" i="23"/>
  <c r="AI30" i="23"/>
  <c r="AI29" i="23"/>
  <c r="AI28" i="23"/>
  <c r="AI27" i="23"/>
  <c r="AI26" i="23"/>
  <c r="AI25" i="23"/>
  <c r="AI24" i="23"/>
  <c r="AI23" i="23"/>
  <c r="AI21" i="23"/>
  <c r="AI20" i="23"/>
  <c r="AI19" i="23"/>
  <c r="AI18" i="23"/>
  <c r="AI17" i="23"/>
  <c r="AI16" i="23"/>
  <c r="AI15" i="23"/>
  <c r="AI14" i="23"/>
  <c r="AI13" i="23"/>
  <c r="AI12" i="23"/>
  <c r="AI11" i="23"/>
  <c r="AI10" i="23"/>
  <c r="AI9" i="23"/>
  <c r="AI8" i="23"/>
  <c r="AI7" i="23"/>
  <c r="AI6" i="23"/>
  <c r="AC79" i="22"/>
  <c r="AB79" i="22"/>
  <c r="H79" i="22"/>
  <c r="F79" i="22"/>
  <c r="AI78" i="22"/>
  <c r="AH78" i="22"/>
  <c r="AG78" i="22"/>
  <c r="AF78" i="22"/>
  <c r="AE78" i="22"/>
  <c r="AD78" i="22"/>
  <c r="AC78" i="22"/>
  <c r="AB78" i="22"/>
  <c r="AA78" i="22"/>
  <c r="Z78" i="22"/>
  <c r="Z79" i="22" s="1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N79" i="22" s="1"/>
  <c r="M77" i="22"/>
  <c r="L77" i="22"/>
  <c r="K77" i="22"/>
  <c r="K79" i="22" s="1"/>
  <c r="J77" i="22"/>
  <c r="I77" i="22"/>
  <c r="H77" i="22"/>
  <c r="G77" i="22"/>
  <c r="F77" i="22"/>
  <c r="E77" i="22"/>
  <c r="AI76" i="22"/>
  <c r="AH76" i="22"/>
  <c r="AH79" i="22" s="1"/>
  <c r="AG76" i="22"/>
  <c r="AF76" i="22"/>
  <c r="AF79" i="22" s="1"/>
  <c r="AE76" i="22"/>
  <c r="AE79" i="22" s="1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R79" i="22" s="1"/>
  <c r="Q76" i="22"/>
  <c r="Q79" i="22" s="1"/>
  <c r="P76" i="22"/>
  <c r="O76" i="22"/>
  <c r="O79" i="22" s="1"/>
  <c r="N76" i="22"/>
  <c r="M76" i="22"/>
  <c r="L76" i="22"/>
  <c r="K76" i="22"/>
  <c r="J76" i="22"/>
  <c r="I76" i="22"/>
  <c r="H76" i="22"/>
  <c r="G76" i="22"/>
  <c r="F76" i="22"/>
  <c r="E76" i="22"/>
  <c r="AJ76" i="22" s="1"/>
  <c r="AI75" i="22"/>
  <c r="AH75" i="22"/>
  <c r="AG75" i="22"/>
  <c r="AF75" i="22"/>
  <c r="AE75" i="22"/>
  <c r="AD75" i="22"/>
  <c r="AC75" i="22"/>
  <c r="AB75" i="22"/>
  <c r="AA75" i="22"/>
  <c r="AA79" i="22" s="1"/>
  <c r="Z75" i="22"/>
  <c r="Y75" i="22"/>
  <c r="X75" i="22"/>
  <c r="W75" i="22"/>
  <c r="W79" i="22" s="1"/>
  <c r="V75" i="22"/>
  <c r="V79" i="22" s="1"/>
  <c r="U75" i="22"/>
  <c r="U79" i="22" s="1"/>
  <c r="T75" i="22"/>
  <c r="T79" i="22" s="1"/>
  <c r="S75" i="22"/>
  <c r="R75" i="22"/>
  <c r="Q75" i="22"/>
  <c r="P75" i="22"/>
  <c r="O75" i="22"/>
  <c r="N75" i="22"/>
  <c r="M75" i="22"/>
  <c r="M79" i="22" s="1"/>
  <c r="L75" i="22"/>
  <c r="K75" i="22"/>
  <c r="J75" i="22"/>
  <c r="I75" i="22"/>
  <c r="I79" i="22" s="1"/>
  <c r="H75" i="22"/>
  <c r="G75" i="22"/>
  <c r="AJ75" i="22" s="1"/>
  <c r="F75" i="22"/>
  <c r="E75" i="22"/>
  <c r="AI74" i="22"/>
  <c r="X74" i="22"/>
  <c r="W74" i="22"/>
  <c r="U74" i="22"/>
  <c r="T74" i="22"/>
  <c r="E74" i="22"/>
  <c r="AI73" i="22"/>
  <c r="AH73" i="22"/>
  <c r="I73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AJ72" i="22" s="1"/>
  <c r="G72" i="22"/>
  <c r="F72" i="22"/>
  <c r="E72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AJ71" i="22" s="1"/>
  <c r="G71" i="22"/>
  <c r="F71" i="22"/>
  <c r="F73" i="22" s="1"/>
  <c r="E71" i="22"/>
  <c r="AI70" i="22"/>
  <c r="AH70" i="22"/>
  <c r="AG70" i="22"/>
  <c r="AF70" i="22"/>
  <c r="AE70" i="22"/>
  <c r="AD70" i="22"/>
  <c r="AC70" i="22"/>
  <c r="AB70" i="22"/>
  <c r="AA70" i="22"/>
  <c r="Z70" i="22"/>
  <c r="Y70" i="22"/>
  <c r="X70" i="22"/>
  <c r="W70" i="22"/>
  <c r="V70" i="22"/>
  <c r="U70" i="22"/>
  <c r="T70" i="22"/>
  <c r="S70" i="22"/>
  <c r="R70" i="22"/>
  <c r="Q70" i="22"/>
  <c r="P70" i="22"/>
  <c r="O70" i="22"/>
  <c r="N70" i="22"/>
  <c r="M70" i="22"/>
  <c r="L70" i="22"/>
  <c r="K70" i="22"/>
  <c r="J70" i="22"/>
  <c r="I70" i="22"/>
  <c r="I74" i="22" s="1"/>
  <c r="H70" i="22"/>
  <c r="AJ70" i="22" s="1"/>
  <c r="G70" i="22"/>
  <c r="F70" i="22"/>
  <c r="E70" i="22"/>
  <c r="AI69" i="22"/>
  <c r="AH69" i="22"/>
  <c r="AG69" i="22"/>
  <c r="AF69" i="22"/>
  <c r="AE69" i="22"/>
  <c r="AD69" i="22"/>
  <c r="AC69" i="22"/>
  <c r="AB69" i="22"/>
  <c r="AA69" i="22"/>
  <c r="Z69" i="22"/>
  <c r="Y69" i="22"/>
  <c r="X69" i="22"/>
  <c r="W69" i="22"/>
  <c r="V69" i="22"/>
  <c r="U69" i="22"/>
  <c r="T69" i="22"/>
  <c r="S69" i="22"/>
  <c r="R69" i="22"/>
  <c r="Q69" i="22"/>
  <c r="P69" i="22"/>
  <c r="O69" i="22"/>
  <c r="N69" i="22"/>
  <c r="M69" i="22"/>
  <c r="M73" i="22" s="1"/>
  <c r="L69" i="22"/>
  <c r="K69" i="22"/>
  <c r="J69" i="22"/>
  <c r="I69" i="22"/>
  <c r="H69" i="22"/>
  <c r="G69" i="22"/>
  <c r="F69" i="22"/>
  <c r="E69" i="22"/>
  <c r="AI68" i="22"/>
  <c r="AH68" i="22"/>
  <c r="AG68" i="22"/>
  <c r="AF68" i="22"/>
  <c r="AF74" i="22" s="1"/>
  <c r="AE68" i="22"/>
  <c r="AD68" i="22"/>
  <c r="AD74" i="22" s="1"/>
  <c r="AC68" i="22"/>
  <c r="AB68" i="22"/>
  <c r="AA68" i="22"/>
  <c r="Z68" i="22"/>
  <c r="Y68" i="22"/>
  <c r="X68" i="22"/>
  <c r="W68" i="22"/>
  <c r="V68" i="22"/>
  <c r="U68" i="22"/>
  <c r="T68" i="22"/>
  <c r="S68" i="22"/>
  <c r="S74" i="22" s="1"/>
  <c r="R68" i="22"/>
  <c r="R74" i="22" s="1"/>
  <c r="Q68" i="22"/>
  <c r="Q74" i="22" s="1"/>
  <c r="P68" i="22"/>
  <c r="O68" i="22"/>
  <c r="N68" i="22"/>
  <c r="M68" i="22"/>
  <c r="L68" i="22"/>
  <c r="K68" i="22"/>
  <c r="J68" i="22"/>
  <c r="I68" i="22"/>
  <c r="H68" i="22"/>
  <c r="G68" i="22"/>
  <c r="F68" i="22"/>
  <c r="E68" i="22"/>
  <c r="AI67" i="22"/>
  <c r="AH67" i="22"/>
  <c r="AG67" i="22"/>
  <c r="AF67" i="22"/>
  <c r="AE67" i="22"/>
  <c r="AD67" i="22"/>
  <c r="AC67" i="22"/>
  <c r="AB67" i="22"/>
  <c r="AA67" i="22"/>
  <c r="Z67" i="22"/>
  <c r="Y67" i="22"/>
  <c r="X67" i="22"/>
  <c r="X73" i="22" s="1"/>
  <c r="W67" i="22"/>
  <c r="V67" i="22"/>
  <c r="V73" i="22" s="1"/>
  <c r="U67" i="22"/>
  <c r="U73" i="22" s="1"/>
  <c r="T67" i="22"/>
  <c r="T73" i="22" s="1"/>
  <c r="S67" i="22"/>
  <c r="R67" i="22"/>
  <c r="Q67" i="22"/>
  <c r="P67" i="22"/>
  <c r="O67" i="22"/>
  <c r="N67" i="22"/>
  <c r="M67" i="22"/>
  <c r="L67" i="22"/>
  <c r="K67" i="22"/>
  <c r="J67" i="22"/>
  <c r="J73" i="22" s="1"/>
  <c r="I67" i="22"/>
  <c r="H67" i="22"/>
  <c r="H73" i="22" s="1"/>
  <c r="G67" i="22"/>
  <c r="F67" i="22"/>
  <c r="E67" i="22"/>
  <c r="AI66" i="22"/>
  <c r="AH66" i="22"/>
  <c r="AH74" i="22" s="1"/>
  <c r="AG66" i="22"/>
  <c r="AG74" i="22" s="1"/>
  <c r="AF66" i="22"/>
  <c r="AE66" i="22"/>
  <c r="AD66" i="22"/>
  <c r="AC66" i="22"/>
  <c r="AC74" i="22" s="1"/>
  <c r="AB66" i="22"/>
  <c r="AB74" i="22" s="1"/>
  <c r="AA66" i="22"/>
  <c r="Z66" i="22"/>
  <c r="Z74" i="22" s="1"/>
  <c r="Y66" i="22"/>
  <c r="Y74" i="22" s="1"/>
  <c r="X66" i="22"/>
  <c r="W66" i="22"/>
  <c r="V66" i="22"/>
  <c r="U66" i="22"/>
  <c r="T66" i="22"/>
  <c r="S66" i="22"/>
  <c r="R66" i="22"/>
  <c r="Q66" i="22"/>
  <c r="P66" i="22"/>
  <c r="O66" i="22"/>
  <c r="O74" i="22" s="1"/>
  <c r="N66" i="22"/>
  <c r="N74" i="22" s="1"/>
  <c r="M66" i="22"/>
  <c r="L66" i="22"/>
  <c r="L74" i="22" s="1"/>
  <c r="K66" i="22"/>
  <c r="K74" i="22" s="1"/>
  <c r="J66" i="22"/>
  <c r="J74" i="22" s="1"/>
  <c r="I66" i="22"/>
  <c r="H66" i="22"/>
  <c r="G66" i="22"/>
  <c r="F66" i="22"/>
  <c r="E66" i="22"/>
  <c r="AI65" i="22"/>
  <c r="AH65" i="22"/>
  <c r="AG65" i="22"/>
  <c r="AG73" i="22" s="1"/>
  <c r="AF65" i="22"/>
  <c r="AE65" i="22"/>
  <c r="AE73" i="22" s="1"/>
  <c r="AD65" i="22"/>
  <c r="AC65" i="22"/>
  <c r="AC73" i="22" s="1"/>
  <c r="AB65" i="22"/>
  <c r="AB73" i="22" s="1"/>
  <c r="AA65" i="22"/>
  <c r="Z65" i="22"/>
  <c r="Z73" i="22" s="1"/>
  <c r="Y65" i="22"/>
  <c r="X65" i="22"/>
  <c r="W65" i="22"/>
  <c r="W73" i="22" s="1"/>
  <c r="V65" i="22"/>
  <c r="U65" i="22"/>
  <c r="T65" i="22"/>
  <c r="S65" i="22"/>
  <c r="S73" i="22" s="1"/>
  <c r="R65" i="22"/>
  <c r="Q65" i="22"/>
  <c r="Q73" i="22" s="1"/>
  <c r="P65" i="22"/>
  <c r="O65" i="22"/>
  <c r="O73" i="22" s="1"/>
  <c r="N65" i="22"/>
  <c r="N73" i="22" s="1"/>
  <c r="M65" i="22"/>
  <c r="L65" i="22"/>
  <c r="L73" i="22" s="1"/>
  <c r="K65" i="22"/>
  <c r="J65" i="22"/>
  <c r="I65" i="22"/>
  <c r="H65" i="22"/>
  <c r="G65" i="22"/>
  <c r="F65" i="22"/>
  <c r="E65" i="22"/>
  <c r="AI62" i="22"/>
  <c r="U62" i="22"/>
  <c r="AI61" i="22"/>
  <c r="Q61" i="22"/>
  <c r="F61" i="22"/>
  <c r="AH60" i="22"/>
  <c r="AH62" i="22" s="1"/>
  <c r="I60" i="22"/>
  <c r="I62" i="22" s="1"/>
  <c r="G60" i="22"/>
  <c r="G62" i="22" s="1"/>
  <c r="AI59" i="22"/>
  <c r="AH59" i="22"/>
  <c r="AG59" i="22"/>
  <c r="AF59" i="22"/>
  <c r="AE59" i="22"/>
  <c r="AD59" i="22"/>
  <c r="AC59" i="22"/>
  <c r="AB59" i="22"/>
  <c r="AA59" i="22"/>
  <c r="Z59" i="22"/>
  <c r="Y59" i="22"/>
  <c r="X59" i="22"/>
  <c r="W59" i="22"/>
  <c r="V59" i="22"/>
  <c r="U59" i="22"/>
  <c r="T59" i="22"/>
  <c r="S59" i="22"/>
  <c r="R59" i="22"/>
  <c r="Q59" i="22"/>
  <c r="P59" i="22"/>
  <c r="O59" i="22"/>
  <c r="N59" i="22"/>
  <c r="M59" i="22"/>
  <c r="L59" i="22"/>
  <c r="K59" i="22"/>
  <c r="J59" i="22"/>
  <c r="I59" i="22"/>
  <c r="H59" i="22"/>
  <c r="G59" i="22"/>
  <c r="F59" i="22"/>
  <c r="E59" i="22"/>
  <c r="AI58" i="22"/>
  <c r="AH58" i="22"/>
  <c r="AG58" i="22"/>
  <c r="AF58" i="22"/>
  <c r="AE58" i="22"/>
  <c r="AD58" i="22"/>
  <c r="AC58" i="22"/>
  <c r="AC60" i="22" s="1"/>
  <c r="AC62" i="22" s="1"/>
  <c r="AB58" i="22"/>
  <c r="AA58" i="22"/>
  <c r="Z58" i="22"/>
  <c r="Y58" i="22"/>
  <c r="X58" i="22"/>
  <c r="W58" i="22"/>
  <c r="V58" i="22"/>
  <c r="U58" i="22"/>
  <c r="T58" i="22"/>
  <c r="S58" i="22"/>
  <c r="R58" i="22"/>
  <c r="Q58" i="22"/>
  <c r="P58" i="22"/>
  <c r="O58" i="22"/>
  <c r="O60" i="22" s="1"/>
  <c r="O62" i="22" s="1"/>
  <c r="N58" i="22"/>
  <c r="M58" i="22"/>
  <c r="L58" i="22"/>
  <c r="K58" i="22"/>
  <c r="J58" i="22"/>
  <c r="I58" i="22"/>
  <c r="H58" i="22"/>
  <c r="G58" i="22"/>
  <c r="F58" i="22"/>
  <c r="E58" i="22"/>
  <c r="AI57" i="22"/>
  <c r="AH57" i="22"/>
  <c r="AG57" i="22"/>
  <c r="AF57" i="22"/>
  <c r="AE57" i="22"/>
  <c r="AD57" i="22"/>
  <c r="AC57" i="22"/>
  <c r="AB57" i="22"/>
  <c r="AA57" i="22"/>
  <c r="Z57" i="22"/>
  <c r="Y57" i="22"/>
  <c r="X57" i="22"/>
  <c r="W57" i="22"/>
  <c r="V57" i="22"/>
  <c r="U57" i="22"/>
  <c r="T57" i="22"/>
  <c r="S57" i="22"/>
  <c r="R57" i="22"/>
  <c r="Q57" i="22"/>
  <c r="P57" i="22"/>
  <c r="O57" i="22"/>
  <c r="N57" i="22"/>
  <c r="M57" i="22"/>
  <c r="L57" i="22"/>
  <c r="K57" i="22"/>
  <c r="J57" i="22"/>
  <c r="I57" i="22"/>
  <c r="H57" i="22"/>
  <c r="G57" i="22"/>
  <c r="F57" i="22"/>
  <c r="E57" i="22"/>
  <c r="AI56" i="22"/>
  <c r="AH56" i="22"/>
  <c r="AG56" i="22"/>
  <c r="AF56" i="22"/>
  <c r="AE56" i="22"/>
  <c r="AD56" i="22"/>
  <c r="AC56" i="22"/>
  <c r="AB56" i="22"/>
  <c r="AA56" i="22"/>
  <c r="Z56" i="22"/>
  <c r="Z60" i="22" s="1"/>
  <c r="Z62" i="22" s="1"/>
  <c r="Y56" i="22"/>
  <c r="X56" i="22"/>
  <c r="W56" i="22"/>
  <c r="W60" i="22" s="1"/>
  <c r="W62" i="22" s="1"/>
  <c r="V56" i="22"/>
  <c r="V60" i="22" s="1"/>
  <c r="V62" i="22" s="1"/>
  <c r="U56" i="22"/>
  <c r="U60" i="22" s="1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AJ56" i="22" s="1"/>
  <c r="G56" i="22"/>
  <c r="F56" i="22"/>
  <c r="E56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L60" i="22" s="1"/>
  <c r="L62" i="22" s="1"/>
  <c r="K54" i="22"/>
  <c r="J54" i="22"/>
  <c r="I54" i="22"/>
  <c r="H54" i="22"/>
  <c r="G54" i="22"/>
  <c r="F54" i="22"/>
  <c r="E54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U61" i="22" s="1"/>
  <c r="T53" i="22"/>
  <c r="T61" i="22" s="1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AI52" i="22"/>
  <c r="AI60" i="22" s="1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AJ50" i="22" s="1"/>
  <c r="AI49" i="22"/>
  <c r="AH49" i="22"/>
  <c r="AG49" i="22"/>
  <c r="AF49" i="22"/>
  <c r="AF61" i="22" s="1"/>
  <c r="AE49" i="22"/>
  <c r="AD49" i="22"/>
  <c r="AC49" i="22"/>
  <c r="AB49" i="22"/>
  <c r="AA49" i="22"/>
  <c r="Z49" i="22"/>
  <c r="Y49" i="22"/>
  <c r="X49" i="22"/>
  <c r="W49" i="22"/>
  <c r="V49" i="22"/>
  <c r="V61" i="22" s="1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AI48" i="22"/>
  <c r="AH48" i="22"/>
  <c r="AG48" i="22"/>
  <c r="AF48" i="22"/>
  <c r="AE48" i="22"/>
  <c r="AD48" i="22"/>
  <c r="AC48" i="22"/>
  <c r="AB48" i="22"/>
  <c r="AA48" i="22"/>
  <c r="Z48" i="22"/>
  <c r="Y48" i="22"/>
  <c r="X48" i="22"/>
  <c r="W48" i="22"/>
  <c r="V48" i="22"/>
  <c r="U48" i="22"/>
  <c r="T48" i="22"/>
  <c r="S48" i="22"/>
  <c r="R48" i="22"/>
  <c r="Q48" i="22"/>
  <c r="P48" i="22"/>
  <c r="O48" i="22"/>
  <c r="N48" i="22"/>
  <c r="M48" i="22"/>
  <c r="L48" i="22"/>
  <c r="K48" i="22"/>
  <c r="J48" i="22"/>
  <c r="I48" i="22"/>
  <c r="H48" i="22"/>
  <c r="AJ48" i="22" s="1"/>
  <c r="G48" i="22"/>
  <c r="F48" i="22"/>
  <c r="E48" i="22"/>
  <c r="AI47" i="22"/>
  <c r="AH47" i="22"/>
  <c r="AG47" i="22"/>
  <c r="AF47" i="22"/>
  <c r="AE47" i="22"/>
  <c r="AD47" i="22"/>
  <c r="AC47" i="22"/>
  <c r="AB47" i="22"/>
  <c r="AA47" i="22"/>
  <c r="Z47" i="22"/>
  <c r="Y47" i="22"/>
  <c r="X47" i="22"/>
  <c r="W47" i="22"/>
  <c r="V47" i="22"/>
  <c r="U47" i="22"/>
  <c r="T47" i="22"/>
  <c r="S47" i="22"/>
  <c r="R47" i="22"/>
  <c r="Q47" i="22"/>
  <c r="P47" i="22"/>
  <c r="O47" i="22"/>
  <c r="N47" i="22"/>
  <c r="M47" i="22"/>
  <c r="L47" i="22"/>
  <c r="K47" i="22"/>
  <c r="J47" i="22"/>
  <c r="I47" i="22"/>
  <c r="H47" i="22"/>
  <c r="G47" i="22"/>
  <c r="F47" i="22"/>
  <c r="E47" i="22"/>
  <c r="AI46" i="22"/>
  <c r="AH46" i="22"/>
  <c r="AG46" i="22"/>
  <c r="AF46" i="22"/>
  <c r="AE46" i="22"/>
  <c r="AD46" i="22"/>
  <c r="AC46" i="22"/>
  <c r="AB46" i="22"/>
  <c r="AA46" i="22"/>
  <c r="Z46" i="22"/>
  <c r="Y46" i="22"/>
  <c r="X46" i="22"/>
  <c r="W46" i="22"/>
  <c r="V46" i="22"/>
  <c r="U46" i="22"/>
  <c r="T46" i="22"/>
  <c r="S46" i="22"/>
  <c r="R46" i="22"/>
  <c r="Q46" i="22"/>
  <c r="P46" i="22"/>
  <c r="O46" i="22"/>
  <c r="N46" i="22"/>
  <c r="M46" i="22"/>
  <c r="L46" i="22"/>
  <c r="K46" i="22"/>
  <c r="J46" i="22"/>
  <c r="I46" i="22"/>
  <c r="H46" i="22"/>
  <c r="G46" i="22"/>
  <c r="F46" i="22"/>
  <c r="E46" i="22"/>
  <c r="AJ46" i="22" s="1"/>
  <c r="AI45" i="22"/>
  <c r="AH45" i="22"/>
  <c r="AH61" i="22" s="1"/>
  <c r="AG45" i="22"/>
  <c r="AG61" i="22" s="1"/>
  <c r="AF45" i="22"/>
  <c r="AE45" i="22"/>
  <c r="AD45" i="22"/>
  <c r="AC45" i="22"/>
  <c r="AB45" i="22"/>
  <c r="AA45" i="22"/>
  <c r="Z45" i="22"/>
  <c r="Y45" i="22"/>
  <c r="Y61" i="22" s="1"/>
  <c r="X45" i="22"/>
  <c r="W45" i="22"/>
  <c r="V45" i="22"/>
  <c r="U45" i="22"/>
  <c r="T45" i="22"/>
  <c r="S45" i="22"/>
  <c r="S61" i="22" s="1"/>
  <c r="R45" i="22"/>
  <c r="Q45" i="22"/>
  <c r="P45" i="22"/>
  <c r="O45" i="22"/>
  <c r="N45" i="22"/>
  <c r="M45" i="22"/>
  <c r="L45" i="22"/>
  <c r="K45" i="22"/>
  <c r="K61" i="22" s="1"/>
  <c r="J45" i="22"/>
  <c r="I45" i="22"/>
  <c r="H45" i="22"/>
  <c r="G45" i="22"/>
  <c r="F45" i="22"/>
  <c r="E45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AH42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AJ35" i="22"/>
  <c r="AJ34" i="22"/>
  <c r="AJ33" i="22"/>
  <c r="AJ32" i="22"/>
  <c r="AJ30" i="22"/>
  <c r="AJ29" i="22"/>
  <c r="AJ28" i="22"/>
  <c r="AJ27" i="22"/>
  <c r="AJ26" i="22"/>
  <c r="AJ25" i="22"/>
  <c r="AJ24" i="22"/>
  <c r="AJ23" i="22"/>
  <c r="AJ21" i="22"/>
  <c r="AJ20" i="22"/>
  <c r="AJ19" i="22"/>
  <c r="AJ18" i="22"/>
  <c r="AJ17" i="22"/>
  <c r="AJ16" i="22"/>
  <c r="AJ15" i="22"/>
  <c r="AJ14" i="22"/>
  <c r="AJ13" i="22"/>
  <c r="AJ12" i="22"/>
  <c r="AJ11" i="22"/>
  <c r="AJ10" i="22"/>
  <c r="AJ9" i="22"/>
  <c r="AJ8" i="22"/>
  <c r="AJ7" i="22"/>
  <c r="AJ6" i="22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AI94" i="21" s="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AH79" i="21"/>
  <c r="W79" i="21"/>
  <c r="V79" i="21"/>
  <c r="I79" i="21"/>
  <c r="H79" i="21"/>
  <c r="G79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AI78" i="21" s="1"/>
  <c r="F78" i="21"/>
  <c r="E78" i="21"/>
  <c r="AH77" i="21"/>
  <c r="AG77" i="21"/>
  <c r="AF77" i="21"/>
  <c r="AE77" i="21"/>
  <c r="AD77" i="21"/>
  <c r="AC77" i="21"/>
  <c r="AB77" i="21"/>
  <c r="AA77" i="21"/>
  <c r="Z77" i="21"/>
  <c r="Y77" i="21"/>
  <c r="Y79" i="21" s="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AI77" i="21" s="1"/>
  <c r="AH76" i="21"/>
  <c r="AG76" i="21"/>
  <c r="AF76" i="21"/>
  <c r="AE76" i="21"/>
  <c r="AD76" i="21"/>
  <c r="AC76" i="21"/>
  <c r="AC79" i="21" s="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AH75" i="21"/>
  <c r="AG75" i="21"/>
  <c r="AG79" i="21" s="1"/>
  <c r="AF75" i="21"/>
  <c r="AE75" i="21"/>
  <c r="AE79" i="21" s="1"/>
  <c r="AD75" i="21"/>
  <c r="AD79" i="21" s="1"/>
  <c r="AC75" i="21"/>
  <c r="AB75" i="21"/>
  <c r="AA75" i="21"/>
  <c r="AA79" i="21" s="1"/>
  <c r="Z75" i="21"/>
  <c r="Y75" i="21"/>
  <c r="X75" i="21"/>
  <c r="W75" i="21"/>
  <c r="V75" i="21"/>
  <c r="U75" i="21"/>
  <c r="U79" i="21" s="1"/>
  <c r="T75" i="21"/>
  <c r="T79" i="21" s="1"/>
  <c r="S75" i="21"/>
  <c r="S79" i="21" s="1"/>
  <c r="R75" i="21"/>
  <c r="Q75" i="21"/>
  <c r="Q79" i="21" s="1"/>
  <c r="P75" i="21"/>
  <c r="P79" i="21" s="1"/>
  <c r="O75" i="21"/>
  <c r="N75" i="21"/>
  <c r="M75" i="21"/>
  <c r="M79" i="21" s="1"/>
  <c r="L75" i="21"/>
  <c r="K75" i="21"/>
  <c r="K79" i="21" s="1"/>
  <c r="J75" i="21"/>
  <c r="I75" i="21"/>
  <c r="H75" i="21"/>
  <c r="G75" i="21"/>
  <c r="AI75" i="21" s="1"/>
  <c r="F75" i="21"/>
  <c r="F79" i="21" s="1"/>
  <c r="E75" i="21"/>
  <c r="E79" i="21" s="1"/>
  <c r="AH74" i="21"/>
  <c r="S74" i="21"/>
  <c r="H74" i="21"/>
  <c r="G74" i="21"/>
  <c r="AH73" i="21"/>
  <c r="X73" i="21"/>
  <c r="S73" i="21"/>
  <c r="G73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U74" i="21" s="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AI72" i="21" s="1"/>
  <c r="F72" i="21"/>
  <c r="E72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W73" i="21" s="1"/>
  <c r="V69" i="21"/>
  <c r="V73" i="21" s="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AI69" i="21" s="1"/>
  <c r="E69" i="21"/>
  <c r="AH68" i="21"/>
  <c r="AG68" i="21"/>
  <c r="AF68" i="21"/>
  <c r="AE68" i="21"/>
  <c r="AD68" i="21"/>
  <c r="AC68" i="21"/>
  <c r="AB68" i="21"/>
  <c r="AA68" i="21"/>
  <c r="Z68" i="21"/>
  <c r="Y68" i="21"/>
  <c r="X68" i="21"/>
  <c r="X74" i="21" s="1"/>
  <c r="W68" i="21"/>
  <c r="W74" i="21" s="1"/>
  <c r="V68" i="21"/>
  <c r="V74" i="21" s="1"/>
  <c r="U68" i="21"/>
  <c r="T68" i="21"/>
  <c r="T74" i="21" s="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M73" i="21" s="1"/>
  <c r="L67" i="21"/>
  <c r="K67" i="21"/>
  <c r="J67" i="21"/>
  <c r="I67" i="21"/>
  <c r="I73" i="21" s="1"/>
  <c r="H67" i="21"/>
  <c r="G67" i="21"/>
  <c r="F67" i="21"/>
  <c r="AI67" i="21" s="1"/>
  <c r="E67" i="21"/>
  <c r="AH66" i="21"/>
  <c r="AG66" i="21"/>
  <c r="AG74" i="21" s="1"/>
  <c r="AF66" i="21"/>
  <c r="AF74" i="21" s="1"/>
  <c r="AE66" i="21"/>
  <c r="AD66" i="21"/>
  <c r="AD74" i="21" s="1"/>
  <c r="AC66" i="21"/>
  <c r="AC74" i="21" s="1"/>
  <c r="AB66" i="21"/>
  <c r="AB74" i="21" s="1"/>
  <c r="AA66" i="21"/>
  <c r="AA74" i="21" s="1"/>
  <c r="Z66" i="21"/>
  <c r="Y66" i="21"/>
  <c r="X66" i="21"/>
  <c r="W66" i="21"/>
  <c r="V66" i="21"/>
  <c r="U66" i="21"/>
  <c r="T66" i="21"/>
  <c r="S66" i="21"/>
  <c r="R66" i="21"/>
  <c r="R74" i="21" s="1"/>
  <c r="Q66" i="21"/>
  <c r="P66" i="21"/>
  <c r="O66" i="21"/>
  <c r="O74" i="21" s="1"/>
  <c r="N66" i="21"/>
  <c r="N74" i="21" s="1"/>
  <c r="M66" i="21"/>
  <c r="M74" i="21" s="1"/>
  <c r="L66" i="21"/>
  <c r="K66" i="21"/>
  <c r="J66" i="21"/>
  <c r="J74" i="21" s="1"/>
  <c r="I66" i="21"/>
  <c r="H66" i="21"/>
  <c r="G66" i="21"/>
  <c r="F66" i="21"/>
  <c r="E66" i="21"/>
  <c r="AH65" i="21"/>
  <c r="AG65" i="21"/>
  <c r="AG73" i="21" s="1"/>
  <c r="AF65" i="21"/>
  <c r="AF73" i="21" s="1"/>
  <c r="AE65" i="21"/>
  <c r="AE73" i="21" s="1"/>
  <c r="AD65" i="21"/>
  <c r="AC65" i="21"/>
  <c r="AB65" i="21"/>
  <c r="AA65" i="21"/>
  <c r="AA73" i="21" s="1"/>
  <c r="Z65" i="21"/>
  <c r="Y65" i="21"/>
  <c r="X65" i="21"/>
  <c r="W65" i="21"/>
  <c r="V65" i="21"/>
  <c r="U65" i="21"/>
  <c r="U73" i="21" s="1"/>
  <c r="T65" i="21"/>
  <c r="S65" i="21"/>
  <c r="R65" i="21"/>
  <c r="R73" i="21" s="1"/>
  <c r="Q65" i="21"/>
  <c r="Q73" i="21" s="1"/>
  <c r="P65" i="21"/>
  <c r="O65" i="21"/>
  <c r="N65" i="21"/>
  <c r="M65" i="21"/>
  <c r="L65" i="21"/>
  <c r="K65" i="21"/>
  <c r="K73" i="21" s="1"/>
  <c r="J65" i="21"/>
  <c r="I65" i="21"/>
  <c r="H65" i="21"/>
  <c r="H73" i="21" s="1"/>
  <c r="G65" i="21"/>
  <c r="AI65" i="21" s="1"/>
  <c r="F65" i="21"/>
  <c r="E65" i="21"/>
  <c r="E73" i="21" s="1"/>
  <c r="G61" i="21"/>
  <c r="Q60" i="21"/>
  <c r="Q62" i="21" s="1"/>
  <c r="G60" i="21"/>
  <c r="G62" i="21" s="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AH58" i="21"/>
  <c r="AG58" i="21"/>
  <c r="AF58" i="21"/>
  <c r="AF60" i="21" s="1"/>
  <c r="AF62" i="21" s="1"/>
  <c r="AE58" i="21"/>
  <c r="AD58" i="21"/>
  <c r="AC58" i="21"/>
  <c r="AB58" i="21"/>
  <c r="AA58" i="21"/>
  <c r="Z58" i="21"/>
  <c r="Y58" i="21"/>
  <c r="X58" i="21"/>
  <c r="W58" i="21"/>
  <c r="V58" i="21"/>
  <c r="U58" i="21"/>
  <c r="U60" i="21" s="1"/>
  <c r="U62" i="21" s="1"/>
  <c r="T58" i="21"/>
  <c r="S58" i="21"/>
  <c r="R58" i="21"/>
  <c r="R60" i="21" s="1"/>
  <c r="R62" i="21" s="1"/>
  <c r="Q58" i="21"/>
  <c r="P58" i="21"/>
  <c r="P60" i="21" s="1"/>
  <c r="P62" i="21" s="1"/>
  <c r="O58" i="21"/>
  <c r="N58" i="21"/>
  <c r="M58" i="21"/>
  <c r="L58" i="21"/>
  <c r="K58" i="21"/>
  <c r="J58" i="21"/>
  <c r="I58" i="21"/>
  <c r="H58" i="21"/>
  <c r="G58" i="21"/>
  <c r="AI58" i="21" s="1"/>
  <c r="F58" i="21"/>
  <c r="E58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U61" i="21" s="1"/>
  <c r="T57" i="21"/>
  <c r="S57" i="21"/>
  <c r="R57" i="21"/>
  <c r="Q57" i="21"/>
  <c r="P57" i="21"/>
  <c r="O57" i="21"/>
  <c r="N57" i="21"/>
  <c r="M57" i="21"/>
  <c r="L57" i="21"/>
  <c r="K57" i="21"/>
  <c r="J57" i="21"/>
  <c r="J61" i="21" s="1"/>
  <c r="I57" i="21"/>
  <c r="H57" i="21"/>
  <c r="G57" i="21"/>
  <c r="AI57" i="21" s="1"/>
  <c r="F57" i="21"/>
  <c r="E57" i="21"/>
  <c r="AH56" i="21"/>
  <c r="AG56" i="21"/>
  <c r="AF56" i="21"/>
  <c r="AE56" i="21"/>
  <c r="AD56" i="21"/>
  <c r="AC56" i="21"/>
  <c r="AC60" i="21" s="1"/>
  <c r="AC62" i="21" s="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O60" i="21" s="1"/>
  <c r="O62" i="21" s="1"/>
  <c r="N56" i="21"/>
  <c r="M56" i="21"/>
  <c r="L56" i="21"/>
  <c r="K56" i="21"/>
  <c r="J56" i="21"/>
  <c r="I56" i="21"/>
  <c r="H56" i="21"/>
  <c r="G56" i="21"/>
  <c r="F56" i="21"/>
  <c r="E56" i="21"/>
  <c r="AH55" i="21"/>
  <c r="AH92" i="21" s="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AH54" i="21"/>
  <c r="AG54" i="21"/>
  <c r="AF54" i="21"/>
  <c r="AE54" i="21"/>
  <c r="AD54" i="21"/>
  <c r="AC54" i="21"/>
  <c r="AB54" i="21"/>
  <c r="AA54" i="21"/>
  <c r="Z54" i="21"/>
  <c r="Y54" i="21"/>
  <c r="Y60" i="21" s="1"/>
  <c r="Y62" i="21" s="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K60" i="21" s="1"/>
  <c r="K62" i="21" s="1"/>
  <c r="J54" i="21"/>
  <c r="I54" i="21"/>
  <c r="H54" i="21"/>
  <c r="G54" i="21"/>
  <c r="F54" i="21"/>
  <c r="E54" i="21"/>
  <c r="AH53" i="21"/>
  <c r="AG53" i="21"/>
  <c r="AF53" i="21"/>
  <c r="AF61" i="21" s="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AI53" i="21" s="1"/>
  <c r="E53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AI52" i="21" s="1"/>
  <c r="E52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AH50" i="21"/>
  <c r="AG50" i="21"/>
  <c r="AF50" i="21"/>
  <c r="AE50" i="21"/>
  <c r="AD50" i="21"/>
  <c r="AD60" i="21" s="1"/>
  <c r="AD62" i="21" s="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AH47" i="21"/>
  <c r="AG47" i="21"/>
  <c r="AF47" i="21"/>
  <c r="AE47" i="21"/>
  <c r="AD47" i="21"/>
  <c r="AC47" i="21"/>
  <c r="AB47" i="21"/>
  <c r="AA47" i="21"/>
  <c r="AA61" i="21" s="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M61" i="21" s="1"/>
  <c r="L47" i="21"/>
  <c r="K47" i="21"/>
  <c r="J47" i="21"/>
  <c r="I47" i="21"/>
  <c r="H47" i="21"/>
  <c r="G47" i="21"/>
  <c r="F47" i="21"/>
  <c r="E47" i="21"/>
  <c r="AH46" i="21"/>
  <c r="AG46" i="21"/>
  <c r="AF46" i="21"/>
  <c r="AE46" i="21"/>
  <c r="AD46" i="21"/>
  <c r="AC46" i="21"/>
  <c r="AB46" i="21"/>
  <c r="AB60" i="21" s="1"/>
  <c r="AB62" i="21" s="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N60" i="21" s="1"/>
  <c r="N62" i="21" s="1"/>
  <c r="M46" i="21"/>
  <c r="L46" i="21"/>
  <c r="K46" i="21"/>
  <c r="J46" i="21"/>
  <c r="I46" i="21"/>
  <c r="H46" i="21"/>
  <c r="G46" i="21"/>
  <c r="F46" i="21"/>
  <c r="E46" i="21"/>
  <c r="AH45" i="21"/>
  <c r="AG45" i="21"/>
  <c r="AF45" i="21"/>
  <c r="AE45" i="21"/>
  <c r="AE61" i="21" s="1"/>
  <c r="AD45" i="21"/>
  <c r="AC45" i="21"/>
  <c r="AB45" i="21"/>
  <c r="AA45" i="21"/>
  <c r="Z45" i="21"/>
  <c r="Z61" i="21" s="1"/>
  <c r="Y45" i="21"/>
  <c r="X45" i="21"/>
  <c r="X61" i="21" s="1"/>
  <c r="W45" i="21"/>
  <c r="V45" i="21"/>
  <c r="U45" i="21"/>
  <c r="T45" i="21"/>
  <c r="S45" i="21"/>
  <c r="R45" i="21"/>
  <c r="Q45" i="21"/>
  <c r="Q61" i="21" s="1"/>
  <c r="P45" i="21"/>
  <c r="O45" i="21"/>
  <c r="N45" i="21"/>
  <c r="M45" i="21"/>
  <c r="L45" i="21"/>
  <c r="L61" i="21" s="1"/>
  <c r="K45" i="21"/>
  <c r="J45" i="21"/>
  <c r="I45" i="21"/>
  <c r="H45" i="21"/>
  <c r="G45" i="21"/>
  <c r="F45" i="21"/>
  <c r="E45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AH42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AI36" i="21"/>
  <c r="AJ36" i="21" s="1"/>
  <c r="AI35" i="21"/>
  <c r="AI34" i="21"/>
  <c r="AI33" i="21"/>
  <c r="AI32" i="21"/>
  <c r="AI30" i="21"/>
  <c r="AI29" i="21"/>
  <c r="AI28" i="21"/>
  <c r="AI27" i="21"/>
  <c r="AI26" i="21"/>
  <c r="AI25" i="21"/>
  <c r="AI24" i="21"/>
  <c r="AI23" i="21"/>
  <c r="AI21" i="21"/>
  <c r="AI20" i="21"/>
  <c r="AI19" i="21"/>
  <c r="AI18" i="21"/>
  <c r="AI17" i="21"/>
  <c r="AI16" i="21"/>
  <c r="AI15" i="21"/>
  <c r="AI14" i="21"/>
  <c r="AI13" i="21"/>
  <c r="AI12" i="21"/>
  <c r="AI11" i="21"/>
  <c r="AI10" i="21"/>
  <c r="AI9" i="21"/>
  <c r="AI8" i="21"/>
  <c r="AI7" i="21"/>
  <c r="AI6" i="21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AI90" i="20"/>
  <c r="AH90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AC79" i="20"/>
  <c r="X79" i="20"/>
  <c r="N79" i="20"/>
  <c r="K79" i="20"/>
  <c r="H79" i="20"/>
  <c r="AI78" i="20"/>
  <c r="AH78" i="20"/>
  <c r="AG78" i="20"/>
  <c r="AF78" i="20"/>
  <c r="AF79" i="20" s="1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AI77" i="20"/>
  <c r="AH77" i="20"/>
  <c r="AG77" i="20"/>
  <c r="AF77" i="20"/>
  <c r="AE77" i="20"/>
  <c r="AD77" i="20"/>
  <c r="AC77" i="20"/>
  <c r="AB77" i="20"/>
  <c r="AB79" i="20" s="1"/>
  <c r="AA77" i="20"/>
  <c r="Z77" i="20"/>
  <c r="Y77" i="20"/>
  <c r="X77" i="20"/>
  <c r="W77" i="20"/>
  <c r="V77" i="20"/>
  <c r="U77" i="20"/>
  <c r="T77" i="20"/>
  <c r="S77" i="20"/>
  <c r="R77" i="20"/>
  <c r="Q77" i="20"/>
  <c r="P77" i="20"/>
  <c r="P79" i="20" s="1"/>
  <c r="O77" i="20"/>
  <c r="N77" i="20"/>
  <c r="M77" i="20"/>
  <c r="L77" i="20"/>
  <c r="K77" i="20"/>
  <c r="J77" i="20"/>
  <c r="I77" i="20"/>
  <c r="H77" i="20"/>
  <c r="G77" i="20"/>
  <c r="F77" i="20"/>
  <c r="E77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AI75" i="20"/>
  <c r="AI79" i="20" s="1"/>
  <c r="AL70" i="20" s="1"/>
  <c r="AH75" i="20"/>
  <c r="AH79" i="20" s="1"/>
  <c r="AG75" i="20"/>
  <c r="AG79" i="20" s="1"/>
  <c r="AF75" i="20"/>
  <c r="AE75" i="20"/>
  <c r="AD75" i="20"/>
  <c r="AD79" i="20" s="1"/>
  <c r="AC75" i="20"/>
  <c r="AB75" i="20"/>
  <c r="AA75" i="20"/>
  <c r="Z75" i="20"/>
  <c r="Y75" i="20"/>
  <c r="Y79" i="20" s="1"/>
  <c r="X75" i="20"/>
  <c r="W75" i="20"/>
  <c r="V75" i="20"/>
  <c r="V79" i="20" s="1"/>
  <c r="U75" i="20"/>
  <c r="U79" i="20" s="1"/>
  <c r="T75" i="20"/>
  <c r="T79" i="20" s="1"/>
  <c r="S75" i="20"/>
  <c r="S79" i="20" s="1"/>
  <c r="R75" i="20"/>
  <c r="Q75" i="20"/>
  <c r="P75" i="20"/>
  <c r="O75" i="20"/>
  <c r="N75" i="20"/>
  <c r="M75" i="20"/>
  <c r="L75" i="20"/>
  <c r="K75" i="20"/>
  <c r="J75" i="20"/>
  <c r="J79" i="20" s="1"/>
  <c r="I75" i="20"/>
  <c r="H75" i="20"/>
  <c r="G75" i="20"/>
  <c r="G79" i="20" s="1"/>
  <c r="F75" i="20"/>
  <c r="F79" i="20" s="1"/>
  <c r="E75" i="20"/>
  <c r="AA74" i="20"/>
  <c r="S74" i="20"/>
  <c r="G74" i="20"/>
  <c r="AI73" i="20"/>
  <c r="AL69" i="20" s="1"/>
  <c r="AF73" i="20"/>
  <c r="AD73" i="20"/>
  <c r="X73" i="20"/>
  <c r="R73" i="20"/>
  <c r="Q73" i="20"/>
  <c r="P73" i="20"/>
  <c r="J73" i="20"/>
  <c r="I73" i="20"/>
  <c r="E73" i="20"/>
  <c r="AI72" i="20"/>
  <c r="AH72" i="20"/>
  <c r="AH74" i="20" s="1"/>
  <c r="AG72" i="20"/>
  <c r="AF72" i="20"/>
  <c r="AE72" i="20"/>
  <c r="AE74" i="20" s="1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I74" i="20" s="1"/>
  <c r="H72" i="20"/>
  <c r="G72" i="20"/>
  <c r="F72" i="20"/>
  <c r="E72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AI70" i="20"/>
  <c r="AH70" i="20"/>
  <c r="AG70" i="20"/>
  <c r="AF70" i="20"/>
  <c r="AE70" i="20"/>
  <c r="AD70" i="20"/>
  <c r="AD74" i="20" s="1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P74" i="20" s="1"/>
  <c r="O70" i="20"/>
  <c r="N70" i="20"/>
  <c r="M70" i="20"/>
  <c r="L70" i="20"/>
  <c r="K70" i="20"/>
  <c r="J70" i="20"/>
  <c r="I70" i="20"/>
  <c r="H70" i="20"/>
  <c r="G70" i="20"/>
  <c r="F70" i="20"/>
  <c r="E70" i="20"/>
  <c r="AI69" i="20"/>
  <c r="AH69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AI68" i="20"/>
  <c r="AH68" i="20"/>
  <c r="AG68" i="20"/>
  <c r="AF68" i="20"/>
  <c r="AE68" i="20"/>
  <c r="AD68" i="20"/>
  <c r="AC68" i="20"/>
  <c r="AB68" i="20"/>
  <c r="AA68" i="20"/>
  <c r="Z68" i="20"/>
  <c r="Z74" i="20" s="1"/>
  <c r="Y68" i="20"/>
  <c r="X68" i="20"/>
  <c r="W68" i="20"/>
  <c r="V68" i="20"/>
  <c r="V74" i="20" s="1"/>
  <c r="U68" i="20"/>
  <c r="T68" i="20"/>
  <c r="T74" i="20" s="1"/>
  <c r="S68" i="20"/>
  <c r="R68" i="20"/>
  <c r="Q68" i="20"/>
  <c r="P68" i="20"/>
  <c r="O68" i="20"/>
  <c r="N68" i="20"/>
  <c r="M68" i="20"/>
  <c r="L68" i="20"/>
  <c r="L74" i="20" s="1"/>
  <c r="K68" i="20"/>
  <c r="J68" i="20"/>
  <c r="I68" i="20"/>
  <c r="H68" i="20"/>
  <c r="H74" i="20" s="1"/>
  <c r="G68" i="20"/>
  <c r="F68" i="20"/>
  <c r="E68" i="20"/>
  <c r="AI67" i="20"/>
  <c r="AH67" i="20"/>
  <c r="AG67" i="20"/>
  <c r="AF67" i="20"/>
  <c r="AE67" i="20"/>
  <c r="AD67" i="20"/>
  <c r="AC67" i="20"/>
  <c r="AC73" i="20" s="1"/>
  <c r="AB67" i="20"/>
  <c r="AA67" i="20"/>
  <c r="AA73" i="20" s="1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M73" i="20" s="1"/>
  <c r="L67" i="20"/>
  <c r="L73" i="20" s="1"/>
  <c r="K67" i="20"/>
  <c r="J67" i="20"/>
  <c r="I67" i="20"/>
  <c r="H67" i="20"/>
  <c r="G67" i="20"/>
  <c r="F67" i="20"/>
  <c r="E67" i="20"/>
  <c r="AI66" i="20"/>
  <c r="AH66" i="20"/>
  <c r="AG66" i="20"/>
  <c r="AG74" i="20" s="1"/>
  <c r="AF66" i="20"/>
  <c r="AF74" i="20" s="1"/>
  <c r="AE66" i="20"/>
  <c r="AD66" i="20"/>
  <c r="AC66" i="20"/>
  <c r="AC74" i="20" s="1"/>
  <c r="AB66" i="20"/>
  <c r="AA66" i="20"/>
  <c r="Z66" i="20"/>
  <c r="Y66" i="20"/>
  <c r="X66" i="20"/>
  <c r="X74" i="20" s="1"/>
  <c r="W66" i="20"/>
  <c r="V66" i="20"/>
  <c r="U66" i="20"/>
  <c r="T66" i="20"/>
  <c r="S66" i="20"/>
  <c r="R66" i="20"/>
  <c r="R74" i="20" s="1"/>
  <c r="Q66" i="20"/>
  <c r="Q74" i="20" s="1"/>
  <c r="P66" i="20"/>
  <c r="O66" i="20"/>
  <c r="O74" i="20" s="1"/>
  <c r="N66" i="20"/>
  <c r="M66" i="20"/>
  <c r="M74" i="20" s="1"/>
  <c r="L66" i="20"/>
  <c r="K66" i="20"/>
  <c r="J66" i="20"/>
  <c r="J74" i="20" s="1"/>
  <c r="I66" i="20"/>
  <c r="H66" i="20"/>
  <c r="G66" i="20"/>
  <c r="F66" i="20"/>
  <c r="E66" i="20"/>
  <c r="AI65" i="20"/>
  <c r="AH65" i="20"/>
  <c r="AG65" i="20"/>
  <c r="AG73" i="20" s="1"/>
  <c r="AF65" i="20"/>
  <c r="AE65" i="20"/>
  <c r="AE73" i="20" s="1"/>
  <c r="AD65" i="20"/>
  <c r="AC65" i="20"/>
  <c r="AB65" i="20"/>
  <c r="AA65" i="20"/>
  <c r="Z65" i="20"/>
  <c r="Y65" i="20"/>
  <c r="Y73" i="20" s="1"/>
  <c r="X65" i="20"/>
  <c r="W65" i="20"/>
  <c r="W73" i="20" s="1"/>
  <c r="V65" i="20"/>
  <c r="V73" i="20" s="1"/>
  <c r="U65" i="20"/>
  <c r="T65" i="20"/>
  <c r="S65" i="20"/>
  <c r="S73" i="20" s="1"/>
  <c r="R65" i="20"/>
  <c r="Q65" i="20"/>
  <c r="P65" i="20"/>
  <c r="O65" i="20"/>
  <c r="N65" i="20"/>
  <c r="M65" i="20"/>
  <c r="L65" i="20"/>
  <c r="K65" i="20"/>
  <c r="K73" i="20" s="1"/>
  <c r="J65" i="20"/>
  <c r="I65" i="20"/>
  <c r="H65" i="20"/>
  <c r="H73" i="20" s="1"/>
  <c r="G65" i="20"/>
  <c r="F65" i="20"/>
  <c r="E65" i="20"/>
  <c r="AI61" i="20"/>
  <c r="AG61" i="20"/>
  <c r="O61" i="20"/>
  <c r="M61" i="20"/>
  <c r="J60" i="20"/>
  <c r="J62" i="20" s="1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AJ59" i="20" s="1"/>
  <c r="E59" i="20"/>
  <c r="AI58" i="20"/>
  <c r="AI60" i="20" s="1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W60" i="20" s="1"/>
  <c r="W62" i="20" s="1"/>
  <c r="V58" i="20"/>
  <c r="U58" i="20"/>
  <c r="U60" i="20" s="1"/>
  <c r="U62" i="20" s="1"/>
  <c r="T58" i="20"/>
  <c r="T60" i="20" s="1"/>
  <c r="T62" i="20" s="1"/>
  <c r="S58" i="20"/>
  <c r="R58" i="20"/>
  <c r="Q58" i="20"/>
  <c r="P58" i="20"/>
  <c r="O58" i="20"/>
  <c r="N58" i="20"/>
  <c r="M58" i="20"/>
  <c r="L58" i="20"/>
  <c r="K58" i="20"/>
  <c r="J58" i="20"/>
  <c r="I58" i="20"/>
  <c r="I60" i="20" s="1"/>
  <c r="I62" i="20" s="1"/>
  <c r="H58" i="20"/>
  <c r="G58" i="20"/>
  <c r="G60" i="20" s="1"/>
  <c r="G62" i="20" s="1"/>
  <c r="F58" i="20"/>
  <c r="E58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AI56" i="20"/>
  <c r="AH56" i="20"/>
  <c r="AG56" i="20"/>
  <c r="AF56" i="20"/>
  <c r="AE56" i="20"/>
  <c r="AD56" i="20"/>
  <c r="AC56" i="20"/>
  <c r="AC60" i="20" s="1"/>
  <c r="AC62" i="20" s="1"/>
  <c r="AB56" i="20"/>
  <c r="AA56" i="20"/>
  <c r="Z56" i="20"/>
  <c r="Y56" i="20"/>
  <c r="Y60" i="20" s="1"/>
  <c r="Y62" i="20" s="1"/>
  <c r="X56" i="20"/>
  <c r="W56" i="20"/>
  <c r="V56" i="20"/>
  <c r="U56" i="20"/>
  <c r="T56" i="20"/>
  <c r="S56" i="20"/>
  <c r="R56" i="20"/>
  <c r="Q56" i="20"/>
  <c r="Q60" i="20" s="1"/>
  <c r="Q62" i="20" s="1"/>
  <c r="P56" i="20"/>
  <c r="O56" i="20"/>
  <c r="O60" i="20" s="1"/>
  <c r="O62" i="20" s="1"/>
  <c r="N56" i="20"/>
  <c r="M56" i="20"/>
  <c r="L56" i="20"/>
  <c r="K56" i="20"/>
  <c r="J56" i="20"/>
  <c r="I56" i="20"/>
  <c r="H56" i="20"/>
  <c r="G56" i="20"/>
  <c r="F56" i="20"/>
  <c r="E56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V60" i="20" s="1"/>
  <c r="V62" i="20" s="1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E60" i="20" s="1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AI52" i="20"/>
  <c r="AH52" i="20"/>
  <c r="AG52" i="20"/>
  <c r="AF52" i="20"/>
  <c r="AE52" i="20"/>
  <c r="AD52" i="20"/>
  <c r="AD60" i="20" s="1"/>
  <c r="AD62" i="20" s="1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AJ50" i="20" s="1"/>
  <c r="E50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AI48" i="20"/>
  <c r="AH48" i="20"/>
  <c r="AG48" i="20"/>
  <c r="AF48" i="20"/>
  <c r="AF60" i="20" s="1"/>
  <c r="AF62" i="20" s="1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AI47" i="20"/>
  <c r="AH47" i="20"/>
  <c r="AG47" i="20"/>
  <c r="AF47" i="20"/>
  <c r="AE47" i="20"/>
  <c r="AD47" i="20"/>
  <c r="AC47" i="20"/>
  <c r="AB47" i="20"/>
  <c r="AB61" i="20" s="1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AJ47" i="20" s="1"/>
  <c r="G47" i="20"/>
  <c r="F47" i="20"/>
  <c r="E47" i="20"/>
  <c r="AI46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AJ46" i="20" s="1"/>
  <c r="E46" i="20"/>
  <c r="AI45" i="20"/>
  <c r="AH45" i="20"/>
  <c r="AG45" i="20"/>
  <c r="AF45" i="20"/>
  <c r="AE45" i="20"/>
  <c r="AD45" i="20"/>
  <c r="AC45" i="20"/>
  <c r="AB45" i="20"/>
  <c r="AA45" i="20"/>
  <c r="AA61" i="20" s="1"/>
  <c r="Z45" i="20"/>
  <c r="Y45" i="20"/>
  <c r="X45" i="20"/>
  <c r="W45" i="20"/>
  <c r="W61" i="20" s="1"/>
  <c r="V45" i="20"/>
  <c r="U45" i="20"/>
  <c r="U61" i="20" s="1"/>
  <c r="T45" i="20"/>
  <c r="S45" i="20"/>
  <c r="R45" i="20"/>
  <c r="Q45" i="20"/>
  <c r="P45" i="20"/>
  <c r="O45" i="20"/>
  <c r="N45" i="20"/>
  <c r="M45" i="20"/>
  <c r="L45" i="20"/>
  <c r="K45" i="20"/>
  <c r="J45" i="20"/>
  <c r="I45" i="20"/>
  <c r="I61" i="20" s="1"/>
  <c r="H45" i="20"/>
  <c r="G45" i="20"/>
  <c r="G61" i="20" s="1"/>
  <c r="F45" i="20"/>
  <c r="E45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M60" i="20" s="1"/>
  <c r="M62" i="20" s="1"/>
  <c r="L44" i="20"/>
  <c r="K44" i="20"/>
  <c r="J44" i="20"/>
  <c r="I44" i="20"/>
  <c r="H44" i="20"/>
  <c r="G44" i="20"/>
  <c r="F44" i="20"/>
  <c r="E44" i="20"/>
  <c r="AJ44" i="20" s="1"/>
  <c r="AH42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AK36" i="20"/>
  <c r="AJ36" i="20"/>
  <c r="AJ30" i="20"/>
  <c r="AJ28" i="20"/>
  <c r="AJ26" i="20"/>
  <c r="AJ24" i="20"/>
  <c r="AJ21" i="20"/>
  <c r="AJ19" i="20"/>
  <c r="AJ17" i="20"/>
  <c r="AJ15" i="20"/>
  <c r="AJ14" i="20"/>
  <c r="AJ13" i="20"/>
  <c r="AJ12" i="20"/>
  <c r="AJ11" i="20"/>
  <c r="AJ9" i="20"/>
  <c r="AJ8" i="20"/>
  <c r="AJ7" i="20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AJ94" i="19" s="1"/>
  <c r="AI90" i="19"/>
  <c r="AH90" i="19"/>
  <c r="AG90" i="19"/>
  <c r="AF90" i="19"/>
  <c r="AE90" i="19"/>
  <c r="AD90" i="19"/>
  <c r="AC90" i="19"/>
  <c r="AB90" i="19"/>
  <c r="AA90" i="19"/>
  <c r="Z90" i="19"/>
  <c r="Y90" i="19"/>
  <c r="X90" i="19"/>
  <c r="W90" i="19"/>
  <c r="V90" i="19"/>
  <c r="U90" i="19"/>
  <c r="T90" i="19"/>
  <c r="S90" i="19"/>
  <c r="R90" i="19"/>
  <c r="Q90" i="19"/>
  <c r="P90" i="19"/>
  <c r="O90" i="19"/>
  <c r="N90" i="19"/>
  <c r="M90" i="19"/>
  <c r="L90" i="19"/>
  <c r="K90" i="19"/>
  <c r="J90" i="19"/>
  <c r="I90" i="19"/>
  <c r="H90" i="19"/>
  <c r="G90" i="19"/>
  <c r="F90" i="19"/>
  <c r="E90" i="19"/>
  <c r="AI79" i="19"/>
  <c r="AH79" i="19"/>
  <c r="AE79" i="19"/>
  <c r="AD79" i="19"/>
  <c r="AB79" i="19"/>
  <c r="S79" i="19"/>
  <c r="Q79" i="19"/>
  <c r="M79" i="19"/>
  <c r="L79" i="19"/>
  <c r="E79" i="19"/>
  <c r="AI78" i="19"/>
  <c r="AH78" i="19"/>
  <c r="AG78" i="19"/>
  <c r="AF78" i="19"/>
  <c r="AE78" i="19"/>
  <c r="AD78" i="19"/>
  <c r="AC78" i="19"/>
  <c r="AB78" i="19"/>
  <c r="AA78" i="19"/>
  <c r="Z78" i="19"/>
  <c r="Z79" i="19" s="1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P79" i="19" s="1"/>
  <c r="O77" i="19"/>
  <c r="N77" i="19"/>
  <c r="M77" i="19"/>
  <c r="L77" i="19"/>
  <c r="K77" i="19"/>
  <c r="J77" i="19"/>
  <c r="I77" i="19"/>
  <c r="H77" i="19"/>
  <c r="AJ77" i="19" s="1"/>
  <c r="G77" i="19"/>
  <c r="F77" i="19"/>
  <c r="E77" i="19"/>
  <c r="AI76" i="19"/>
  <c r="AH76" i="19"/>
  <c r="AG76" i="19"/>
  <c r="AF76" i="19"/>
  <c r="AE76" i="19"/>
  <c r="AD76" i="19"/>
  <c r="AC76" i="19"/>
  <c r="AB76" i="19"/>
  <c r="AA76" i="19"/>
  <c r="AA79" i="19" s="1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K79" i="19" s="1"/>
  <c r="J76" i="19"/>
  <c r="I76" i="19"/>
  <c r="H76" i="19"/>
  <c r="G76" i="19"/>
  <c r="F76" i="19"/>
  <c r="E76" i="19"/>
  <c r="AI75" i="19"/>
  <c r="AH75" i="19"/>
  <c r="AG75" i="19"/>
  <c r="AG79" i="19" s="1"/>
  <c r="AF75" i="19"/>
  <c r="AE75" i="19"/>
  <c r="AD75" i="19"/>
  <c r="AC75" i="19"/>
  <c r="AC79" i="19" s="1"/>
  <c r="AB75" i="19"/>
  <c r="AA75" i="19"/>
  <c r="Z75" i="19"/>
  <c r="Y75" i="19"/>
  <c r="X75" i="19"/>
  <c r="X79" i="19" s="1"/>
  <c r="W75" i="19"/>
  <c r="V75" i="19"/>
  <c r="U75" i="19"/>
  <c r="T75" i="19"/>
  <c r="T79" i="19" s="1"/>
  <c r="S75" i="19"/>
  <c r="R75" i="19"/>
  <c r="Q75" i="19"/>
  <c r="P75" i="19"/>
  <c r="O75" i="19"/>
  <c r="O79" i="19" s="1"/>
  <c r="N75" i="19"/>
  <c r="N79" i="19" s="1"/>
  <c r="M75" i="19"/>
  <c r="L75" i="19"/>
  <c r="K75" i="19"/>
  <c r="J75" i="19"/>
  <c r="J79" i="19" s="1"/>
  <c r="I75" i="19"/>
  <c r="H75" i="19"/>
  <c r="AJ75" i="19" s="1"/>
  <c r="G75" i="19"/>
  <c r="F75" i="19"/>
  <c r="F79" i="19" s="1"/>
  <c r="E75" i="19"/>
  <c r="AI74" i="19"/>
  <c r="X74" i="19"/>
  <c r="U74" i="19"/>
  <c r="N74" i="19"/>
  <c r="I74" i="19"/>
  <c r="G74" i="19"/>
  <c r="AB73" i="19"/>
  <c r="X73" i="19"/>
  <c r="W73" i="19"/>
  <c r="J73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K73" i="19" s="1"/>
  <c r="J71" i="19"/>
  <c r="I71" i="19"/>
  <c r="H71" i="19"/>
  <c r="G71" i="19"/>
  <c r="F71" i="19"/>
  <c r="AJ71" i="19" s="1"/>
  <c r="E71" i="19"/>
  <c r="AI70" i="19"/>
  <c r="AH70" i="19"/>
  <c r="AG70" i="19"/>
  <c r="AF70" i="19"/>
  <c r="AE70" i="19"/>
  <c r="AD70" i="19"/>
  <c r="AC70" i="19"/>
  <c r="AB70" i="19"/>
  <c r="AA70" i="19"/>
  <c r="Z70" i="19"/>
  <c r="Y70" i="19"/>
  <c r="X70" i="19"/>
  <c r="W70" i="19"/>
  <c r="W74" i="19" s="1"/>
  <c r="V70" i="19"/>
  <c r="U70" i="19"/>
  <c r="T70" i="19"/>
  <c r="S70" i="19"/>
  <c r="R70" i="19"/>
  <c r="Q70" i="19"/>
  <c r="P70" i="19"/>
  <c r="O70" i="19"/>
  <c r="N70" i="19"/>
  <c r="M70" i="19"/>
  <c r="L70" i="19"/>
  <c r="K70" i="19"/>
  <c r="J70" i="19"/>
  <c r="I70" i="19"/>
  <c r="H70" i="19"/>
  <c r="AJ70" i="19" s="1"/>
  <c r="G70" i="19"/>
  <c r="F70" i="19"/>
  <c r="E70" i="19"/>
  <c r="AI69" i="19"/>
  <c r="AH69" i="19"/>
  <c r="AG69" i="19"/>
  <c r="AF69" i="19"/>
  <c r="AE69" i="19"/>
  <c r="AD69" i="19"/>
  <c r="AC69" i="19"/>
  <c r="AB69" i="19"/>
  <c r="AA69" i="19"/>
  <c r="AA73" i="19" s="1"/>
  <c r="Z69" i="19"/>
  <c r="Y69" i="19"/>
  <c r="X69" i="19"/>
  <c r="W69" i="19"/>
  <c r="V69" i="19"/>
  <c r="U69" i="19"/>
  <c r="T69" i="19"/>
  <c r="S69" i="19"/>
  <c r="R69" i="19"/>
  <c r="Q69" i="19"/>
  <c r="P69" i="19"/>
  <c r="O69" i="19"/>
  <c r="N69" i="19"/>
  <c r="M69" i="19"/>
  <c r="M73" i="19" s="1"/>
  <c r="L69" i="19"/>
  <c r="K69" i="19"/>
  <c r="J69" i="19"/>
  <c r="I69" i="19"/>
  <c r="H69" i="19"/>
  <c r="G69" i="19"/>
  <c r="F69" i="19"/>
  <c r="E69" i="19"/>
  <c r="AI68" i="19"/>
  <c r="AH68" i="19"/>
  <c r="AG68" i="19"/>
  <c r="AF68" i="19"/>
  <c r="AF74" i="19" s="1"/>
  <c r="AE68" i="19"/>
  <c r="AD68" i="19"/>
  <c r="AC68" i="19"/>
  <c r="AB68" i="19"/>
  <c r="AA68" i="19"/>
  <c r="Z68" i="19"/>
  <c r="Y68" i="19"/>
  <c r="X68" i="19"/>
  <c r="W68" i="19"/>
  <c r="V68" i="19"/>
  <c r="U68" i="19"/>
  <c r="T68" i="19"/>
  <c r="S68" i="19"/>
  <c r="R68" i="19"/>
  <c r="R74" i="19" s="1"/>
  <c r="Q68" i="19"/>
  <c r="P68" i="19"/>
  <c r="O68" i="19"/>
  <c r="N68" i="19"/>
  <c r="M68" i="19"/>
  <c r="L68" i="19"/>
  <c r="K68" i="19"/>
  <c r="J68" i="19"/>
  <c r="J74" i="19" s="1"/>
  <c r="I68" i="19"/>
  <c r="H68" i="19"/>
  <c r="G68" i="19"/>
  <c r="F68" i="19"/>
  <c r="E68" i="19"/>
  <c r="AI67" i="19"/>
  <c r="AH67" i="19"/>
  <c r="AG67" i="19"/>
  <c r="AF67" i="19"/>
  <c r="AE67" i="19"/>
  <c r="AD67" i="19"/>
  <c r="AC67" i="19"/>
  <c r="AB67" i="19"/>
  <c r="AA67" i="19"/>
  <c r="Z67" i="19"/>
  <c r="Y67" i="19"/>
  <c r="Y73" i="19" s="1"/>
  <c r="X67" i="19"/>
  <c r="W67" i="19"/>
  <c r="V67" i="19"/>
  <c r="V73" i="19" s="1"/>
  <c r="U67" i="19"/>
  <c r="U73" i="19" s="1"/>
  <c r="T67" i="19"/>
  <c r="S67" i="19"/>
  <c r="R67" i="19"/>
  <c r="Q67" i="19"/>
  <c r="P67" i="19"/>
  <c r="O67" i="19"/>
  <c r="N67" i="19"/>
  <c r="N73" i="19" s="1"/>
  <c r="M67" i="19"/>
  <c r="L67" i="19"/>
  <c r="K67" i="19"/>
  <c r="J67" i="19"/>
  <c r="I67" i="19"/>
  <c r="H67" i="19"/>
  <c r="AJ67" i="19" s="1"/>
  <c r="G67" i="19"/>
  <c r="G73" i="19" s="1"/>
  <c r="F67" i="19"/>
  <c r="E67" i="19"/>
  <c r="AI66" i="19"/>
  <c r="AH66" i="19"/>
  <c r="AG66" i="19"/>
  <c r="AG74" i="19" s="1"/>
  <c r="AF66" i="19"/>
  <c r="AE66" i="19"/>
  <c r="AE74" i="19" s="1"/>
  <c r="AD66" i="19"/>
  <c r="AC66" i="19"/>
  <c r="AB66" i="19"/>
  <c r="AB74" i="19" s="1"/>
  <c r="AA66" i="19"/>
  <c r="Z66" i="19"/>
  <c r="Z74" i="19" s="1"/>
  <c r="Y66" i="19"/>
  <c r="Y74" i="19" s="1"/>
  <c r="X66" i="19"/>
  <c r="W66" i="19"/>
  <c r="V66" i="19"/>
  <c r="U66" i="19"/>
  <c r="T66" i="19"/>
  <c r="S66" i="19"/>
  <c r="S74" i="19" s="1"/>
  <c r="R66" i="19"/>
  <c r="Q66" i="19"/>
  <c r="Q74" i="19" s="1"/>
  <c r="P66" i="19"/>
  <c r="O66" i="19"/>
  <c r="N66" i="19"/>
  <c r="M66" i="19"/>
  <c r="L66" i="19"/>
  <c r="L74" i="19" s="1"/>
  <c r="K66" i="19"/>
  <c r="K74" i="19" s="1"/>
  <c r="J66" i="19"/>
  <c r="I66" i="19"/>
  <c r="H66" i="19"/>
  <c r="G66" i="19"/>
  <c r="F66" i="19"/>
  <c r="E66" i="19"/>
  <c r="E74" i="19" s="1"/>
  <c r="AI65" i="19"/>
  <c r="AH65" i="19"/>
  <c r="AG65" i="19"/>
  <c r="AF65" i="19"/>
  <c r="AF73" i="19" s="1"/>
  <c r="AE65" i="19"/>
  <c r="AD65" i="19"/>
  <c r="AD73" i="19" s="1"/>
  <c r="AC65" i="19"/>
  <c r="AC73" i="19" s="1"/>
  <c r="AB65" i="19"/>
  <c r="AA65" i="19"/>
  <c r="Z65" i="19"/>
  <c r="Z73" i="19" s="1"/>
  <c r="Y65" i="19"/>
  <c r="X65" i="19"/>
  <c r="W65" i="19"/>
  <c r="V65" i="19"/>
  <c r="U65" i="19"/>
  <c r="T65" i="19"/>
  <c r="S65" i="19"/>
  <c r="R65" i="19"/>
  <c r="R73" i="19" s="1"/>
  <c r="Q65" i="19"/>
  <c r="P65" i="19"/>
  <c r="P73" i="19" s="1"/>
  <c r="O65" i="19"/>
  <c r="O73" i="19" s="1"/>
  <c r="N65" i="19"/>
  <c r="M65" i="19"/>
  <c r="L65" i="19"/>
  <c r="L73" i="19" s="1"/>
  <c r="K65" i="19"/>
  <c r="J65" i="19"/>
  <c r="I65" i="19"/>
  <c r="I73" i="19" s="1"/>
  <c r="H65" i="19"/>
  <c r="G65" i="19"/>
  <c r="F65" i="19"/>
  <c r="E65" i="19"/>
  <c r="AB61" i="19"/>
  <c r="Y61" i="19"/>
  <c r="W61" i="19"/>
  <c r="T61" i="19"/>
  <c r="Q60" i="19"/>
  <c r="Q62" i="19" s="1"/>
  <c r="G60" i="19"/>
  <c r="G62" i="19" s="1"/>
  <c r="AI59" i="19"/>
  <c r="AH59" i="19"/>
  <c r="AG59" i="19"/>
  <c r="AF59" i="19"/>
  <c r="AE59" i="19"/>
  <c r="AD59" i="19"/>
  <c r="AC59" i="19"/>
  <c r="AB59" i="19"/>
  <c r="AA59" i="19"/>
  <c r="Z59" i="19"/>
  <c r="Y59" i="19"/>
  <c r="X59" i="19"/>
  <c r="X61" i="19" s="1"/>
  <c r="W59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G59" i="19"/>
  <c r="F59" i="19"/>
  <c r="E59" i="19"/>
  <c r="AJ59" i="19" s="1"/>
  <c r="AI58" i="19"/>
  <c r="AH58" i="19"/>
  <c r="AG58" i="19"/>
  <c r="AF58" i="19"/>
  <c r="AE58" i="19"/>
  <c r="AD58" i="19"/>
  <c r="AC58" i="19"/>
  <c r="AB58" i="19"/>
  <c r="AA58" i="19"/>
  <c r="Z58" i="19"/>
  <c r="Y58" i="19"/>
  <c r="X58" i="19"/>
  <c r="X60" i="19" s="1"/>
  <c r="X62" i="19" s="1"/>
  <c r="W58" i="19"/>
  <c r="W60" i="19" s="1"/>
  <c r="W62" i="19" s="1"/>
  <c r="V58" i="19"/>
  <c r="U58" i="19"/>
  <c r="T58" i="19"/>
  <c r="S58" i="19"/>
  <c r="R58" i="19"/>
  <c r="Q58" i="19"/>
  <c r="P58" i="19"/>
  <c r="O58" i="19"/>
  <c r="N58" i="19"/>
  <c r="M58" i="19"/>
  <c r="L58" i="19"/>
  <c r="K58" i="19"/>
  <c r="J58" i="19"/>
  <c r="I58" i="19"/>
  <c r="I60" i="19" s="1"/>
  <c r="I62" i="19" s="1"/>
  <c r="H58" i="19"/>
  <c r="G58" i="19"/>
  <c r="F58" i="19"/>
  <c r="E58" i="19"/>
  <c r="AI57" i="19"/>
  <c r="AH57" i="19"/>
  <c r="AG57" i="19"/>
  <c r="AF57" i="19"/>
  <c r="AE57" i="19"/>
  <c r="AD57" i="19"/>
  <c r="AC57" i="19"/>
  <c r="AB57" i="19"/>
  <c r="AA57" i="19"/>
  <c r="Z57" i="19"/>
  <c r="Y57" i="19"/>
  <c r="X57" i="19"/>
  <c r="W57" i="19"/>
  <c r="V57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I57" i="19"/>
  <c r="H57" i="19"/>
  <c r="G57" i="19"/>
  <c r="F57" i="19"/>
  <c r="E57" i="19"/>
  <c r="AI56" i="19"/>
  <c r="AH56" i="19"/>
  <c r="AG56" i="19"/>
  <c r="AG60" i="19" s="1"/>
  <c r="AG62" i="19" s="1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S60" i="19" s="1"/>
  <c r="S62" i="19" s="1"/>
  <c r="R56" i="19"/>
  <c r="Q56" i="19"/>
  <c r="P56" i="19"/>
  <c r="P60" i="19" s="1"/>
  <c r="P62" i="19" s="1"/>
  <c r="O56" i="19"/>
  <c r="N56" i="19"/>
  <c r="M56" i="19"/>
  <c r="L56" i="19"/>
  <c r="K56" i="19"/>
  <c r="J56" i="19"/>
  <c r="I56" i="19"/>
  <c r="H56" i="19"/>
  <c r="G56" i="19"/>
  <c r="F56" i="19"/>
  <c r="E56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AJ53" i="19" s="1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R60" i="19" s="1"/>
  <c r="R62" i="19" s="1"/>
  <c r="Q52" i="19"/>
  <c r="P52" i="19"/>
  <c r="O52" i="19"/>
  <c r="N52" i="19"/>
  <c r="M52" i="19"/>
  <c r="L52" i="19"/>
  <c r="K52" i="19"/>
  <c r="J52" i="19"/>
  <c r="I52" i="19"/>
  <c r="H52" i="19"/>
  <c r="G52" i="19"/>
  <c r="F52" i="19"/>
  <c r="F60" i="19" s="1"/>
  <c r="F62" i="19" s="1"/>
  <c r="E52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AJ51" i="19" s="1"/>
  <c r="G51" i="19"/>
  <c r="F51" i="19"/>
  <c r="E51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AJ49" i="19" s="1"/>
  <c r="G49" i="19"/>
  <c r="F49" i="19"/>
  <c r="E49" i="19"/>
  <c r="AI48" i="19"/>
  <c r="AH48" i="19"/>
  <c r="AG48" i="19"/>
  <c r="AF48" i="19"/>
  <c r="AE48" i="19"/>
  <c r="AD48" i="19"/>
  <c r="AC48" i="19"/>
  <c r="AB48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I48" i="19"/>
  <c r="H48" i="19"/>
  <c r="AJ48" i="19" s="1"/>
  <c r="G48" i="19"/>
  <c r="F48" i="19"/>
  <c r="E48" i="19"/>
  <c r="AI47" i="19"/>
  <c r="AH47" i="19"/>
  <c r="AG47" i="19"/>
  <c r="AF47" i="19"/>
  <c r="AE47" i="19"/>
  <c r="AD47" i="19"/>
  <c r="AC47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K61" i="19" s="1"/>
  <c r="J47" i="19"/>
  <c r="I47" i="19"/>
  <c r="H47" i="19"/>
  <c r="G47" i="19"/>
  <c r="F47" i="19"/>
  <c r="E47" i="19"/>
  <c r="AI46" i="19"/>
  <c r="AH46" i="19"/>
  <c r="AG46" i="19"/>
  <c r="AF46" i="19"/>
  <c r="AE46" i="19"/>
  <c r="AD46" i="19"/>
  <c r="AC46" i="19"/>
  <c r="AB46" i="19"/>
  <c r="AA46" i="19"/>
  <c r="Z46" i="19"/>
  <c r="Y46" i="19"/>
  <c r="X46" i="19"/>
  <c r="W46" i="19"/>
  <c r="V46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E46" i="19"/>
  <c r="AI45" i="19"/>
  <c r="AH45" i="19"/>
  <c r="AG45" i="19"/>
  <c r="AF45" i="19"/>
  <c r="AF61" i="19" s="1"/>
  <c r="AE45" i="19"/>
  <c r="AE61" i="19" s="1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R61" i="19" s="1"/>
  <c r="Q45" i="19"/>
  <c r="Q61" i="19" s="1"/>
  <c r="P45" i="19"/>
  <c r="O45" i="19"/>
  <c r="N45" i="19"/>
  <c r="M45" i="19"/>
  <c r="L45" i="19"/>
  <c r="K45" i="19"/>
  <c r="J45" i="19"/>
  <c r="I45" i="19"/>
  <c r="H45" i="19"/>
  <c r="G45" i="19"/>
  <c r="F45" i="19"/>
  <c r="E45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AJ44" i="19" s="1"/>
  <c r="F44" i="19"/>
  <c r="E44" i="19"/>
  <c r="AH42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AJ36" i="19"/>
  <c r="AK36" i="19" s="1"/>
  <c r="AJ35" i="19"/>
  <c r="AJ34" i="19"/>
  <c r="AJ33" i="19"/>
  <c r="AJ32" i="19"/>
  <c r="AJ30" i="19"/>
  <c r="AJ29" i="19"/>
  <c r="AJ28" i="19"/>
  <c r="AJ27" i="19"/>
  <c r="AJ26" i="19"/>
  <c r="AJ25" i="19"/>
  <c r="AJ24" i="19"/>
  <c r="AJ23" i="19"/>
  <c r="AJ21" i="19"/>
  <c r="AJ20" i="19"/>
  <c r="AJ19" i="19"/>
  <c r="AJ18" i="19"/>
  <c r="AJ17" i="19"/>
  <c r="AJ16" i="19"/>
  <c r="AJ15" i="19"/>
  <c r="AJ14" i="19"/>
  <c r="AJ13" i="19"/>
  <c r="AJ12" i="19"/>
  <c r="AJ11" i="19"/>
  <c r="AJ10" i="19"/>
  <c r="AJ9" i="19"/>
  <c r="AJ8" i="19"/>
  <c r="AJ7" i="19"/>
  <c r="AJ6" i="19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AF90" i="18"/>
  <c r="AE90" i="18"/>
  <c r="AD90" i="18"/>
  <c r="AC90" i="18"/>
  <c r="AB90" i="18"/>
  <c r="AA90" i="18"/>
  <c r="Z90" i="18"/>
  <c r="Y90" i="18"/>
  <c r="X90" i="18"/>
  <c r="W90" i="18"/>
  <c r="V90" i="18"/>
  <c r="U90" i="18"/>
  <c r="T90" i="18"/>
  <c r="S90" i="18"/>
  <c r="R90" i="18"/>
  <c r="Q90" i="18"/>
  <c r="P90" i="18"/>
  <c r="O90" i="18"/>
  <c r="N90" i="18"/>
  <c r="M90" i="18"/>
  <c r="L90" i="18"/>
  <c r="K90" i="18"/>
  <c r="J90" i="18"/>
  <c r="I90" i="18"/>
  <c r="H90" i="18"/>
  <c r="G90" i="18"/>
  <c r="F90" i="18"/>
  <c r="E90" i="18"/>
  <c r="AF79" i="18"/>
  <c r="AB79" i="18"/>
  <c r="Z79" i="18"/>
  <c r="O79" i="18"/>
  <c r="N79" i="18"/>
  <c r="G79" i="18"/>
  <c r="E79" i="18"/>
  <c r="AF78" i="18"/>
  <c r="AE78" i="18"/>
  <c r="AD78" i="18"/>
  <c r="AC78" i="18"/>
  <c r="AB78" i="18"/>
  <c r="AA78" i="18"/>
  <c r="AA79" i="18" s="1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F79" i="18" s="1"/>
  <c r="E78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AF76" i="18"/>
  <c r="AE76" i="18"/>
  <c r="AE79" i="18" s="1"/>
  <c r="AD76" i="18"/>
  <c r="AC76" i="18"/>
  <c r="AC79" i="18" s="1"/>
  <c r="AB76" i="18"/>
  <c r="AA76" i="18"/>
  <c r="Z76" i="18"/>
  <c r="Y76" i="18"/>
  <c r="X76" i="18"/>
  <c r="W76" i="18"/>
  <c r="V76" i="18"/>
  <c r="U76" i="18"/>
  <c r="T76" i="18"/>
  <c r="S76" i="18"/>
  <c r="S79" i="18" s="1"/>
  <c r="R76" i="18"/>
  <c r="Q76" i="18"/>
  <c r="Q79" i="18" s="1"/>
  <c r="P76" i="18"/>
  <c r="O76" i="18"/>
  <c r="N76" i="18"/>
  <c r="M76" i="18"/>
  <c r="L76" i="18"/>
  <c r="L79" i="18" s="1"/>
  <c r="K76" i="18"/>
  <c r="J76" i="18"/>
  <c r="I76" i="18"/>
  <c r="H76" i="18"/>
  <c r="G76" i="18"/>
  <c r="F76" i="18"/>
  <c r="E76" i="18"/>
  <c r="AF75" i="18"/>
  <c r="AE75" i="18"/>
  <c r="AD75" i="18"/>
  <c r="AD79" i="18" s="1"/>
  <c r="AC75" i="18"/>
  <c r="AB75" i="18"/>
  <c r="AA75" i="18"/>
  <c r="Z75" i="18"/>
  <c r="Y75" i="18"/>
  <c r="Y79" i="18" s="1"/>
  <c r="X75" i="18"/>
  <c r="X79" i="18" s="1"/>
  <c r="W75" i="18"/>
  <c r="W79" i="18" s="1"/>
  <c r="V75" i="18"/>
  <c r="U75" i="18"/>
  <c r="U79" i="18" s="1"/>
  <c r="T75" i="18"/>
  <c r="T79" i="18" s="1"/>
  <c r="S75" i="18"/>
  <c r="R75" i="18"/>
  <c r="R79" i="18" s="1"/>
  <c r="Q75" i="18"/>
  <c r="P75" i="18"/>
  <c r="P79" i="18" s="1"/>
  <c r="O75" i="18"/>
  <c r="N75" i="18"/>
  <c r="M75" i="18"/>
  <c r="M79" i="18" s="1"/>
  <c r="L75" i="18"/>
  <c r="K75" i="18"/>
  <c r="K79" i="18" s="1"/>
  <c r="J75" i="18"/>
  <c r="J79" i="18" s="1"/>
  <c r="I75" i="18"/>
  <c r="I79" i="18" s="1"/>
  <c r="H75" i="18"/>
  <c r="G75" i="18"/>
  <c r="F75" i="18"/>
  <c r="E75" i="18"/>
  <c r="AE74" i="18"/>
  <c r="K74" i="18"/>
  <c r="E74" i="18"/>
  <c r="AA73" i="18"/>
  <c r="M73" i="18"/>
  <c r="F73" i="18"/>
  <c r="E73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F74" i="18" s="1"/>
  <c r="E72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O73" i="18" s="1"/>
  <c r="N71" i="18"/>
  <c r="M71" i="18"/>
  <c r="L71" i="18"/>
  <c r="K71" i="18"/>
  <c r="J71" i="18"/>
  <c r="I71" i="18"/>
  <c r="H71" i="18"/>
  <c r="G71" i="18"/>
  <c r="F71" i="18"/>
  <c r="E71" i="18"/>
  <c r="AF70" i="18"/>
  <c r="AE70" i="18"/>
  <c r="AD70" i="18"/>
  <c r="AC70" i="18"/>
  <c r="AB70" i="18"/>
  <c r="AA70" i="18"/>
  <c r="Z70" i="18"/>
  <c r="Y70" i="18"/>
  <c r="Y74" i="18" s="1"/>
  <c r="X70" i="18"/>
  <c r="W70" i="18"/>
  <c r="V70" i="18"/>
  <c r="U70" i="18"/>
  <c r="T70" i="18"/>
  <c r="S70" i="18"/>
  <c r="R70" i="18"/>
  <c r="Q70" i="18"/>
  <c r="P70" i="18"/>
  <c r="O70" i="18"/>
  <c r="N70" i="18"/>
  <c r="M70" i="18"/>
  <c r="L70" i="18"/>
  <c r="L74" i="18" s="1"/>
  <c r="K70" i="18"/>
  <c r="J70" i="18"/>
  <c r="I70" i="18"/>
  <c r="H70" i="18"/>
  <c r="G70" i="18"/>
  <c r="F70" i="18"/>
  <c r="E70" i="18"/>
  <c r="AF69" i="18"/>
  <c r="AE69" i="18"/>
  <c r="AD69" i="18"/>
  <c r="AC69" i="18"/>
  <c r="AB69" i="18"/>
  <c r="AA69" i="18"/>
  <c r="Z69" i="18"/>
  <c r="Z73" i="18" s="1"/>
  <c r="Y69" i="18"/>
  <c r="X69" i="18"/>
  <c r="W69" i="18"/>
  <c r="V69" i="18"/>
  <c r="U69" i="18"/>
  <c r="T69" i="18"/>
  <c r="S69" i="18"/>
  <c r="S73" i="18" s="1"/>
  <c r="R69" i="18"/>
  <c r="R73" i="18" s="1"/>
  <c r="Q69" i="18"/>
  <c r="P69" i="18"/>
  <c r="O69" i="18"/>
  <c r="N69" i="18"/>
  <c r="M69" i="18"/>
  <c r="L69" i="18"/>
  <c r="L73" i="18" s="1"/>
  <c r="K69" i="18"/>
  <c r="J69" i="18"/>
  <c r="I69" i="18"/>
  <c r="H69" i="18"/>
  <c r="G69" i="18"/>
  <c r="F69" i="18"/>
  <c r="E69" i="18"/>
  <c r="AG69" i="18" s="1"/>
  <c r="AF68" i="18"/>
  <c r="AE68" i="18"/>
  <c r="AD68" i="18"/>
  <c r="AC68" i="18"/>
  <c r="AB68" i="18"/>
  <c r="AB74" i="18" s="1"/>
  <c r="AA68" i="18"/>
  <c r="Z68" i="18"/>
  <c r="Y68" i="18"/>
  <c r="X68" i="18"/>
  <c r="W68" i="18"/>
  <c r="V68" i="18"/>
  <c r="U68" i="18"/>
  <c r="T68" i="18"/>
  <c r="S68" i="18"/>
  <c r="R68" i="18"/>
  <c r="Q68" i="18"/>
  <c r="P68" i="18"/>
  <c r="O68" i="18"/>
  <c r="N68" i="18"/>
  <c r="N74" i="18" s="1"/>
  <c r="M68" i="18"/>
  <c r="L68" i="18"/>
  <c r="K68" i="18"/>
  <c r="J68" i="18"/>
  <c r="I68" i="18"/>
  <c r="H68" i="18"/>
  <c r="G68" i="18"/>
  <c r="F68" i="18"/>
  <c r="E68" i="18"/>
  <c r="AF67" i="18"/>
  <c r="AE67" i="18"/>
  <c r="AD67" i="18"/>
  <c r="AC67" i="18"/>
  <c r="AB67" i="18"/>
  <c r="AA67" i="18"/>
  <c r="Z67" i="18"/>
  <c r="Y67" i="18"/>
  <c r="X67" i="18"/>
  <c r="W67" i="18"/>
  <c r="V67" i="18"/>
  <c r="U67" i="18"/>
  <c r="T67" i="18"/>
  <c r="S67" i="18"/>
  <c r="R67" i="18"/>
  <c r="Q67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AF66" i="18"/>
  <c r="AF74" i="18" s="1"/>
  <c r="AE66" i="18"/>
  <c r="AD66" i="18"/>
  <c r="AC66" i="18"/>
  <c r="AB66" i="18"/>
  <c r="AA66" i="18"/>
  <c r="AA74" i="18" s="1"/>
  <c r="Z66" i="18"/>
  <c r="Z74" i="18" s="1"/>
  <c r="Y66" i="18"/>
  <c r="X66" i="18"/>
  <c r="X74" i="18" s="1"/>
  <c r="W66" i="18"/>
  <c r="W74" i="18" s="1"/>
  <c r="V66" i="18"/>
  <c r="V74" i="18" s="1"/>
  <c r="U66" i="18"/>
  <c r="U74" i="18" s="1"/>
  <c r="T66" i="18"/>
  <c r="S66" i="18"/>
  <c r="S74" i="18" s="1"/>
  <c r="R66" i="18"/>
  <c r="R74" i="18" s="1"/>
  <c r="Q66" i="18"/>
  <c r="P66" i="18"/>
  <c r="O66" i="18"/>
  <c r="N66" i="18"/>
  <c r="M66" i="18"/>
  <c r="M74" i="18" s="1"/>
  <c r="L66" i="18"/>
  <c r="K66" i="18"/>
  <c r="J66" i="18"/>
  <c r="J74" i="18" s="1"/>
  <c r="I66" i="18"/>
  <c r="I74" i="18" s="1"/>
  <c r="H66" i="18"/>
  <c r="H74" i="18" s="1"/>
  <c r="G66" i="18"/>
  <c r="G74" i="18" s="1"/>
  <c r="F66" i="18"/>
  <c r="E66" i="18"/>
  <c r="AF65" i="18"/>
  <c r="AF73" i="18" s="1"/>
  <c r="AE65" i="18"/>
  <c r="AD65" i="18"/>
  <c r="AC65" i="18"/>
  <c r="AB65" i="18"/>
  <c r="AA65" i="18"/>
  <c r="Z65" i="18"/>
  <c r="Y65" i="18"/>
  <c r="Y73" i="18" s="1"/>
  <c r="X65" i="18"/>
  <c r="X73" i="18" s="1"/>
  <c r="W65" i="18"/>
  <c r="W73" i="18" s="1"/>
  <c r="V65" i="18"/>
  <c r="V73" i="18" s="1"/>
  <c r="U65" i="18"/>
  <c r="U73" i="18" s="1"/>
  <c r="T65" i="18"/>
  <c r="S65" i="18"/>
  <c r="R65" i="18"/>
  <c r="Q65" i="18"/>
  <c r="P65" i="18"/>
  <c r="O65" i="18"/>
  <c r="N65" i="18"/>
  <c r="M65" i="18"/>
  <c r="L65" i="18"/>
  <c r="K65" i="18"/>
  <c r="K73" i="18" s="1"/>
  <c r="J65" i="18"/>
  <c r="J73" i="18" s="1"/>
  <c r="I65" i="18"/>
  <c r="I73" i="18" s="1"/>
  <c r="H65" i="18"/>
  <c r="H73" i="18" s="1"/>
  <c r="G65" i="18"/>
  <c r="G73" i="18" s="1"/>
  <c r="F65" i="18"/>
  <c r="E65" i="18"/>
  <c r="E61" i="18"/>
  <c r="AA60" i="18"/>
  <c r="AA62" i="18" s="1"/>
  <c r="Z60" i="18"/>
  <c r="Z62" i="18" s="1"/>
  <c r="AF59" i="18"/>
  <c r="AE59" i="18"/>
  <c r="AD59" i="18"/>
  <c r="AC59" i="18"/>
  <c r="AB59" i="18"/>
  <c r="AA59" i="18"/>
  <c r="Z59" i="18"/>
  <c r="Y59" i="18"/>
  <c r="X59" i="18"/>
  <c r="W59" i="18"/>
  <c r="V59" i="18"/>
  <c r="U59" i="18"/>
  <c r="T59" i="18"/>
  <c r="S59" i="18"/>
  <c r="R59" i="18"/>
  <c r="Q59" i="18"/>
  <c r="P59" i="18"/>
  <c r="O59" i="18"/>
  <c r="N59" i="18"/>
  <c r="M59" i="18"/>
  <c r="L59" i="18"/>
  <c r="K59" i="18"/>
  <c r="J59" i="18"/>
  <c r="I59" i="18"/>
  <c r="H59" i="18"/>
  <c r="G59" i="18"/>
  <c r="F59" i="18"/>
  <c r="E59" i="18"/>
  <c r="AF58" i="18"/>
  <c r="AE58" i="18"/>
  <c r="AD58" i="18"/>
  <c r="AD60" i="18" s="1"/>
  <c r="AD62" i="18" s="1"/>
  <c r="AC58" i="18"/>
  <c r="AB58" i="18"/>
  <c r="AA58" i="18"/>
  <c r="Z58" i="18"/>
  <c r="Y58" i="18"/>
  <c r="X58" i="18"/>
  <c r="W58" i="18"/>
  <c r="V58" i="18"/>
  <c r="U58" i="18"/>
  <c r="T58" i="18"/>
  <c r="S58" i="18"/>
  <c r="R58" i="18"/>
  <c r="Q58" i="18"/>
  <c r="P58" i="18"/>
  <c r="P60" i="18" s="1"/>
  <c r="P62" i="18" s="1"/>
  <c r="O58" i="18"/>
  <c r="N58" i="18"/>
  <c r="M58" i="18"/>
  <c r="M60" i="18" s="1"/>
  <c r="M62" i="18" s="1"/>
  <c r="L58" i="18"/>
  <c r="K58" i="18"/>
  <c r="J58" i="18"/>
  <c r="I58" i="18"/>
  <c r="H58" i="18"/>
  <c r="G58" i="18"/>
  <c r="G60" i="18" s="1"/>
  <c r="G62" i="18" s="1"/>
  <c r="F58" i="18"/>
  <c r="E58" i="18"/>
  <c r="AF57" i="18"/>
  <c r="AE57" i="18"/>
  <c r="AD57" i="18"/>
  <c r="AC57" i="18"/>
  <c r="AB57" i="18"/>
  <c r="AA57" i="18"/>
  <c r="Z57" i="18"/>
  <c r="Y57" i="18"/>
  <c r="X57" i="18"/>
  <c r="W57" i="18"/>
  <c r="V57" i="18"/>
  <c r="U57" i="18"/>
  <c r="T57" i="18"/>
  <c r="S57" i="18"/>
  <c r="R57" i="18"/>
  <c r="Q57" i="18"/>
  <c r="P57" i="18"/>
  <c r="O57" i="18"/>
  <c r="N57" i="18"/>
  <c r="M57" i="18"/>
  <c r="L57" i="18"/>
  <c r="K57" i="18"/>
  <c r="J57" i="18"/>
  <c r="I57" i="18"/>
  <c r="H57" i="18"/>
  <c r="G57" i="18"/>
  <c r="F57" i="18"/>
  <c r="E57" i="18"/>
  <c r="AF56" i="18"/>
  <c r="AE56" i="18"/>
  <c r="AE60" i="18" s="1"/>
  <c r="AE62" i="18" s="1"/>
  <c r="AD56" i="18"/>
  <c r="AC56" i="18"/>
  <c r="AB56" i="18"/>
  <c r="AA56" i="18"/>
  <c r="Z56" i="18"/>
  <c r="Y56" i="18"/>
  <c r="Y60" i="18" s="1"/>
  <c r="Y62" i="18" s="1"/>
  <c r="X56" i="18"/>
  <c r="W56" i="18"/>
  <c r="V56" i="18"/>
  <c r="U56" i="18"/>
  <c r="T56" i="18"/>
  <c r="S56" i="18"/>
  <c r="R56" i="18"/>
  <c r="Q56" i="18"/>
  <c r="Q60" i="18" s="1"/>
  <c r="Q62" i="18" s="1"/>
  <c r="P56" i="18"/>
  <c r="O56" i="18"/>
  <c r="N56" i="18"/>
  <c r="M56" i="18"/>
  <c r="L56" i="18"/>
  <c r="K56" i="18"/>
  <c r="J56" i="18"/>
  <c r="I56" i="18"/>
  <c r="H56" i="18"/>
  <c r="G56" i="18"/>
  <c r="F56" i="18"/>
  <c r="E56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S60" i="18" s="1"/>
  <c r="S62" i="18" s="1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AG52" i="18" s="1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O61" i="18" s="1"/>
  <c r="N51" i="18"/>
  <c r="M51" i="18"/>
  <c r="L51" i="18"/>
  <c r="K51" i="18"/>
  <c r="J51" i="18"/>
  <c r="I51" i="18"/>
  <c r="H51" i="18"/>
  <c r="G51" i="18"/>
  <c r="F51" i="18"/>
  <c r="E51" i="18"/>
  <c r="AG51" i="18" s="1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AF49" i="18"/>
  <c r="AE49" i="18"/>
  <c r="AD49" i="18"/>
  <c r="AC49" i="18"/>
  <c r="AB49" i="18"/>
  <c r="AA49" i="18"/>
  <c r="Z49" i="18"/>
  <c r="Y49" i="18"/>
  <c r="X49" i="18"/>
  <c r="W49" i="18"/>
  <c r="V49" i="18"/>
  <c r="V61" i="18" s="1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H61" i="18" s="1"/>
  <c r="G49" i="18"/>
  <c r="F49" i="18"/>
  <c r="E49" i="18"/>
  <c r="AF48" i="18"/>
  <c r="AE48" i="18"/>
  <c r="AD48" i="18"/>
  <c r="AC48" i="18"/>
  <c r="AB48" i="18"/>
  <c r="AA48" i="18"/>
  <c r="Z48" i="18"/>
  <c r="Y48" i="18"/>
  <c r="X48" i="18"/>
  <c r="W48" i="18"/>
  <c r="V48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I60" i="18" s="1"/>
  <c r="I62" i="18" s="1"/>
  <c r="H48" i="18"/>
  <c r="H60" i="18" s="1"/>
  <c r="H62" i="18" s="1"/>
  <c r="G48" i="18"/>
  <c r="F48" i="18"/>
  <c r="E48" i="18"/>
  <c r="AG48" i="18" s="1"/>
  <c r="AF47" i="18"/>
  <c r="AE47" i="18"/>
  <c r="AD47" i="18"/>
  <c r="AC47" i="18"/>
  <c r="AB47" i="18"/>
  <c r="AA47" i="18"/>
  <c r="Z47" i="18"/>
  <c r="Y47" i="18"/>
  <c r="X47" i="18"/>
  <c r="W47" i="18"/>
  <c r="W61" i="18" s="1"/>
  <c r="V47" i="18"/>
  <c r="U47" i="18"/>
  <c r="T47" i="18"/>
  <c r="S47" i="18"/>
  <c r="R47" i="18"/>
  <c r="Q47" i="18"/>
  <c r="P47" i="18"/>
  <c r="O47" i="18"/>
  <c r="N47" i="18"/>
  <c r="M47" i="18"/>
  <c r="L47" i="18"/>
  <c r="L61" i="18" s="1"/>
  <c r="K47" i="18"/>
  <c r="J47" i="18"/>
  <c r="I47" i="18"/>
  <c r="I61" i="18" s="1"/>
  <c r="H47" i="18"/>
  <c r="G47" i="18"/>
  <c r="F47" i="18"/>
  <c r="E47" i="18"/>
  <c r="AG47" i="18" s="1"/>
  <c r="AF46" i="18"/>
  <c r="AE46" i="18"/>
  <c r="AD46" i="18"/>
  <c r="AC46" i="18"/>
  <c r="AB46" i="18"/>
  <c r="AA46" i="18"/>
  <c r="Z46" i="18"/>
  <c r="Y46" i="18"/>
  <c r="X46" i="18"/>
  <c r="W46" i="18"/>
  <c r="V46" i="18"/>
  <c r="U46" i="18"/>
  <c r="T46" i="18"/>
  <c r="S46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AF45" i="18"/>
  <c r="AE45" i="18"/>
  <c r="AD45" i="18"/>
  <c r="AC45" i="18"/>
  <c r="AB45" i="18"/>
  <c r="AA45" i="18"/>
  <c r="AA61" i="18" s="1"/>
  <c r="Z45" i="18"/>
  <c r="Y45" i="18"/>
  <c r="X45" i="18"/>
  <c r="X61" i="18" s="1"/>
  <c r="W45" i="18"/>
  <c r="V45" i="18"/>
  <c r="U45" i="18"/>
  <c r="T45" i="18"/>
  <c r="S45" i="18"/>
  <c r="R45" i="18"/>
  <c r="Q45" i="18"/>
  <c r="P45" i="18"/>
  <c r="O45" i="18"/>
  <c r="N45" i="18"/>
  <c r="M45" i="18"/>
  <c r="M61" i="18" s="1"/>
  <c r="L45" i="18"/>
  <c r="K45" i="18"/>
  <c r="J45" i="18"/>
  <c r="J61" i="18" s="1"/>
  <c r="I45" i="18"/>
  <c r="H45" i="18"/>
  <c r="G45" i="18"/>
  <c r="G61" i="18" s="1"/>
  <c r="F45" i="18"/>
  <c r="E45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AE42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AG35" i="18"/>
  <c r="AG34" i="18"/>
  <c r="AG33" i="18"/>
  <c r="AG32" i="18"/>
  <c r="AG30" i="18"/>
  <c r="AG29" i="18"/>
  <c r="AG28" i="18"/>
  <c r="AG27" i="18"/>
  <c r="AG26" i="18"/>
  <c r="AG25" i="18"/>
  <c r="AG24" i="18"/>
  <c r="AG23" i="18"/>
  <c r="AG21" i="18"/>
  <c r="AG20" i="18"/>
  <c r="AG19" i="18"/>
  <c r="AG18" i="18"/>
  <c r="AG17" i="18"/>
  <c r="AG16" i="18"/>
  <c r="AG15" i="18"/>
  <c r="AG14" i="18"/>
  <c r="AG13" i="18"/>
  <c r="AG12" i="18"/>
  <c r="AG11" i="18"/>
  <c r="AG10" i="18"/>
  <c r="AG9" i="18"/>
  <c r="AG8" i="18"/>
  <c r="AG7" i="18"/>
  <c r="AG6" i="18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AI90" i="17"/>
  <c r="AH90" i="17"/>
  <c r="AG90" i="17"/>
  <c r="AF90" i="17"/>
  <c r="AE90" i="17"/>
  <c r="AD90" i="17"/>
  <c r="AC90" i="17"/>
  <c r="AB90" i="17"/>
  <c r="AA90" i="17"/>
  <c r="Z90" i="17"/>
  <c r="Y90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AJ88" i="17"/>
  <c r="AI78" i="17"/>
  <c r="AH78" i="17"/>
  <c r="AG78" i="17"/>
  <c r="AF78" i="17"/>
  <c r="AE78" i="17"/>
  <c r="AD78" i="17"/>
  <c r="AD79" i="17" s="1"/>
  <c r="AC78" i="17"/>
  <c r="AB78" i="17"/>
  <c r="AA78" i="17"/>
  <c r="AA79" i="17" s="1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AI77" i="17"/>
  <c r="AH77" i="17"/>
  <c r="AG77" i="17"/>
  <c r="AG79" i="17" s="1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S79" i="17" s="1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AI76" i="17"/>
  <c r="AH76" i="17"/>
  <c r="AH79" i="17" s="1"/>
  <c r="AG76" i="17"/>
  <c r="AF76" i="17"/>
  <c r="AE76" i="17"/>
  <c r="AD76" i="17"/>
  <c r="AC76" i="17"/>
  <c r="AB76" i="17"/>
  <c r="AA76" i="17"/>
  <c r="Z76" i="17"/>
  <c r="Y76" i="17"/>
  <c r="X76" i="17"/>
  <c r="X79" i="17" s="1"/>
  <c r="W76" i="17"/>
  <c r="V76" i="17"/>
  <c r="V79" i="17" s="1"/>
  <c r="U76" i="17"/>
  <c r="U79" i="17" s="1"/>
  <c r="T76" i="17"/>
  <c r="S76" i="17"/>
  <c r="R76" i="17"/>
  <c r="Q76" i="17"/>
  <c r="P76" i="17"/>
  <c r="O76" i="17"/>
  <c r="N76" i="17"/>
  <c r="M76" i="17"/>
  <c r="L76" i="17"/>
  <c r="K76" i="17"/>
  <c r="J76" i="17"/>
  <c r="J79" i="17" s="1"/>
  <c r="I76" i="17"/>
  <c r="H76" i="17"/>
  <c r="H79" i="17" s="1"/>
  <c r="G76" i="17"/>
  <c r="F76" i="17"/>
  <c r="E76" i="17"/>
  <c r="AI75" i="17"/>
  <c r="AH75" i="17"/>
  <c r="AG75" i="17"/>
  <c r="AF75" i="17"/>
  <c r="AE75" i="17"/>
  <c r="AD75" i="17"/>
  <c r="AC75" i="17"/>
  <c r="AB75" i="17"/>
  <c r="AB79" i="17" s="1"/>
  <c r="AA75" i="17"/>
  <c r="Z75" i="17"/>
  <c r="Z79" i="17" s="1"/>
  <c r="Y75" i="17"/>
  <c r="Y79" i="17" s="1"/>
  <c r="X75" i="17"/>
  <c r="W75" i="17"/>
  <c r="W79" i="17" s="1"/>
  <c r="V75" i="17"/>
  <c r="U75" i="17"/>
  <c r="T75" i="17"/>
  <c r="S75" i="17"/>
  <c r="R75" i="17"/>
  <c r="Q75" i="17"/>
  <c r="P75" i="17"/>
  <c r="O75" i="17"/>
  <c r="N75" i="17"/>
  <c r="N79" i="17" s="1"/>
  <c r="M75" i="17"/>
  <c r="L75" i="17"/>
  <c r="L79" i="17" s="1"/>
  <c r="K75" i="17"/>
  <c r="K79" i="17" s="1"/>
  <c r="J75" i="17"/>
  <c r="I75" i="17"/>
  <c r="I79" i="17" s="1"/>
  <c r="H75" i="17"/>
  <c r="G75" i="17"/>
  <c r="F75" i="17"/>
  <c r="E75" i="17"/>
  <c r="AE74" i="17"/>
  <c r="T74" i="17"/>
  <c r="R74" i="17"/>
  <c r="Q74" i="17"/>
  <c r="N74" i="17"/>
  <c r="AI73" i="17"/>
  <c r="AC73" i="17"/>
  <c r="W73" i="17"/>
  <c r="I73" i="17"/>
  <c r="H73" i="17"/>
  <c r="G73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L74" i="17" s="1"/>
  <c r="K72" i="17"/>
  <c r="K74" i="17" s="1"/>
  <c r="J72" i="17"/>
  <c r="I72" i="17"/>
  <c r="H72" i="17"/>
  <c r="G72" i="17"/>
  <c r="F72" i="17"/>
  <c r="E72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P73" i="17" s="1"/>
  <c r="O71" i="17"/>
  <c r="N71" i="17"/>
  <c r="M71" i="17"/>
  <c r="L71" i="17"/>
  <c r="K71" i="17"/>
  <c r="J71" i="17"/>
  <c r="I71" i="17"/>
  <c r="H71" i="17"/>
  <c r="G71" i="17"/>
  <c r="F71" i="17"/>
  <c r="E71" i="17"/>
  <c r="AJ71" i="17" s="1"/>
  <c r="AI70" i="17"/>
  <c r="AH70" i="17"/>
  <c r="AH74" i="17" s="1"/>
  <c r="AG70" i="17"/>
  <c r="AF70" i="17"/>
  <c r="AF74" i="17" s="1"/>
  <c r="AE70" i="17"/>
  <c r="AD70" i="17"/>
  <c r="AC70" i="17"/>
  <c r="AB70" i="17"/>
  <c r="AA70" i="17"/>
  <c r="Z70" i="17"/>
  <c r="Y70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AI69" i="17"/>
  <c r="AH69" i="17"/>
  <c r="AG69" i="17"/>
  <c r="AF69" i="17"/>
  <c r="AE69" i="17"/>
  <c r="AD69" i="17"/>
  <c r="AC69" i="17"/>
  <c r="AB69" i="17"/>
  <c r="AA69" i="17"/>
  <c r="Z69" i="17"/>
  <c r="Z73" i="17" s="1"/>
  <c r="Y69" i="17"/>
  <c r="X69" i="17"/>
  <c r="W69" i="17"/>
  <c r="V69" i="17"/>
  <c r="V73" i="17" s="1"/>
  <c r="U69" i="17"/>
  <c r="U73" i="17" s="1"/>
  <c r="T69" i="17"/>
  <c r="S69" i="17"/>
  <c r="R69" i="17"/>
  <c r="Q69" i="17"/>
  <c r="P69" i="17"/>
  <c r="O69" i="17"/>
  <c r="O73" i="17" s="1"/>
  <c r="N69" i="17"/>
  <c r="M69" i="17"/>
  <c r="L69" i="17"/>
  <c r="K69" i="17"/>
  <c r="J69" i="17"/>
  <c r="I69" i="17"/>
  <c r="H69" i="17"/>
  <c r="G69" i="17"/>
  <c r="F69" i="17"/>
  <c r="E69" i="17"/>
  <c r="AI68" i="17"/>
  <c r="AH68" i="17"/>
  <c r="AG68" i="17"/>
  <c r="AF68" i="17"/>
  <c r="AE68" i="17"/>
  <c r="AD68" i="17"/>
  <c r="AD74" i="17" s="1"/>
  <c r="AC68" i="17"/>
  <c r="AC74" i="17" s="1"/>
  <c r="AB68" i="17"/>
  <c r="AB74" i="17" s="1"/>
  <c r="AA68" i="17"/>
  <c r="Z68" i="17"/>
  <c r="Y68" i="17"/>
  <c r="X68" i="17"/>
  <c r="W68" i="17"/>
  <c r="V68" i="17"/>
  <c r="U68" i="17"/>
  <c r="T68" i="17"/>
  <c r="S68" i="17"/>
  <c r="R68" i="17"/>
  <c r="Q68" i="17"/>
  <c r="P68" i="17"/>
  <c r="O68" i="17"/>
  <c r="O74" i="17" s="1"/>
  <c r="N68" i="17"/>
  <c r="M68" i="17"/>
  <c r="L68" i="17"/>
  <c r="K68" i="17"/>
  <c r="J68" i="17"/>
  <c r="I68" i="17"/>
  <c r="H68" i="17"/>
  <c r="G68" i="17"/>
  <c r="F68" i="17"/>
  <c r="E68" i="17"/>
  <c r="AI67" i="17"/>
  <c r="AH67" i="17"/>
  <c r="AH73" i="17" s="1"/>
  <c r="AG67" i="17"/>
  <c r="AF67" i="17"/>
  <c r="AF73" i="17" s="1"/>
  <c r="AE67" i="17"/>
  <c r="AD67" i="17"/>
  <c r="AC67" i="17"/>
  <c r="AB67" i="17"/>
  <c r="AA67" i="17"/>
  <c r="Z67" i="17"/>
  <c r="Y67" i="17"/>
  <c r="X67" i="17"/>
  <c r="W67" i="17"/>
  <c r="V67" i="17"/>
  <c r="U67" i="17"/>
  <c r="T67" i="17"/>
  <c r="S67" i="17"/>
  <c r="R67" i="17"/>
  <c r="R73" i="17" s="1"/>
  <c r="Q67" i="17"/>
  <c r="P67" i="17"/>
  <c r="O67" i="17"/>
  <c r="N67" i="17"/>
  <c r="M67" i="17"/>
  <c r="L67" i="17"/>
  <c r="K67" i="17"/>
  <c r="J67" i="17"/>
  <c r="I67" i="17"/>
  <c r="H67" i="17"/>
  <c r="G67" i="17"/>
  <c r="F67" i="17"/>
  <c r="F73" i="17" s="1"/>
  <c r="E67" i="17"/>
  <c r="AI66" i="17"/>
  <c r="AH66" i="17"/>
  <c r="AG66" i="17"/>
  <c r="AF66" i="17"/>
  <c r="AE66" i="17"/>
  <c r="AD66" i="17"/>
  <c r="AC66" i="17"/>
  <c r="AB66" i="17"/>
  <c r="AA66" i="17"/>
  <c r="Z66" i="17"/>
  <c r="Y66" i="17"/>
  <c r="X66" i="17"/>
  <c r="W66" i="17"/>
  <c r="W74" i="17" s="1"/>
  <c r="V66" i="17"/>
  <c r="V74" i="17" s="1"/>
  <c r="U66" i="17"/>
  <c r="T66" i="17"/>
  <c r="S66" i="17"/>
  <c r="R66" i="17"/>
  <c r="Q66" i="17"/>
  <c r="P66" i="17"/>
  <c r="O66" i="17"/>
  <c r="N66" i="17"/>
  <c r="M66" i="17"/>
  <c r="M74" i="17" s="1"/>
  <c r="L66" i="17"/>
  <c r="K66" i="17"/>
  <c r="J66" i="17"/>
  <c r="I66" i="17"/>
  <c r="I74" i="17" s="1"/>
  <c r="H66" i="17"/>
  <c r="H74" i="17" s="1"/>
  <c r="G66" i="17"/>
  <c r="F66" i="17"/>
  <c r="E66" i="17"/>
  <c r="AI65" i="17"/>
  <c r="AH65" i="17"/>
  <c r="AG65" i="17"/>
  <c r="AF65" i="17"/>
  <c r="AE65" i="17"/>
  <c r="AD65" i="17"/>
  <c r="AC65" i="17"/>
  <c r="AB65" i="17"/>
  <c r="AA65" i="17"/>
  <c r="AA73" i="17" s="1"/>
  <c r="Z65" i="17"/>
  <c r="Y65" i="17"/>
  <c r="Y73" i="17" s="1"/>
  <c r="X65" i="17"/>
  <c r="W65" i="17"/>
  <c r="V65" i="17"/>
  <c r="U65" i="17"/>
  <c r="T65" i="17"/>
  <c r="S65" i="17"/>
  <c r="R65" i="17"/>
  <c r="Q65" i="17"/>
  <c r="P65" i="17"/>
  <c r="O65" i="17"/>
  <c r="N65" i="17"/>
  <c r="M65" i="17"/>
  <c r="M73" i="17" s="1"/>
  <c r="L65" i="17"/>
  <c r="K65" i="17"/>
  <c r="K73" i="17" s="1"/>
  <c r="J65" i="17"/>
  <c r="I65" i="17"/>
  <c r="H65" i="17"/>
  <c r="G65" i="17"/>
  <c r="F65" i="17"/>
  <c r="E65" i="17"/>
  <c r="AA61" i="17"/>
  <c r="V61" i="17"/>
  <c r="T61" i="17"/>
  <c r="S61" i="17"/>
  <c r="N61" i="17"/>
  <c r="AF60" i="17"/>
  <c r="AF62" i="17" s="1"/>
  <c r="AE60" i="17"/>
  <c r="AE62" i="17" s="1"/>
  <c r="AI59" i="17"/>
  <c r="AH59" i="17"/>
  <c r="AG59" i="17"/>
  <c r="AF59" i="17"/>
  <c r="AE59" i="17"/>
  <c r="AD59" i="17"/>
  <c r="AC59" i="17"/>
  <c r="AB59" i="17"/>
  <c r="AA59" i="17"/>
  <c r="Z59" i="17"/>
  <c r="Y59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AJ59" i="17" s="1"/>
  <c r="G59" i="17"/>
  <c r="F59" i="17"/>
  <c r="E59" i="17"/>
  <c r="AI58" i="17"/>
  <c r="AI60" i="17" s="1"/>
  <c r="AI62" i="17" s="1"/>
  <c r="AH58" i="17"/>
  <c r="AH60" i="17" s="1"/>
  <c r="AH62" i="17" s="1"/>
  <c r="AG58" i="17"/>
  <c r="AF58" i="17"/>
  <c r="AE58" i="17"/>
  <c r="AD58" i="17"/>
  <c r="AC58" i="17"/>
  <c r="AB58" i="17"/>
  <c r="AA58" i="17"/>
  <c r="Z58" i="17"/>
  <c r="Y58" i="17"/>
  <c r="Y60" i="17" s="1"/>
  <c r="Y62" i="17" s="1"/>
  <c r="X58" i="17"/>
  <c r="W58" i="17"/>
  <c r="V58" i="17"/>
  <c r="U58" i="17"/>
  <c r="U60" i="17" s="1"/>
  <c r="U62" i="17" s="1"/>
  <c r="T58" i="17"/>
  <c r="T60" i="17" s="1"/>
  <c r="T62" i="17" s="1"/>
  <c r="S58" i="17"/>
  <c r="R58" i="17"/>
  <c r="R60" i="17" s="1"/>
  <c r="R62" i="17" s="1"/>
  <c r="Q58" i="17"/>
  <c r="Q60" i="17" s="1"/>
  <c r="Q62" i="17" s="1"/>
  <c r="P58" i="17"/>
  <c r="O58" i="17"/>
  <c r="N58" i="17"/>
  <c r="M58" i="17"/>
  <c r="L58" i="17"/>
  <c r="K58" i="17"/>
  <c r="K60" i="17" s="1"/>
  <c r="K62" i="17" s="1"/>
  <c r="J58" i="17"/>
  <c r="I58" i="17"/>
  <c r="H58" i="17"/>
  <c r="G58" i="17"/>
  <c r="G60" i="17" s="1"/>
  <c r="G62" i="17" s="1"/>
  <c r="F58" i="17"/>
  <c r="F60" i="17" s="1"/>
  <c r="F62" i="17" s="1"/>
  <c r="E58" i="17"/>
  <c r="AI57" i="17"/>
  <c r="AH57" i="17"/>
  <c r="AG57" i="17"/>
  <c r="AF57" i="17"/>
  <c r="AE57" i="17"/>
  <c r="AD57" i="17"/>
  <c r="AC57" i="17"/>
  <c r="AB57" i="17"/>
  <c r="AA57" i="17"/>
  <c r="Z57" i="17"/>
  <c r="Y57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AJ57" i="17" s="1"/>
  <c r="G57" i="17"/>
  <c r="F57" i="17"/>
  <c r="E57" i="17"/>
  <c r="AI56" i="17"/>
  <c r="AH56" i="17"/>
  <c r="AG56" i="17"/>
  <c r="AF56" i="17"/>
  <c r="AE56" i="17"/>
  <c r="AD56" i="17"/>
  <c r="AC56" i="17"/>
  <c r="AB56" i="17"/>
  <c r="AA56" i="17"/>
  <c r="Z56" i="17"/>
  <c r="Z60" i="17" s="1"/>
  <c r="Z62" i="17" s="1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AI55" i="17"/>
  <c r="AH55" i="17"/>
  <c r="AG55" i="17"/>
  <c r="AF55" i="17"/>
  <c r="AE55" i="17"/>
  <c r="AD55" i="17"/>
  <c r="AC55" i="17"/>
  <c r="AC61" i="17" s="1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O61" i="17" s="1"/>
  <c r="N55" i="17"/>
  <c r="M55" i="17"/>
  <c r="L55" i="17"/>
  <c r="K55" i="17"/>
  <c r="J55" i="17"/>
  <c r="I55" i="17"/>
  <c r="H55" i="17"/>
  <c r="G55" i="17"/>
  <c r="F55" i="17"/>
  <c r="E55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AJ54" i="17" s="1"/>
  <c r="G54" i="17"/>
  <c r="F54" i="17"/>
  <c r="E54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AJ53" i="17" s="1"/>
  <c r="G53" i="17"/>
  <c r="F53" i="17"/>
  <c r="E53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AJ52" i="17" s="1"/>
  <c r="G52" i="17"/>
  <c r="F52" i="17"/>
  <c r="E52" i="17"/>
  <c r="AI51" i="17"/>
  <c r="AH51" i="17"/>
  <c r="AG51" i="17"/>
  <c r="AF51" i="17"/>
  <c r="AE51" i="17"/>
  <c r="AE61" i="17" s="1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X60" i="17" s="1"/>
  <c r="X62" i="17" s="1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AJ49" i="17" s="1"/>
  <c r="G49" i="17"/>
  <c r="F49" i="17"/>
  <c r="E49" i="17"/>
  <c r="AI48" i="17"/>
  <c r="AH48" i="17"/>
  <c r="AG48" i="17"/>
  <c r="AF48" i="17"/>
  <c r="AE48" i="17"/>
  <c r="AD48" i="17"/>
  <c r="AC48" i="17"/>
  <c r="AB48" i="17"/>
  <c r="AA48" i="17"/>
  <c r="Z48" i="17"/>
  <c r="Y48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AI47" i="17"/>
  <c r="AH47" i="17"/>
  <c r="AH61" i="17" s="1"/>
  <c r="AG47" i="17"/>
  <c r="AF47" i="17"/>
  <c r="AE47" i="17"/>
  <c r="AD47" i="17"/>
  <c r="AC47" i="17"/>
  <c r="AB47" i="17"/>
  <c r="AA47" i="17"/>
  <c r="Z47" i="17"/>
  <c r="Y47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F61" i="17" s="1"/>
  <c r="E47" i="17"/>
  <c r="E61" i="17" s="1"/>
  <c r="AI46" i="17"/>
  <c r="AH46" i="17"/>
  <c r="AG46" i="17"/>
  <c r="AF46" i="17"/>
  <c r="AE46" i="17"/>
  <c r="AD46" i="17"/>
  <c r="AC46" i="17"/>
  <c r="AB46" i="17"/>
  <c r="AA46" i="17"/>
  <c r="Z46" i="17"/>
  <c r="Y46" i="17"/>
  <c r="X46" i="17"/>
  <c r="W46" i="17"/>
  <c r="W60" i="17" s="1"/>
  <c r="W62" i="17" s="1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I60" i="17" s="1"/>
  <c r="I62" i="17" s="1"/>
  <c r="H46" i="17"/>
  <c r="G46" i="17"/>
  <c r="F46" i="17"/>
  <c r="E46" i="17"/>
  <c r="AI45" i="17"/>
  <c r="AI61" i="17" s="1"/>
  <c r="AH45" i="17"/>
  <c r="AG45" i="17"/>
  <c r="AF45" i="17"/>
  <c r="AE45" i="17"/>
  <c r="AD45" i="17"/>
  <c r="AC45" i="17"/>
  <c r="AB45" i="17"/>
  <c r="AB61" i="17" s="1"/>
  <c r="AA45" i="17"/>
  <c r="Z45" i="17"/>
  <c r="Y45" i="17"/>
  <c r="X45" i="17"/>
  <c r="X61" i="17" s="1"/>
  <c r="W45" i="17"/>
  <c r="W61" i="17" s="1"/>
  <c r="V45" i="17"/>
  <c r="U45" i="17"/>
  <c r="T45" i="17"/>
  <c r="S45" i="17"/>
  <c r="R45" i="17"/>
  <c r="Q45" i="17"/>
  <c r="P45" i="17"/>
  <c r="O45" i="17"/>
  <c r="N45" i="17"/>
  <c r="M45" i="17"/>
  <c r="M61" i="17" s="1"/>
  <c r="L45" i="17"/>
  <c r="K45" i="17"/>
  <c r="J45" i="17"/>
  <c r="J61" i="17" s="1"/>
  <c r="I45" i="17"/>
  <c r="I61" i="17" s="1"/>
  <c r="H45" i="17"/>
  <c r="AJ45" i="17" s="1"/>
  <c r="G45" i="17"/>
  <c r="F45" i="17"/>
  <c r="E45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AI42" i="17"/>
  <c r="AE42" i="17"/>
  <c r="AJ35" i="17"/>
  <c r="AJ34" i="17"/>
  <c r="AJ33" i="17"/>
  <c r="AJ32" i="17"/>
  <c r="AJ30" i="17"/>
  <c r="AJ29" i="17"/>
  <c r="AJ28" i="17"/>
  <c r="AJ27" i="17"/>
  <c r="AJ26" i="17"/>
  <c r="AJ25" i="17"/>
  <c r="AJ24" i="17"/>
  <c r="AJ23" i="17"/>
  <c r="AJ21" i="17"/>
  <c r="AJ20" i="17"/>
  <c r="AJ19" i="17"/>
  <c r="AJ18" i="17"/>
  <c r="AJ17" i="17"/>
  <c r="AJ16" i="17"/>
  <c r="AJ15" i="17"/>
  <c r="AJ14" i="17"/>
  <c r="AJ13" i="17"/>
  <c r="AJ12" i="17"/>
  <c r="AJ11" i="17"/>
  <c r="AJ10" i="17"/>
  <c r="AJ9" i="17"/>
  <c r="AJ8" i="17"/>
  <c r="AJ7" i="17"/>
  <c r="AJ6" i="17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AI94" i="16" s="1"/>
  <c r="AH90" i="16"/>
  <c r="AG90" i="16"/>
  <c r="AF90" i="16"/>
  <c r="AE90" i="16"/>
  <c r="AD90" i="16"/>
  <c r="AC90" i="16"/>
  <c r="AB90" i="16"/>
  <c r="AA90" i="16"/>
  <c r="Z90" i="16"/>
  <c r="Y90" i="16"/>
  <c r="X90" i="16"/>
  <c r="W90" i="16"/>
  <c r="V90" i="16"/>
  <c r="U90" i="16"/>
  <c r="T90" i="16"/>
  <c r="S90" i="16"/>
  <c r="R90" i="16"/>
  <c r="Q90" i="16"/>
  <c r="P90" i="16"/>
  <c r="O90" i="16"/>
  <c r="N90" i="16"/>
  <c r="M90" i="16"/>
  <c r="L90" i="16"/>
  <c r="K90" i="16"/>
  <c r="J90" i="16"/>
  <c r="I90" i="16"/>
  <c r="H90" i="16"/>
  <c r="G90" i="16"/>
  <c r="F90" i="16"/>
  <c r="E90" i="16"/>
  <c r="W79" i="16"/>
  <c r="I79" i="16"/>
  <c r="H79" i="16"/>
  <c r="AH78" i="16"/>
  <c r="AG78" i="16"/>
  <c r="AF78" i="16"/>
  <c r="AE78" i="16"/>
  <c r="AD78" i="16"/>
  <c r="AC78" i="16"/>
  <c r="AB78" i="16"/>
  <c r="AA78" i="16"/>
  <c r="Z78" i="16"/>
  <c r="Y78" i="16"/>
  <c r="X78" i="16"/>
  <c r="X79" i="16" s="1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J79" i="16" s="1"/>
  <c r="I78" i="16"/>
  <c r="H78" i="16"/>
  <c r="G78" i="16"/>
  <c r="F78" i="16"/>
  <c r="E78" i="16"/>
  <c r="AH77" i="16"/>
  <c r="AG77" i="16"/>
  <c r="AF77" i="16"/>
  <c r="AE77" i="16"/>
  <c r="AD77" i="16"/>
  <c r="AC77" i="16"/>
  <c r="AC79" i="16" s="1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P79" i="16" s="1"/>
  <c r="O77" i="16"/>
  <c r="O79" i="16" s="1"/>
  <c r="N77" i="16"/>
  <c r="N79" i="16" s="1"/>
  <c r="M77" i="16"/>
  <c r="L77" i="16"/>
  <c r="K77" i="16"/>
  <c r="J77" i="16"/>
  <c r="I77" i="16"/>
  <c r="H77" i="16"/>
  <c r="G77" i="16"/>
  <c r="F77" i="16"/>
  <c r="E77" i="16"/>
  <c r="AH76" i="16"/>
  <c r="AG76" i="16"/>
  <c r="AF76" i="16"/>
  <c r="AF79" i="16" s="1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R79" i="16" s="1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AH75" i="16"/>
  <c r="AH79" i="16" s="1"/>
  <c r="AG75" i="16"/>
  <c r="AG79" i="16" s="1"/>
  <c r="AF75" i="16"/>
  <c r="AE75" i="16"/>
  <c r="AD75" i="16"/>
  <c r="AC75" i="16"/>
  <c r="AB75" i="16"/>
  <c r="AA75" i="16"/>
  <c r="Z75" i="16"/>
  <c r="Y75" i="16"/>
  <c r="X75" i="16"/>
  <c r="W75" i="16"/>
  <c r="V75" i="16"/>
  <c r="V79" i="16" s="1"/>
  <c r="U75" i="16"/>
  <c r="U79" i="16" s="1"/>
  <c r="T75" i="16"/>
  <c r="T79" i="16" s="1"/>
  <c r="S75" i="16"/>
  <c r="S79" i="16" s="1"/>
  <c r="R75" i="16"/>
  <c r="Q75" i="16"/>
  <c r="P75" i="16"/>
  <c r="O75" i="16"/>
  <c r="N75" i="16"/>
  <c r="M75" i="16"/>
  <c r="L75" i="16"/>
  <c r="K75" i="16"/>
  <c r="J75" i="16"/>
  <c r="I75" i="16"/>
  <c r="H75" i="16"/>
  <c r="G75" i="16"/>
  <c r="G79" i="16" s="1"/>
  <c r="F75" i="16"/>
  <c r="F79" i="16" s="1"/>
  <c r="E75" i="16"/>
  <c r="E79" i="16" s="1"/>
  <c r="AH73" i="16"/>
  <c r="AE73" i="16"/>
  <c r="L73" i="16"/>
  <c r="K73" i="16"/>
  <c r="F73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I74" i="16" s="1"/>
  <c r="H72" i="16"/>
  <c r="G72" i="16"/>
  <c r="AI72" i="16" s="1"/>
  <c r="F72" i="16"/>
  <c r="E72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AI71" i="16" s="1"/>
  <c r="F71" i="16"/>
  <c r="E71" i="16"/>
  <c r="AH70" i="16"/>
  <c r="AG70" i="16"/>
  <c r="AF70" i="16"/>
  <c r="AE70" i="16"/>
  <c r="AE74" i="16" s="1"/>
  <c r="AD70" i="16"/>
  <c r="AC70" i="16"/>
  <c r="AC74" i="16" s="1"/>
  <c r="AB70" i="16"/>
  <c r="AA70" i="16"/>
  <c r="Z70" i="16"/>
  <c r="Y70" i="16"/>
  <c r="X70" i="16"/>
  <c r="W70" i="16"/>
  <c r="V70" i="16"/>
  <c r="U70" i="16"/>
  <c r="T70" i="16"/>
  <c r="S70" i="16"/>
  <c r="R70" i="16"/>
  <c r="Q70" i="16"/>
  <c r="P70" i="16"/>
  <c r="O70" i="16"/>
  <c r="O74" i="16" s="1"/>
  <c r="N70" i="16"/>
  <c r="M70" i="16"/>
  <c r="L70" i="16"/>
  <c r="K70" i="16"/>
  <c r="J70" i="16"/>
  <c r="I70" i="16"/>
  <c r="H70" i="16"/>
  <c r="G70" i="16"/>
  <c r="F70" i="16"/>
  <c r="E70" i="16"/>
  <c r="AH69" i="16"/>
  <c r="AG69" i="16"/>
  <c r="AF69" i="16"/>
  <c r="AF73" i="16" s="1"/>
  <c r="AE69" i="16"/>
  <c r="AD69" i="16"/>
  <c r="AC69" i="16"/>
  <c r="AB69" i="16"/>
  <c r="AA69" i="16"/>
  <c r="Z69" i="16"/>
  <c r="Y69" i="16"/>
  <c r="X69" i="16"/>
  <c r="W69" i="16"/>
  <c r="V69" i="16"/>
  <c r="U69" i="16"/>
  <c r="T69" i="16"/>
  <c r="S69" i="16"/>
  <c r="R69" i="16"/>
  <c r="R73" i="16" s="1"/>
  <c r="Q69" i="16"/>
  <c r="P69" i="16"/>
  <c r="O69" i="16"/>
  <c r="N69" i="16"/>
  <c r="M69" i="16"/>
  <c r="L69" i="16"/>
  <c r="K69" i="16"/>
  <c r="J69" i="16"/>
  <c r="I69" i="16"/>
  <c r="H69" i="16"/>
  <c r="G69" i="16"/>
  <c r="F69" i="16"/>
  <c r="E69" i="16"/>
  <c r="AI69" i="16" s="1"/>
  <c r="AH68" i="16"/>
  <c r="AG68" i="16"/>
  <c r="AF68" i="16"/>
  <c r="AE68" i="16"/>
  <c r="AD68" i="16"/>
  <c r="AC68" i="16"/>
  <c r="AB68" i="16"/>
  <c r="AA68" i="16"/>
  <c r="Z68" i="16"/>
  <c r="Y68" i="16"/>
  <c r="X68" i="16"/>
  <c r="W68" i="16"/>
  <c r="V68" i="16"/>
  <c r="U68" i="16"/>
  <c r="T68" i="16"/>
  <c r="S68" i="16"/>
  <c r="R68" i="16"/>
  <c r="Q68" i="16"/>
  <c r="P68" i="16"/>
  <c r="O68" i="16"/>
  <c r="N68" i="16"/>
  <c r="M68" i="16"/>
  <c r="L68" i="16"/>
  <c r="K68" i="16"/>
  <c r="J68" i="16"/>
  <c r="I68" i="16"/>
  <c r="H68" i="16"/>
  <c r="H74" i="16" s="1"/>
  <c r="G68" i="16"/>
  <c r="F68" i="16"/>
  <c r="E68" i="16"/>
  <c r="AH67" i="16"/>
  <c r="AG67" i="16"/>
  <c r="AF67" i="16"/>
  <c r="AE67" i="16"/>
  <c r="AD67" i="16"/>
  <c r="AC67" i="16"/>
  <c r="AB67" i="16"/>
  <c r="AA67" i="16"/>
  <c r="Z67" i="16"/>
  <c r="Y67" i="16"/>
  <c r="X67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AH66" i="16"/>
  <c r="AG66" i="16"/>
  <c r="AF66" i="16"/>
  <c r="AE66" i="16"/>
  <c r="AD66" i="16"/>
  <c r="AC66" i="16"/>
  <c r="AB66" i="16"/>
  <c r="AA66" i="16"/>
  <c r="AA74" i="16" s="1"/>
  <c r="Z66" i="16"/>
  <c r="Z74" i="16" s="1"/>
  <c r="Y66" i="16"/>
  <c r="Y74" i="16" s="1"/>
  <c r="X66" i="16"/>
  <c r="X74" i="16" s="1"/>
  <c r="W66" i="16"/>
  <c r="V66" i="16"/>
  <c r="U66" i="16"/>
  <c r="U74" i="16" s="1"/>
  <c r="T66" i="16"/>
  <c r="S66" i="16"/>
  <c r="R66" i="16"/>
  <c r="Q66" i="16"/>
  <c r="P66" i="16"/>
  <c r="O66" i="16"/>
  <c r="N66" i="16"/>
  <c r="M66" i="16"/>
  <c r="M74" i="16" s="1"/>
  <c r="L66" i="16"/>
  <c r="L74" i="16" s="1"/>
  <c r="K66" i="16"/>
  <c r="K74" i="16" s="1"/>
  <c r="J66" i="16"/>
  <c r="J74" i="16" s="1"/>
  <c r="I66" i="16"/>
  <c r="H66" i="16"/>
  <c r="G66" i="16"/>
  <c r="G74" i="16" s="1"/>
  <c r="F66" i="16"/>
  <c r="E66" i="16"/>
  <c r="AH65" i="16"/>
  <c r="AG65" i="16"/>
  <c r="AF65" i="16"/>
  <c r="AE65" i="16"/>
  <c r="AD65" i="16"/>
  <c r="AD73" i="16" s="1"/>
  <c r="AC65" i="16"/>
  <c r="AC73" i="16" s="1"/>
  <c r="AB65" i="16"/>
  <c r="AB73" i="16" s="1"/>
  <c r="AA65" i="16"/>
  <c r="AA73" i="16" s="1"/>
  <c r="Z65" i="16"/>
  <c r="Z73" i="16" s="1"/>
  <c r="Y65" i="16"/>
  <c r="Y73" i="16" s="1"/>
  <c r="X65" i="16"/>
  <c r="W65" i="16"/>
  <c r="W73" i="16" s="1"/>
  <c r="V65" i="16"/>
  <c r="U65" i="16"/>
  <c r="T65" i="16"/>
  <c r="T73" i="16" s="1"/>
  <c r="S65" i="16"/>
  <c r="R65" i="16"/>
  <c r="Q65" i="16"/>
  <c r="Q73" i="16" s="1"/>
  <c r="P65" i="16"/>
  <c r="P73" i="16" s="1"/>
  <c r="O65" i="16"/>
  <c r="O73" i="16" s="1"/>
  <c r="N65" i="16"/>
  <c r="N73" i="16" s="1"/>
  <c r="M65" i="16"/>
  <c r="M73" i="16" s="1"/>
  <c r="L65" i="16"/>
  <c r="K65" i="16"/>
  <c r="J65" i="16"/>
  <c r="I65" i="16"/>
  <c r="I73" i="16" s="1"/>
  <c r="H65" i="16"/>
  <c r="G65" i="16"/>
  <c r="F65" i="16"/>
  <c r="E65" i="16"/>
  <c r="AA60" i="16"/>
  <c r="AA62" i="16" s="1"/>
  <c r="Z60" i="16"/>
  <c r="Z62" i="16" s="1"/>
  <c r="W60" i="16"/>
  <c r="W62" i="16" s="1"/>
  <c r="AH59" i="16"/>
  <c r="AG59" i="16"/>
  <c r="AF59" i="16"/>
  <c r="AE59" i="16"/>
  <c r="AD59" i="16"/>
  <c r="AC59" i="16"/>
  <c r="AB59" i="16"/>
  <c r="AA59" i="16"/>
  <c r="Z59" i="16"/>
  <c r="Y59" i="16"/>
  <c r="X59" i="16"/>
  <c r="W59" i="16"/>
  <c r="V59" i="16"/>
  <c r="U59" i="16"/>
  <c r="T59" i="16"/>
  <c r="S59" i="16"/>
  <c r="R59" i="16"/>
  <c r="Q59" i="16"/>
  <c r="P59" i="16"/>
  <c r="O59" i="16"/>
  <c r="N59" i="16"/>
  <c r="M59" i="16"/>
  <c r="L59" i="16"/>
  <c r="K59" i="16"/>
  <c r="J59" i="16"/>
  <c r="I59" i="16"/>
  <c r="AI59" i="16" s="1"/>
  <c r="H59" i="16"/>
  <c r="G59" i="16"/>
  <c r="F59" i="16"/>
  <c r="E59" i="16"/>
  <c r="AH58" i="16"/>
  <c r="AH60" i="16" s="1"/>
  <c r="AH62" i="16" s="1"/>
  <c r="AG58" i="16"/>
  <c r="AF58" i="16"/>
  <c r="AE58" i="16"/>
  <c r="AD58" i="16"/>
  <c r="AC58" i="16"/>
  <c r="AB58" i="16"/>
  <c r="AA58" i="16"/>
  <c r="Z58" i="16"/>
  <c r="Y58" i="16"/>
  <c r="X58" i="16"/>
  <c r="W58" i="16"/>
  <c r="V58" i="16"/>
  <c r="U58" i="16"/>
  <c r="T58" i="16"/>
  <c r="T60" i="16" s="1"/>
  <c r="T62" i="16" s="1"/>
  <c r="S58" i="16"/>
  <c r="R58" i="16"/>
  <c r="Q58" i="16"/>
  <c r="P58" i="16"/>
  <c r="O58" i="16"/>
  <c r="N58" i="16"/>
  <c r="M58" i="16"/>
  <c r="L58" i="16"/>
  <c r="K58" i="16"/>
  <c r="J58" i="16"/>
  <c r="I58" i="16"/>
  <c r="H58" i="16"/>
  <c r="G58" i="16"/>
  <c r="F58" i="16"/>
  <c r="E58" i="16"/>
  <c r="AH57" i="16"/>
  <c r="AG57" i="16"/>
  <c r="AF57" i="16"/>
  <c r="AE57" i="16"/>
  <c r="AD57" i="16"/>
  <c r="AC57" i="16"/>
  <c r="AB57" i="16"/>
  <c r="AA57" i="16"/>
  <c r="Z57" i="16"/>
  <c r="Y57" i="16"/>
  <c r="X57" i="16"/>
  <c r="W57" i="16"/>
  <c r="V57" i="16"/>
  <c r="U57" i="16"/>
  <c r="T57" i="16"/>
  <c r="S57" i="16"/>
  <c r="R57" i="16"/>
  <c r="Q57" i="16"/>
  <c r="P57" i="16"/>
  <c r="O57" i="16"/>
  <c r="N57" i="16"/>
  <c r="M57" i="16"/>
  <c r="L57" i="16"/>
  <c r="K57" i="16"/>
  <c r="J57" i="16"/>
  <c r="I57" i="16"/>
  <c r="H57" i="16"/>
  <c r="G57" i="16"/>
  <c r="F57" i="16"/>
  <c r="E57" i="16"/>
  <c r="AH56" i="16"/>
  <c r="AG56" i="16"/>
  <c r="AF56" i="16"/>
  <c r="AF60" i="16" s="1"/>
  <c r="AF62" i="16" s="1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R60" i="16" s="1"/>
  <c r="R62" i="16" s="1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AI55" i="16" s="1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V60" i="16" s="1"/>
  <c r="V62" i="16" s="1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AH52" i="16"/>
  <c r="AG52" i="16"/>
  <c r="AF52" i="16"/>
  <c r="AE52" i="16"/>
  <c r="AD52" i="16"/>
  <c r="AC52" i="16"/>
  <c r="AB52" i="16"/>
  <c r="AB60" i="16" s="1"/>
  <c r="AB62" i="16" s="1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O61" i="16" s="1"/>
  <c r="N51" i="16"/>
  <c r="M51" i="16"/>
  <c r="L51" i="16"/>
  <c r="K51" i="16"/>
  <c r="J51" i="16"/>
  <c r="I51" i="16"/>
  <c r="H51" i="16"/>
  <c r="G51" i="16"/>
  <c r="F51" i="16"/>
  <c r="E51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AH49" i="16"/>
  <c r="AH61" i="16" s="1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AI49" i="16" s="1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AH48" i="16"/>
  <c r="AG48" i="16"/>
  <c r="AF48" i="16"/>
  <c r="AE48" i="16"/>
  <c r="AD48" i="16"/>
  <c r="AC48" i="16"/>
  <c r="AB48" i="16"/>
  <c r="AA48" i="16"/>
  <c r="Z48" i="16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AH47" i="16"/>
  <c r="AG47" i="16"/>
  <c r="AF47" i="16"/>
  <c r="AE47" i="16"/>
  <c r="AD47" i="16"/>
  <c r="AC47" i="16"/>
  <c r="AB47" i="16"/>
  <c r="AA47" i="16"/>
  <c r="AA61" i="16" s="1"/>
  <c r="Z47" i="16"/>
  <c r="Y47" i="16"/>
  <c r="X47" i="16"/>
  <c r="X61" i="16" s="1"/>
  <c r="W47" i="16"/>
  <c r="W61" i="16" s="1"/>
  <c r="V47" i="16"/>
  <c r="U47" i="16"/>
  <c r="T47" i="16"/>
  <c r="S47" i="16"/>
  <c r="R47" i="16"/>
  <c r="Q47" i="16"/>
  <c r="P47" i="16"/>
  <c r="O47" i="16"/>
  <c r="N47" i="16"/>
  <c r="M47" i="16"/>
  <c r="M61" i="16" s="1"/>
  <c r="L47" i="16"/>
  <c r="K47" i="16"/>
  <c r="J47" i="16"/>
  <c r="J61" i="16" s="1"/>
  <c r="I47" i="16"/>
  <c r="H47" i="16"/>
  <c r="G47" i="16"/>
  <c r="F47" i="16"/>
  <c r="E47" i="16"/>
  <c r="AH46" i="16"/>
  <c r="AG46" i="16"/>
  <c r="AF46" i="16"/>
  <c r="AE46" i="16"/>
  <c r="AD46" i="16"/>
  <c r="AC46" i="16"/>
  <c r="AB46" i="16"/>
  <c r="AA46" i="16"/>
  <c r="Z46" i="16"/>
  <c r="Y46" i="16"/>
  <c r="X46" i="16"/>
  <c r="W46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AH45" i="16"/>
  <c r="AG45" i="16"/>
  <c r="AF45" i="16"/>
  <c r="AF61" i="16" s="1"/>
  <c r="AE45" i="16"/>
  <c r="AE61" i="16" s="1"/>
  <c r="AD45" i="16"/>
  <c r="AD61" i="16" s="1"/>
  <c r="AC45" i="16"/>
  <c r="AB45" i="16"/>
  <c r="AA45" i="16"/>
  <c r="Z45" i="16"/>
  <c r="Y45" i="16"/>
  <c r="X45" i="16"/>
  <c r="W45" i="16"/>
  <c r="V45" i="16"/>
  <c r="U45" i="16"/>
  <c r="T45" i="16"/>
  <c r="S45" i="16"/>
  <c r="S61" i="16" s="1"/>
  <c r="R45" i="16"/>
  <c r="R61" i="16" s="1"/>
  <c r="Q45" i="16"/>
  <c r="Q61" i="16" s="1"/>
  <c r="P45" i="16"/>
  <c r="P61" i="16" s="1"/>
  <c r="O45" i="16"/>
  <c r="N45" i="16"/>
  <c r="M45" i="16"/>
  <c r="L45" i="16"/>
  <c r="K45" i="16"/>
  <c r="J45" i="16"/>
  <c r="I45" i="16"/>
  <c r="H45" i="16"/>
  <c r="G45" i="16"/>
  <c r="F45" i="16"/>
  <c r="E45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AI44" i="16" s="1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AE42" i="16"/>
  <c r="AI35" i="16"/>
  <c r="AI34" i="16"/>
  <c r="AI33" i="16"/>
  <c r="AI32" i="16"/>
  <c r="AI30" i="16"/>
  <c r="AI29" i="16"/>
  <c r="AI28" i="16"/>
  <c r="AI27" i="16"/>
  <c r="AI26" i="16"/>
  <c r="AI25" i="16"/>
  <c r="AI24" i="16"/>
  <c r="AI23" i="16"/>
  <c r="AI21" i="16"/>
  <c r="AI20" i="16"/>
  <c r="AI19" i="16"/>
  <c r="AI18" i="16"/>
  <c r="AI17" i="16"/>
  <c r="AI16" i="16"/>
  <c r="AI15" i="16"/>
  <c r="AI14" i="16"/>
  <c r="AI13" i="16"/>
  <c r="AI12" i="16"/>
  <c r="AI11" i="16"/>
  <c r="AI10" i="16"/>
  <c r="AI9" i="16"/>
  <c r="AI8" i="16"/>
  <c r="AI7" i="16"/>
  <c r="AI6" i="16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AI90" i="15"/>
  <c r="AH90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AG79" i="15"/>
  <c r="AD79" i="15"/>
  <c r="AA79" i="15"/>
  <c r="Z79" i="15"/>
  <c r="Y79" i="15"/>
  <c r="H79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P79" i="15" s="1"/>
  <c r="O78" i="15"/>
  <c r="N78" i="15"/>
  <c r="M78" i="15"/>
  <c r="L78" i="15"/>
  <c r="K78" i="15"/>
  <c r="K79" i="15" s="1"/>
  <c r="J78" i="15"/>
  <c r="I78" i="15"/>
  <c r="H78" i="15"/>
  <c r="G78" i="15"/>
  <c r="F78" i="15"/>
  <c r="E78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S79" i="15" s="1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AI76" i="15"/>
  <c r="AH76" i="15"/>
  <c r="AG76" i="15"/>
  <c r="AF76" i="15"/>
  <c r="AF79" i="15" s="1"/>
  <c r="AE76" i="15"/>
  <c r="AE79" i="15" s="1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Q79" i="15" s="1"/>
  <c r="P76" i="15"/>
  <c r="O76" i="15"/>
  <c r="N76" i="15"/>
  <c r="M76" i="15"/>
  <c r="L76" i="15"/>
  <c r="K76" i="15"/>
  <c r="J76" i="15"/>
  <c r="I76" i="15"/>
  <c r="H76" i="15"/>
  <c r="G76" i="15"/>
  <c r="F76" i="15"/>
  <c r="F79" i="15" s="1"/>
  <c r="E76" i="15"/>
  <c r="AI75" i="15"/>
  <c r="AI79" i="15" s="1"/>
  <c r="AH75" i="15"/>
  <c r="AG75" i="15"/>
  <c r="AF75" i="15"/>
  <c r="AE75" i="15"/>
  <c r="AD75" i="15"/>
  <c r="AC75" i="15"/>
  <c r="AB75" i="15"/>
  <c r="AB79" i="15" s="1"/>
  <c r="AA75" i="15"/>
  <c r="Z75" i="15"/>
  <c r="Y75" i="15"/>
  <c r="X75" i="15"/>
  <c r="W75" i="15"/>
  <c r="V75" i="15"/>
  <c r="U75" i="15"/>
  <c r="U79" i="15" s="1"/>
  <c r="T75" i="15"/>
  <c r="S75" i="15"/>
  <c r="R75" i="15"/>
  <c r="Q75" i="15"/>
  <c r="P75" i="15"/>
  <c r="O75" i="15"/>
  <c r="N75" i="15"/>
  <c r="N79" i="15" s="1"/>
  <c r="M75" i="15"/>
  <c r="L75" i="15"/>
  <c r="L79" i="15" s="1"/>
  <c r="K75" i="15"/>
  <c r="J75" i="15"/>
  <c r="I75" i="15"/>
  <c r="H75" i="15"/>
  <c r="G75" i="15"/>
  <c r="F75" i="15"/>
  <c r="E75" i="15"/>
  <c r="AD74" i="15"/>
  <c r="AB74" i="15"/>
  <c r="AI73" i="15"/>
  <c r="S73" i="15"/>
  <c r="I73" i="15"/>
  <c r="H73" i="15"/>
  <c r="G73" i="15"/>
  <c r="F73" i="15"/>
  <c r="AI72" i="15"/>
  <c r="AH72" i="15"/>
  <c r="AG72" i="15"/>
  <c r="AF72" i="15"/>
  <c r="AE72" i="15"/>
  <c r="AD72" i="15"/>
  <c r="AC72" i="15"/>
  <c r="AB72" i="15"/>
  <c r="AA72" i="15"/>
  <c r="Z72" i="15"/>
  <c r="Y72" i="15"/>
  <c r="Y74" i="15" s="1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K74" i="15" s="1"/>
  <c r="J72" i="15"/>
  <c r="I72" i="15"/>
  <c r="H72" i="15"/>
  <c r="G72" i="15"/>
  <c r="F72" i="15"/>
  <c r="E72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AI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AI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V69" i="15"/>
  <c r="V73" i="15" s="1"/>
  <c r="U69" i="15"/>
  <c r="U73" i="15" s="1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AJ69" i="15" s="1"/>
  <c r="F69" i="15"/>
  <c r="E69" i="15"/>
  <c r="AI68" i="15"/>
  <c r="AH68" i="15"/>
  <c r="AG68" i="15"/>
  <c r="AF68" i="15"/>
  <c r="AE68" i="15"/>
  <c r="AD68" i="15"/>
  <c r="AC68" i="15"/>
  <c r="AC74" i="15" s="1"/>
  <c r="AB68" i="15"/>
  <c r="AA68" i="15"/>
  <c r="Z68" i="15"/>
  <c r="Y68" i="15"/>
  <c r="X68" i="15"/>
  <c r="W68" i="15"/>
  <c r="V68" i="15"/>
  <c r="U68" i="15"/>
  <c r="T68" i="15"/>
  <c r="S68" i="15"/>
  <c r="R68" i="15"/>
  <c r="Q68" i="15"/>
  <c r="P68" i="15"/>
  <c r="P74" i="15" s="1"/>
  <c r="O68" i="15"/>
  <c r="O74" i="15" s="1"/>
  <c r="N68" i="15"/>
  <c r="N74" i="15" s="1"/>
  <c r="M68" i="15"/>
  <c r="L68" i="15"/>
  <c r="K68" i="15"/>
  <c r="J68" i="15"/>
  <c r="I68" i="15"/>
  <c r="H68" i="15"/>
  <c r="G68" i="15"/>
  <c r="F68" i="15"/>
  <c r="E68" i="15"/>
  <c r="AJ68" i="15" s="1"/>
  <c r="AI67" i="15"/>
  <c r="AH67" i="15"/>
  <c r="AG67" i="15"/>
  <c r="AG73" i="15" s="1"/>
  <c r="AF67" i="15"/>
  <c r="AF73" i="15" s="1"/>
  <c r="AE67" i="15"/>
  <c r="AD67" i="15"/>
  <c r="AC67" i="15"/>
  <c r="AB67" i="15"/>
  <c r="AA67" i="15"/>
  <c r="Z67" i="15"/>
  <c r="Y67" i="15"/>
  <c r="X67" i="15"/>
  <c r="W67" i="15"/>
  <c r="V67" i="15"/>
  <c r="U67" i="15"/>
  <c r="T67" i="15"/>
  <c r="T73" i="15" s="1"/>
  <c r="S67" i="15"/>
  <c r="R67" i="15"/>
  <c r="R73" i="15" s="1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AI66" i="15"/>
  <c r="AI74" i="15" s="1"/>
  <c r="AH66" i="15"/>
  <c r="AG66" i="15"/>
  <c r="AF66" i="15"/>
  <c r="AE66" i="15"/>
  <c r="AD66" i="15"/>
  <c r="AC66" i="15"/>
  <c r="AB66" i="15"/>
  <c r="AA66" i="15"/>
  <c r="AA74" i="15" s="1"/>
  <c r="Z66" i="15"/>
  <c r="Y66" i="15"/>
  <c r="X66" i="15"/>
  <c r="W66" i="15"/>
  <c r="W74" i="15" s="1"/>
  <c r="V66" i="15"/>
  <c r="V74" i="15" s="1"/>
  <c r="U66" i="15"/>
  <c r="U74" i="15" s="1"/>
  <c r="T66" i="15"/>
  <c r="S66" i="15"/>
  <c r="R66" i="15"/>
  <c r="Q66" i="15"/>
  <c r="P66" i="15"/>
  <c r="O66" i="15"/>
  <c r="N66" i="15"/>
  <c r="M66" i="15"/>
  <c r="L66" i="15"/>
  <c r="K66" i="15"/>
  <c r="J66" i="15"/>
  <c r="I66" i="15"/>
  <c r="I74" i="15" s="1"/>
  <c r="H66" i="15"/>
  <c r="H74" i="15" s="1"/>
  <c r="G66" i="15"/>
  <c r="G74" i="15" s="1"/>
  <c r="F66" i="15"/>
  <c r="E66" i="15"/>
  <c r="AI65" i="15"/>
  <c r="AH65" i="15"/>
  <c r="AG65" i="15"/>
  <c r="AF65" i="15"/>
  <c r="AE65" i="15"/>
  <c r="AD65" i="15"/>
  <c r="AC65" i="15"/>
  <c r="AB65" i="15"/>
  <c r="AA65" i="15"/>
  <c r="Z65" i="15"/>
  <c r="Z73" i="15" s="1"/>
  <c r="Y65" i="15"/>
  <c r="Y73" i="15" s="1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L73" i="15" s="1"/>
  <c r="K65" i="15"/>
  <c r="K73" i="15" s="1"/>
  <c r="J65" i="15"/>
  <c r="I65" i="15"/>
  <c r="H65" i="15"/>
  <c r="G65" i="15"/>
  <c r="F65" i="15"/>
  <c r="E65" i="15"/>
  <c r="AC62" i="15"/>
  <c r="AA62" i="15"/>
  <c r="AF61" i="15"/>
  <c r="AC61" i="15"/>
  <c r="O61" i="15"/>
  <c r="J61" i="15"/>
  <c r="I61" i="15"/>
  <c r="AH60" i="15"/>
  <c r="AH62" i="15" s="1"/>
  <c r="AG60" i="15"/>
  <c r="AG62" i="15" s="1"/>
  <c r="M60" i="15"/>
  <c r="M62" i="15" s="1"/>
  <c r="J60" i="15"/>
  <c r="J62" i="15" s="1"/>
  <c r="E60" i="15"/>
  <c r="AI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AI58" i="15"/>
  <c r="AI60" i="15" s="1"/>
  <c r="AI62" i="15" s="1"/>
  <c r="AH58" i="15"/>
  <c r="AG58" i="15"/>
  <c r="AF58" i="15"/>
  <c r="AE58" i="15"/>
  <c r="AE60" i="15" s="1"/>
  <c r="AE62" i="15" s="1"/>
  <c r="AD58" i="15"/>
  <c r="AC58" i="15"/>
  <c r="AB58" i="15"/>
  <c r="AA58" i="15"/>
  <c r="AA60" i="15" s="1"/>
  <c r="Z58" i="15"/>
  <c r="Y58" i="15"/>
  <c r="X58" i="15"/>
  <c r="W58" i="15"/>
  <c r="V58" i="15"/>
  <c r="U58" i="15"/>
  <c r="U60" i="15" s="1"/>
  <c r="U62" i="15" s="1"/>
  <c r="T58" i="15"/>
  <c r="S58" i="15"/>
  <c r="R58" i="15"/>
  <c r="Q58" i="15"/>
  <c r="Q60" i="15" s="1"/>
  <c r="Q62" i="15" s="1"/>
  <c r="P58" i="15"/>
  <c r="O58" i="15"/>
  <c r="N58" i="15"/>
  <c r="M58" i="15"/>
  <c r="L58" i="15"/>
  <c r="K58" i="15"/>
  <c r="J58" i="15"/>
  <c r="I58" i="15"/>
  <c r="H58" i="15"/>
  <c r="G58" i="15"/>
  <c r="F58" i="15"/>
  <c r="E58" i="15"/>
  <c r="AI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AJ57" i="15" s="1"/>
  <c r="F57" i="15"/>
  <c r="E57" i="15"/>
  <c r="AI56" i="15"/>
  <c r="AH56" i="15"/>
  <c r="AG56" i="15"/>
  <c r="AF56" i="15"/>
  <c r="AE56" i="15"/>
  <c r="AD56" i="15"/>
  <c r="AC56" i="15"/>
  <c r="AB56" i="15"/>
  <c r="AB60" i="15" s="1"/>
  <c r="AB62" i="15" s="1"/>
  <c r="AA56" i="15"/>
  <c r="Z56" i="15"/>
  <c r="Y56" i="15"/>
  <c r="Y60" i="15" s="1"/>
  <c r="Y62" i="15" s="1"/>
  <c r="X56" i="15"/>
  <c r="X60" i="15" s="1"/>
  <c r="X62" i="15" s="1"/>
  <c r="W56" i="15"/>
  <c r="V56" i="15"/>
  <c r="U56" i="15"/>
  <c r="T56" i="15"/>
  <c r="S56" i="15"/>
  <c r="R56" i="15"/>
  <c r="Q56" i="15"/>
  <c r="P56" i="15"/>
  <c r="O56" i="15"/>
  <c r="O60" i="15" s="1"/>
  <c r="O62" i="15" s="1"/>
  <c r="N56" i="15"/>
  <c r="N60" i="15" s="1"/>
  <c r="N62" i="15" s="1"/>
  <c r="M56" i="15"/>
  <c r="L56" i="15"/>
  <c r="K56" i="15"/>
  <c r="K60" i="15" s="1"/>
  <c r="K62" i="15" s="1"/>
  <c r="J56" i="15"/>
  <c r="I56" i="15"/>
  <c r="H56" i="15"/>
  <c r="G56" i="15"/>
  <c r="F56" i="15"/>
  <c r="E56" i="15"/>
  <c r="AI55" i="15"/>
  <c r="AH55" i="15"/>
  <c r="AG55" i="15"/>
  <c r="AF55" i="15"/>
  <c r="AE55" i="15"/>
  <c r="AE61" i="15" s="1"/>
  <c r="AD55" i="15"/>
  <c r="AC55" i="15"/>
  <c r="AB55" i="15"/>
  <c r="AB61" i="15" s="1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AJ54" i="15" s="1"/>
  <c r="F54" i="15"/>
  <c r="E54" i="15"/>
  <c r="AI53" i="15"/>
  <c r="AH53" i="15"/>
  <c r="AG53" i="15"/>
  <c r="AF53" i="15"/>
  <c r="AE53" i="15"/>
  <c r="AD53" i="15"/>
  <c r="AC53" i="15"/>
  <c r="AB53" i="15"/>
  <c r="AA53" i="15"/>
  <c r="Z53" i="15"/>
  <c r="Y53" i="15"/>
  <c r="Y61" i="15" s="1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K61" i="15" s="1"/>
  <c r="J53" i="15"/>
  <c r="I53" i="15"/>
  <c r="H53" i="15"/>
  <c r="AJ53" i="15" s="1"/>
  <c r="G53" i="15"/>
  <c r="F53" i="15"/>
  <c r="E53" i="15"/>
  <c r="AI52" i="15"/>
  <c r="AH52" i="15"/>
  <c r="AG52" i="15"/>
  <c r="AF52" i="15"/>
  <c r="AE52" i="15"/>
  <c r="AD52" i="15"/>
  <c r="AC52" i="15"/>
  <c r="AC60" i="15" s="1"/>
  <c r="AB52" i="15"/>
  <c r="AA52" i="15"/>
  <c r="Z52" i="15"/>
  <c r="Z60" i="15" s="1"/>
  <c r="Z62" i="15" s="1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L60" i="15" s="1"/>
  <c r="L62" i="15" s="1"/>
  <c r="K52" i="15"/>
  <c r="J52" i="15"/>
  <c r="I52" i="15"/>
  <c r="H52" i="15"/>
  <c r="G52" i="15"/>
  <c r="F52" i="15"/>
  <c r="E52" i="15"/>
  <c r="AI51" i="15"/>
  <c r="AH51" i="15"/>
  <c r="AG51" i="15"/>
  <c r="AG61" i="15" s="1"/>
  <c r="AF51" i="15"/>
  <c r="AE51" i="15"/>
  <c r="AD51" i="15"/>
  <c r="AD61" i="15" s="1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AJ50" i="15" s="1"/>
  <c r="E50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AJ49" i="15" s="1"/>
  <c r="E49" i="15"/>
  <c r="AI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AI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AJ47" i="15" s="1"/>
  <c r="AI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AI45" i="15"/>
  <c r="AH45" i="15"/>
  <c r="AG45" i="15"/>
  <c r="AF45" i="15"/>
  <c r="AE45" i="15"/>
  <c r="AD45" i="15"/>
  <c r="AC45" i="15"/>
  <c r="AB45" i="15"/>
  <c r="AA45" i="15"/>
  <c r="Z45" i="15"/>
  <c r="Z61" i="15" s="1"/>
  <c r="Y45" i="15"/>
  <c r="X45" i="15"/>
  <c r="W45" i="15"/>
  <c r="W61" i="15" s="1"/>
  <c r="V45" i="15"/>
  <c r="U45" i="15"/>
  <c r="T45" i="15"/>
  <c r="S45" i="15"/>
  <c r="R45" i="15"/>
  <c r="R61" i="15" s="1"/>
  <c r="Q45" i="15"/>
  <c r="P45" i="15"/>
  <c r="O45" i="15"/>
  <c r="N45" i="15"/>
  <c r="M45" i="15"/>
  <c r="L45" i="15"/>
  <c r="L61" i="15" s="1"/>
  <c r="K45" i="15"/>
  <c r="J45" i="15"/>
  <c r="I45" i="15"/>
  <c r="H45" i="15"/>
  <c r="G45" i="15"/>
  <c r="F45" i="15"/>
  <c r="E45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AJ44" i="15" s="1"/>
  <c r="G44" i="15"/>
  <c r="F44" i="15"/>
  <c r="E44" i="15"/>
  <c r="AE42" i="15"/>
  <c r="AJ35" i="15"/>
  <c r="AJ34" i="15"/>
  <c r="AJ33" i="15"/>
  <c r="AJ32" i="15"/>
  <c r="AJ30" i="15"/>
  <c r="AJ29" i="15"/>
  <c r="AJ28" i="15"/>
  <c r="AJ27" i="15"/>
  <c r="AJ26" i="15"/>
  <c r="AJ25" i="15"/>
  <c r="AJ24" i="15"/>
  <c r="AJ23" i="15"/>
  <c r="AJ21" i="15"/>
  <c r="AJ20" i="15"/>
  <c r="AJ19" i="15"/>
  <c r="AJ18" i="15"/>
  <c r="AJ17" i="15"/>
  <c r="AJ16" i="15"/>
  <c r="AJ15" i="15"/>
  <c r="AJ14" i="15"/>
  <c r="AJ13" i="15"/>
  <c r="AJ12" i="15"/>
  <c r="AJ11" i="15"/>
  <c r="AJ10" i="15"/>
  <c r="AJ9" i="15"/>
  <c r="AJ8" i="15"/>
  <c r="AJ7" i="15"/>
  <c r="AJ6" i="15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AI94" i="14" s="1"/>
  <c r="J94" i="14"/>
  <c r="I94" i="14"/>
  <c r="H94" i="14"/>
  <c r="G94" i="14"/>
  <c r="F94" i="14"/>
  <c r="E94" i="14"/>
  <c r="AH90" i="14"/>
  <c r="AG90" i="14"/>
  <c r="AF90" i="14"/>
  <c r="AE90" i="14"/>
  <c r="AD90" i="14"/>
  <c r="AC90" i="14"/>
  <c r="AB90" i="14"/>
  <c r="AA90" i="14"/>
  <c r="Z90" i="14"/>
  <c r="Y90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AC79" i="14"/>
  <c r="W79" i="14"/>
  <c r="V79" i="14"/>
  <c r="L79" i="14"/>
  <c r="I79" i="14"/>
  <c r="H79" i="14"/>
  <c r="G79" i="14"/>
  <c r="AH78" i="14"/>
  <c r="AG78" i="14"/>
  <c r="AF78" i="14"/>
  <c r="AE78" i="14"/>
  <c r="AD78" i="14"/>
  <c r="AC78" i="14"/>
  <c r="AB78" i="14"/>
  <c r="AA78" i="14"/>
  <c r="Z78" i="14"/>
  <c r="Z79" i="14" s="1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K79" i="14" s="1"/>
  <c r="J78" i="14"/>
  <c r="J79" i="14" s="1"/>
  <c r="I78" i="14"/>
  <c r="H78" i="14"/>
  <c r="G78" i="14"/>
  <c r="F78" i="14"/>
  <c r="E78" i="14"/>
  <c r="AH77" i="14"/>
  <c r="AG77" i="14"/>
  <c r="AF77" i="14"/>
  <c r="AE77" i="14"/>
  <c r="AD77" i="14"/>
  <c r="AD79" i="14" s="1"/>
  <c r="AC77" i="14"/>
  <c r="AB77" i="14"/>
  <c r="AB79" i="14" s="1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AH76" i="14"/>
  <c r="AG76" i="14"/>
  <c r="AF76" i="14"/>
  <c r="AE76" i="14"/>
  <c r="AD76" i="14"/>
  <c r="AC76" i="14"/>
  <c r="Z76" i="14"/>
  <c r="Y76" i="14"/>
  <c r="X76" i="14"/>
  <c r="W76" i="14"/>
  <c r="V76" i="14"/>
  <c r="U76" i="14"/>
  <c r="T76" i="14"/>
  <c r="S76" i="14"/>
  <c r="R76" i="14"/>
  <c r="Q76" i="14"/>
  <c r="P76" i="14"/>
  <c r="P79" i="14" s="1"/>
  <c r="O76" i="14"/>
  <c r="O79" i="14" s="1"/>
  <c r="N76" i="14"/>
  <c r="M76" i="14"/>
  <c r="L76" i="14"/>
  <c r="K76" i="14"/>
  <c r="J76" i="14"/>
  <c r="I76" i="14"/>
  <c r="H76" i="14"/>
  <c r="G76" i="14"/>
  <c r="F76" i="14"/>
  <c r="E76" i="14"/>
  <c r="AH75" i="14"/>
  <c r="AH79" i="14" s="1"/>
  <c r="AG75" i="14"/>
  <c r="AG79" i="14" s="1"/>
  <c r="AF75" i="14"/>
  <c r="AF79" i="14" s="1"/>
  <c r="AE75" i="14"/>
  <c r="AE79" i="14" s="1"/>
  <c r="AD75" i="14"/>
  <c r="AC75" i="14"/>
  <c r="AB75" i="14"/>
  <c r="AA75" i="14"/>
  <c r="Z75" i="14"/>
  <c r="Y75" i="14"/>
  <c r="X75" i="14"/>
  <c r="W75" i="14"/>
  <c r="V75" i="14"/>
  <c r="U75" i="14"/>
  <c r="T75" i="14"/>
  <c r="T79" i="14" s="1"/>
  <c r="S75" i="14"/>
  <c r="S79" i="14" s="1"/>
  <c r="R75" i="14"/>
  <c r="R79" i="14" s="1"/>
  <c r="Q75" i="14"/>
  <c r="P75" i="14"/>
  <c r="O75" i="14"/>
  <c r="N75" i="14"/>
  <c r="M75" i="14"/>
  <c r="L75" i="14"/>
  <c r="K75" i="14"/>
  <c r="J75" i="14"/>
  <c r="I75" i="14"/>
  <c r="H75" i="14"/>
  <c r="G75" i="14"/>
  <c r="F75" i="14"/>
  <c r="F79" i="14" s="1"/>
  <c r="E75" i="14"/>
  <c r="P74" i="14"/>
  <c r="O74" i="14"/>
  <c r="AB73" i="14"/>
  <c r="T73" i="14"/>
  <c r="L73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AI72" i="14" s="1"/>
  <c r="F72" i="14"/>
  <c r="E72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AH70" i="14"/>
  <c r="AG70" i="14"/>
  <c r="AF70" i="14"/>
  <c r="AE70" i="14"/>
  <c r="AD70" i="14"/>
  <c r="AC70" i="14"/>
  <c r="AC74" i="14" s="1"/>
  <c r="AB70" i="14"/>
  <c r="AA70" i="14"/>
  <c r="Z70" i="14"/>
  <c r="Y70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M74" i="14" s="1"/>
  <c r="L70" i="14"/>
  <c r="K70" i="14"/>
  <c r="J70" i="14"/>
  <c r="I70" i="14"/>
  <c r="H70" i="14"/>
  <c r="G70" i="14"/>
  <c r="F70" i="14"/>
  <c r="E70" i="14"/>
  <c r="AH69" i="14"/>
  <c r="AG69" i="14"/>
  <c r="AF69" i="14"/>
  <c r="AF73" i="14" s="1"/>
  <c r="AE69" i="14"/>
  <c r="AE73" i="14" s="1"/>
  <c r="AD69" i="14"/>
  <c r="AC69" i="14"/>
  <c r="AB69" i="14"/>
  <c r="AA69" i="14"/>
  <c r="Z69" i="14"/>
  <c r="Y69" i="14"/>
  <c r="X69" i="14"/>
  <c r="W69" i="14"/>
  <c r="V69" i="14"/>
  <c r="U69" i="14"/>
  <c r="T69" i="14"/>
  <c r="S69" i="14"/>
  <c r="R69" i="14"/>
  <c r="R73" i="14" s="1"/>
  <c r="Q69" i="14"/>
  <c r="Q73" i="14" s="1"/>
  <c r="P69" i="14"/>
  <c r="O69" i="14"/>
  <c r="N69" i="14"/>
  <c r="M69" i="14"/>
  <c r="L69" i="14"/>
  <c r="K69" i="14"/>
  <c r="J69" i="14"/>
  <c r="I69" i="14"/>
  <c r="H69" i="14"/>
  <c r="G69" i="14"/>
  <c r="F69" i="14"/>
  <c r="E69" i="14"/>
  <c r="AH68" i="14"/>
  <c r="AH74" i="14" s="1"/>
  <c r="AG68" i="14"/>
  <c r="AF68" i="14"/>
  <c r="AE68" i="14"/>
  <c r="AD68" i="14"/>
  <c r="AD74" i="14" s="1"/>
  <c r="AC68" i="14"/>
  <c r="AB68" i="14"/>
  <c r="AA68" i="14"/>
  <c r="Z68" i="14"/>
  <c r="Y68" i="14"/>
  <c r="X68" i="14"/>
  <c r="W68" i="14"/>
  <c r="V68" i="14"/>
  <c r="U68" i="14"/>
  <c r="U74" i="14" s="1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F74" i="14" s="1"/>
  <c r="E68" i="14"/>
  <c r="AH67" i="14"/>
  <c r="AH73" i="14" s="1"/>
  <c r="AG67" i="14"/>
  <c r="AF67" i="14"/>
  <c r="AE67" i="14"/>
  <c r="AD67" i="14"/>
  <c r="AC67" i="14"/>
  <c r="AB67" i="14"/>
  <c r="AA67" i="14"/>
  <c r="Z67" i="14"/>
  <c r="Y67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F73" i="14" s="1"/>
  <c r="E67" i="14"/>
  <c r="AH66" i="14"/>
  <c r="AG66" i="14"/>
  <c r="AF66" i="14"/>
  <c r="AE66" i="14"/>
  <c r="AE74" i="14" s="1"/>
  <c r="AD66" i="14"/>
  <c r="AC66" i="14"/>
  <c r="AB66" i="14"/>
  <c r="AA66" i="14"/>
  <c r="Z66" i="14"/>
  <c r="Y66" i="14"/>
  <c r="Y74" i="14" s="1"/>
  <c r="X66" i="14"/>
  <c r="X74" i="14" s="1"/>
  <c r="W66" i="14"/>
  <c r="W74" i="14" s="1"/>
  <c r="V66" i="14"/>
  <c r="V74" i="14" s="1"/>
  <c r="U66" i="14"/>
  <c r="T66" i="14"/>
  <c r="S66" i="14"/>
  <c r="R66" i="14"/>
  <c r="Q66" i="14"/>
  <c r="Q74" i="14" s="1"/>
  <c r="P66" i="14"/>
  <c r="O66" i="14"/>
  <c r="N66" i="14"/>
  <c r="M66" i="14"/>
  <c r="L66" i="14"/>
  <c r="K66" i="14"/>
  <c r="K74" i="14" s="1"/>
  <c r="J66" i="14"/>
  <c r="J74" i="14" s="1"/>
  <c r="I66" i="14"/>
  <c r="I74" i="14" s="1"/>
  <c r="H66" i="14"/>
  <c r="G66" i="14"/>
  <c r="AI66" i="14" s="1"/>
  <c r="F66" i="14"/>
  <c r="E66" i="14"/>
  <c r="AH65" i="14"/>
  <c r="AG65" i="14"/>
  <c r="AG73" i="14" s="1"/>
  <c r="AF65" i="14"/>
  <c r="AE65" i="14"/>
  <c r="AD65" i="14"/>
  <c r="AC65" i="14"/>
  <c r="AB65" i="14"/>
  <c r="AA65" i="14"/>
  <c r="AA73" i="14" s="1"/>
  <c r="Z65" i="14"/>
  <c r="Z73" i="14" s="1"/>
  <c r="Y65" i="14"/>
  <c r="X65" i="14"/>
  <c r="W65" i="14"/>
  <c r="V65" i="14"/>
  <c r="U65" i="14"/>
  <c r="T65" i="14"/>
  <c r="S65" i="14"/>
  <c r="S73" i="14" s="1"/>
  <c r="R65" i="14"/>
  <c r="Q65" i="14"/>
  <c r="P65" i="14"/>
  <c r="O65" i="14"/>
  <c r="N65" i="14"/>
  <c r="N73" i="14" s="1"/>
  <c r="M65" i="14"/>
  <c r="M73" i="14" s="1"/>
  <c r="L65" i="14"/>
  <c r="K65" i="14"/>
  <c r="J65" i="14"/>
  <c r="I65" i="14"/>
  <c r="I73" i="14" s="1"/>
  <c r="H65" i="14"/>
  <c r="G65" i="14"/>
  <c r="F65" i="14"/>
  <c r="E65" i="14"/>
  <c r="O62" i="14"/>
  <c r="R60" i="14"/>
  <c r="R62" i="14" s="1"/>
  <c r="O60" i="14"/>
  <c r="F60" i="14"/>
  <c r="F62" i="14" s="1"/>
  <c r="AH59" i="14"/>
  <c r="AG59" i="14"/>
  <c r="AF59" i="14"/>
  <c r="AE59" i="14"/>
  <c r="AD59" i="14"/>
  <c r="AC59" i="14"/>
  <c r="AB59" i="14"/>
  <c r="AA59" i="14"/>
  <c r="Z59" i="14"/>
  <c r="Y59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AH58" i="14"/>
  <c r="AG58" i="14"/>
  <c r="AF58" i="14"/>
  <c r="AE58" i="14"/>
  <c r="AD58" i="14"/>
  <c r="AC58" i="14"/>
  <c r="AB58" i="14"/>
  <c r="AA58" i="14"/>
  <c r="Z58" i="14"/>
  <c r="Y58" i="14"/>
  <c r="Y60" i="14" s="1"/>
  <c r="Y62" i="14" s="1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K60" i="14" s="1"/>
  <c r="K62" i="14" s="1"/>
  <c r="J58" i="14"/>
  <c r="I58" i="14"/>
  <c r="H58" i="14"/>
  <c r="G58" i="14"/>
  <c r="F58" i="14"/>
  <c r="E58" i="14"/>
  <c r="AI58" i="14" s="1"/>
  <c r="AH57" i="14"/>
  <c r="AG57" i="14"/>
  <c r="AF57" i="14"/>
  <c r="AE57" i="14"/>
  <c r="AD57" i="14"/>
  <c r="AC57" i="14"/>
  <c r="AB57" i="14"/>
  <c r="AA57" i="14"/>
  <c r="Z57" i="14"/>
  <c r="Y57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AI56" i="14" s="1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AI55" i="14" s="1"/>
  <c r="E55" i="14"/>
  <c r="AH54" i="14"/>
  <c r="AG54" i="14"/>
  <c r="AF54" i="14"/>
  <c r="AF60" i="14" s="1"/>
  <c r="AF62" i="14" s="1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AI54" i="14" s="1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G61" i="14" s="1"/>
  <c r="F53" i="14"/>
  <c r="F61" i="14" s="1"/>
  <c r="E53" i="14"/>
  <c r="AH52" i="14"/>
  <c r="AG52" i="14"/>
  <c r="AF52" i="14"/>
  <c r="AE52" i="14"/>
  <c r="AD52" i="14"/>
  <c r="AC52" i="14"/>
  <c r="AB52" i="14"/>
  <c r="AA52" i="14"/>
  <c r="Z52" i="14"/>
  <c r="Y52" i="14"/>
  <c r="X52" i="14"/>
  <c r="X60" i="14" s="1"/>
  <c r="X62" i="14" s="1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AH51" i="14"/>
  <c r="AG51" i="14"/>
  <c r="AF51" i="14"/>
  <c r="AE51" i="14"/>
  <c r="AD51" i="14"/>
  <c r="AC51" i="14"/>
  <c r="AB51" i="14"/>
  <c r="AA51" i="14"/>
  <c r="Z51" i="14"/>
  <c r="Z61" i="14" s="1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AH49" i="14"/>
  <c r="AG49" i="14"/>
  <c r="AF49" i="14"/>
  <c r="AE49" i="14"/>
  <c r="AE61" i="14" s="1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R61" i="14" s="1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AH48" i="14"/>
  <c r="AH60" i="14" s="1"/>
  <c r="AH62" i="14" s="1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U60" i="14" s="1"/>
  <c r="U62" i="14" s="1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AI48" i="14" s="1"/>
  <c r="AH47" i="14"/>
  <c r="AG47" i="14"/>
  <c r="AG61" i="14" s="1"/>
  <c r="AF47" i="14"/>
  <c r="AE47" i="14"/>
  <c r="AD47" i="14"/>
  <c r="AC47" i="14"/>
  <c r="AB47" i="14"/>
  <c r="AA47" i="14"/>
  <c r="Z47" i="14"/>
  <c r="Y47" i="14"/>
  <c r="Y61" i="14" s="1"/>
  <c r="X47" i="14"/>
  <c r="X61" i="14" s="1"/>
  <c r="W47" i="14"/>
  <c r="W61" i="14" s="1"/>
  <c r="V47" i="14"/>
  <c r="U47" i="14"/>
  <c r="T47" i="14"/>
  <c r="S47" i="14"/>
  <c r="S61" i="14" s="1"/>
  <c r="R47" i="14"/>
  <c r="Q47" i="14"/>
  <c r="P47" i="14"/>
  <c r="O47" i="14"/>
  <c r="N47" i="14"/>
  <c r="M47" i="14"/>
  <c r="L47" i="14"/>
  <c r="K47" i="14"/>
  <c r="K61" i="14" s="1"/>
  <c r="J47" i="14"/>
  <c r="I47" i="14"/>
  <c r="H47" i="14"/>
  <c r="G47" i="14"/>
  <c r="F47" i="14"/>
  <c r="E47" i="14"/>
  <c r="AH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AH45" i="14"/>
  <c r="AG45" i="14"/>
  <c r="AF45" i="14"/>
  <c r="AE45" i="14"/>
  <c r="AD45" i="14"/>
  <c r="AC45" i="14"/>
  <c r="AC61" i="14" s="1"/>
  <c r="AB45" i="14"/>
  <c r="AB61" i="14" s="1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O61" i="14" s="1"/>
  <c r="N45" i="14"/>
  <c r="N61" i="14" s="1"/>
  <c r="M45" i="14"/>
  <c r="L45" i="14"/>
  <c r="K45" i="14"/>
  <c r="J45" i="14"/>
  <c r="I45" i="14"/>
  <c r="I61" i="14" s="1"/>
  <c r="H45" i="14"/>
  <c r="G45" i="14"/>
  <c r="F45" i="14"/>
  <c r="E45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AE42" i="14"/>
  <c r="AI35" i="14"/>
  <c r="AI34" i="14"/>
  <c r="AI33" i="14"/>
  <c r="AI32" i="14"/>
  <c r="AI30" i="14"/>
  <c r="AI29" i="14"/>
  <c r="AI28" i="14"/>
  <c r="AI27" i="14"/>
  <c r="AI26" i="14"/>
  <c r="AI25" i="14"/>
  <c r="AI24" i="14"/>
  <c r="AI23" i="14"/>
  <c r="AI21" i="14"/>
  <c r="AI20" i="14"/>
  <c r="AI19" i="14"/>
  <c r="AI18" i="14"/>
  <c r="AI17" i="14"/>
  <c r="AI16" i="14"/>
  <c r="AI15" i="14"/>
  <c r="AI14" i="14"/>
  <c r="AI13" i="14"/>
  <c r="AI12" i="14"/>
  <c r="AI11" i="14"/>
  <c r="AI10" i="14"/>
  <c r="AI9" i="14"/>
  <c r="AI8" i="14"/>
  <c r="AI7" i="14"/>
  <c r="AI6" i="14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AJ94" i="13" s="1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AH90" i="13"/>
  <c r="AG90" i="13"/>
  <c r="AF90" i="13"/>
  <c r="AE90" i="13"/>
  <c r="AD90" i="13"/>
  <c r="AC90" i="13"/>
  <c r="AB90" i="13"/>
  <c r="AA90" i="13"/>
  <c r="Z90" i="13"/>
  <c r="Y90" i="13"/>
  <c r="X90" i="13"/>
  <c r="W90" i="13"/>
  <c r="V90" i="13"/>
  <c r="U90" i="13"/>
  <c r="T90" i="13"/>
  <c r="S90" i="13"/>
  <c r="R90" i="13"/>
  <c r="Q90" i="13"/>
  <c r="P90" i="13"/>
  <c r="O90" i="13"/>
  <c r="N90" i="13"/>
  <c r="M90" i="13"/>
  <c r="L90" i="13"/>
  <c r="K90" i="13"/>
  <c r="J90" i="13"/>
  <c r="I90" i="13"/>
  <c r="H90" i="13"/>
  <c r="G90" i="13"/>
  <c r="F90" i="13"/>
  <c r="E90" i="13"/>
  <c r="AB79" i="13"/>
  <c r="Y79" i="13"/>
  <c r="X79" i="13"/>
  <c r="W79" i="13"/>
  <c r="V79" i="13"/>
  <c r="G79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U79" i="13" s="1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AJ77" i="13" s="1"/>
  <c r="G77" i="13"/>
  <c r="F77" i="13"/>
  <c r="E77" i="13"/>
  <c r="AI76" i="13"/>
  <c r="AI79" i="13" s="1"/>
  <c r="AH76" i="13"/>
  <c r="AH79" i="13" s="1"/>
  <c r="AG76" i="13"/>
  <c r="AF76" i="13"/>
  <c r="AE76" i="13"/>
  <c r="AD76" i="13"/>
  <c r="AC76" i="13"/>
  <c r="AB76" i="13"/>
  <c r="AA76" i="13"/>
  <c r="AA79" i="13" s="1"/>
  <c r="Z76" i="13"/>
  <c r="Y76" i="13"/>
  <c r="X76" i="13"/>
  <c r="W76" i="13"/>
  <c r="V76" i="13"/>
  <c r="U76" i="13"/>
  <c r="T76" i="13"/>
  <c r="T79" i="13" s="1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F79" i="13" s="1"/>
  <c r="E76" i="13"/>
  <c r="AI75" i="13"/>
  <c r="AH75" i="13"/>
  <c r="AG75" i="13"/>
  <c r="AG79" i="13" s="1"/>
  <c r="AF75" i="13"/>
  <c r="AF79" i="13" s="1"/>
  <c r="AE75" i="13"/>
  <c r="AE79" i="13" s="1"/>
  <c r="AD75" i="13"/>
  <c r="AC75" i="13"/>
  <c r="AB75" i="13"/>
  <c r="AA75" i="13"/>
  <c r="Z75" i="13"/>
  <c r="Z79" i="13" s="1"/>
  <c r="Y75" i="13"/>
  <c r="X75" i="13"/>
  <c r="W75" i="13"/>
  <c r="V75" i="13"/>
  <c r="U75" i="13"/>
  <c r="T75" i="13"/>
  <c r="S75" i="13"/>
  <c r="S79" i="13" s="1"/>
  <c r="R75" i="13"/>
  <c r="R79" i="13" s="1"/>
  <c r="Q75" i="13"/>
  <c r="Q79" i="13" s="1"/>
  <c r="P75" i="13"/>
  <c r="O75" i="13"/>
  <c r="O79" i="13" s="1"/>
  <c r="N75" i="13"/>
  <c r="M75" i="13"/>
  <c r="L75" i="13"/>
  <c r="L79" i="13" s="1"/>
  <c r="K75" i="13"/>
  <c r="K79" i="13" s="1"/>
  <c r="J75" i="13"/>
  <c r="J79" i="13" s="1"/>
  <c r="I75" i="13"/>
  <c r="I79" i="13" s="1"/>
  <c r="H75" i="13"/>
  <c r="H79" i="13" s="1"/>
  <c r="G75" i="13"/>
  <c r="F75" i="13"/>
  <c r="E75" i="13"/>
  <c r="E79" i="13" s="1"/>
  <c r="U74" i="13"/>
  <c r="T74" i="13"/>
  <c r="F74" i="13"/>
  <c r="AI73" i="13"/>
  <c r="AH73" i="13"/>
  <c r="L73" i="13"/>
  <c r="K73" i="13"/>
  <c r="J73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AI71" i="13"/>
  <c r="AH71" i="13"/>
  <c r="AG71" i="13"/>
  <c r="AG73" i="13" s="1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Q73" i="13" s="1"/>
  <c r="P71" i="13"/>
  <c r="O71" i="13"/>
  <c r="N71" i="13"/>
  <c r="M71" i="13"/>
  <c r="L71" i="13"/>
  <c r="K71" i="13"/>
  <c r="J71" i="13"/>
  <c r="I71" i="13"/>
  <c r="H71" i="13"/>
  <c r="G71" i="13"/>
  <c r="F71" i="13"/>
  <c r="E71" i="13"/>
  <c r="AI70" i="13"/>
  <c r="AH70" i="13"/>
  <c r="AG70" i="13"/>
  <c r="AF70" i="13"/>
  <c r="AE70" i="13"/>
  <c r="AD70" i="13"/>
  <c r="AC70" i="13"/>
  <c r="AB70" i="13"/>
  <c r="AA70" i="13"/>
  <c r="Z70" i="13"/>
  <c r="Y70" i="13"/>
  <c r="X70" i="13"/>
  <c r="W70" i="13"/>
  <c r="V70" i="13"/>
  <c r="U70" i="13"/>
  <c r="T70" i="13"/>
  <c r="S70" i="13"/>
  <c r="R70" i="13"/>
  <c r="Q70" i="13"/>
  <c r="P70" i="13"/>
  <c r="O70" i="13"/>
  <c r="N70" i="13"/>
  <c r="M70" i="13"/>
  <c r="L70" i="13"/>
  <c r="K70" i="13"/>
  <c r="J70" i="13"/>
  <c r="I70" i="13"/>
  <c r="H70" i="13"/>
  <c r="AJ70" i="13" s="1"/>
  <c r="G70" i="13"/>
  <c r="F70" i="13"/>
  <c r="E70" i="13"/>
  <c r="AI69" i="13"/>
  <c r="AH69" i="13"/>
  <c r="AG69" i="13"/>
  <c r="AF69" i="13"/>
  <c r="AE69" i="13"/>
  <c r="AD69" i="13"/>
  <c r="AD73" i="13" s="1"/>
  <c r="AC69" i="13"/>
  <c r="AB69" i="13"/>
  <c r="AA69" i="13"/>
  <c r="Z69" i="13"/>
  <c r="Y69" i="13"/>
  <c r="X69" i="13"/>
  <c r="W69" i="13"/>
  <c r="V69" i="13"/>
  <c r="U69" i="13"/>
  <c r="T69" i="13"/>
  <c r="S69" i="13"/>
  <c r="R69" i="13"/>
  <c r="Q69" i="13"/>
  <c r="P69" i="13"/>
  <c r="O69" i="13"/>
  <c r="N69" i="13"/>
  <c r="M69" i="13"/>
  <c r="L69" i="13"/>
  <c r="K69" i="13"/>
  <c r="J69" i="13"/>
  <c r="I69" i="13"/>
  <c r="H69" i="13"/>
  <c r="G69" i="13"/>
  <c r="F69" i="13"/>
  <c r="E69" i="13"/>
  <c r="AI68" i="13"/>
  <c r="AH68" i="13"/>
  <c r="AG68" i="13"/>
  <c r="AG74" i="13" s="1"/>
  <c r="AF68" i="13"/>
  <c r="AF74" i="13" s="1"/>
  <c r="AE68" i="13"/>
  <c r="AE74" i="13" s="1"/>
  <c r="AD68" i="13"/>
  <c r="AC68" i="13"/>
  <c r="AC74" i="13" s="1"/>
  <c r="AB68" i="13"/>
  <c r="AB74" i="13" s="1"/>
  <c r="AA68" i="13"/>
  <c r="Z68" i="13"/>
  <c r="Y68" i="13"/>
  <c r="X68" i="13"/>
  <c r="W68" i="13"/>
  <c r="V68" i="13"/>
  <c r="U68" i="13"/>
  <c r="T68" i="13"/>
  <c r="S68" i="13"/>
  <c r="S74" i="13" s="1"/>
  <c r="R68" i="13"/>
  <c r="R74" i="13" s="1"/>
  <c r="Q68" i="13"/>
  <c r="Q74" i="13" s="1"/>
  <c r="P68" i="13"/>
  <c r="O68" i="13"/>
  <c r="N68" i="13"/>
  <c r="N74" i="13" s="1"/>
  <c r="M68" i="13"/>
  <c r="L68" i="13"/>
  <c r="K68" i="13"/>
  <c r="J68" i="13"/>
  <c r="I68" i="13"/>
  <c r="H68" i="13"/>
  <c r="G68" i="13"/>
  <c r="F68" i="13"/>
  <c r="E68" i="13"/>
  <c r="E74" i="13" s="1"/>
  <c r="AI67" i="13"/>
  <c r="AH67" i="13"/>
  <c r="AG67" i="13"/>
  <c r="AF67" i="13"/>
  <c r="AE67" i="13"/>
  <c r="AD67" i="13"/>
  <c r="AC67" i="13"/>
  <c r="AB67" i="13"/>
  <c r="AA67" i="13"/>
  <c r="Z67" i="13"/>
  <c r="Y67" i="13"/>
  <c r="X67" i="13"/>
  <c r="W67" i="13"/>
  <c r="W73" i="13" s="1"/>
  <c r="V67" i="13"/>
  <c r="V73" i="13" s="1"/>
  <c r="U67" i="13"/>
  <c r="T67" i="13"/>
  <c r="T73" i="13" s="1"/>
  <c r="S67" i="13"/>
  <c r="R67" i="13"/>
  <c r="R73" i="13" s="1"/>
  <c r="Q67" i="13"/>
  <c r="P67" i="13"/>
  <c r="O67" i="13"/>
  <c r="N67" i="13"/>
  <c r="M67" i="13"/>
  <c r="L67" i="13"/>
  <c r="K67" i="13"/>
  <c r="J67" i="13"/>
  <c r="I67" i="13"/>
  <c r="I73" i="13" s="1"/>
  <c r="H67" i="13"/>
  <c r="H73" i="13" s="1"/>
  <c r="G67" i="13"/>
  <c r="G73" i="13" s="1"/>
  <c r="F67" i="13"/>
  <c r="F73" i="13" s="1"/>
  <c r="E67" i="13"/>
  <c r="AI66" i="13"/>
  <c r="AI74" i="13" s="1"/>
  <c r="AH66" i="13"/>
  <c r="AG66" i="13"/>
  <c r="AF66" i="13"/>
  <c r="AE66" i="13"/>
  <c r="AD66" i="13"/>
  <c r="AC66" i="13"/>
  <c r="AB66" i="13"/>
  <c r="AA66" i="13"/>
  <c r="AA74" i="13" s="1"/>
  <c r="Z66" i="13"/>
  <c r="Z74" i="13" s="1"/>
  <c r="Y66" i="13"/>
  <c r="Y74" i="13" s="1"/>
  <c r="X66" i="13"/>
  <c r="W66" i="13"/>
  <c r="W74" i="13" s="1"/>
  <c r="V66" i="13"/>
  <c r="U66" i="13"/>
  <c r="T66" i="13"/>
  <c r="S66" i="13"/>
  <c r="R66" i="13"/>
  <c r="Q66" i="13"/>
  <c r="P66" i="13"/>
  <c r="O66" i="13"/>
  <c r="N66" i="13"/>
  <c r="M66" i="13"/>
  <c r="M74" i="13" s="1"/>
  <c r="L66" i="13"/>
  <c r="L74" i="13" s="1"/>
  <c r="K66" i="13"/>
  <c r="K74" i="13" s="1"/>
  <c r="J66" i="13"/>
  <c r="I66" i="13"/>
  <c r="I74" i="13" s="1"/>
  <c r="H66" i="13"/>
  <c r="G66" i="13"/>
  <c r="G74" i="13" s="1"/>
  <c r="F66" i="13"/>
  <c r="E66" i="13"/>
  <c r="AI65" i="13"/>
  <c r="AH65" i="13"/>
  <c r="AG65" i="13"/>
  <c r="AF65" i="13"/>
  <c r="AE65" i="13"/>
  <c r="AD65" i="13"/>
  <c r="AC65" i="13"/>
  <c r="AC73" i="13" s="1"/>
  <c r="AB65" i="13"/>
  <c r="AB73" i="13" s="1"/>
  <c r="AA65" i="13"/>
  <c r="Z65" i="13"/>
  <c r="Z73" i="13" s="1"/>
  <c r="Y65" i="13"/>
  <c r="Y73" i="13" s="1"/>
  <c r="X65" i="13"/>
  <c r="X73" i="13" s="1"/>
  <c r="W65" i="13"/>
  <c r="V65" i="13"/>
  <c r="U65" i="13"/>
  <c r="T65" i="13"/>
  <c r="S65" i="13"/>
  <c r="R65" i="13"/>
  <c r="Q65" i="13"/>
  <c r="P65" i="13"/>
  <c r="O65" i="13"/>
  <c r="O73" i="13" s="1"/>
  <c r="N65" i="13"/>
  <c r="N73" i="13" s="1"/>
  <c r="M65" i="13"/>
  <c r="L65" i="13"/>
  <c r="K65" i="13"/>
  <c r="J65" i="13"/>
  <c r="I65" i="13"/>
  <c r="H65" i="13"/>
  <c r="G65" i="13"/>
  <c r="F65" i="13"/>
  <c r="E65" i="13"/>
  <c r="AE62" i="13"/>
  <c r="AE60" i="13"/>
  <c r="AB60" i="13"/>
  <c r="AB62" i="13" s="1"/>
  <c r="Z60" i="13"/>
  <c r="Z62" i="13" s="1"/>
  <c r="Y60" i="13"/>
  <c r="Y62" i="13" s="1"/>
  <c r="AI59" i="13"/>
  <c r="AH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AI58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S58" i="13"/>
  <c r="R58" i="13"/>
  <c r="Q58" i="13"/>
  <c r="P58" i="13"/>
  <c r="O58" i="13"/>
  <c r="N58" i="13"/>
  <c r="M58" i="13"/>
  <c r="L58" i="13"/>
  <c r="K58" i="13"/>
  <c r="J58" i="13"/>
  <c r="I58" i="13"/>
  <c r="H58" i="13"/>
  <c r="G58" i="13"/>
  <c r="F58" i="13"/>
  <c r="E58" i="13"/>
  <c r="AI57" i="13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S57" i="13"/>
  <c r="R57" i="13"/>
  <c r="Q57" i="13"/>
  <c r="P57" i="13"/>
  <c r="O57" i="13"/>
  <c r="N57" i="13"/>
  <c r="M57" i="13"/>
  <c r="L57" i="13"/>
  <c r="K57" i="13"/>
  <c r="J57" i="13"/>
  <c r="I57" i="13"/>
  <c r="H57" i="13"/>
  <c r="G57" i="13"/>
  <c r="F57" i="13"/>
  <c r="AJ57" i="13" s="1"/>
  <c r="E57" i="13"/>
  <c r="AI56" i="13"/>
  <c r="AH56" i="13"/>
  <c r="AG56" i="13"/>
  <c r="AF56" i="13"/>
  <c r="AE56" i="13"/>
  <c r="AD56" i="13"/>
  <c r="AC56" i="13"/>
  <c r="AC60" i="13" s="1"/>
  <c r="AC62" i="13" s="1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AJ55" i="13" s="1"/>
  <c r="G55" i="13"/>
  <c r="F55" i="13"/>
  <c r="E55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O60" i="13" s="1"/>
  <c r="O62" i="13" s="1"/>
  <c r="N54" i="13"/>
  <c r="M54" i="13"/>
  <c r="L54" i="13"/>
  <c r="K54" i="13"/>
  <c r="J54" i="13"/>
  <c r="I54" i="13"/>
  <c r="H54" i="13"/>
  <c r="G54" i="13"/>
  <c r="F54" i="13"/>
  <c r="E54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W60" i="13" s="1"/>
  <c r="W62" i="13" s="1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I60" i="13" s="1"/>
  <c r="I62" i="13" s="1"/>
  <c r="H52" i="13"/>
  <c r="G52" i="13"/>
  <c r="F52" i="13"/>
  <c r="E52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L61" i="13" s="1"/>
  <c r="K51" i="13"/>
  <c r="J51" i="13"/>
  <c r="I51" i="13"/>
  <c r="H51" i="13"/>
  <c r="G51" i="13"/>
  <c r="F51" i="13"/>
  <c r="E51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AJ50" i="13" s="1"/>
  <c r="G50" i="13"/>
  <c r="F50" i="13"/>
  <c r="E50" i="13"/>
  <c r="AI49" i="13"/>
  <c r="AI61" i="13" s="1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AJ49" i="13" s="1"/>
  <c r="AI48" i="13"/>
  <c r="AH48" i="13"/>
  <c r="AG48" i="13"/>
  <c r="AF48" i="13"/>
  <c r="AE48" i="13"/>
  <c r="AD48" i="13"/>
  <c r="AC48" i="13"/>
  <c r="AB48" i="13"/>
  <c r="AA48" i="13"/>
  <c r="Z48" i="13"/>
  <c r="Y48" i="13"/>
  <c r="X48" i="13"/>
  <c r="X60" i="13" s="1"/>
  <c r="X62" i="13" s="1"/>
  <c r="W48" i="13"/>
  <c r="V48" i="13"/>
  <c r="U48" i="13"/>
  <c r="T48" i="13"/>
  <c r="S48" i="13"/>
  <c r="R48" i="13"/>
  <c r="Q48" i="13"/>
  <c r="P48" i="13"/>
  <c r="O48" i="13"/>
  <c r="N48" i="13"/>
  <c r="M48" i="13"/>
  <c r="L48" i="13"/>
  <c r="K48" i="13"/>
  <c r="J48" i="13"/>
  <c r="J60" i="13" s="1"/>
  <c r="J62" i="13" s="1"/>
  <c r="I48" i="13"/>
  <c r="H48" i="13"/>
  <c r="G48" i="13"/>
  <c r="F48" i="13"/>
  <c r="E48" i="13"/>
  <c r="AI47" i="13"/>
  <c r="AH47" i="13"/>
  <c r="AG47" i="13"/>
  <c r="AF47" i="13"/>
  <c r="AE47" i="13"/>
  <c r="AD47" i="13"/>
  <c r="AC47" i="13"/>
  <c r="AC61" i="13" s="1"/>
  <c r="AB47" i="13"/>
  <c r="AB61" i="13" s="1"/>
  <c r="AA47" i="13"/>
  <c r="AA61" i="13" s="1"/>
  <c r="Z47" i="13"/>
  <c r="Y47" i="13"/>
  <c r="Y61" i="13" s="1"/>
  <c r="X47" i="13"/>
  <c r="W47" i="13"/>
  <c r="V47" i="13"/>
  <c r="U47" i="13"/>
  <c r="T47" i="13"/>
  <c r="S47" i="13"/>
  <c r="R47" i="13"/>
  <c r="Q47" i="13"/>
  <c r="P47" i="13"/>
  <c r="O47" i="13"/>
  <c r="N47" i="13"/>
  <c r="M47" i="13"/>
  <c r="M61" i="13" s="1"/>
  <c r="L47" i="13"/>
  <c r="K47" i="13"/>
  <c r="K61" i="13" s="1"/>
  <c r="J47" i="13"/>
  <c r="I47" i="13"/>
  <c r="H47" i="13"/>
  <c r="G47" i="13"/>
  <c r="F47" i="13"/>
  <c r="E47" i="13"/>
  <c r="AI46" i="13"/>
  <c r="AH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S46" i="13"/>
  <c r="R46" i="13"/>
  <c r="Q46" i="13"/>
  <c r="P46" i="13"/>
  <c r="O46" i="13"/>
  <c r="N46" i="13"/>
  <c r="M46" i="13"/>
  <c r="L46" i="13"/>
  <c r="K46" i="13"/>
  <c r="J46" i="13"/>
  <c r="I46" i="13"/>
  <c r="H46" i="13"/>
  <c r="G46" i="13"/>
  <c r="F46" i="13"/>
  <c r="E46" i="13"/>
  <c r="AJ46" i="13" s="1"/>
  <c r="AI45" i="13"/>
  <c r="AH45" i="13"/>
  <c r="AG45" i="13"/>
  <c r="AF45" i="13"/>
  <c r="AF61" i="13" s="1"/>
  <c r="AE45" i="13"/>
  <c r="AE61" i="13" s="1"/>
  <c r="AD45" i="13"/>
  <c r="AC45" i="13"/>
  <c r="AB45" i="13"/>
  <c r="AA45" i="13"/>
  <c r="Z45" i="13"/>
  <c r="Y45" i="13"/>
  <c r="X45" i="13"/>
  <c r="W45" i="13"/>
  <c r="W61" i="13" s="1"/>
  <c r="V45" i="13"/>
  <c r="V61" i="13" s="1"/>
  <c r="U45" i="13"/>
  <c r="T45" i="13"/>
  <c r="S45" i="13"/>
  <c r="R45" i="13"/>
  <c r="R61" i="13" s="1"/>
  <c r="Q45" i="13"/>
  <c r="Q61" i="13" s="1"/>
  <c r="P45" i="13"/>
  <c r="O45" i="13"/>
  <c r="N45" i="13"/>
  <c r="N61" i="13" s="1"/>
  <c r="M45" i="13"/>
  <c r="L45" i="13"/>
  <c r="K45" i="13"/>
  <c r="J45" i="13"/>
  <c r="I45" i="13"/>
  <c r="I61" i="13" s="1"/>
  <c r="H45" i="13"/>
  <c r="H61" i="13" s="1"/>
  <c r="G45" i="13"/>
  <c r="F45" i="13"/>
  <c r="F61" i="13" s="1"/>
  <c r="E45" i="13"/>
  <c r="AI44" i="13"/>
  <c r="AH44" i="13"/>
  <c r="AG44" i="13"/>
  <c r="AF44" i="13"/>
  <c r="AE44" i="13"/>
  <c r="AD44" i="13"/>
  <c r="AC44" i="13"/>
  <c r="AB44" i="13"/>
  <c r="AA44" i="13"/>
  <c r="AA60" i="13" s="1"/>
  <c r="AA62" i="13" s="1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AJ44" i="13" s="1"/>
  <c r="G44" i="13"/>
  <c r="F44" i="13"/>
  <c r="E44" i="13"/>
  <c r="AE42" i="13"/>
  <c r="AJ35" i="13"/>
  <c r="AJ34" i="13"/>
  <c r="AJ33" i="13"/>
  <c r="AJ32" i="13"/>
  <c r="AJ30" i="13"/>
  <c r="AJ29" i="13"/>
  <c r="AJ28" i="13"/>
  <c r="AJ27" i="13"/>
  <c r="AJ26" i="13"/>
  <c r="AJ25" i="13"/>
  <c r="AJ24" i="13"/>
  <c r="AJ23" i="13"/>
  <c r="AJ21" i="13"/>
  <c r="AJ20" i="13"/>
  <c r="AJ19" i="13"/>
  <c r="AJ18" i="13"/>
  <c r="AJ17" i="13"/>
  <c r="AJ16" i="13"/>
  <c r="AJ15" i="13"/>
  <c r="AJ14" i="13"/>
  <c r="AJ13" i="13"/>
  <c r="AJ12" i="13"/>
  <c r="AJ11" i="13"/>
  <c r="AJ10" i="13"/>
  <c r="AJ9" i="13"/>
  <c r="AJ8" i="13"/>
  <c r="AJ7" i="13"/>
  <c r="AJ6" i="13"/>
  <c r="AC80" i="11"/>
  <c r="AB80" i="11"/>
  <c r="Z80" i="11"/>
  <c r="X80" i="11"/>
  <c r="W80" i="11"/>
  <c r="P80" i="11"/>
  <c r="M80" i="11"/>
  <c r="L80" i="11"/>
  <c r="J80" i="11"/>
  <c r="H80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Q80" i="11" s="1"/>
  <c r="P79" i="11"/>
  <c r="O79" i="11"/>
  <c r="N79" i="11"/>
  <c r="M79" i="11"/>
  <c r="L79" i="11"/>
  <c r="K79" i="11"/>
  <c r="J79" i="11"/>
  <c r="I79" i="11"/>
  <c r="H79" i="11"/>
  <c r="G79" i="11"/>
  <c r="F79" i="11"/>
  <c r="E79" i="11"/>
  <c r="AI78" i="11"/>
  <c r="AI80" i="11" s="1"/>
  <c r="AH78" i="11"/>
  <c r="AG78" i="11"/>
  <c r="AF78" i="11"/>
  <c r="AE78" i="11"/>
  <c r="AD78" i="11"/>
  <c r="AD80" i="11" s="1"/>
  <c r="AC78" i="11"/>
  <c r="AB78" i="11"/>
  <c r="AA78" i="11"/>
  <c r="Z78" i="11"/>
  <c r="Y78" i="11"/>
  <c r="X78" i="11"/>
  <c r="W78" i="11"/>
  <c r="V78" i="11"/>
  <c r="U78" i="11"/>
  <c r="U80" i="11" s="1"/>
  <c r="T78" i="11"/>
  <c r="S78" i="11"/>
  <c r="R78" i="11"/>
  <c r="R80" i="11" s="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V80" i="11" s="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AJ77" i="11" s="1"/>
  <c r="G77" i="11"/>
  <c r="F77" i="11"/>
  <c r="E77" i="11"/>
  <c r="AI76" i="11"/>
  <c r="AH76" i="11"/>
  <c r="AH80" i="11" s="1"/>
  <c r="AG76" i="11"/>
  <c r="AF76" i="11"/>
  <c r="AE76" i="11"/>
  <c r="AD76" i="11"/>
  <c r="AC76" i="11"/>
  <c r="AB76" i="11"/>
  <c r="AA76" i="11"/>
  <c r="Z76" i="11"/>
  <c r="Y76" i="11"/>
  <c r="Y80" i="11" s="1"/>
  <c r="X76" i="11"/>
  <c r="W76" i="11"/>
  <c r="V76" i="11"/>
  <c r="U76" i="11"/>
  <c r="T76" i="11"/>
  <c r="T80" i="11" s="1"/>
  <c r="S76" i="11"/>
  <c r="R76" i="11"/>
  <c r="Q76" i="11"/>
  <c r="P76" i="11"/>
  <c r="O76" i="11"/>
  <c r="O80" i="11" s="1"/>
  <c r="N76" i="11"/>
  <c r="M76" i="11"/>
  <c r="L76" i="11"/>
  <c r="K76" i="11"/>
  <c r="K80" i="11" s="1"/>
  <c r="J76" i="11"/>
  <c r="I76" i="11"/>
  <c r="I80" i="11" s="1"/>
  <c r="H76" i="11"/>
  <c r="G76" i="11"/>
  <c r="F76" i="11"/>
  <c r="F80" i="11" s="1"/>
  <c r="E76" i="11"/>
  <c r="AF75" i="11"/>
  <c r="AC75" i="11"/>
  <c r="AA75" i="11"/>
  <c r="X75" i="11"/>
  <c r="T75" i="11"/>
  <c r="O75" i="11"/>
  <c r="F75" i="11"/>
  <c r="X74" i="11"/>
  <c r="W74" i="11"/>
  <c r="V74" i="11"/>
  <c r="T74" i="11"/>
  <c r="S74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U75" i="11" s="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AJ73" i="11" s="1"/>
  <c r="F73" i="11"/>
  <c r="E73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AI70" i="11"/>
  <c r="AH70" i="11"/>
  <c r="AG70" i="11"/>
  <c r="AF70" i="11"/>
  <c r="AE70" i="11"/>
  <c r="AD70" i="11"/>
  <c r="AC70" i="11"/>
  <c r="AB70" i="11"/>
  <c r="AA70" i="11"/>
  <c r="Z70" i="11"/>
  <c r="Y70" i="11"/>
  <c r="Y74" i="11" s="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K74" i="11" s="1"/>
  <c r="J70" i="11"/>
  <c r="I70" i="11"/>
  <c r="H70" i="11"/>
  <c r="G70" i="11"/>
  <c r="F70" i="11"/>
  <c r="F74" i="11" s="1"/>
  <c r="E70" i="11"/>
  <c r="AI69" i="11"/>
  <c r="AH69" i="11"/>
  <c r="AH75" i="11" s="1"/>
  <c r="AG69" i="11"/>
  <c r="AF69" i="11"/>
  <c r="AE69" i="11"/>
  <c r="AD69" i="11"/>
  <c r="AD75" i="11" s="1"/>
  <c r="AC69" i="11"/>
  <c r="AB69" i="11"/>
  <c r="AA69" i="11"/>
  <c r="Z69" i="11"/>
  <c r="Y69" i="11"/>
  <c r="X69" i="11"/>
  <c r="W69" i="11"/>
  <c r="W75" i="11" s="1"/>
  <c r="V69" i="11"/>
  <c r="U69" i="11"/>
  <c r="T69" i="11"/>
  <c r="S69" i="11"/>
  <c r="R69" i="11"/>
  <c r="Q69" i="11"/>
  <c r="P69" i="11"/>
  <c r="P75" i="11" s="1"/>
  <c r="O69" i="11"/>
  <c r="N69" i="11"/>
  <c r="M69" i="11"/>
  <c r="L69" i="11"/>
  <c r="K69" i="11"/>
  <c r="J69" i="11"/>
  <c r="I69" i="11"/>
  <c r="I75" i="11" s="1"/>
  <c r="H69" i="11"/>
  <c r="G69" i="11"/>
  <c r="F69" i="11"/>
  <c r="E69" i="11"/>
  <c r="AJ69" i="11" s="1"/>
  <c r="AI68" i="11"/>
  <c r="AH68" i="11"/>
  <c r="AH74" i="11" s="1"/>
  <c r="AG68" i="11"/>
  <c r="AF68" i="11"/>
  <c r="AE68" i="11"/>
  <c r="AD68" i="11"/>
  <c r="AC68" i="11"/>
  <c r="AB68" i="11"/>
  <c r="AA68" i="11"/>
  <c r="AA74" i="11" s="1"/>
  <c r="Z68" i="11"/>
  <c r="Y68" i="11"/>
  <c r="X68" i="11"/>
  <c r="W68" i="11"/>
  <c r="V68" i="11"/>
  <c r="U68" i="11"/>
  <c r="T68" i="11"/>
  <c r="S68" i="11"/>
  <c r="R68" i="11"/>
  <c r="R74" i="11" s="1"/>
  <c r="Q68" i="11"/>
  <c r="P68" i="11"/>
  <c r="O68" i="11"/>
  <c r="N68" i="11"/>
  <c r="M68" i="11"/>
  <c r="M74" i="11" s="1"/>
  <c r="L68" i="11"/>
  <c r="K68" i="11"/>
  <c r="J68" i="11"/>
  <c r="I68" i="11"/>
  <c r="H68" i="11"/>
  <c r="G68" i="11"/>
  <c r="F68" i="11"/>
  <c r="E68" i="11"/>
  <c r="AI67" i="11"/>
  <c r="AH67" i="11"/>
  <c r="AG67" i="11"/>
  <c r="AF67" i="11"/>
  <c r="AE67" i="11"/>
  <c r="AE75" i="11" s="1"/>
  <c r="AD67" i="11"/>
  <c r="AC67" i="11"/>
  <c r="AB67" i="11"/>
  <c r="AA67" i="11"/>
  <c r="Z67" i="11"/>
  <c r="Y67" i="11"/>
  <c r="X67" i="11"/>
  <c r="W67" i="11"/>
  <c r="V67" i="11"/>
  <c r="V75" i="11" s="1"/>
  <c r="U67" i="11"/>
  <c r="T67" i="11"/>
  <c r="S67" i="11"/>
  <c r="R67" i="11"/>
  <c r="R75" i="11" s="1"/>
  <c r="Q67" i="11"/>
  <c r="Q75" i="11" s="1"/>
  <c r="P67" i="11"/>
  <c r="O67" i="11"/>
  <c r="N67" i="11"/>
  <c r="M67" i="11"/>
  <c r="M75" i="11" s="1"/>
  <c r="L67" i="11"/>
  <c r="K67" i="11"/>
  <c r="J67" i="11"/>
  <c r="I67" i="11"/>
  <c r="H67" i="11"/>
  <c r="H75" i="11" s="1"/>
  <c r="G67" i="11"/>
  <c r="F67" i="11"/>
  <c r="E67" i="11"/>
  <c r="AI66" i="11"/>
  <c r="AI74" i="11" s="1"/>
  <c r="AH66" i="11"/>
  <c r="AG66" i="11"/>
  <c r="AG74" i="11" s="1"/>
  <c r="AF66" i="11"/>
  <c r="AE66" i="11"/>
  <c r="AE74" i="11" s="1"/>
  <c r="AD66" i="11"/>
  <c r="AC66" i="11"/>
  <c r="AB66" i="11"/>
  <c r="AB74" i="11" s="1"/>
  <c r="AA66" i="11"/>
  <c r="Z66" i="11"/>
  <c r="Z74" i="11" s="1"/>
  <c r="Y66" i="11"/>
  <c r="X66" i="11"/>
  <c r="W66" i="11"/>
  <c r="V66" i="11"/>
  <c r="U66" i="11"/>
  <c r="U74" i="11" s="1"/>
  <c r="T66" i="11"/>
  <c r="S66" i="11"/>
  <c r="R66" i="11"/>
  <c r="Q66" i="11"/>
  <c r="Q74" i="11" s="1"/>
  <c r="P66" i="11"/>
  <c r="O66" i="11"/>
  <c r="N66" i="11"/>
  <c r="N74" i="11" s="1"/>
  <c r="M66" i="11"/>
  <c r="L66" i="11"/>
  <c r="L74" i="11" s="1"/>
  <c r="K66" i="11"/>
  <c r="J66" i="11"/>
  <c r="I66" i="11"/>
  <c r="I74" i="11" s="1"/>
  <c r="H66" i="11"/>
  <c r="H74" i="11" s="1"/>
  <c r="G66" i="11"/>
  <c r="F66" i="11"/>
  <c r="E66" i="11"/>
  <c r="E74" i="11" s="1"/>
  <c r="Y63" i="11"/>
  <c r="V63" i="11"/>
  <c r="AI62" i="11"/>
  <c r="AC62" i="11"/>
  <c r="V62" i="11"/>
  <c r="U62" i="11"/>
  <c r="Y61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AI59" i="11"/>
  <c r="AH59" i="11"/>
  <c r="AH61" i="11" s="1"/>
  <c r="AH63" i="11" s="1"/>
  <c r="AG59" i="11"/>
  <c r="AF59" i="11"/>
  <c r="AF61" i="11" s="1"/>
  <c r="AF63" i="11" s="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T61" i="11" s="1"/>
  <c r="T63" i="11" s="1"/>
  <c r="S59" i="11"/>
  <c r="R59" i="11"/>
  <c r="R61" i="11" s="1"/>
  <c r="R63" i="11" s="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H62" i="11" s="1"/>
  <c r="G58" i="11"/>
  <c r="F58" i="11"/>
  <c r="E58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V61" i="11" s="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AL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AI53" i="11"/>
  <c r="AH53" i="11"/>
  <c r="AG53" i="11"/>
  <c r="AF53" i="11"/>
  <c r="AE53" i="11"/>
  <c r="AD53" i="11"/>
  <c r="AC53" i="11"/>
  <c r="AB53" i="11"/>
  <c r="AB61" i="11" s="1"/>
  <c r="AB63" i="11" s="1"/>
  <c r="AA53" i="11"/>
  <c r="Z53" i="11"/>
  <c r="Y53" i="11"/>
  <c r="X53" i="11"/>
  <c r="W53" i="11"/>
  <c r="V53" i="11"/>
  <c r="U53" i="11"/>
  <c r="T53" i="11"/>
  <c r="S53" i="11"/>
  <c r="R53" i="11"/>
  <c r="Q53" i="11"/>
  <c r="Q61" i="11" s="1"/>
  <c r="Q63" i="11" s="1"/>
  <c r="P53" i="11"/>
  <c r="O53" i="11"/>
  <c r="N53" i="11"/>
  <c r="N61" i="11" s="1"/>
  <c r="N63" i="11" s="1"/>
  <c r="M53" i="11"/>
  <c r="L53" i="11"/>
  <c r="K53" i="11"/>
  <c r="J53" i="11"/>
  <c r="I53" i="11"/>
  <c r="H53" i="11"/>
  <c r="G53" i="11"/>
  <c r="F53" i="11"/>
  <c r="E53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L62" i="11" s="1"/>
  <c r="K52" i="11"/>
  <c r="J52" i="11"/>
  <c r="I52" i="11"/>
  <c r="H52" i="11"/>
  <c r="G52" i="11"/>
  <c r="F52" i="11"/>
  <c r="E52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U61" i="11" s="1"/>
  <c r="U63" i="11" s="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AJ51" i="11" s="1"/>
  <c r="F51" i="11"/>
  <c r="E51" i="11"/>
  <c r="AI50" i="11"/>
  <c r="AH50" i="11"/>
  <c r="AG50" i="11"/>
  <c r="AF50" i="11"/>
  <c r="AE50" i="11"/>
  <c r="AD50" i="11"/>
  <c r="AC50" i="11"/>
  <c r="AB50" i="11"/>
  <c r="AA50" i="11"/>
  <c r="Z50" i="11"/>
  <c r="Y50" i="11"/>
  <c r="Y62" i="11" s="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AI48" i="11"/>
  <c r="AH48" i="11"/>
  <c r="AG48" i="11"/>
  <c r="AF48" i="11"/>
  <c r="AE48" i="11"/>
  <c r="AD48" i="11"/>
  <c r="AC48" i="11"/>
  <c r="AB48" i="11"/>
  <c r="AA48" i="11"/>
  <c r="Z48" i="11"/>
  <c r="Z62" i="11" s="1"/>
  <c r="Y48" i="11"/>
  <c r="X48" i="11"/>
  <c r="W48" i="11"/>
  <c r="V48" i="11"/>
  <c r="U48" i="11"/>
  <c r="T48" i="11"/>
  <c r="S48" i="11"/>
  <c r="S62" i="11" s="1"/>
  <c r="R48" i="11"/>
  <c r="Q48" i="11"/>
  <c r="P48" i="11"/>
  <c r="O48" i="11"/>
  <c r="O62" i="11" s="1"/>
  <c r="N48" i="11"/>
  <c r="M48" i="11"/>
  <c r="L48" i="11"/>
  <c r="K48" i="11"/>
  <c r="J48" i="11"/>
  <c r="I48" i="11"/>
  <c r="H48" i="11"/>
  <c r="G48" i="11"/>
  <c r="F48" i="11"/>
  <c r="E48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S61" i="11" s="1"/>
  <c r="S63" i="11" s="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AJ47" i="11" s="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W62" i="11" s="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I62" i="11" s="1"/>
  <c r="H46" i="11"/>
  <c r="G46" i="11"/>
  <c r="G62" i="11" s="1"/>
  <c r="F46" i="11"/>
  <c r="AJ46" i="11" s="1"/>
  <c r="E46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AH43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AJ36" i="11"/>
  <c r="AJ35" i="11"/>
  <c r="AJ34" i="11"/>
  <c r="AJ33" i="11"/>
  <c r="AJ31" i="11"/>
  <c r="AJ30" i="11"/>
  <c r="AJ29" i="11"/>
  <c r="AJ28" i="11"/>
  <c r="AJ27" i="11"/>
  <c r="AJ26" i="11"/>
  <c r="AJ25" i="11"/>
  <c r="AJ24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0" i="11"/>
  <c r="AJ9" i="11"/>
  <c r="AJ8" i="11"/>
  <c r="AJ7" i="11"/>
  <c r="AL54" i="11" s="1"/>
  <c r="H2" i="12" s="1"/>
  <c r="H9" i="12" s="1"/>
  <c r="U80" i="10"/>
  <c r="T80" i="10"/>
  <c r="N80" i="10"/>
  <c r="J80" i="10"/>
  <c r="G80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S80" i="10" s="1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AH77" i="10"/>
  <c r="AH80" i="10" s="1"/>
  <c r="AG77" i="10"/>
  <c r="AF77" i="10"/>
  <c r="AE77" i="10"/>
  <c r="AD77" i="10"/>
  <c r="AC77" i="10"/>
  <c r="AB77" i="10"/>
  <c r="AA77" i="10"/>
  <c r="AA80" i="10" s="1"/>
  <c r="Z77" i="10"/>
  <c r="Y77" i="10"/>
  <c r="X77" i="10"/>
  <c r="W77" i="10"/>
  <c r="V77" i="10"/>
  <c r="V80" i="10" s="1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F80" i="10" s="1"/>
  <c r="E77" i="10"/>
  <c r="AH76" i="10"/>
  <c r="AG76" i="10"/>
  <c r="AF76" i="10"/>
  <c r="AF80" i="10" s="1"/>
  <c r="AE76" i="10"/>
  <c r="AD76" i="10"/>
  <c r="AD80" i="10" s="1"/>
  <c r="AC76" i="10"/>
  <c r="AB76" i="10"/>
  <c r="AA76" i="10"/>
  <c r="Z76" i="10"/>
  <c r="Y76" i="10"/>
  <c r="X76" i="10"/>
  <c r="W76" i="10"/>
  <c r="V76" i="10"/>
  <c r="U76" i="10"/>
  <c r="T76" i="10"/>
  <c r="S76" i="10"/>
  <c r="R76" i="10"/>
  <c r="R80" i="10" s="1"/>
  <c r="Q76" i="10"/>
  <c r="P76" i="10"/>
  <c r="P80" i="10" s="1"/>
  <c r="O76" i="10"/>
  <c r="N76" i="10"/>
  <c r="M76" i="10"/>
  <c r="L76" i="10"/>
  <c r="K76" i="10"/>
  <c r="J76" i="10"/>
  <c r="I76" i="10"/>
  <c r="H76" i="10"/>
  <c r="G76" i="10"/>
  <c r="F76" i="10"/>
  <c r="E76" i="10"/>
  <c r="AG75" i="10"/>
  <c r="AB75" i="10"/>
  <c r="Y75" i="10"/>
  <c r="T75" i="10"/>
  <c r="S75" i="10"/>
  <c r="Q75" i="10"/>
  <c r="P75" i="10"/>
  <c r="K75" i="10"/>
  <c r="E75" i="10"/>
  <c r="AH74" i="10"/>
  <c r="AG74" i="10"/>
  <c r="AE74" i="10"/>
  <c r="AB74" i="10"/>
  <c r="T74" i="10"/>
  <c r="Q74" i="10"/>
  <c r="N74" i="10"/>
  <c r="M74" i="10"/>
  <c r="J74" i="10"/>
  <c r="I74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N75" i="10" s="1"/>
  <c r="M73" i="10"/>
  <c r="L73" i="10"/>
  <c r="K73" i="10"/>
  <c r="J73" i="10"/>
  <c r="I73" i="10"/>
  <c r="H73" i="10"/>
  <c r="G73" i="10"/>
  <c r="F73" i="10"/>
  <c r="E73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AH71" i="10"/>
  <c r="AH75" i="10" s="1"/>
  <c r="AG71" i="10"/>
  <c r="AF71" i="10"/>
  <c r="AF75" i="10" s="1"/>
  <c r="AE71" i="10"/>
  <c r="AE75" i="10" s="1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AI70" i="10" s="1"/>
  <c r="F70" i="10"/>
  <c r="E70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W75" i="10" s="1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I75" i="10" s="1"/>
  <c r="H69" i="10"/>
  <c r="G69" i="10"/>
  <c r="F69" i="10"/>
  <c r="E69" i="10"/>
  <c r="AH68" i="10"/>
  <c r="AG68" i="10"/>
  <c r="AF68" i="10"/>
  <c r="AE68" i="10"/>
  <c r="AD68" i="10"/>
  <c r="AC68" i="10"/>
  <c r="AB68" i="10"/>
  <c r="AA68" i="10"/>
  <c r="Z68" i="10"/>
  <c r="Z74" i="10" s="1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L74" i="10" s="1"/>
  <c r="K68" i="10"/>
  <c r="J68" i="10"/>
  <c r="I68" i="10"/>
  <c r="H68" i="10"/>
  <c r="H74" i="10" s="1"/>
  <c r="G68" i="10"/>
  <c r="F68" i="10"/>
  <c r="E68" i="10"/>
  <c r="AH67" i="10"/>
  <c r="AG67" i="10"/>
  <c r="AF67" i="10"/>
  <c r="AE67" i="10"/>
  <c r="AD67" i="10"/>
  <c r="AD75" i="10" s="1"/>
  <c r="AC67" i="10"/>
  <c r="AC75" i="10" s="1"/>
  <c r="AB67" i="10"/>
  <c r="AA67" i="10"/>
  <c r="Z67" i="10"/>
  <c r="Y67" i="10"/>
  <c r="X67" i="10"/>
  <c r="W67" i="10"/>
  <c r="V67" i="10"/>
  <c r="V75" i="10" s="1"/>
  <c r="U67" i="10"/>
  <c r="T67" i="10"/>
  <c r="S67" i="10"/>
  <c r="R67" i="10"/>
  <c r="Q67" i="10"/>
  <c r="P67" i="10"/>
  <c r="O67" i="10"/>
  <c r="O75" i="10" s="1"/>
  <c r="N67" i="10"/>
  <c r="M67" i="10"/>
  <c r="L67" i="10"/>
  <c r="K67" i="10"/>
  <c r="J67" i="10"/>
  <c r="I67" i="10"/>
  <c r="H67" i="10"/>
  <c r="H75" i="10" s="1"/>
  <c r="G67" i="10"/>
  <c r="F67" i="10"/>
  <c r="E67" i="10"/>
  <c r="AH66" i="10"/>
  <c r="AG66" i="10"/>
  <c r="AF66" i="10"/>
  <c r="AF74" i="10" s="1"/>
  <c r="AE66" i="10"/>
  <c r="AD66" i="10"/>
  <c r="AC66" i="10"/>
  <c r="AB66" i="10"/>
  <c r="AA66" i="10"/>
  <c r="Z66" i="10"/>
  <c r="Y66" i="10"/>
  <c r="Y74" i="10" s="1"/>
  <c r="X66" i="10"/>
  <c r="X74" i="10" s="1"/>
  <c r="W66" i="10"/>
  <c r="V66" i="10"/>
  <c r="U66" i="10"/>
  <c r="T66" i="10"/>
  <c r="S66" i="10"/>
  <c r="S74" i="10" s="1"/>
  <c r="R66" i="10"/>
  <c r="R74" i="10" s="1"/>
  <c r="Q66" i="10"/>
  <c r="P66" i="10"/>
  <c r="O66" i="10"/>
  <c r="N66" i="10"/>
  <c r="M66" i="10"/>
  <c r="L66" i="10"/>
  <c r="K66" i="10"/>
  <c r="K74" i="10" s="1"/>
  <c r="J66" i="10"/>
  <c r="I66" i="10"/>
  <c r="H66" i="10"/>
  <c r="G66" i="10"/>
  <c r="F66" i="10"/>
  <c r="E66" i="10"/>
  <c r="E74" i="10" s="1"/>
  <c r="V62" i="10"/>
  <c r="P62" i="10"/>
  <c r="H62" i="10"/>
  <c r="P61" i="10"/>
  <c r="P63" i="10" s="1"/>
  <c r="N61" i="10"/>
  <c r="N63" i="10" s="1"/>
  <c r="K61" i="10"/>
  <c r="K63" i="10" s="1"/>
  <c r="AH60" i="10"/>
  <c r="AG60" i="10"/>
  <c r="AF60" i="10"/>
  <c r="AE60" i="10"/>
  <c r="AD60" i="10"/>
  <c r="AC60" i="10"/>
  <c r="AB60" i="10"/>
  <c r="AA60" i="10"/>
  <c r="Z60" i="10"/>
  <c r="Y60" i="10"/>
  <c r="Y62" i="10" s="1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S61" i="10" s="1"/>
  <c r="S63" i="10" s="1"/>
  <c r="R59" i="10"/>
  <c r="Q59" i="10"/>
  <c r="P59" i="10"/>
  <c r="O59" i="10"/>
  <c r="N59" i="10"/>
  <c r="M59" i="10"/>
  <c r="L59" i="10"/>
  <c r="K59" i="10"/>
  <c r="J59" i="10"/>
  <c r="J61" i="10" s="1"/>
  <c r="J63" i="10" s="1"/>
  <c r="I59" i="10"/>
  <c r="H59" i="10"/>
  <c r="H61" i="10" s="1"/>
  <c r="H63" i="10" s="1"/>
  <c r="G59" i="10"/>
  <c r="F59" i="10"/>
  <c r="E59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AI58" i="10" s="1"/>
  <c r="F58" i="10"/>
  <c r="E58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AI57" i="10" s="1"/>
  <c r="F57" i="10"/>
  <c r="E57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AI55" i="10" s="1"/>
  <c r="F55" i="10"/>
  <c r="E55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AI54" i="10" s="1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AI53" i="10" s="1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AH49" i="10"/>
  <c r="AG49" i="10"/>
  <c r="AF49" i="10"/>
  <c r="AE49" i="10"/>
  <c r="AE61" i="10" s="1"/>
  <c r="AE63" i="10" s="1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R61" i="10" s="1"/>
  <c r="R63" i="10" s="1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AH48" i="10"/>
  <c r="AH62" i="10" s="1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U62" i="10" s="1"/>
  <c r="T48" i="10"/>
  <c r="S48" i="10"/>
  <c r="R48" i="10"/>
  <c r="Q48" i="10"/>
  <c r="Q62" i="10" s="1"/>
  <c r="P48" i="10"/>
  <c r="O48" i="10"/>
  <c r="N48" i="10"/>
  <c r="M48" i="10"/>
  <c r="L48" i="10"/>
  <c r="K48" i="10"/>
  <c r="J48" i="10"/>
  <c r="I48" i="10"/>
  <c r="H48" i="10"/>
  <c r="G48" i="10"/>
  <c r="G62" i="10" s="1"/>
  <c r="F48" i="10"/>
  <c r="F62" i="10" s="1"/>
  <c r="E48" i="10"/>
  <c r="AH47" i="10"/>
  <c r="AG47" i="10"/>
  <c r="AF47" i="10"/>
  <c r="AE47" i="10"/>
  <c r="AD47" i="10"/>
  <c r="AC47" i="10"/>
  <c r="AB47" i="10"/>
  <c r="AA47" i="10"/>
  <c r="Z47" i="10"/>
  <c r="Y47" i="10"/>
  <c r="X47" i="10"/>
  <c r="X61" i="10" s="1"/>
  <c r="X63" i="10" s="1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F61" i="10" s="1"/>
  <c r="F63" i="10" s="1"/>
  <c r="E47" i="10"/>
  <c r="AH46" i="10"/>
  <c r="AG46" i="10"/>
  <c r="AF46" i="10"/>
  <c r="AE46" i="10"/>
  <c r="AD46" i="10"/>
  <c r="AC46" i="10"/>
  <c r="AB46" i="10"/>
  <c r="AA46" i="10"/>
  <c r="AA62" i="10" s="1"/>
  <c r="Z46" i="10"/>
  <c r="Z62" i="10" s="1"/>
  <c r="Y46" i="10"/>
  <c r="X46" i="10"/>
  <c r="X62" i="10" s="1"/>
  <c r="W46" i="10"/>
  <c r="W62" i="10" s="1"/>
  <c r="V46" i="10"/>
  <c r="U46" i="10"/>
  <c r="T46" i="10"/>
  <c r="S46" i="10"/>
  <c r="R46" i="10"/>
  <c r="Q46" i="10"/>
  <c r="P46" i="10"/>
  <c r="O46" i="10"/>
  <c r="N46" i="10"/>
  <c r="M46" i="10"/>
  <c r="M62" i="10" s="1"/>
  <c r="L46" i="10"/>
  <c r="L62" i="10" s="1"/>
  <c r="K46" i="10"/>
  <c r="J46" i="10"/>
  <c r="J62" i="10" s="1"/>
  <c r="I46" i="10"/>
  <c r="I62" i="10" s="1"/>
  <c r="H46" i="10"/>
  <c r="G46" i="10"/>
  <c r="F46" i="10"/>
  <c r="E46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AG43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AI36" i="10"/>
  <c r="AI35" i="10"/>
  <c r="AI34" i="10"/>
  <c r="AI33" i="10"/>
  <c r="AI31" i="10"/>
  <c r="AI30" i="10"/>
  <c r="AI29" i="10"/>
  <c r="AI28" i="10"/>
  <c r="AI27" i="10"/>
  <c r="AI26" i="10"/>
  <c r="AI25" i="10"/>
  <c r="AI24" i="10"/>
  <c r="AK55" i="10" s="1"/>
  <c r="AI22" i="10"/>
  <c r="AI21" i="10"/>
  <c r="AI20" i="10"/>
  <c r="AI19" i="10"/>
  <c r="AI18" i="10"/>
  <c r="AI17" i="10"/>
  <c r="AI16" i="10"/>
  <c r="AI15" i="10"/>
  <c r="AI14" i="10"/>
  <c r="AI13" i="10"/>
  <c r="AI12" i="10"/>
  <c r="AI11" i="10"/>
  <c r="AI10" i="10"/>
  <c r="AI9" i="10"/>
  <c r="AK54" i="10" s="1"/>
  <c r="G2" i="12" s="1"/>
  <c r="AI8" i="10"/>
  <c r="AI7" i="10"/>
  <c r="AD80" i="9"/>
  <c r="T80" i="9"/>
  <c r="R80" i="9"/>
  <c r="AI79" i="9"/>
  <c r="AH79" i="9"/>
  <c r="AG79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Q80" i="9" s="1"/>
  <c r="P79" i="9"/>
  <c r="O79" i="9"/>
  <c r="O80" i="9" s="1"/>
  <c r="N79" i="9"/>
  <c r="M79" i="9"/>
  <c r="L79" i="9"/>
  <c r="K79" i="9"/>
  <c r="J79" i="9"/>
  <c r="I79" i="9"/>
  <c r="H79" i="9"/>
  <c r="G79" i="9"/>
  <c r="F79" i="9"/>
  <c r="E79" i="9"/>
  <c r="AI78" i="9"/>
  <c r="AH78" i="9"/>
  <c r="AG78" i="9"/>
  <c r="AF78" i="9"/>
  <c r="AE78" i="9"/>
  <c r="AD78" i="9"/>
  <c r="AC78" i="9"/>
  <c r="AB78" i="9"/>
  <c r="AA78" i="9"/>
  <c r="Z78" i="9"/>
  <c r="Y78" i="9"/>
  <c r="X78" i="9"/>
  <c r="X80" i="9" s="1"/>
  <c r="W78" i="9"/>
  <c r="W80" i="9" s="1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AJ78" i="9" s="1"/>
  <c r="AI77" i="9"/>
  <c r="AH77" i="9"/>
  <c r="AG77" i="9"/>
  <c r="AF77" i="9"/>
  <c r="AE77" i="9"/>
  <c r="AD77" i="9"/>
  <c r="AC77" i="9"/>
  <c r="AB77" i="9"/>
  <c r="AB80" i="9" s="1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N80" i="9" s="1"/>
  <c r="M77" i="9"/>
  <c r="L77" i="9"/>
  <c r="K77" i="9"/>
  <c r="K80" i="9" s="1"/>
  <c r="J77" i="9"/>
  <c r="I77" i="9"/>
  <c r="H77" i="9"/>
  <c r="AJ77" i="9" s="1"/>
  <c r="G77" i="9"/>
  <c r="F77" i="9"/>
  <c r="E77" i="9"/>
  <c r="AI76" i="9"/>
  <c r="AI80" i="9" s="1"/>
  <c r="AH76" i="9"/>
  <c r="AH80" i="9" s="1"/>
  <c r="AG76" i="9"/>
  <c r="AF76" i="9"/>
  <c r="AF80" i="9" s="1"/>
  <c r="AE76" i="9"/>
  <c r="AD76" i="9"/>
  <c r="AC76" i="9"/>
  <c r="AB76" i="9"/>
  <c r="AA76" i="9"/>
  <c r="AA80" i="9" s="1"/>
  <c r="Z76" i="9"/>
  <c r="Y76" i="9"/>
  <c r="X76" i="9"/>
  <c r="W76" i="9"/>
  <c r="V76" i="9"/>
  <c r="U76" i="9"/>
  <c r="U80" i="9" s="1"/>
  <c r="T76" i="9"/>
  <c r="S76" i="9"/>
  <c r="R76" i="9"/>
  <c r="Q76" i="9"/>
  <c r="P76" i="9"/>
  <c r="P80" i="9" s="1"/>
  <c r="O76" i="9"/>
  <c r="N76" i="9"/>
  <c r="M76" i="9"/>
  <c r="M80" i="9" s="1"/>
  <c r="L76" i="9"/>
  <c r="K76" i="9"/>
  <c r="J76" i="9"/>
  <c r="J80" i="9" s="1"/>
  <c r="I76" i="9"/>
  <c r="H76" i="9"/>
  <c r="H80" i="9" s="1"/>
  <c r="G76" i="9"/>
  <c r="G80" i="9" s="1"/>
  <c r="F76" i="9"/>
  <c r="E76" i="9"/>
  <c r="N75" i="9"/>
  <c r="AH74" i="9"/>
  <c r="AF74" i="9"/>
  <c r="AE74" i="9"/>
  <c r="Y74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V73" i="9"/>
  <c r="V75" i="9" s="1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AJ73" i="9" s="1"/>
  <c r="G73" i="9"/>
  <c r="F73" i="9"/>
  <c r="E73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P74" i="9" s="1"/>
  <c r="O72" i="9"/>
  <c r="N72" i="9"/>
  <c r="N74" i="9" s="1"/>
  <c r="M72" i="9"/>
  <c r="L72" i="9"/>
  <c r="K72" i="9"/>
  <c r="J72" i="9"/>
  <c r="I72" i="9"/>
  <c r="H72" i="9"/>
  <c r="G72" i="9"/>
  <c r="F72" i="9"/>
  <c r="E72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S75" i="9" s="1"/>
  <c r="R71" i="9"/>
  <c r="Q71" i="9"/>
  <c r="Q75" i="9" s="1"/>
  <c r="P71" i="9"/>
  <c r="O71" i="9"/>
  <c r="N71" i="9"/>
  <c r="M71" i="9"/>
  <c r="L71" i="9"/>
  <c r="K71" i="9"/>
  <c r="J71" i="9"/>
  <c r="I71" i="9"/>
  <c r="H71" i="9"/>
  <c r="G71" i="9"/>
  <c r="F71" i="9"/>
  <c r="E71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G74" i="9" s="1"/>
  <c r="F70" i="9"/>
  <c r="E70" i="9"/>
  <c r="AI69" i="9"/>
  <c r="AI75" i="9" s="1"/>
  <c r="AH69" i="9"/>
  <c r="AH75" i="9" s="1"/>
  <c r="AG69" i="9"/>
  <c r="AF69" i="9"/>
  <c r="AE69" i="9"/>
  <c r="AD69" i="9"/>
  <c r="AC69" i="9"/>
  <c r="AB69" i="9"/>
  <c r="AA69" i="9"/>
  <c r="Z69" i="9"/>
  <c r="Y69" i="9"/>
  <c r="X69" i="9"/>
  <c r="X75" i="9" s="1"/>
  <c r="W69" i="9"/>
  <c r="W75" i="9" s="1"/>
  <c r="V69" i="9"/>
  <c r="U69" i="9"/>
  <c r="U75" i="9" s="1"/>
  <c r="T69" i="9"/>
  <c r="T75" i="9" s="1"/>
  <c r="S69" i="9"/>
  <c r="R69" i="9"/>
  <c r="Q69" i="9"/>
  <c r="P69" i="9"/>
  <c r="O69" i="9"/>
  <c r="N69" i="9"/>
  <c r="M69" i="9"/>
  <c r="L69" i="9"/>
  <c r="L75" i="9" s="1"/>
  <c r="K69" i="9"/>
  <c r="J69" i="9"/>
  <c r="I69" i="9"/>
  <c r="I75" i="9" s="1"/>
  <c r="H69" i="9"/>
  <c r="G69" i="9"/>
  <c r="F69" i="9"/>
  <c r="E69" i="9"/>
  <c r="AI68" i="9"/>
  <c r="AH68" i="9"/>
  <c r="AG68" i="9"/>
  <c r="AF68" i="9"/>
  <c r="AE68" i="9"/>
  <c r="AD68" i="9"/>
  <c r="AD74" i="9" s="1"/>
  <c r="AC68" i="9"/>
  <c r="AC74" i="9" s="1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O74" i="9" s="1"/>
  <c r="N68" i="9"/>
  <c r="M68" i="9"/>
  <c r="L68" i="9"/>
  <c r="L74" i="9" s="1"/>
  <c r="K68" i="9"/>
  <c r="J68" i="9"/>
  <c r="I68" i="9"/>
  <c r="H68" i="9"/>
  <c r="G68" i="9"/>
  <c r="F68" i="9"/>
  <c r="E68" i="9"/>
  <c r="AI67" i="9"/>
  <c r="AH67" i="9"/>
  <c r="AG67" i="9"/>
  <c r="AG75" i="9" s="1"/>
  <c r="AF67" i="9"/>
  <c r="AF75" i="9" s="1"/>
  <c r="AE67" i="9"/>
  <c r="AD67" i="9"/>
  <c r="AD75" i="9" s="1"/>
  <c r="AC67" i="9"/>
  <c r="AC75" i="9" s="1"/>
  <c r="AB67" i="9"/>
  <c r="AA67" i="9"/>
  <c r="AA75" i="9" s="1"/>
  <c r="Z67" i="9"/>
  <c r="Y67" i="9"/>
  <c r="X67" i="9"/>
  <c r="W67" i="9"/>
  <c r="V67" i="9"/>
  <c r="U67" i="9"/>
  <c r="T67" i="9"/>
  <c r="S67" i="9"/>
  <c r="R67" i="9"/>
  <c r="R75" i="9" s="1"/>
  <c r="Q67" i="9"/>
  <c r="P67" i="9"/>
  <c r="P75" i="9" s="1"/>
  <c r="O67" i="9"/>
  <c r="O75" i="9" s="1"/>
  <c r="N67" i="9"/>
  <c r="M67" i="9"/>
  <c r="M75" i="9" s="1"/>
  <c r="L67" i="9"/>
  <c r="K67" i="9"/>
  <c r="J67" i="9"/>
  <c r="I67" i="9"/>
  <c r="H67" i="9"/>
  <c r="G67" i="9"/>
  <c r="G75" i="9" s="1"/>
  <c r="F67" i="9"/>
  <c r="E67" i="9"/>
  <c r="AI66" i="9"/>
  <c r="AH66" i="9"/>
  <c r="AG66" i="9"/>
  <c r="AG74" i="9" s="1"/>
  <c r="AF66" i="9"/>
  <c r="AE66" i="9"/>
  <c r="AD66" i="9"/>
  <c r="AC66" i="9"/>
  <c r="AB66" i="9"/>
  <c r="AA66" i="9"/>
  <c r="Z66" i="9"/>
  <c r="Y66" i="9"/>
  <c r="X66" i="9"/>
  <c r="X74" i="9" s="1"/>
  <c r="W66" i="9"/>
  <c r="V66" i="9"/>
  <c r="V74" i="9" s="1"/>
  <c r="U66" i="9"/>
  <c r="T66" i="9"/>
  <c r="S66" i="9"/>
  <c r="S74" i="9" s="1"/>
  <c r="R66" i="9"/>
  <c r="R74" i="9" s="1"/>
  <c r="Q66" i="9"/>
  <c r="Q74" i="9" s="1"/>
  <c r="P66" i="9"/>
  <c r="O66" i="9"/>
  <c r="N66" i="9"/>
  <c r="M66" i="9"/>
  <c r="L66" i="9"/>
  <c r="K66" i="9"/>
  <c r="K74" i="9" s="1"/>
  <c r="J66" i="9"/>
  <c r="I66" i="9"/>
  <c r="H66" i="9"/>
  <c r="H74" i="9" s="1"/>
  <c r="G66" i="9"/>
  <c r="F66" i="9"/>
  <c r="F74" i="9" s="1"/>
  <c r="E66" i="9"/>
  <c r="E74" i="9" s="1"/>
  <c r="AI62" i="9"/>
  <c r="Z62" i="9"/>
  <c r="W62" i="9"/>
  <c r="V62" i="9"/>
  <c r="T62" i="9"/>
  <c r="S62" i="9"/>
  <c r="H62" i="9"/>
  <c r="J61" i="9"/>
  <c r="J63" i="9" s="1"/>
  <c r="F61" i="9"/>
  <c r="F63" i="9" s="1"/>
  <c r="E61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AI59" i="9"/>
  <c r="AH59" i="9"/>
  <c r="AG59" i="9"/>
  <c r="AF59" i="9"/>
  <c r="AE59" i="9"/>
  <c r="AD59" i="9"/>
  <c r="AC59" i="9"/>
  <c r="AB59" i="9"/>
  <c r="AA59" i="9"/>
  <c r="Z59" i="9"/>
  <c r="Z61" i="9" s="1"/>
  <c r="Z63" i="9" s="1"/>
  <c r="Y59" i="9"/>
  <c r="X59" i="9"/>
  <c r="W59" i="9"/>
  <c r="W61" i="9" s="1"/>
  <c r="W63" i="9" s="1"/>
  <c r="V59" i="9"/>
  <c r="U59" i="9"/>
  <c r="U61" i="9" s="1"/>
  <c r="U63" i="9" s="1"/>
  <c r="T59" i="9"/>
  <c r="S59" i="9"/>
  <c r="R59" i="9"/>
  <c r="Q59" i="9"/>
  <c r="P59" i="9"/>
  <c r="O59" i="9"/>
  <c r="O61" i="9" s="1"/>
  <c r="O63" i="9" s="1"/>
  <c r="N59" i="9"/>
  <c r="M59" i="9"/>
  <c r="L59" i="9"/>
  <c r="L61" i="9" s="1"/>
  <c r="L63" i="9" s="1"/>
  <c r="K59" i="9"/>
  <c r="J59" i="9"/>
  <c r="I59" i="9"/>
  <c r="I61" i="9" s="1"/>
  <c r="I63" i="9" s="1"/>
  <c r="H59" i="9"/>
  <c r="G59" i="9"/>
  <c r="F59" i="9"/>
  <c r="E59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AI57" i="9"/>
  <c r="AH57" i="9"/>
  <c r="AG57" i="9"/>
  <c r="AF57" i="9"/>
  <c r="AF61" i="9" s="1"/>
  <c r="AF63" i="9" s="1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P61" i="9" s="1"/>
  <c r="P63" i="9" s="1"/>
  <c r="O57" i="9"/>
  <c r="N57" i="9"/>
  <c r="M57" i="9"/>
  <c r="M61" i="9" s="1"/>
  <c r="M63" i="9" s="1"/>
  <c r="L57" i="9"/>
  <c r="K57" i="9"/>
  <c r="J57" i="9"/>
  <c r="I57" i="9"/>
  <c r="H57" i="9"/>
  <c r="G57" i="9"/>
  <c r="F57" i="9"/>
  <c r="E57" i="9"/>
  <c r="AL56" i="9"/>
  <c r="F5" i="12" s="1"/>
  <c r="F12" i="12" s="1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AL55" i="9"/>
  <c r="AI55" i="9"/>
  <c r="AH55" i="9"/>
  <c r="AG55" i="9"/>
  <c r="AF55" i="9"/>
  <c r="AE55" i="9"/>
  <c r="AD55" i="9"/>
  <c r="AD61" i="9" s="1"/>
  <c r="AD63" i="9" s="1"/>
  <c r="AC55" i="9"/>
  <c r="AB55" i="9"/>
  <c r="AA55" i="9"/>
  <c r="Z55" i="9"/>
  <c r="Y55" i="9"/>
  <c r="X55" i="9"/>
  <c r="W55" i="9"/>
  <c r="V55" i="9"/>
  <c r="V61" i="9" s="1"/>
  <c r="V63" i="9" s="1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AJ55" i="9" s="1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AI53" i="9"/>
  <c r="AH53" i="9"/>
  <c r="AG53" i="9"/>
  <c r="AF53" i="9"/>
  <c r="AE53" i="9"/>
  <c r="AE61" i="9" s="1"/>
  <c r="AE63" i="9" s="1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Q61" i="9" s="1"/>
  <c r="Q63" i="9" s="1"/>
  <c r="P53" i="9"/>
  <c r="O53" i="9"/>
  <c r="N53" i="9"/>
  <c r="M53" i="9"/>
  <c r="L53" i="9"/>
  <c r="K53" i="9"/>
  <c r="J53" i="9"/>
  <c r="I53" i="9"/>
  <c r="H53" i="9"/>
  <c r="G53" i="9"/>
  <c r="F53" i="9"/>
  <c r="E53" i="9"/>
  <c r="AJ53" i="9" s="1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U62" i="9" s="1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G62" i="9" s="1"/>
  <c r="F52" i="9"/>
  <c r="AJ52" i="9" s="1"/>
  <c r="E52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AJ51" i="9" s="1"/>
  <c r="G51" i="9"/>
  <c r="F51" i="9"/>
  <c r="E51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AI49" i="9"/>
  <c r="AI61" i="9" s="1"/>
  <c r="AI63" i="9" s="1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AJ49" i="9" s="1"/>
  <c r="F49" i="9"/>
  <c r="E49" i="9"/>
  <c r="AI48" i="9"/>
  <c r="AH48" i="9"/>
  <c r="AG48" i="9"/>
  <c r="AF48" i="9"/>
  <c r="AE48" i="9"/>
  <c r="AD48" i="9"/>
  <c r="AC48" i="9"/>
  <c r="AB48" i="9"/>
  <c r="AA48" i="9"/>
  <c r="Z48" i="9"/>
  <c r="Y48" i="9"/>
  <c r="Y62" i="9" s="1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L62" i="9" s="1"/>
  <c r="K48" i="9"/>
  <c r="J48" i="9"/>
  <c r="I48" i="9"/>
  <c r="H48" i="9"/>
  <c r="G48" i="9"/>
  <c r="F48" i="9"/>
  <c r="AJ48" i="9" s="1"/>
  <c r="E48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AJ47" i="9" s="1"/>
  <c r="E47" i="9"/>
  <c r="AI46" i="9"/>
  <c r="AH46" i="9"/>
  <c r="AH62" i="9" s="1"/>
  <c r="AG46" i="9"/>
  <c r="AF46" i="9"/>
  <c r="AF62" i="9" s="1"/>
  <c r="AE46" i="9"/>
  <c r="AE62" i="9" s="1"/>
  <c r="AD46" i="9"/>
  <c r="AC46" i="9"/>
  <c r="AC62" i="9" s="1"/>
  <c r="AB46" i="9"/>
  <c r="AA46" i="9"/>
  <c r="AA62" i="9" s="1"/>
  <c r="Z46" i="9"/>
  <c r="Y46" i="9"/>
  <c r="X46" i="9"/>
  <c r="W46" i="9"/>
  <c r="V46" i="9"/>
  <c r="U46" i="9"/>
  <c r="T46" i="9"/>
  <c r="S46" i="9"/>
  <c r="R46" i="9"/>
  <c r="R62" i="9" s="1"/>
  <c r="Q46" i="9"/>
  <c r="Q62" i="9" s="1"/>
  <c r="P46" i="9"/>
  <c r="O46" i="9"/>
  <c r="O62" i="9" s="1"/>
  <c r="N46" i="9"/>
  <c r="M46" i="9"/>
  <c r="M62" i="9" s="1"/>
  <c r="L46" i="9"/>
  <c r="K46" i="9"/>
  <c r="J46" i="9"/>
  <c r="I46" i="9"/>
  <c r="H46" i="9"/>
  <c r="G46" i="9"/>
  <c r="F46" i="9"/>
  <c r="F62" i="9" s="1"/>
  <c r="E46" i="9"/>
  <c r="AI45" i="9"/>
  <c r="AH45" i="9"/>
  <c r="AG45" i="9"/>
  <c r="AF45" i="9"/>
  <c r="AE45" i="9"/>
  <c r="AD45" i="9"/>
  <c r="AC45" i="9"/>
  <c r="AB45" i="9"/>
  <c r="AA45" i="9"/>
  <c r="AA61" i="9" s="1"/>
  <c r="AA63" i="9" s="1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AJ45" i="9" s="1"/>
  <c r="F45" i="9"/>
  <c r="E45" i="9"/>
  <c r="AH43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J41" i="9"/>
  <c r="I41" i="9"/>
  <c r="H41" i="9"/>
  <c r="G41" i="9"/>
  <c r="F41" i="9"/>
  <c r="E41" i="9"/>
  <c r="AJ36" i="9"/>
  <c r="AJ35" i="9"/>
  <c r="AJ34" i="9"/>
  <c r="AJ33" i="9"/>
  <c r="AJ31" i="9"/>
  <c r="AJ30" i="9"/>
  <c r="AJ29" i="9"/>
  <c r="AJ28" i="9"/>
  <c r="AJ27" i="9"/>
  <c r="AJ26" i="9"/>
  <c r="AJ25" i="9"/>
  <c r="AJ24" i="9"/>
  <c r="AJ22" i="9"/>
  <c r="AJ21" i="9"/>
  <c r="AJ20" i="9"/>
  <c r="AJ19" i="9"/>
  <c r="AJ18" i="9"/>
  <c r="AJ17" i="9"/>
  <c r="AJ16" i="9"/>
  <c r="AJ15" i="9"/>
  <c r="AJ14" i="9"/>
  <c r="AJ13" i="9"/>
  <c r="AJ12" i="9"/>
  <c r="AJ11" i="9"/>
  <c r="AJ10" i="9"/>
  <c r="AJ9" i="9"/>
  <c r="AJ8" i="9"/>
  <c r="AL57" i="9" s="1"/>
  <c r="AJ7" i="9"/>
  <c r="AH80" i="8"/>
  <c r="AG80" i="8"/>
  <c r="AD80" i="8"/>
  <c r="Y80" i="8"/>
  <c r="S80" i="8"/>
  <c r="P80" i="8"/>
  <c r="M80" i="8"/>
  <c r="K80" i="8"/>
  <c r="I80" i="8"/>
  <c r="AH79" i="8"/>
  <c r="AG79" i="8"/>
  <c r="AF79" i="8"/>
  <c r="AE79" i="8"/>
  <c r="AD79" i="8"/>
  <c r="AC79" i="8"/>
  <c r="AB79" i="8"/>
  <c r="AB80" i="8" s="1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N80" i="8" s="1"/>
  <c r="M79" i="8"/>
  <c r="L79" i="8"/>
  <c r="K79" i="8"/>
  <c r="J79" i="8"/>
  <c r="I79" i="8"/>
  <c r="H79" i="8"/>
  <c r="G79" i="8"/>
  <c r="F79" i="8"/>
  <c r="E79" i="8"/>
  <c r="AH78" i="8"/>
  <c r="AG78" i="8"/>
  <c r="AF78" i="8"/>
  <c r="AE78" i="8"/>
  <c r="AE80" i="8" s="1"/>
  <c r="AD78" i="8"/>
  <c r="AC78" i="8"/>
  <c r="AC80" i="8" s="1"/>
  <c r="AB78" i="8"/>
  <c r="AA78" i="8"/>
  <c r="Z78" i="8"/>
  <c r="Y78" i="8"/>
  <c r="X78" i="8"/>
  <c r="W78" i="8"/>
  <c r="V78" i="8"/>
  <c r="U78" i="8"/>
  <c r="T78" i="8"/>
  <c r="S78" i="8"/>
  <c r="R78" i="8"/>
  <c r="Q78" i="8"/>
  <c r="Q80" i="8" s="1"/>
  <c r="P78" i="8"/>
  <c r="O78" i="8"/>
  <c r="O80" i="8" s="1"/>
  <c r="N78" i="8"/>
  <c r="M78" i="8"/>
  <c r="L78" i="8"/>
  <c r="K78" i="8"/>
  <c r="J78" i="8"/>
  <c r="I78" i="8"/>
  <c r="H78" i="8"/>
  <c r="G78" i="8"/>
  <c r="AI78" i="8" s="1"/>
  <c r="F78" i="8"/>
  <c r="E78" i="8"/>
  <c r="AH77" i="8"/>
  <c r="AG77" i="8"/>
  <c r="AF77" i="8"/>
  <c r="AF80" i="8" s="1"/>
  <c r="AE77" i="8"/>
  <c r="AD77" i="8"/>
  <c r="AC77" i="8"/>
  <c r="AB77" i="8"/>
  <c r="AA77" i="8"/>
  <c r="Z77" i="8"/>
  <c r="Y77" i="8"/>
  <c r="X77" i="8"/>
  <c r="W77" i="8"/>
  <c r="V77" i="8"/>
  <c r="U77" i="8"/>
  <c r="T77" i="8"/>
  <c r="T80" i="8" s="1"/>
  <c r="S77" i="8"/>
  <c r="R77" i="8"/>
  <c r="R80" i="8" s="1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AH76" i="8"/>
  <c r="AG76" i="8"/>
  <c r="AF76" i="8"/>
  <c r="AE76" i="8"/>
  <c r="AD76" i="8"/>
  <c r="AC76" i="8"/>
  <c r="AB76" i="8"/>
  <c r="AA76" i="8"/>
  <c r="AA80" i="8" s="1"/>
  <c r="Z76" i="8"/>
  <c r="Z80" i="8" s="1"/>
  <c r="Y76" i="8"/>
  <c r="X76" i="8"/>
  <c r="W76" i="8"/>
  <c r="W80" i="8" s="1"/>
  <c r="V76" i="8"/>
  <c r="U76" i="8"/>
  <c r="U80" i="8" s="1"/>
  <c r="T76" i="8"/>
  <c r="S76" i="8"/>
  <c r="R76" i="8"/>
  <c r="Q76" i="8"/>
  <c r="P76" i="8"/>
  <c r="O76" i="8"/>
  <c r="N76" i="8"/>
  <c r="M76" i="8"/>
  <c r="L76" i="8"/>
  <c r="L80" i="8" s="1"/>
  <c r="K76" i="8"/>
  <c r="J76" i="8"/>
  <c r="I76" i="8"/>
  <c r="H76" i="8"/>
  <c r="G76" i="8"/>
  <c r="G80" i="8" s="1"/>
  <c r="F76" i="8"/>
  <c r="E76" i="8"/>
  <c r="Y75" i="8"/>
  <c r="V75" i="8"/>
  <c r="U75" i="8"/>
  <c r="P75" i="8"/>
  <c r="K75" i="8"/>
  <c r="X74" i="8"/>
  <c r="R74" i="8"/>
  <c r="K74" i="8"/>
  <c r="AH73" i="8"/>
  <c r="AG73" i="8"/>
  <c r="AG75" i="8" s="1"/>
  <c r="AF73" i="8"/>
  <c r="AE73" i="8"/>
  <c r="AD73" i="8"/>
  <c r="AC73" i="8"/>
  <c r="AB73" i="8"/>
  <c r="AA73" i="8"/>
  <c r="AA75" i="8" s="1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AH72" i="8"/>
  <c r="AG72" i="8"/>
  <c r="AG74" i="8" s="1"/>
  <c r="AF72" i="8"/>
  <c r="AE72" i="8"/>
  <c r="AD72" i="8"/>
  <c r="AD74" i="8" s="1"/>
  <c r="AC72" i="8"/>
  <c r="AB72" i="8"/>
  <c r="AA72" i="8"/>
  <c r="Z72" i="8"/>
  <c r="Y72" i="8"/>
  <c r="X72" i="8"/>
  <c r="W72" i="8"/>
  <c r="V72" i="8"/>
  <c r="V74" i="8" s="1"/>
  <c r="U72" i="8"/>
  <c r="T72" i="8"/>
  <c r="S72" i="8"/>
  <c r="S74" i="8" s="1"/>
  <c r="R72" i="8"/>
  <c r="Q72" i="8"/>
  <c r="P72" i="8"/>
  <c r="P74" i="8" s="1"/>
  <c r="O72" i="8"/>
  <c r="N72" i="8"/>
  <c r="M72" i="8"/>
  <c r="L72" i="8"/>
  <c r="K72" i="8"/>
  <c r="J72" i="8"/>
  <c r="I72" i="8"/>
  <c r="H72" i="8"/>
  <c r="H74" i="8" s="1"/>
  <c r="G72" i="8"/>
  <c r="AI72" i="8" s="1"/>
  <c r="F72" i="8"/>
  <c r="E72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J75" i="8" s="1"/>
  <c r="I71" i="8"/>
  <c r="H71" i="8"/>
  <c r="G71" i="8"/>
  <c r="F71" i="8"/>
  <c r="E71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M74" i="8" s="1"/>
  <c r="L70" i="8"/>
  <c r="K70" i="8"/>
  <c r="J70" i="8"/>
  <c r="I70" i="8"/>
  <c r="H70" i="8"/>
  <c r="G70" i="8"/>
  <c r="F70" i="8"/>
  <c r="E70" i="8"/>
  <c r="AH69" i="8"/>
  <c r="AG69" i="8"/>
  <c r="AF69" i="8"/>
  <c r="AE69" i="8"/>
  <c r="AD69" i="8"/>
  <c r="AC69" i="8"/>
  <c r="AB69" i="8"/>
  <c r="AB75" i="8" s="1"/>
  <c r="AA69" i="8"/>
  <c r="Z69" i="8"/>
  <c r="Z75" i="8" s="1"/>
  <c r="Y69" i="8"/>
  <c r="X69" i="8"/>
  <c r="W69" i="8"/>
  <c r="V69" i="8"/>
  <c r="U69" i="8"/>
  <c r="T69" i="8"/>
  <c r="S69" i="8"/>
  <c r="R69" i="8"/>
  <c r="Q69" i="8"/>
  <c r="P69" i="8"/>
  <c r="O69" i="8"/>
  <c r="O75" i="8" s="1"/>
  <c r="N69" i="8"/>
  <c r="M69" i="8"/>
  <c r="L69" i="8"/>
  <c r="L75" i="8" s="1"/>
  <c r="K69" i="8"/>
  <c r="J69" i="8"/>
  <c r="I69" i="8"/>
  <c r="H69" i="8"/>
  <c r="G69" i="8"/>
  <c r="F69" i="8"/>
  <c r="E69" i="8"/>
  <c r="AH68" i="8"/>
  <c r="AH74" i="8" s="1"/>
  <c r="AG68" i="8"/>
  <c r="AF68" i="8"/>
  <c r="AE68" i="8"/>
  <c r="AD68" i="8"/>
  <c r="AC68" i="8"/>
  <c r="AC74" i="8" s="1"/>
  <c r="AB68" i="8"/>
  <c r="AB74" i="8" s="1"/>
  <c r="AA68" i="8"/>
  <c r="Z68" i="8"/>
  <c r="Y68" i="8"/>
  <c r="X68" i="8"/>
  <c r="W68" i="8"/>
  <c r="V68" i="8"/>
  <c r="U68" i="8"/>
  <c r="T68" i="8"/>
  <c r="S68" i="8"/>
  <c r="R68" i="8"/>
  <c r="Q68" i="8"/>
  <c r="Q74" i="8" s="1"/>
  <c r="P68" i="8"/>
  <c r="O68" i="8"/>
  <c r="O74" i="8" s="1"/>
  <c r="N68" i="8"/>
  <c r="N74" i="8" s="1"/>
  <c r="M68" i="8"/>
  <c r="L68" i="8"/>
  <c r="K68" i="8"/>
  <c r="J68" i="8"/>
  <c r="I68" i="8"/>
  <c r="H68" i="8"/>
  <c r="G68" i="8"/>
  <c r="F68" i="8"/>
  <c r="E68" i="8"/>
  <c r="AH67" i="8"/>
  <c r="AH75" i="8" s="1"/>
  <c r="AG67" i="8"/>
  <c r="AF67" i="8"/>
  <c r="AE67" i="8"/>
  <c r="AE75" i="8" s="1"/>
  <c r="AD67" i="8"/>
  <c r="AC67" i="8"/>
  <c r="AB67" i="8"/>
  <c r="AA67" i="8"/>
  <c r="Z67" i="8"/>
  <c r="Y67" i="8"/>
  <c r="X67" i="8"/>
  <c r="W67" i="8"/>
  <c r="V67" i="8"/>
  <c r="U67" i="8"/>
  <c r="T67" i="8"/>
  <c r="T75" i="8" s="1"/>
  <c r="S67" i="8"/>
  <c r="R67" i="8"/>
  <c r="Q67" i="8"/>
  <c r="Q75" i="8" s="1"/>
  <c r="P67" i="8"/>
  <c r="O67" i="8"/>
  <c r="N67" i="8"/>
  <c r="M67" i="8"/>
  <c r="M75" i="8" s="1"/>
  <c r="L67" i="8"/>
  <c r="K67" i="8"/>
  <c r="J67" i="8"/>
  <c r="I67" i="8"/>
  <c r="H67" i="8"/>
  <c r="H75" i="8" s="1"/>
  <c r="G67" i="8"/>
  <c r="G75" i="8" s="1"/>
  <c r="F67" i="8"/>
  <c r="F75" i="8" s="1"/>
  <c r="E67" i="8"/>
  <c r="AH66" i="8"/>
  <c r="AG66" i="8"/>
  <c r="AF66" i="8"/>
  <c r="AF74" i="8" s="1"/>
  <c r="AE66" i="8"/>
  <c r="AD66" i="8"/>
  <c r="AC66" i="8"/>
  <c r="AB66" i="8"/>
  <c r="AA66" i="8"/>
  <c r="Z66" i="8"/>
  <c r="Y66" i="8"/>
  <c r="Y74" i="8" s="1"/>
  <c r="X66" i="8"/>
  <c r="W66" i="8"/>
  <c r="W74" i="8" s="1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J74" i="8" s="1"/>
  <c r="I66" i="8"/>
  <c r="I74" i="8" s="1"/>
  <c r="H66" i="8"/>
  <c r="G66" i="8"/>
  <c r="F66" i="8"/>
  <c r="E66" i="8"/>
  <c r="AD62" i="8"/>
  <c r="W62" i="8"/>
  <c r="I62" i="8"/>
  <c r="F62" i="8"/>
  <c r="T61" i="8"/>
  <c r="L61" i="8"/>
  <c r="J61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AH59" i="8"/>
  <c r="AG59" i="8"/>
  <c r="AF59" i="8"/>
  <c r="AF61" i="8" s="1"/>
  <c r="AE59" i="8"/>
  <c r="AE61" i="8" s="1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R61" i="8" s="1"/>
  <c r="Q59" i="8"/>
  <c r="Q61" i="8" s="1"/>
  <c r="P59" i="8"/>
  <c r="O59" i="8"/>
  <c r="O61" i="8" s="1"/>
  <c r="N59" i="8"/>
  <c r="N61" i="8" s="1"/>
  <c r="M59" i="8"/>
  <c r="L59" i="8"/>
  <c r="K59" i="8"/>
  <c r="J59" i="8"/>
  <c r="I59" i="8"/>
  <c r="H59" i="8"/>
  <c r="G59" i="8"/>
  <c r="F59" i="8"/>
  <c r="E59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G62" i="8" s="1"/>
  <c r="F58" i="8"/>
  <c r="E58" i="8"/>
  <c r="AH57" i="8"/>
  <c r="AG57" i="8"/>
  <c r="AF57" i="8"/>
  <c r="AE57" i="8"/>
  <c r="AD57" i="8"/>
  <c r="AD61" i="8" s="1"/>
  <c r="AC57" i="8"/>
  <c r="AB57" i="8"/>
  <c r="AA57" i="8"/>
  <c r="AA61" i="8" s="1"/>
  <c r="Z57" i="8"/>
  <c r="Y57" i="8"/>
  <c r="X57" i="8"/>
  <c r="W57" i="8"/>
  <c r="V57" i="8"/>
  <c r="U57" i="8"/>
  <c r="T57" i="8"/>
  <c r="S57" i="8"/>
  <c r="R57" i="8"/>
  <c r="Q57" i="8"/>
  <c r="P57" i="8"/>
  <c r="P61" i="8" s="1"/>
  <c r="O57" i="8"/>
  <c r="N57" i="8"/>
  <c r="M57" i="8"/>
  <c r="M61" i="8" s="1"/>
  <c r="L57" i="8"/>
  <c r="K57" i="8"/>
  <c r="J57" i="8"/>
  <c r="I57" i="8"/>
  <c r="I61" i="8" s="1"/>
  <c r="H57" i="8"/>
  <c r="G57" i="8"/>
  <c r="F57" i="8"/>
  <c r="E57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AI53" i="8" s="1"/>
  <c r="E53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AI52" i="8" s="1"/>
  <c r="F52" i="8"/>
  <c r="E52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G61" i="8" s="1"/>
  <c r="F51" i="8"/>
  <c r="E51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AI50" i="8" s="1"/>
  <c r="E50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AI49" i="8" s="1"/>
  <c r="F49" i="8"/>
  <c r="E49" i="8"/>
  <c r="AH48" i="8"/>
  <c r="AG48" i="8"/>
  <c r="AF48" i="8"/>
  <c r="AE48" i="8"/>
  <c r="AD48" i="8"/>
  <c r="AC48" i="8"/>
  <c r="AB48" i="8"/>
  <c r="AA48" i="8"/>
  <c r="Z48" i="8"/>
  <c r="Y48" i="8"/>
  <c r="X48" i="8"/>
  <c r="X62" i="8" s="1"/>
  <c r="W48" i="8"/>
  <c r="V48" i="8"/>
  <c r="U48" i="8"/>
  <c r="T48" i="8"/>
  <c r="S48" i="8"/>
  <c r="R48" i="8"/>
  <c r="Q48" i="8"/>
  <c r="P48" i="8"/>
  <c r="P62" i="8" s="1"/>
  <c r="O48" i="8"/>
  <c r="N48" i="8"/>
  <c r="M48" i="8"/>
  <c r="L48" i="8"/>
  <c r="K48" i="8"/>
  <c r="J48" i="8"/>
  <c r="I48" i="8"/>
  <c r="H48" i="8"/>
  <c r="G48" i="8"/>
  <c r="AI48" i="8" s="1"/>
  <c r="F48" i="8"/>
  <c r="E48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AH46" i="8"/>
  <c r="AG46" i="8"/>
  <c r="AF46" i="8"/>
  <c r="AE46" i="8"/>
  <c r="AD46" i="8"/>
  <c r="AC46" i="8"/>
  <c r="AB46" i="8"/>
  <c r="AA46" i="8"/>
  <c r="Z46" i="8"/>
  <c r="Z62" i="8" s="1"/>
  <c r="Y46" i="8"/>
  <c r="X46" i="8"/>
  <c r="W46" i="8"/>
  <c r="V46" i="8"/>
  <c r="U46" i="8"/>
  <c r="T46" i="8"/>
  <c r="T62" i="8" s="1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AI46" i="8" s="1"/>
  <c r="F46" i="8"/>
  <c r="E46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AI36" i="8"/>
  <c r="AI35" i="8"/>
  <c r="AI34" i="8"/>
  <c r="AI33" i="8"/>
  <c r="AI31" i="8"/>
  <c r="AI30" i="8"/>
  <c r="AI29" i="8"/>
  <c r="AI28" i="8"/>
  <c r="AI27" i="8"/>
  <c r="AI26" i="8"/>
  <c r="AI25" i="8"/>
  <c r="AI24" i="8"/>
  <c r="AI22" i="8"/>
  <c r="AI21" i="8"/>
  <c r="AI20" i="8"/>
  <c r="AI19" i="8"/>
  <c r="AI18" i="8"/>
  <c r="AI17" i="8"/>
  <c r="AI16" i="8"/>
  <c r="AI15" i="8"/>
  <c r="AI14" i="8"/>
  <c r="AI13" i="8"/>
  <c r="AI12" i="8"/>
  <c r="AI11" i="8"/>
  <c r="AI10" i="8"/>
  <c r="AI9" i="8"/>
  <c r="AI8" i="8"/>
  <c r="AI7" i="8"/>
  <c r="AH80" i="7"/>
  <c r="N80" i="7"/>
  <c r="AI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AI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T80" i="7" s="1"/>
  <c r="S78" i="7"/>
  <c r="S80" i="7" s="1"/>
  <c r="R78" i="7"/>
  <c r="Q78" i="7"/>
  <c r="P78" i="7"/>
  <c r="O78" i="7"/>
  <c r="N78" i="7"/>
  <c r="M78" i="7"/>
  <c r="L78" i="7"/>
  <c r="K78" i="7"/>
  <c r="J78" i="7"/>
  <c r="I78" i="7"/>
  <c r="H78" i="7"/>
  <c r="AJ78" i="7" s="1"/>
  <c r="G78" i="7"/>
  <c r="F78" i="7"/>
  <c r="E78" i="7"/>
  <c r="E80" i="7" s="1"/>
  <c r="AI77" i="7"/>
  <c r="AH77" i="7"/>
  <c r="AG77" i="7"/>
  <c r="AF77" i="7"/>
  <c r="AE77" i="7"/>
  <c r="AE80" i="7" s="1"/>
  <c r="AD77" i="7"/>
  <c r="AC77" i="7"/>
  <c r="AB77" i="7"/>
  <c r="AA77" i="7"/>
  <c r="Z77" i="7"/>
  <c r="Z80" i="7" s="1"/>
  <c r="Y77" i="7"/>
  <c r="X77" i="7"/>
  <c r="X80" i="7" s="1"/>
  <c r="W77" i="7"/>
  <c r="W80" i="7" s="1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I80" i="7" s="1"/>
  <c r="H77" i="7"/>
  <c r="G77" i="7"/>
  <c r="F77" i="7"/>
  <c r="E77" i="7"/>
  <c r="AI76" i="7"/>
  <c r="AH76" i="7"/>
  <c r="AG76" i="7"/>
  <c r="AG80" i="7" s="1"/>
  <c r="AF76" i="7"/>
  <c r="AE76" i="7"/>
  <c r="AD76" i="7"/>
  <c r="AD80" i="7" s="1"/>
  <c r="AC76" i="7"/>
  <c r="AC80" i="7" s="1"/>
  <c r="AB76" i="7"/>
  <c r="AB80" i="7" s="1"/>
  <c r="AA76" i="7"/>
  <c r="AA80" i="7" s="1"/>
  <c r="Z76" i="7"/>
  <c r="Y76" i="7"/>
  <c r="Y80" i="7" s="1"/>
  <c r="X76" i="7"/>
  <c r="W76" i="7"/>
  <c r="V76" i="7"/>
  <c r="U76" i="7"/>
  <c r="T76" i="7"/>
  <c r="S76" i="7"/>
  <c r="R76" i="7"/>
  <c r="Q76" i="7"/>
  <c r="P76" i="7"/>
  <c r="P80" i="7" s="1"/>
  <c r="O76" i="7"/>
  <c r="O80" i="7" s="1"/>
  <c r="N76" i="7"/>
  <c r="M76" i="7"/>
  <c r="M80" i="7" s="1"/>
  <c r="L76" i="7"/>
  <c r="K76" i="7"/>
  <c r="K80" i="7" s="1"/>
  <c r="J76" i="7"/>
  <c r="I76" i="7"/>
  <c r="H76" i="7"/>
  <c r="G76" i="7"/>
  <c r="F76" i="7"/>
  <c r="E76" i="7"/>
  <c r="AF75" i="7"/>
  <c r="AD75" i="7"/>
  <c r="AC75" i="7"/>
  <c r="P75" i="7"/>
  <c r="N75" i="7"/>
  <c r="I75" i="7"/>
  <c r="Y74" i="7"/>
  <c r="K74" i="7"/>
  <c r="J74" i="7"/>
  <c r="G74" i="7"/>
  <c r="AI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O75" i="7" s="1"/>
  <c r="N73" i="7"/>
  <c r="M73" i="7"/>
  <c r="L73" i="7"/>
  <c r="K73" i="7"/>
  <c r="J73" i="7"/>
  <c r="J75" i="7" s="1"/>
  <c r="I73" i="7"/>
  <c r="H73" i="7"/>
  <c r="AJ73" i="7" s="1"/>
  <c r="G73" i="7"/>
  <c r="F73" i="7"/>
  <c r="E73" i="7"/>
  <c r="AI72" i="7"/>
  <c r="AH72" i="7"/>
  <c r="AG72" i="7"/>
  <c r="AG74" i="7" s="1"/>
  <c r="AF72" i="7"/>
  <c r="AE72" i="7"/>
  <c r="AD72" i="7"/>
  <c r="AC72" i="7"/>
  <c r="AB72" i="7"/>
  <c r="AB74" i="7" s="1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E74" i="7" s="1"/>
  <c r="AI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W75" i="7" s="1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AI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V74" i="7" s="1"/>
  <c r="U70" i="7"/>
  <c r="U74" i="7" s="1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AJ70" i="7" s="1"/>
  <c r="F70" i="7"/>
  <c r="E70" i="7"/>
  <c r="AI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V69" i="7"/>
  <c r="U69" i="7"/>
  <c r="T69" i="7"/>
  <c r="S69" i="7"/>
  <c r="R69" i="7"/>
  <c r="Q69" i="7"/>
  <c r="P69" i="7"/>
  <c r="O69" i="7"/>
  <c r="N69" i="7"/>
  <c r="M69" i="7"/>
  <c r="L69" i="7"/>
  <c r="L75" i="7" s="1"/>
  <c r="K69" i="7"/>
  <c r="J69" i="7"/>
  <c r="I69" i="7"/>
  <c r="H69" i="7"/>
  <c r="G69" i="7"/>
  <c r="F69" i="7"/>
  <c r="E69" i="7"/>
  <c r="AI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U68" i="7"/>
  <c r="T68" i="7"/>
  <c r="S68" i="7"/>
  <c r="R68" i="7"/>
  <c r="Q68" i="7"/>
  <c r="P68" i="7"/>
  <c r="O68" i="7"/>
  <c r="N68" i="7"/>
  <c r="M68" i="7"/>
  <c r="L68" i="7"/>
  <c r="K68" i="7"/>
  <c r="J68" i="7"/>
  <c r="I68" i="7"/>
  <c r="H68" i="7"/>
  <c r="G68" i="7"/>
  <c r="F68" i="7"/>
  <c r="E68" i="7"/>
  <c r="AI67" i="7"/>
  <c r="AI75" i="7" s="1"/>
  <c r="AH67" i="7"/>
  <c r="AH75" i="7" s="1"/>
  <c r="AG67" i="7"/>
  <c r="AG75" i="7" s="1"/>
  <c r="AF67" i="7"/>
  <c r="AE67" i="7"/>
  <c r="AD67" i="7"/>
  <c r="AC67" i="7"/>
  <c r="AB67" i="7"/>
  <c r="AA67" i="7"/>
  <c r="AA75" i="7" s="1"/>
  <c r="Z67" i="7"/>
  <c r="Y67" i="7"/>
  <c r="X67" i="7"/>
  <c r="W67" i="7"/>
  <c r="V67" i="7"/>
  <c r="U67" i="7"/>
  <c r="U75" i="7" s="1"/>
  <c r="T67" i="7"/>
  <c r="T75" i="7" s="1"/>
  <c r="S67" i="7"/>
  <c r="S75" i="7" s="1"/>
  <c r="R67" i="7"/>
  <c r="R75" i="7" s="1"/>
  <c r="Q67" i="7"/>
  <c r="Q75" i="7" s="1"/>
  <c r="P67" i="7"/>
  <c r="O67" i="7"/>
  <c r="N67" i="7"/>
  <c r="M67" i="7"/>
  <c r="M75" i="7" s="1"/>
  <c r="L67" i="7"/>
  <c r="K67" i="7"/>
  <c r="J67" i="7"/>
  <c r="I67" i="7"/>
  <c r="H67" i="7"/>
  <c r="G67" i="7"/>
  <c r="G75" i="7" s="1"/>
  <c r="F67" i="7"/>
  <c r="F75" i="7" s="1"/>
  <c r="E67" i="7"/>
  <c r="E75" i="7" s="1"/>
  <c r="AI66" i="7"/>
  <c r="AI74" i="7" s="1"/>
  <c r="AH66" i="7"/>
  <c r="AH74" i="7" s="1"/>
  <c r="AG66" i="7"/>
  <c r="AF66" i="7"/>
  <c r="AE66" i="7"/>
  <c r="AE74" i="7" s="1"/>
  <c r="AD66" i="7"/>
  <c r="AC66" i="7"/>
  <c r="AB66" i="7"/>
  <c r="AA66" i="7"/>
  <c r="Z66" i="7"/>
  <c r="Z74" i="7" s="1"/>
  <c r="Y66" i="7"/>
  <c r="X66" i="7"/>
  <c r="W66" i="7"/>
  <c r="W74" i="7" s="1"/>
  <c r="V66" i="7"/>
  <c r="U66" i="7"/>
  <c r="T66" i="7"/>
  <c r="T74" i="7" s="1"/>
  <c r="S66" i="7"/>
  <c r="R66" i="7"/>
  <c r="Q66" i="7"/>
  <c r="Q74" i="7" s="1"/>
  <c r="P66" i="7"/>
  <c r="O66" i="7"/>
  <c r="N66" i="7"/>
  <c r="M66" i="7"/>
  <c r="L66" i="7"/>
  <c r="K66" i="7"/>
  <c r="J66" i="7"/>
  <c r="I66" i="7"/>
  <c r="I74" i="7" s="1"/>
  <c r="H66" i="7"/>
  <c r="H74" i="7" s="1"/>
  <c r="G66" i="7"/>
  <c r="F66" i="7"/>
  <c r="E66" i="7"/>
  <c r="AH62" i="7"/>
  <c r="V62" i="7"/>
  <c r="T62" i="7"/>
  <c r="F62" i="7"/>
  <c r="P61" i="7"/>
  <c r="O61" i="7"/>
  <c r="AI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H60" i="7"/>
  <c r="AJ60" i="7" s="1"/>
  <c r="G60" i="7"/>
  <c r="F60" i="7"/>
  <c r="E60" i="7"/>
  <c r="AI59" i="7"/>
  <c r="AI61" i="7" s="1"/>
  <c r="AH59" i="7"/>
  <c r="AG59" i="7"/>
  <c r="AF59" i="7"/>
  <c r="AE59" i="7"/>
  <c r="AD59" i="7"/>
  <c r="AC59" i="7"/>
  <c r="AB59" i="7"/>
  <c r="AA59" i="7"/>
  <c r="Z59" i="7"/>
  <c r="Y59" i="7"/>
  <c r="Y61" i="7" s="1"/>
  <c r="X59" i="7"/>
  <c r="X61" i="7" s="1"/>
  <c r="W59" i="7"/>
  <c r="W61" i="7" s="1"/>
  <c r="V59" i="7"/>
  <c r="V61" i="7" s="1"/>
  <c r="U59" i="7"/>
  <c r="T59" i="7"/>
  <c r="S59" i="7"/>
  <c r="R59" i="7"/>
  <c r="Q59" i="7"/>
  <c r="P59" i="7"/>
  <c r="O59" i="7"/>
  <c r="N59" i="7"/>
  <c r="M59" i="7"/>
  <c r="L59" i="7"/>
  <c r="K59" i="7"/>
  <c r="K61" i="7" s="1"/>
  <c r="J59" i="7"/>
  <c r="J61" i="7" s="1"/>
  <c r="I59" i="7"/>
  <c r="H59" i="7"/>
  <c r="H61" i="7" s="1"/>
  <c r="G59" i="7"/>
  <c r="F59" i="7"/>
  <c r="E59" i="7"/>
  <c r="AI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H58" i="7"/>
  <c r="G58" i="7"/>
  <c r="F58" i="7"/>
  <c r="E58" i="7"/>
  <c r="AI57" i="7"/>
  <c r="AH57" i="7"/>
  <c r="AG57" i="7"/>
  <c r="AF57" i="7"/>
  <c r="AF61" i="7" s="1"/>
  <c r="AE57" i="7"/>
  <c r="AD57" i="7"/>
  <c r="AC57" i="7"/>
  <c r="AC61" i="7" s="1"/>
  <c r="AB57" i="7"/>
  <c r="AA57" i="7"/>
  <c r="Z57" i="7"/>
  <c r="Y57" i="7"/>
  <c r="X57" i="7"/>
  <c r="W57" i="7"/>
  <c r="V57" i="7"/>
  <c r="U57" i="7"/>
  <c r="U61" i="7" s="1"/>
  <c r="T57" i="7"/>
  <c r="S57" i="7"/>
  <c r="R57" i="7"/>
  <c r="R61" i="7" s="1"/>
  <c r="Q57" i="7"/>
  <c r="P57" i="7"/>
  <c r="O57" i="7"/>
  <c r="N57" i="7"/>
  <c r="M57" i="7"/>
  <c r="L57" i="7"/>
  <c r="K57" i="7"/>
  <c r="J57" i="7"/>
  <c r="I57" i="7"/>
  <c r="H57" i="7"/>
  <c r="G57" i="7"/>
  <c r="F57" i="7"/>
  <c r="E57" i="7"/>
  <c r="AJ57" i="7" s="1"/>
  <c r="AI56" i="7"/>
  <c r="AH56" i="7"/>
  <c r="AG56" i="7"/>
  <c r="AF56" i="7"/>
  <c r="AE56" i="7"/>
  <c r="AD56" i="7"/>
  <c r="AC56" i="7"/>
  <c r="AB56" i="7"/>
  <c r="AA56" i="7"/>
  <c r="Z56" i="7"/>
  <c r="Y56" i="7"/>
  <c r="Y62" i="7" s="1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AI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I55" i="7"/>
  <c r="H55" i="7"/>
  <c r="G55" i="7"/>
  <c r="F55" i="7"/>
  <c r="E55" i="7"/>
  <c r="AI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Q62" i="7" s="1"/>
  <c r="P54" i="7"/>
  <c r="O54" i="7"/>
  <c r="N54" i="7"/>
  <c r="M54" i="7"/>
  <c r="L54" i="7"/>
  <c r="K54" i="7"/>
  <c r="J54" i="7"/>
  <c r="I54" i="7"/>
  <c r="H54" i="7"/>
  <c r="G54" i="7"/>
  <c r="F54" i="7"/>
  <c r="E54" i="7"/>
  <c r="AI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AJ53" i="7" s="1"/>
  <c r="E53" i="7"/>
  <c r="AI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S52" i="7"/>
  <c r="R52" i="7"/>
  <c r="Q52" i="7"/>
  <c r="P52" i="7"/>
  <c r="O52" i="7"/>
  <c r="N52" i="7"/>
  <c r="M52" i="7"/>
  <c r="L52" i="7"/>
  <c r="K52" i="7"/>
  <c r="J52" i="7"/>
  <c r="I52" i="7"/>
  <c r="H52" i="7"/>
  <c r="G52" i="7"/>
  <c r="F52" i="7"/>
  <c r="E52" i="7"/>
  <c r="AJ52" i="7" s="1"/>
  <c r="AI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AI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R62" i="7" s="1"/>
  <c r="Q50" i="7"/>
  <c r="P50" i="7"/>
  <c r="O50" i="7"/>
  <c r="N50" i="7"/>
  <c r="M50" i="7"/>
  <c r="L50" i="7"/>
  <c r="K50" i="7"/>
  <c r="J50" i="7"/>
  <c r="I50" i="7"/>
  <c r="H50" i="7"/>
  <c r="AJ50" i="7" s="1"/>
  <c r="G50" i="7"/>
  <c r="F50" i="7"/>
  <c r="E50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AJ49" i="7" s="1"/>
  <c r="G49" i="7"/>
  <c r="F49" i="7"/>
  <c r="E49" i="7"/>
  <c r="AI48" i="7"/>
  <c r="AH48" i="7"/>
  <c r="AG48" i="7"/>
  <c r="AG62" i="7" s="1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S62" i="7" s="1"/>
  <c r="R48" i="7"/>
  <c r="Q48" i="7"/>
  <c r="P48" i="7"/>
  <c r="O48" i="7"/>
  <c r="N48" i="7"/>
  <c r="N62" i="7" s="1"/>
  <c r="M48" i="7"/>
  <c r="L48" i="7"/>
  <c r="K48" i="7"/>
  <c r="J48" i="7"/>
  <c r="I48" i="7"/>
  <c r="H48" i="7"/>
  <c r="G48" i="7"/>
  <c r="AJ48" i="7" s="1"/>
  <c r="F48" i="7"/>
  <c r="E48" i="7"/>
  <c r="E62" i="7" s="1"/>
  <c r="AI47" i="7"/>
  <c r="AH47" i="7"/>
  <c r="AG47" i="7"/>
  <c r="AG61" i="7" s="1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S61" i="7" s="1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AJ47" i="7" s="1"/>
  <c r="AI46" i="7"/>
  <c r="AH46" i="7"/>
  <c r="AG46" i="7"/>
  <c r="AF46" i="7"/>
  <c r="AF62" i="7" s="1"/>
  <c r="AE46" i="7"/>
  <c r="AD46" i="7"/>
  <c r="AC46" i="7"/>
  <c r="AB46" i="7"/>
  <c r="AB62" i="7" s="1"/>
  <c r="AA46" i="7"/>
  <c r="AA62" i="7" s="1"/>
  <c r="Z46" i="7"/>
  <c r="Z62" i="7" s="1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L62" i="7" s="1"/>
  <c r="K46" i="7"/>
  <c r="J46" i="7"/>
  <c r="I46" i="7"/>
  <c r="H46" i="7"/>
  <c r="G46" i="7"/>
  <c r="F46" i="7"/>
  <c r="E46" i="7"/>
  <c r="AI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AJ45" i="7" s="1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AJ36" i="7"/>
  <c r="AJ35" i="7"/>
  <c r="AJ34" i="7"/>
  <c r="AJ33" i="7"/>
  <c r="AJ31" i="7"/>
  <c r="AJ30" i="7"/>
  <c r="AJ29" i="7"/>
  <c r="AJ28" i="7"/>
  <c r="AJ27" i="7"/>
  <c r="AJ26" i="7"/>
  <c r="AJ25" i="7"/>
  <c r="AJ24" i="7"/>
  <c r="AJ22" i="7"/>
  <c r="AJ21" i="7"/>
  <c r="AJ20" i="7"/>
  <c r="AJ19" i="7"/>
  <c r="AJ18" i="7"/>
  <c r="AJ17" i="7"/>
  <c r="AJ16" i="7"/>
  <c r="AJ15" i="7"/>
  <c r="AJ14" i="7"/>
  <c r="AJ13" i="7"/>
  <c r="AJ12" i="7"/>
  <c r="AJ11" i="7"/>
  <c r="AJ10" i="7"/>
  <c r="AJ9" i="7"/>
  <c r="AJ8" i="7"/>
  <c r="AJ7" i="7"/>
  <c r="W80" i="6"/>
  <c r="V80" i="6"/>
  <c r="T80" i="6"/>
  <c r="R80" i="6"/>
  <c r="M80" i="6"/>
  <c r="J80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AJ79" i="6" s="1"/>
  <c r="F79" i="6"/>
  <c r="E79" i="6"/>
  <c r="AI78" i="6"/>
  <c r="AH78" i="6"/>
  <c r="AH80" i="6" s="1"/>
  <c r="AG78" i="6"/>
  <c r="AF78" i="6"/>
  <c r="AE78" i="6"/>
  <c r="AD78" i="6"/>
  <c r="AC78" i="6"/>
  <c r="AC80" i="6" s="1"/>
  <c r="AB78" i="6"/>
  <c r="AB80" i="6" s="1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N80" i="6" s="1"/>
  <c r="M78" i="6"/>
  <c r="L78" i="6"/>
  <c r="K78" i="6"/>
  <c r="J78" i="6"/>
  <c r="I78" i="6"/>
  <c r="H78" i="6"/>
  <c r="G78" i="6"/>
  <c r="F78" i="6"/>
  <c r="E78" i="6"/>
  <c r="AI77" i="6"/>
  <c r="AI80" i="6" s="1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U80" i="6" s="1"/>
  <c r="T77" i="6"/>
  <c r="S77" i="6"/>
  <c r="R77" i="6"/>
  <c r="Q77" i="6"/>
  <c r="P77" i="6"/>
  <c r="O77" i="6"/>
  <c r="N77" i="6"/>
  <c r="M77" i="6"/>
  <c r="L77" i="6"/>
  <c r="K77" i="6"/>
  <c r="J77" i="6"/>
  <c r="I77" i="6"/>
  <c r="H77" i="6"/>
  <c r="G77" i="6"/>
  <c r="G80" i="6" s="1"/>
  <c r="F77" i="6"/>
  <c r="E77" i="6"/>
  <c r="AI76" i="6"/>
  <c r="AH76" i="6"/>
  <c r="AG76" i="6"/>
  <c r="AF76" i="6"/>
  <c r="AE76" i="6"/>
  <c r="AD76" i="6"/>
  <c r="AC76" i="6"/>
  <c r="AB76" i="6"/>
  <c r="AA76" i="6"/>
  <c r="AA80" i="6" s="1"/>
  <c r="Z76" i="6"/>
  <c r="Z80" i="6" s="1"/>
  <c r="Y76" i="6"/>
  <c r="Y80" i="6" s="1"/>
  <c r="X76" i="6"/>
  <c r="X80" i="6" s="1"/>
  <c r="W76" i="6"/>
  <c r="V76" i="6"/>
  <c r="U76" i="6"/>
  <c r="T76" i="6"/>
  <c r="S76" i="6"/>
  <c r="R76" i="6"/>
  <c r="Q76" i="6"/>
  <c r="P76" i="6"/>
  <c r="O76" i="6"/>
  <c r="N76" i="6"/>
  <c r="M76" i="6"/>
  <c r="L76" i="6"/>
  <c r="L80" i="6" s="1"/>
  <c r="K76" i="6"/>
  <c r="K80" i="6" s="1"/>
  <c r="J76" i="6"/>
  <c r="I76" i="6"/>
  <c r="I80" i="6" s="1"/>
  <c r="H76" i="6"/>
  <c r="H80" i="6" s="1"/>
  <c r="G76" i="6"/>
  <c r="F76" i="6"/>
  <c r="E76" i="6"/>
  <c r="R75" i="6"/>
  <c r="Q75" i="6"/>
  <c r="J75" i="6"/>
  <c r="Y74" i="6"/>
  <c r="X74" i="6"/>
  <c r="T74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N75" i="6" s="1"/>
  <c r="M73" i="6"/>
  <c r="L73" i="6"/>
  <c r="K73" i="6"/>
  <c r="J73" i="6"/>
  <c r="I73" i="6"/>
  <c r="H73" i="6"/>
  <c r="G73" i="6"/>
  <c r="F73" i="6"/>
  <c r="E73" i="6"/>
  <c r="AI72" i="6"/>
  <c r="AI74" i="6" s="1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V75" i="6" s="1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AJ71" i="6" s="1"/>
  <c r="G71" i="6"/>
  <c r="F71" i="6"/>
  <c r="E71" i="6"/>
  <c r="AI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L74" i="6" s="1"/>
  <c r="K70" i="6"/>
  <c r="J70" i="6"/>
  <c r="I70" i="6"/>
  <c r="H70" i="6"/>
  <c r="G70" i="6"/>
  <c r="F70" i="6"/>
  <c r="E70" i="6"/>
  <c r="AI69" i="6"/>
  <c r="AH69" i="6"/>
  <c r="AG69" i="6"/>
  <c r="AF69" i="6"/>
  <c r="AF75" i="6" s="1"/>
  <c r="AE69" i="6"/>
  <c r="AD69" i="6"/>
  <c r="AC69" i="6"/>
  <c r="AC75" i="6" s="1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O75" i="6" s="1"/>
  <c r="N69" i="6"/>
  <c r="M69" i="6"/>
  <c r="L69" i="6"/>
  <c r="L75" i="6" s="1"/>
  <c r="K69" i="6"/>
  <c r="J69" i="6"/>
  <c r="I69" i="6"/>
  <c r="H69" i="6"/>
  <c r="H75" i="6" s="1"/>
  <c r="G69" i="6"/>
  <c r="F69" i="6"/>
  <c r="E69" i="6"/>
  <c r="AI68" i="6"/>
  <c r="AH68" i="6"/>
  <c r="AG68" i="6"/>
  <c r="AG74" i="6" s="1"/>
  <c r="AF68" i="6"/>
  <c r="AE68" i="6"/>
  <c r="AE74" i="6" s="1"/>
  <c r="AD68" i="6"/>
  <c r="AC68" i="6"/>
  <c r="AB68" i="6"/>
  <c r="AA68" i="6"/>
  <c r="Z68" i="6"/>
  <c r="Y68" i="6"/>
  <c r="X68" i="6"/>
  <c r="W68" i="6"/>
  <c r="V68" i="6"/>
  <c r="U68" i="6"/>
  <c r="T68" i="6"/>
  <c r="S68" i="6"/>
  <c r="S74" i="6" s="1"/>
  <c r="R68" i="6"/>
  <c r="Q68" i="6"/>
  <c r="P68" i="6"/>
  <c r="P74" i="6" s="1"/>
  <c r="O68" i="6"/>
  <c r="N68" i="6"/>
  <c r="M68" i="6"/>
  <c r="L68" i="6"/>
  <c r="K68" i="6"/>
  <c r="J68" i="6"/>
  <c r="I68" i="6"/>
  <c r="H68" i="6"/>
  <c r="G68" i="6"/>
  <c r="F68" i="6"/>
  <c r="E68" i="6"/>
  <c r="AI67" i="6"/>
  <c r="AI75" i="6" s="1"/>
  <c r="AH67" i="6"/>
  <c r="AH75" i="6" s="1"/>
  <c r="AG67" i="6"/>
  <c r="AG75" i="6" s="1"/>
  <c r="AF67" i="6"/>
  <c r="AE67" i="6"/>
  <c r="AD67" i="6"/>
  <c r="AC67" i="6"/>
  <c r="AB67" i="6"/>
  <c r="AA67" i="6"/>
  <c r="AA75" i="6" s="1"/>
  <c r="Z67" i="6"/>
  <c r="Z75" i="6" s="1"/>
  <c r="Y67" i="6"/>
  <c r="X67" i="6"/>
  <c r="X75" i="6" s="1"/>
  <c r="W67" i="6"/>
  <c r="W75" i="6" s="1"/>
  <c r="V67" i="6"/>
  <c r="U67" i="6"/>
  <c r="U75" i="6" s="1"/>
  <c r="T67" i="6"/>
  <c r="T75" i="6" s="1"/>
  <c r="S67" i="6"/>
  <c r="S75" i="6" s="1"/>
  <c r="R67" i="6"/>
  <c r="Q67" i="6"/>
  <c r="P67" i="6"/>
  <c r="O67" i="6"/>
  <c r="N67" i="6"/>
  <c r="M67" i="6"/>
  <c r="L67" i="6"/>
  <c r="K67" i="6"/>
  <c r="J67" i="6"/>
  <c r="I67" i="6"/>
  <c r="I75" i="6" s="1"/>
  <c r="H67" i="6"/>
  <c r="G67" i="6"/>
  <c r="G75" i="6" s="1"/>
  <c r="F67" i="6"/>
  <c r="F75" i="6" s="1"/>
  <c r="E67" i="6"/>
  <c r="AI66" i="6"/>
  <c r="AH66" i="6"/>
  <c r="AH74" i="6" s="1"/>
  <c r="AG66" i="6"/>
  <c r="AF66" i="6"/>
  <c r="AE66" i="6"/>
  <c r="AD66" i="6"/>
  <c r="AC66" i="6"/>
  <c r="AB66" i="6"/>
  <c r="AB74" i="6" s="1"/>
  <c r="AA66" i="6"/>
  <c r="AA74" i="6" s="1"/>
  <c r="Z66" i="6"/>
  <c r="Y66" i="6"/>
  <c r="X66" i="6"/>
  <c r="W66" i="6"/>
  <c r="W74" i="6" s="1"/>
  <c r="V66" i="6"/>
  <c r="U66" i="6"/>
  <c r="T66" i="6"/>
  <c r="S66" i="6"/>
  <c r="R66" i="6"/>
  <c r="Q66" i="6"/>
  <c r="P66" i="6"/>
  <c r="O66" i="6"/>
  <c r="N66" i="6"/>
  <c r="N74" i="6" s="1"/>
  <c r="M66" i="6"/>
  <c r="M74" i="6" s="1"/>
  <c r="L66" i="6"/>
  <c r="K66" i="6"/>
  <c r="K74" i="6" s="1"/>
  <c r="J66" i="6"/>
  <c r="J74" i="6" s="1"/>
  <c r="I66" i="6"/>
  <c r="I74" i="6" s="1"/>
  <c r="H66" i="6"/>
  <c r="G66" i="6"/>
  <c r="F66" i="6"/>
  <c r="E66" i="6"/>
  <c r="U62" i="6"/>
  <c r="S62" i="6"/>
  <c r="AG61" i="6"/>
  <c r="L61" i="6"/>
  <c r="J61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AI59" i="6"/>
  <c r="AH59" i="6"/>
  <c r="AG59" i="6"/>
  <c r="AF59" i="6"/>
  <c r="AE59" i="6"/>
  <c r="AE61" i="6" s="1"/>
  <c r="AD59" i="6"/>
  <c r="AD61" i="6" s="1"/>
  <c r="AC59" i="6"/>
  <c r="AB59" i="6"/>
  <c r="AA59" i="6"/>
  <c r="AA61" i="6" s="1"/>
  <c r="Z59" i="6"/>
  <c r="Y59" i="6"/>
  <c r="X59" i="6"/>
  <c r="W59" i="6"/>
  <c r="V59" i="6"/>
  <c r="U59" i="6"/>
  <c r="T59" i="6"/>
  <c r="S59" i="6"/>
  <c r="S61" i="6" s="1"/>
  <c r="R59" i="6"/>
  <c r="Q59" i="6"/>
  <c r="Q61" i="6" s="1"/>
  <c r="P59" i="6"/>
  <c r="P61" i="6" s="1"/>
  <c r="O59" i="6"/>
  <c r="N59" i="6"/>
  <c r="M59" i="6"/>
  <c r="M61" i="6" s="1"/>
  <c r="L59" i="6"/>
  <c r="K59" i="6"/>
  <c r="J59" i="6"/>
  <c r="I59" i="6"/>
  <c r="H59" i="6"/>
  <c r="G59" i="6"/>
  <c r="F59" i="6"/>
  <c r="E59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AJ58" i="6" s="1"/>
  <c r="E58" i="6"/>
  <c r="AI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V61" i="6" s="1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H57" i="6"/>
  <c r="G57" i="6"/>
  <c r="F57" i="6"/>
  <c r="AJ57" i="6" s="1"/>
  <c r="E57" i="6"/>
  <c r="AI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AJ54" i="6" s="1"/>
  <c r="E54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I61" i="6" s="1"/>
  <c r="H53" i="6"/>
  <c r="G53" i="6"/>
  <c r="AJ53" i="6" s="1"/>
  <c r="F53" i="6"/>
  <c r="E53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Q62" i="6" s="1"/>
  <c r="P52" i="6"/>
  <c r="O52" i="6"/>
  <c r="N52" i="6"/>
  <c r="M52" i="6"/>
  <c r="L52" i="6"/>
  <c r="K52" i="6"/>
  <c r="J52" i="6"/>
  <c r="I52" i="6"/>
  <c r="H52" i="6"/>
  <c r="AJ52" i="6" s="1"/>
  <c r="G52" i="6"/>
  <c r="F52" i="6"/>
  <c r="E52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O61" i="6" s="1"/>
  <c r="N51" i="6"/>
  <c r="M51" i="6"/>
  <c r="L51" i="6"/>
  <c r="K51" i="6"/>
  <c r="J51" i="6"/>
  <c r="I51" i="6"/>
  <c r="H51" i="6"/>
  <c r="G51" i="6"/>
  <c r="F51" i="6"/>
  <c r="E51" i="6"/>
  <c r="AI50" i="6"/>
  <c r="AH50" i="6"/>
  <c r="AG50" i="6"/>
  <c r="AF50" i="6"/>
  <c r="AE50" i="6"/>
  <c r="AE62" i="6" s="1"/>
  <c r="AD50" i="6"/>
  <c r="AC50" i="6"/>
  <c r="AB50" i="6"/>
  <c r="AA50" i="6"/>
  <c r="Z50" i="6"/>
  <c r="Y50" i="6"/>
  <c r="X50" i="6"/>
  <c r="W50" i="6"/>
  <c r="V50" i="6"/>
  <c r="V62" i="6" s="1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H50" i="6"/>
  <c r="AJ50" i="6" s="1"/>
  <c r="G50" i="6"/>
  <c r="F50" i="6"/>
  <c r="E50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H49" i="6"/>
  <c r="G49" i="6"/>
  <c r="F49" i="6"/>
  <c r="E49" i="6"/>
  <c r="AI48" i="6"/>
  <c r="AH48" i="6"/>
  <c r="AG48" i="6"/>
  <c r="AF48" i="6"/>
  <c r="AE48" i="6"/>
  <c r="AD48" i="6"/>
  <c r="AC48" i="6"/>
  <c r="AB48" i="6"/>
  <c r="AB62" i="6" s="1"/>
  <c r="AA48" i="6"/>
  <c r="Z48" i="6"/>
  <c r="Y48" i="6"/>
  <c r="Y62" i="6" s="1"/>
  <c r="X48" i="6"/>
  <c r="W48" i="6"/>
  <c r="V48" i="6"/>
  <c r="U48" i="6"/>
  <c r="T48" i="6"/>
  <c r="S48" i="6"/>
  <c r="R48" i="6"/>
  <c r="Q48" i="6"/>
  <c r="P48" i="6"/>
  <c r="O48" i="6"/>
  <c r="O62" i="6" s="1"/>
  <c r="N48" i="6"/>
  <c r="M48" i="6"/>
  <c r="L48" i="6"/>
  <c r="K48" i="6"/>
  <c r="J48" i="6"/>
  <c r="I48" i="6"/>
  <c r="H48" i="6"/>
  <c r="G48" i="6"/>
  <c r="AJ48" i="6" s="1"/>
  <c r="F48" i="6"/>
  <c r="E48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AI46" i="6"/>
  <c r="AH46" i="6"/>
  <c r="AG46" i="6"/>
  <c r="AG62" i="6" s="1"/>
  <c r="AF46" i="6"/>
  <c r="AF62" i="6" s="1"/>
  <c r="AE46" i="6"/>
  <c r="AD46" i="6"/>
  <c r="AC46" i="6"/>
  <c r="AB46" i="6"/>
  <c r="AA46" i="6"/>
  <c r="Z46" i="6"/>
  <c r="Y46" i="6"/>
  <c r="X46" i="6"/>
  <c r="X62" i="6" s="1"/>
  <c r="W46" i="6"/>
  <c r="W62" i="6" s="1"/>
  <c r="V46" i="6"/>
  <c r="U46" i="6"/>
  <c r="T46" i="6"/>
  <c r="S46" i="6"/>
  <c r="R46" i="6"/>
  <c r="R62" i="6" s="1"/>
  <c r="Q46" i="6"/>
  <c r="P46" i="6"/>
  <c r="O46" i="6"/>
  <c r="N46" i="6"/>
  <c r="M46" i="6"/>
  <c r="L46" i="6"/>
  <c r="K46" i="6"/>
  <c r="J46" i="6"/>
  <c r="J62" i="6" s="1"/>
  <c r="I46" i="6"/>
  <c r="I62" i="6" s="1"/>
  <c r="H46" i="6"/>
  <c r="G46" i="6"/>
  <c r="G62" i="6" s="1"/>
  <c r="F46" i="6"/>
  <c r="E46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AJ36" i="6"/>
  <c r="AJ35" i="6"/>
  <c r="AJ34" i="6"/>
  <c r="AJ33" i="6"/>
  <c r="AJ31" i="6"/>
  <c r="AJ30" i="6"/>
  <c r="AJ29" i="6"/>
  <c r="AJ28" i="6"/>
  <c r="AJ27" i="6"/>
  <c r="AJ26" i="6"/>
  <c r="AJ25" i="6"/>
  <c r="AJ24" i="6"/>
  <c r="AJ22" i="6"/>
  <c r="AJ21" i="6"/>
  <c r="AJ20" i="6"/>
  <c r="AJ19" i="6"/>
  <c r="AJ18" i="6"/>
  <c r="AJ17" i="6"/>
  <c r="AJ16" i="6"/>
  <c r="AJ15" i="6"/>
  <c r="AJ14" i="6"/>
  <c r="AJ13" i="6"/>
  <c r="AJ12" i="6"/>
  <c r="AJ11" i="6"/>
  <c r="AJ10" i="6"/>
  <c r="AJ9" i="6"/>
  <c r="AK8" i="6"/>
  <c r="AJ8" i="6"/>
  <c r="AJ7" i="6"/>
  <c r="AK7" i="6" s="1"/>
  <c r="J6" i="6"/>
  <c r="W80" i="5"/>
  <c r="V80" i="5"/>
  <c r="S80" i="5"/>
  <c r="E80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Q80" i="5" s="1"/>
  <c r="P79" i="5"/>
  <c r="O79" i="5"/>
  <c r="N79" i="5"/>
  <c r="M79" i="5"/>
  <c r="L79" i="5"/>
  <c r="K79" i="5"/>
  <c r="J79" i="5"/>
  <c r="I79" i="5"/>
  <c r="H79" i="5"/>
  <c r="G79" i="5"/>
  <c r="AI79" i="5" s="1"/>
  <c r="F79" i="5"/>
  <c r="E79" i="5"/>
  <c r="AH78" i="5"/>
  <c r="AH80" i="5" s="1"/>
  <c r="AG78" i="5"/>
  <c r="AF78" i="5"/>
  <c r="AE78" i="5"/>
  <c r="AD78" i="5"/>
  <c r="AC78" i="5"/>
  <c r="AC80" i="5" s="1"/>
  <c r="AB78" i="5"/>
  <c r="AA78" i="5"/>
  <c r="Z78" i="5"/>
  <c r="Y78" i="5"/>
  <c r="Y80" i="5" s="1"/>
  <c r="X78" i="5"/>
  <c r="X80" i="5" s="1"/>
  <c r="W78" i="5"/>
  <c r="V78" i="5"/>
  <c r="U78" i="5"/>
  <c r="T78" i="5"/>
  <c r="T80" i="5" s="1"/>
  <c r="S78" i="5"/>
  <c r="R78" i="5"/>
  <c r="Q78" i="5"/>
  <c r="P78" i="5"/>
  <c r="O78" i="5"/>
  <c r="O80" i="5" s="1"/>
  <c r="N78" i="5"/>
  <c r="M78" i="5"/>
  <c r="L78" i="5"/>
  <c r="K78" i="5"/>
  <c r="J78" i="5"/>
  <c r="I78" i="5"/>
  <c r="H78" i="5"/>
  <c r="G78" i="5"/>
  <c r="G80" i="5" s="1"/>
  <c r="F78" i="5"/>
  <c r="AI78" i="5" s="1"/>
  <c r="E78" i="5"/>
  <c r="AH77" i="5"/>
  <c r="AG77" i="5"/>
  <c r="AF77" i="5"/>
  <c r="AF80" i="5" s="1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I80" i="5" s="1"/>
  <c r="H77" i="5"/>
  <c r="G77" i="5"/>
  <c r="F77" i="5"/>
  <c r="E77" i="5"/>
  <c r="AI77" i="5" s="1"/>
  <c r="AH76" i="5"/>
  <c r="AG76" i="5"/>
  <c r="AF76" i="5"/>
  <c r="AE76" i="5"/>
  <c r="AE80" i="5" s="1"/>
  <c r="AD76" i="5"/>
  <c r="AD80" i="5" s="1"/>
  <c r="AC76" i="5"/>
  <c r="AB76" i="5"/>
  <c r="AB80" i="5" s="1"/>
  <c r="AA76" i="5"/>
  <c r="Z76" i="5"/>
  <c r="Z80" i="5" s="1"/>
  <c r="Y76" i="5"/>
  <c r="X76" i="5"/>
  <c r="W76" i="5"/>
  <c r="V76" i="5"/>
  <c r="U76" i="5"/>
  <c r="T76" i="5"/>
  <c r="S76" i="5"/>
  <c r="R76" i="5"/>
  <c r="Q76" i="5"/>
  <c r="P76" i="5"/>
  <c r="P80" i="5" s="1"/>
  <c r="O76" i="5"/>
  <c r="N76" i="5"/>
  <c r="N80" i="5" s="1"/>
  <c r="M76" i="5"/>
  <c r="L76" i="5"/>
  <c r="L80" i="5" s="1"/>
  <c r="K76" i="5"/>
  <c r="J76" i="5"/>
  <c r="J80" i="5" s="1"/>
  <c r="I76" i="5"/>
  <c r="H76" i="5"/>
  <c r="H80" i="5" s="1"/>
  <c r="G76" i="5"/>
  <c r="F76" i="5"/>
  <c r="E76" i="5"/>
  <c r="AE75" i="5"/>
  <c r="AD75" i="5"/>
  <c r="Z75" i="5"/>
  <c r="W75" i="5"/>
  <c r="L75" i="5"/>
  <c r="K75" i="5"/>
  <c r="I75" i="5"/>
  <c r="AH74" i="5"/>
  <c r="X74" i="5"/>
  <c r="W74" i="5"/>
  <c r="T74" i="5"/>
  <c r="S74" i="5"/>
  <c r="E74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H75" i="5" s="1"/>
  <c r="G73" i="5"/>
  <c r="G75" i="5" s="1"/>
  <c r="F73" i="5"/>
  <c r="E73" i="5"/>
  <c r="AH72" i="5"/>
  <c r="AG72" i="5"/>
  <c r="AF72" i="5"/>
  <c r="AE72" i="5"/>
  <c r="AD72" i="5"/>
  <c r="AC72" i="5"/>
  <c r="AB72" i="5"/>
  <c r="AA72" i="5"/>
  <c r="Z72" i="5"/>
  <c r="Y72" i="5"/>
  <c r="Y74" i="5" s="1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G74" i="5" s="1"/>
  <c r="F72" i="5"/>
  <c r="E72" i="5"/>
  <c r="AH71" i="5"/>
  <c r="AG71" i="5"/>
  <c r="AF71" i="5"/>
  <c r="AE71" i="5"/>
  <c r="AD71" i="5"/>
  <c r="AC71" i="5"/>
  <c r="AB71" i="5"/>
  <c r="AA71" i="5"/>
  <c r="AA75" i="5" s="1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M75" i="5" s="1"/>
  <c r="L71" i="5"/>
  <c r="K71" i="5"/>
  <c r="J71" i="5"/>
  <c r="I71" i="5"/>
  <c r="H71" i="5"/>
  <c r="G71" i="5"/>
  <c r="F71" i="5"/>
  <c r="E71" i="5"/>
  <c r="AI71" i="5" s="1"/>
  <c r="AH70" i="5"/>
  <c r="AG70" i="5"/>
  <c r="AF70" i="5"/>
  <c r="AE70" i="5"/>
  <c r="AD70" i="5"/>
  <c r="AD74" i="5" s="1"/>
  <c r="AC70" i="5"/>
  <c r="AB70" i="5"/>
  <c r="AA70" i="5"/>
  <c r="AA74" i="5" s="1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AI70" i="5" s="1"/>
  <c r="AH69" i="5"/>
  <c r="AG69" i="5"/>
  <c r="AG75" i="5" s="1"/>
  <c r="AF69" i="5"/>
  <c r="AE69" i="5"/>
  <c r="AD69" i="5"/>
  <c r="AC69" i="5"/>
  <c r="AB69" i="5"/>
  <c r="AA69" i="5"/>
  <c r="Z69" i="5"/>
  <c r="Y69" i="5"/>
  <c r="X69" i="5"/>
  <c r="X75" i="5" s="1"/>
  <c r="W69" i="5"/>
  <c r="V69" i="5"/>
  <c r="U69" i="5"/>
  <c r="T69" i="5"/>
  <c r="S69" i="5"/>
  <c r="S75" i="5" s="1"/>
  <c r="R69" i="5"/>
  <c r="Q69" i="5"/>
  <c r="Q75" i="5" s="1"/>
  <c r="P69" i="5"/>
  <c r="O69" i="5"/>
  <c r="O75" i="5" s="1"/>
  <c r="N69" i="5"/>
  <c r="M69" i="5"/>
  <c r="L69" i="5"/>
  <c r="K69" i="5"/>
  <c r="J69" i="5"/>
  <c r="I69" i="5"/>
  <c r="H69" i="5"/>
  <c r="G69" i="5"/>
  <c r="F69" i="5"/>
  <c r="E69" i="5"/>
  <c r="AI69" i="5" s="1"/>
  <c r="AH68" i="5"/>
  <c r="AG68" i="5"/>
  <c r="AF68" i="5"/>
  <c r="AE68" i="5"/>
  <c r="AD68" i="5"/>
  <c r="AC68" i="5"/>
  <c r="AC74" i="5" s="1"/>
  <c r="AB68" i="5"/>
  <c r="AA68" i="5"/>
  <c r="Z68" i="5"/>
  <c r="Y68" i="5"/>
  <c r="X68" i="5"/>
  <c r="W68" i="5"/>
  <c r="V68" i="5"/>
  <c r="V74" i="5" s="1"/>
  <c r="U68" i="5"/>
  <c r="T68" i="5"/>
  <c r="S68" i="5"/>
  <c r="R68" i="5"/>
  <c r="Q68" i="5"/>
  <c r="P68" i="5"/>
  <c r="O68" i="5"/>
  <c r="O74" i="5" s="1"/>
  <c r="N68" i="5"/>
  <c r="M68" i="5"/>
  <c r="M74" i="5" s="1"/>
  <c r="L68" i="5"/>
  <c r="L74" i="5" s="1"/>
  <c r="K68" i="5"/>
  <c r="J68" i="5"/>
  <c r="I68" i="5"/>
  <c r="H68" i="5"/>
  <c r="H74" i="5" s="1"/>
  <c r="G68" i="5"/>
  <c r="F68" i="5"/>
  <c r="E68" i="5"/>
  <c r="AH67" i="5"/>
  <c r="AH75" i="5" s="1"/>
  <c r="AG67" i="5"/>
  <c r="AF67" i="5"/>
  <c r="AE67" i="5"/>
  <c r="AD67" i="5"/>
  <c r="AC67" i="5"/>
  <c r="AC75" i="5" s="1"/>
  <c r="AB67" i="5"/>
  <c r="AA67" i="5"/>
  <c r="Z67" i="5"/>
  <c r="Y67" i="5"/>
  <c r="Y75" i="5" s="1"/>
  <c r="X67" i="5"/>
  <c r="W67" i="5"/>
  <c r="V67" i="5"/>
  <c r="U67" i="5"/>
  <c r="U75" i="5" s="1"/>
  <c r="T67" i="5"/>
  <c r="T75" i="5" s="1"/>
  <c r="S67" i="5"/>
  <c r="R67" i="5"/>
  <c r="R75" i="5" s="1"/>
  <c r="Q67" i="5"/>
  <c r="P67" i="5"/>
  <c r="P75" i="5" s="1"/>
  <c r="O67" i="5"/>
  <c r="N67" i="5"/>
  <c r="M67" i="5"/>
  <c r="L67" i="5"/>
  <c r="K67" i="5"/>
  <c r="J67" i="5"/>
  <c r="I67" i="5"/>
  <c r="H67" i="5"/>
  <c r="G67" i="5"/>
  <c r="F67" i="5"/>
  <c r="F75" i="5" s="1"/>
  <c r="E67" i="5"/>
  <c r="AH66" i="5"/>
  <c r="AG66" i="5"/>
  <c r="AF66" i="5"/>
  <c r="AF74" i="5" s="1"/>
  <c r="AE66" i="5"/>
  <c r="AD66" i="5"/>
  <c r="AC66" i="5"/>
  <c r="AB66" i="5"/>
  <c r="AB74" i="5" s="1"/>
  <c r="AA66" i="5"/>
  <c r="Z66" i="5"/>
  <c r="Z74" i="5" s="1"/>
  <c r="Y66" i="5"/>
  <c r="X66" i="5"/>
  <c r="W66" i="5"/>
  <c r="V66" i="5"/>
  <c r="U66" i="5"/>
  <c r="T66" i="5"/>
  <c r="S66" i="5"/>
  <c r="R66" i="5"/>
  <c r="Q66" i="5"/>
  <c r="P66" i="5"/>
  <c r="O66" i="5"/>
  <c r="N66" i="5"/>
  <c r="N74" i="5" s="1"/>
  <c r="M66" i="5"/>
  <c r="L66" i="5"/>
  <c r="K66" i="5"/>
  <c r="J66" i="5"/>
  <c r="I66" i="5"/>
  <c r="I74" i="5" s="1"/>
  <c r="H66" i="5"/>
  <c r="G66" i="5"/>
  <c r="F66" i="5"/>
  <c r="E66" i="5"/>
  <c r="AI66" i="5" s="1"/>
  <c r="T62" i="5"/>
  <c r="AG61" i="5"/>
  <c r="O61" i="5"/>
  <c r="N61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AH59" i="5"/>
  <c r="AG59" i="5"/>
  <c r="AF59" i="5"/>
  <c r="AF61" i="5" s="1"/>
  <c r="AE59" i="5"/>
  <c r="AD59" i="5"/>
  <c r="AC59" i="5"/>
  <c r="AC61" i="5" s="1"/>
  <c r="AB59" i="5"/>
  <c r="AA59" i="5"/>
  <c r="AA61" i="5" s="1"/>
  <c r="Z59" i="5"/>
  <c r="Y59" i="5"/>
  <c r="X59" i="5"/>
  <c r="W59" i="5"/>
  <c r="V59" i="5"/>
  <c r="U59" i="5"/>
  <c r="U61" i="5" s="1"/>
  <c r="T59" i="5"/>
  <c r="S59" i="5"/>
  <c r="S61" i="5" s="1"/>
  <c r="R59" i="5"/>
  <c r="R61" i="5" s="1"/>
  <c r="Q59" i="5"/>
  <c r="P59" i="5"/>
  <c r="O59" i="5"/>
  <c r="N59" i="5"/>
  <c r="M59" i="5"/>
  <c r="L59" i="5"/>
  <c r="K59" i="5"/>
  <c r="J59" i="5"/>
  <c r="I59" i="5"/>
  <c r="H59" i="5"/>
  <c r="G59" i="5"/>
  <c r="G61" i="5" s="1"/>
  <c r="F59" i="5"/>
  <c r="E59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V62" i="5" s="1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AH57" i="5"/>
  <c r="AG57" i="5"/>
  <c r="AF57" i="5"/>
  <c r="AE57" i="5"/>
  <c r="AD57" i="5"/>
  <c r="AC57" i="5"/>
  <c r="AB57" i="5"/>
  <c r="AA57" i="5"/>
  <c r="Z57" i="5"/>
  <c r="Z61" i="5" s="1"/>
  <c r="Y57" i="5"/>
  <c r="X57" i="5"/>
  <c r="W57" i="5"/>
  <c r="W61" i="5" s="1"/>
  <c r="V57" i="5"/>
  <c r="U57" i="5"/>
  <c r="T57" i="5"/>
  <c r="S57" i="5"/>
  <c r="R57" i="5"/>
  <c r="Q57" i="5"/>
  <c r="P57" i="5"/>
  <c r="O57" i="5"/>
  <c r="N57" i="5"/>
  <c r="M57" i="5"/>
  <c r="L57" i="5"/>
  <c r="L61" i="5" s="1"/>
  <c r="K57" i="5"/>
  <c r="J57" i="5"/>
  <c r="I57" i="5"/>
  <c r="I61" i="5" s="1"/>
  <c r="H57" i="5"/>
  <c r="G57" i="5"/>
  <c r="F57" i="5"/>
  <c r="E57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U62" i="5" s="1"/>
  <c r="T54" i="5"/>
  <c r="S54" i="5"/>
  <c r="R54" i="5"/>
  <c r="Q54" i="5"/>
  <c r="P54" i="5"/>
  <c r="O54" i="5"/>
  <c r="N54" i="5"/>
  <c r="M54" i="5"/>
  <c r="L54" i="5"/>
  <c r="K54" i="5"/>
  <c r="J54" i="5"/>
  <c r="I54" i="5"/>
  <c r="I62" i="5" s="1"/>
  <c r="H54" i="5"/>
  <c r="G54" i="5"/>
  <c r="AI54" i="5" s="1"/>
  <c r="F54" i="5"/>
  <c r="E54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J61" i="5" s="1"/>
  <c r="I53" i="5"/>
  <c r="H53" i="5"/>
  <c r="G53" i="5"/>
  <c r="AI53" i="5" s="1"/>
  <c r="F53" i="5"/>
  <c r="E53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P61" i="5" s="1"/>
  <c r="O51" i="5"/>
  <c r="N51" i="5"/>
  <c r="M51" i="5"/>
  <c r="L51" i="5"/>
  <c r="K51" i="5"/>
  <c r="J51" i="5"/>
  <c r="I51" i="5"/>
  <c r="H51" i="5"/>
  <c r="G51" i="5"/>
  <c r="F51" i="5"/>
  <c r="E51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R62" i="5" s="1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AI49" i="5" s="1"/>
  <c r="AH48" i="5"/>
  <c r="AH62" i="5" s="1"/>
  <c r="AG48" i="5"/>
  <c r="AF48" i="5"/>
  <c r="AE48" i="5"/>
  <c r="AD48" i="5"/>
  <c r="AC48" i="5"/>
  <c r="AB48" i="5"/>
  <c r="AA48" i="5"/>
  <c r="Z48" i="5"/>
  <c r="Y48" i="5"/>
  <c r="X48" i="5"/>
  <c r="X62" i="5" s="1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J62" i="5" s="1"/>
  <c r="I48" i="5"/>
  <c r="H48" i="5"/>
  <c r="G48" i="5"/>
  <c r="F48" i="5"/>
  <c r="E48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AH46" i="5"/>
  <c r="AG46" i="5"/>
  <c r="AF46" i="5"/>
  <c r="AE46" i="5"/>
  <c r="AE62" i="5" s="1"/>
  <c r="AD46" i="5"/>
  <c r="AC46" i="5"/>
  <c r="AC62" i="5" s="1"/>
  <c r="AB46" i="5"/>
  <c r="AA46" i="5"/>
  <c r="Z46" i="5"/>
  <c r="Z62" i="5" s="1"/>
  <c r="Y46" i="5"/>
  <c r="X46" i="5"/>
  <c r="W46" i="5"/>
  <c r="V46" i="5"/>
  <c r="U46" i="5"/>
  <c r="T46" i="5"/>
  <c r="S46" i="5"/>
  <c r="R46" i="5"/>
  <c r="Q46" i="5"/>
  <c r="Q62" i="5" s="1"/>
  <c r="P46" i="5"/>
  <c r="O46" i="5"/>
  <c r="O62" i="5" s="1"/>
  <c r="N46" i="5"/>
  <c r="M46" i="5"/>
  <c r="L46" i="5"/>
  <c r="L62" i="5" s="1"/>
  <c r="K46" i="5"/>
  <c r="J46" i="5"/>
  <c r="I46" i="5"/>
  <c r="H46" i="5"/>
  <c r="G46" i="5"/>
  <c r="F46" i="5"/>
  <c r="F62" i="5" s="1"/>
  <c r="E46" i="5"/>
  <c r="AH45" i="5"/>
  <c r="AG45" i="5"/>
  <c r="AF45" i="5"/>
  <c r="AE45" i="5"/>
  <c r="AD45" i="5"/>
  <c r="AC45" i="5"/>
  <c r="AB45" i="5"/>
  <c r="AB61" i="5" s="1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AI36" i="5"/>
  <c r="AI35" i="5"/>
  <c r="AI34" i="5"/>
  <c r="AI33" i="5"/>
  <c r="AI31" i="5"/>
  <c r="AI30" i="5"/>
  <c r="AI29" i="5"/>
  <c r="AI28" i="5"/>
  <c r="AI27" i="5"/>
  <c r="AI26" i="5"/>
  <c r="AI25" i="5"/>
  <c r="AI24" i="5"/>
  <c r="AI22" i="5"/>
  <c r="AI21" i="5"/>
  <c r="AI20" i="5"/>
  <c r="AI19" i="5"/>
  <c r="AI18" i="5"/>
  <c r="AI17" i="5"/>
  <c r="AI16" i="5"/>
  <c r="AI15" i="5"/>
  <c r="AI14" i="5"/>
  <c r="AI13" i="5"/>
  <c r="AI12" i="5"/>
  <c r="AI11" i="5"/>
  <c r="AI10" i="5"/>
  <c r="AI9" i="5"/>
  <c r="AI8" i="5"/>
  <c r="AI7" i="5"/>
  <c r="Y80" i="4"/>
  <c r="R80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W80" i="4" s="1"/>
  <c r="V79" i="4"/>
  <c r="V80" i="4" s="1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AJ79" i="4" s="1"/>
  <c r="G79" i="4"/>
  <c r="F79" i="4"/>
  <c r="E79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M80" i="4" s="1"/>
  <c r="L78" i="4"/>
  <c r="K78" i="4"/>
  <c r="J78" i="4"/>
  <c r="I78" i="4"/>
  <c r="H78" i="4"/>
  <c r="G78" i="4"/>
  <c r="F78" i="4"/>
  <c r="E78" i="4"/>
  <c r="AJ78" i="4" s="1"/>
  <c r="AI77" i="4"/>
  <c r="AH77" i="4"/>
  <c r="AG77" i="4"/>
  <c r="AF77" i="4"/>
  <c r="AE77" i="4"/>
  <c r="AE80" i="4" s="1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Q80" i="4" s="1"/>
  <c r="P77" i="4"/>
  <c r="O77" i="4"/>
  <c r="N77" i="4"/>
  <c r="M77" i="4"/>
  <c r="L77" i="4"/>
  <c r="K77" i="4"/>
  <c r="J77" i="4"/>
  <c r="I77" i="4"/>
  <c r="H77" i="4"/>
  <c r="G77" i="4"/>
  <c r="F77" i="4"/>
  <c r="E77" i="4"/>
  <c r="AI76" i="4"/>
  <c r="AI80" i="4" s="1"/>
  <c r="AH76" i="4"/>
  <c r="AH80" i="4" s="1"/>
  <c r="AG76" i="4"/>
  <c r="AG80" i="4" s="1"/>
  <c r="AF76" i="4"/>
  <c r="AF80" i="4" s="1"/>
  <c r="AE76" i="4"/>
  <c r="AD76" i="4"/>
  <c r="AC76" i="4"/>
  <c r="AB76" i="4"/>
  <c r="AB80" i="4" s="1"/>
  <c r="AA76" i="4"/>
  <c r="Z76" i="4"/>
  <c r="Y76" i="4"/>
  <c r="X76" i="4"/>
  <c r="W76" i="4"/>
  <c r="V76" i="4"/>
  <c r="U76" i="4"/>
  <c r="U80" i="4" s="1"/>
  <c r="T76" i="4"/>
  <c r="T80" i="4" s="1"/>
  <c r="S76" i="4"/>
  <c r="S80" i="4" s="1"/>
  <c r="R76" i="4"/>
  <c r="Q76" i="4"/>
  <c r="P76" i="4"/>
  <c r="O76" i="4"/>
  <c r="N76" i="4"/>
  <c r="N80" i="4" s="1"/>
  <c r="M76" i="4"/>
  <c r="L76" i="4"/>
  <c r="K76" i="4"/>
  <c r="K80" i="4" s="1"/>
  <c r="J76" i="4"/>
  <c r="I76" i="4"/>
  <c r="H76" i="4"/>
  <c r="H80" i="4" s="1"/>
  <c r="G76" i="4"/>
  <c r="G80" i="4" s="1"/>
  <c r="F76" i="4"/>
  <c r="F80" i="4" s="1"/>
  <c r="E76" i="4"/>
  <c r="AJ76" i="4" s="1"/>
  <c r="T75" i="4"/>
  <c r="S75" i="4"/>
  <c r="AG74" i="4"/>
  <c r="P74" i="4"/>
  <c r="L74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Q75" i="4" s="1"/>
  <c r="P73" i="4"/>
  <c r="O73" i="4"/>
  <c r="N73" i="4"/>
  <c r="M73" i="4"/>
  <c r="L73" i="4"/>
  <c r="K73" i="4"/>
  <c r="J73" i="4"/>
  <c r="I73" i="4"/>
  <c r="H73" i="4"/>
  <c r="G73" i="4"/>
  <c r="F73" i="4"/>
  <c r="E73" i="4"/>
  <c r="AI72" i="4"/>
  <c r="AI74" i="4" s="1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AJ72" i="4" s="1"/>
  <c r="G72" i="4"/>
  <c r="F72" i="4"/>
  <c r="E72" i="4"/>
  <c r="AI71" i="4"/>
  <c r="AH71" i="4"/>
  <c r="AG71" i="4"/>
  <c r="AF71" i="4"/>
  <c r="AE71" i="4"/>
  <c r="AE75" i="4" s="1"/>
  <c r="AD71" i="4"/>
  <c r="AC71" i="4"/>
  <c r="AB71" i="4"/>
  <c r="AA71" i="4"/>
  <c r="Z71" i="4"/>
  <c r="Y71" i="4"/>
  <c r="X71" i="4"/>
  <c r="W71" i="4"/>
  <c r="V71" i="4"/>
  <c r="V75" i="4" s="1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AI70" i="4"/>
  <c r="AH70" i="4"/>
  <c r="AG70" i="4"/>
  <c r="AF70" i="4"/>
  <c r="AE70" i="4"/>
  <c r="AD70" i="4"/>
  <c r="AC70" i="4"/>
  <c r="AC74" i="4" s="1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O74" i="4" s="1"/>
  <c r="N70" i="4"/>
  <c r="M70" i="4"/>
  <c r="L70" i="4"/>
  <c r="K70" i="4"/>
  <c r="J70" i="4"/>
  <c r="I70" i="4"/>
  <c r="H70" i="4"/>
  <c r="G70" i="4"/>
  <c r="F70" i="4"/>
  <c r="E70" i="4"/>
  <c r="AI69" i="4"/>
  <c r="AH69" i="4"/>
  <c r="AH75" i="4" s="1"/>
  <c r="AG69" i="4"/>
  <c r="AG75" i="4" s="1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O75" i="4" s="1"/>
  <c r="N69" i="4"/>
  <c r="M69" i="4"/>
  <c r="L69" i="4"/>
  <c r="K69" i="4"/>
  <c r="J69" i="4"/>
  <c r="I69" i="4"/>
  <c r="H69" i="4"/>
  <c r="G69" i="4"/>
  <c r="F69" i="4"/>
  <c r="F75" i="4" s="1"/>
  <c r="E69" i="4"/>
  <c r="AI68" i="4"/>
  <c r="AH68" i="4"/>
  <c r="AG68" i="4"/>
  <c r="AF68" i="4"/>
  <c r="AE68" i="4"/>
  <c r="AD68" i="4"/>
  <c r="AC68" i="4"/>
  <c r="AB68" i="4"/>
  <c r="AA68" i="4"/>
  <c r="Z68" i="4"/>
  <c r="Y68" i="4"/>
  <c r="X68" i="4"/>
  <c r="X74" i="4" s="1"/>
  <c r="W68" i="4"/>
  <c r="W74" i="4" s="1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J74" i="4" s="1"/>
  <c r="I68" i="4"/>
  <c r="H68" i="4"/>
  <c r="AJ68" i="4" s="1"/>
  <c r="G68" i="4"/>
  <c r="F68" i="4"/>
  <c r="E68" i="4"/>
  <c r="AI67" i="4"/>
  <c r="AH67" i="4"/>
  <c r="AG67" i="4"/>
  <c r="AF67" i="4"/>
  <c r="AE67" i="4"/>
  <c r="AD67" i="4"/>
  <c r="AC67" i="4"/>
  <c r="AC75" i="4" s="1"/>
  <c r="AB67" i="4"/>
  <c r="AB75" i="4" s="1"/>
  <c r="AA67" i="4"/>
  <c r="AA75" i="4" s="1"/>
  <c r="Z67" i="4"/>
  <c r="Y67" i="4"/>
  <c r="X67" i="4"/>
  <c r="X75" i="4" s="1"/>
  <c r="W67" i="4"/>
  <c r="W75" i="4" s="1"/>
  <c r="V67" i="4"/>
  <c r="U67" i="4"/>
  <c r="T67" i="4"/>
  <c r="S67" i="4"/>
  <c r="R67" i="4"/>
  <c r="Q67" i="4"/>
  <c r="P67" i="4"/>
  <c r="O67" i="4"/>
  <c r="N67" i="4"/>
  <c r="N75" i="4" s="1"/>
  <c r="M67" i="4"/>
  <c r="M75" i="4" s="1"/>
  <c r="L67" i="4"/>
  <c r="K67" i="4"/>
  <c r="J67" i="4"/>
  <c r="J75" i="4" s="1"/>
  <c r="I67" i="4"/>
  <c r="I75" i="4" s="1"/>
  <c r="H67" i="4"/>
  <c r="H75" i="4" s="1"/>
  <c r="G67" i="4"/>
  <c r="F67" i="4"/>
  <c r="E67" i="4"/>
  <c r="AI66" i="4"/>
  <c r="AH66" i="4"/>
  <c r="AG66" i="4"/>
  <c r="AF66" i="4"/>
  <c r="AF74" i="4" s="1"/>
  <c r="AE66" i="4"/>
  <c r="AE74" i="4" s="1"/>
  <c r="AD66" i="4"/>
  <c r="AD74" i="4" s="1"/>
  <c r="AC66" i="4"/>
  <c r="AB66" i="4"/>
  <c r="AA66" i="4"/>
  <c r="AA74" i="4" s="1"/>
  <c r="Z66" i="4"/>
  <c r="Z74" i="4" s="1"/>
  <c r="Y66" i="4"/>
  <c r="X66" i="4"/>
  <c r="W66" i="4"/>
  <c r="V66" i="4"/>
  <c r="U66" i="4"/>
  <c r="T66" i="4"/>
  <c r="S66" i="4"/>
  <c r="S74" i="4" s="1"/>
  <c r="R66" i="4"/>
  <c r="R74" i="4" s="1"/>
  <c r="Q66" i="4"/>
  <c r="Q74" i="4" s="1"/>
  <c r="P66" i="4"/>
  <c r="O66" i="4"/>
  <c r="N66" i="4"/>
  <c r="M66" i="4"/>
  <c r="M74" i="4" s="1"/>
  <c r="L66" i="4"/>
  <c r="K66" i="4"/>
  <c r="J66" i="4"/>
  <c r="I66" i="4"/>
  <c r="I74" i="4" s="1"/>
  <c r="H66" i="4"/>
  <c r="G66" i="4"/>
  <c r="F66" i="4"/>
  <c r="E66" i="4"/>
  <c r="E74" i="4" s="1"/>
  <c r="AH62" i="4"/>
  <c r="AG62" i="4"/>
  <c r="P62" i="4"/>
  <c r="N61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O62" i="4" s="1"/>
  <c r="N60" i="4"/>
  <c r="M60" i="4"/>
  <c r="L60" i="4"/>
  <c r="K60" i="4"/>
  <c r="J60" i="4"/>
  <c r="I60" i="4"/>
  <c r="H60" i="4"/>
  <c r="AJ60" i="4" s="1"/>
  <c r="G60" i="4"/>
  <c r="F60" i="4"/>
  <c r="E60" i="4"/>
  <c r="AI59" i="4"/>
  <c r="AH59" i="4"/>
  <c r="AG59" i="4"/>
  <c r="AG61" i="4" s="1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S61" i="4" s="1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AJ58" i="4" s="1"/>
  <c r="E58" i="4"/>
  <c r="AI57" i="4"/>
  <c r="AH57" i="4"/>
  <c r="AG57" i="4"/>
  <c r="AF57" i="4"/>
  <c r="AE57" i="4"/>
  <c r="AD57" i="4"/>
  <c r="AC57" i="4"/>
  <c r="AC61" i="4" s="1"/>
  <c r="AB57" i="4"/>
  <c r="AA57" i="4"/>
  <c r="AA61" i="4" s="1"/>
  <c r="Z57" i="4"/>
  <c r="Y57" i="4"/>
  <c r="X57" i="4"/>
  <c r="X61" i="4" s="1"/>
  <c r="W57" i="4"/>
  <c r="V57" i="4"/>
  <c r="U57" i="4"/>
  <c r="T57" i="4"/>
  <c r="S57" i="4"/>
  <c r="R57" i="4"/>
  <c r="Q57" i="4"/>
  <c r="P57" i="4"/>
  <c r="O57" i="4"/>
  <c r="O61" i="4" s="1"/>
  <c r="N57" i="4"/>
  <c r="M57" i="4"/>
  <c r="M61" i="4" s="1"/>
  <c r="L57" i="4"/>
  <c r="K57" i="4"/>
  <c r="J57" i="4"/>
  <c r="J61" i="4" s="1"/>
  <c r="I57" i="4"/>
  <c r="H57" i="4"/>
  <c r="G57" i="4"/>
  <c r="F57" i="4"/>
  <c r="F61" i="4" s="1"/>
  <c r="E57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Q62" i="4" s="1"/>
  <c r="P56" i="4"/>
  <c r="O56" i="4"/>
  <c r="N56" i="4"/>
  <c r="M56" i="4"/>
  <c r="L56" i="4"/>
  <c r="K56" i="4"/>
  <c r="J56" i="4"/>
  <c r="I56" i="4"/>
  <c r="H56" i="4"/>
  <c r="G56" i="4"/>
  <c r="F56" i="4"/>
  <c r="E56" i="4"/>
  <c r="AJ56" i="4" s="1"/>
  <c r="AI55" i="4"/>
  <c r="AH55" i="4"/>
  <c r="AH61" i="4" s="1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T61" i="4" s="1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K62" i="4" s="1"/>
  <c r="J54" i="4"/>
  <c r="I54" i="4"/>
  <c r="H54" i="4"/>
  <c r="G54" i="4"/>
  <c r="F54" i="4"/>
  <c r="E54" i="4"/>
  <c r="AI53" i="4"/>
  <c r="AH53" i="4"/>
  <c r="AG53" i="4"/>
  <c r="AF53" i="4"/>
  <c r="AE53" i="4"/>
  <c r="AD53" i="4"/>
  <c r="AC53" i="4"/>
  <c r="AB53" i="4"/>
  <c r="AB61" i="4" s="1"/>
  <c r="AA53" i="4"/>
  <c r="Z53" i="4"/>
  <c r="Y53" i="4"/>
  <c r="Y61" i="4" s="1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K61" i="4" s="1"/>
  <c r="J53" i="4"/>
  <c r="I53" i="4"/>
  <c r="H53" i="4"/>
  <c r="G53" i="4"/>
  <c r="F53" i="4"/>
  <c r="AJ53" i="4" s="1"/>
  <c r="E53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S62" i="4" s="1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AJ52" i="4" s="1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H61" i="4" s="1"/>
  <c r="G51" i="4"/>
  <c r="F51" i="4"/>
  <c r="E51" i="4"/>
  <c r="AI50" i="4"/>
  <c r="AH50" i="4"/>
  <c r="AG50" i="4"/>
  <c r="AF50" i="4"/>
  <c r="AE50" i="4"/>
  <c r="AD50" i="4"/>
  <c r="AC50" i="4"/>
  <c r="AB50" i="4"/>
  <c r="AA50" i="4"/>
  <c r="AA62" i="4" s="1"/>
  <c r="Z50" i="4"/>
  <c r="Y50" i="4"/>
  <c r="X50" i="4"/>
  <c r="W50" i="4"/>
  <c r="W62" i="4" s="1"/>
  <c r="V50" i="4"/>
  <c r="U50" i="4"/>
  <c r="T50" i="4"/>
  <c r="S50" i="4"/>
  <c r="R50" i="4"/>
  <c r="Q50" i="4"/>
  <c r="P50" i="4"/>
  <c r="O50" i="4"/>
  <c r="N50" i="4"/>
  <c r="M50" i="4"/>
  <c r="M62" i="4" s="1"/>
  <c r="L50" i="4"/>
  <c r="K50" i="4"/>
  <c r="J50" i="4"/>
  <c r="I50" i="4"/>
  <c r="H50" i="4"/>
  <c r="G50" i="4"/>
  <c r="F50" i="4"/>
  <c r="AJ50" i="4" s="1"/>
  <c r="E50" i="4"/>
  <c r="AI49" i="4"/>
  <c r="AH49" i="4"/>
  <c r="AG49" i="4"/>
  <c r="AF49" i="4"/>
  <c r="AE49" i="4"/>
  <c r="AD49" i="4"/>
  <c r="AD61" i="4" s="1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AI48" i="4"/>
  <c r="AH48" i="4"/>
  <c r="AG48" i="4"/>
  <c r="AF48" i="4"/>
  <c r="AE48" i="4"/>
  <c r="AE62" i="4" s="1"/>
  <c r="AD48" i="4"/>
  <c r="AD62" i="4" s="1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AI46" i="4"/>
  <c r="AH46" i="4"/>
  <c r="AG46" i="4"/>
  <c r="AF46" i="4"/>
  <c r="AE46" i="4"/>
  <c r="AD46" i="4"/>
  <c r="AC46" i="4"/>
  <c r="AB46" i="4"/>
  <c r="AB62" i="4" s="1"/>
  <c r="AA46" i="4"/>
  <c r="Z46" i="4"/>
  <c r="Y46" i="4"/>
  <c r="Y62" i="4" s="1"/>
  <c r="X46" i="4"/>
  <c r="W46" i="4"/>
  <c r="V46" i="4"/>
  <c r="V62" i="4" s="1"/>
  <c r="U46" i="4"/>
  <c r="T46" i="4"/>
  <c r="S46" i="4"/>
  <c r="R46" i="4"/>
  <c r="Q46" i="4"/>
  <c r="P46" i="4"/>
  <c r="O46" i="4"/>
  <c r="N46" i="4"/>
  <c r="N62" i="4" s="1"/>
  <c r="M46" i="4"/>
  <c r="L46" i="4"/>
  <c r="K46" i="4"/>
  <c r="J46" i="4"/>
  <c r="I46" i="4"/>
  <c r="H46" i="4"/>
  <c r="H62" i="4" s="1"/>
  <c r="G46" i="4"/>
  <c r="F46" i="4"/>
  <c r="E46" i="4"/>
  <c r="AI45" i="4"/>
  <c r="AH45" i="4"/>
  <c r="AG45" i="4"/>
  <c r="AF45" i="4"/>
  <c r="AF61" i="4" s="1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AJ36" i="4"/>
  <c r="AJ35" i="4"/>
  <c r="AJ34" i="4"/>
  <c r="AJ33" i="4"/>
  <c r="AJ31" i="4"/>
  <c r="AJ30" i="4"/>
  <c r="AJ29" i="4"/>
  <c r="AJ28" i="4"/>
  <c r="AJ27" i="4"/>
  <c r="AJ26" i="4"/>
  <c r="AJ25" i="4"/>
  <c r="AJ24" i="4"/>
  <c r="AJ22" i="4"/>
  <c r="AJ21" i="4"/>
  <c r="AJ20" i="4"/>
  <c r="AJ19" i="4"/>
  <c r="AJ18" i="4"/>
  <c r="AJ17" i="4"/>
  <c r="AJ16" i="4"/>
  <c r="AJ15" i="4"/>
  <c r="AJ14" i="4"/>
  <c r="AJ13" i="4"/>
  <c r="AJ12" i="4"/>
  <c r="AJ11" i="4"/>
  <c r="AJ10" i="4"/>
  <c r="AJ9" i="4"/>
  <c r="AJ8" i="4"/>
  <c r="AJ7" i="4"/>
  <c r="J6" i="4"/>
  <c r="Y80" i="3"/>
  <c r="X80" i="3"/>
  <c r="V80" i="3"/>
  <c r="T80" i="3"/>
  <c r="H80" i="3"/>
  <c r="F80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I80" i="3" s="1"/>
  <c r="H79" i="3"/>
  <c r="G79" i="3"/>
  <c r="F79" i="3"/>
  <c r="AI79" i="3" s="1"/>
  <c r="AH78" i="3"/>
  <c r="AG78" i="3"/>
  <c r="AF78" i="3"/>
  <c r="AE78" i="3"/>
  <c r="AD78" i="3"/>
  <c r="AC78" i="3"/>
  <c r="AB78" i="3"/>
  <c r="AA78" i="3"/>
  <c r="Z78" i="3"/>
  <c r="Z80" i="3" s="1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K80" i="3" s="1"/>
  <c r="J78" i="3"/>
  <c r="I78" i="3"/>
  <c r="H78" i="3"/>
  <c r="G78" i="3"/>
  <c r="F78" i="3"/>
  <c r="AH77" i="3"/>
  <c r="AH80" i="3" s="1"/>
  <c r="AG77" i="3"/>
  <c r="AG80" i="3" s="1"/>
  <c r="AF77" i="3"/>
  <c r="AE77" i="3"/>
  <c r="AD77" i="3"/>
  <c r="AC77" i="3"/>
  <c r="AB77" i="3"/>
  <c r="AB80" i="3" s="1"/>
  <c r="AA77" i="3"/>
  <c r="Z77" i="3"/>
  <c r="Y77" i="3"/>
  <c r="X77" i="3"/>
  <c r="W77" i="3"/>
  <c r="V77" i="3"/>
  <c r="U77" i="3"/>
  <c r="T77" i="3"/>
  <c r="S77" i="3"/>
  <c r="S80" i="3" s="1"/>
  <c r="R77" i="3"/>
  <c r="Q77" i="3"/>
  <c r="P77" i="3"/>
  <c r="O77" i="3"/>
  <c r="N77" i="3"/>
  <c r="N80" i="3" s="1"/>
  <c r="M77" i="3"/>
  <c r="L77" i="3"/>
  <c r="K77" i="3"/>
  <c r="J77" i="3"/>
  <c r="J80" i="3" s="1"/>
  <c r="I77" i="3"/>
  <c r="H77" i="3"/>
  <c r="G77" i="3"/>
  <c r="F77" i="3"/>
  <c r="AH76" i="3"/>
  <c r="AG76" i="3"/>
  <c r="AF76" i="3"/>
  <c r="AF80" i="3" s="1"/>
  <c r="AE76" i="3"/>
  <c r="AE80" i="3" s="1"/>
  <c r="AD76" i="3"/>
  <c r="AD80" i="3" s="1"/>
  <c r="AC76" i="3"/>
  <c r="AC80" i="3" s="1"/>
  <c r="AB76" i="3"/>
  <c r="AA76" i="3"/>
  <c r="Z76" i="3"/>
  <c r="Y76" i="3"/>
  <c r="X76" i="3"/>
  <c r="W76" i="3"/>
  <c r="W80" i="3" s="1"/>
  <c r="V76" i="3"/>
  <c r="U76" i="3"/>
  <c r="T76" i="3"/>
  <c r="S76" i="3"/>
  <c r="R76" i="3"/>
  <c r="R80" i="3" s="1"/>
  <c r="Q76" i="3"/>
  <c r="Q80" i="3" s="1"/>
  <c r="P76" i="3"/>
  <c r="P80" i="3" s="1"/>
  <c r="O76" i="3"/>
  <c r="O80" i="3" s="1"/>
  <c r="N76" i="3"/>
  <c r="M76" i="3"/>
  <c r="L76" i="3"/>
  <c r="K76" i="3"/>
  <c r="J76" i="3"/>
  <c r="I76" i="3"/>
  <c r="H76" i="3"/>
  <c r="G76" i="3"/>
  <c r="F76" i="3"/>
  <c r="AH75" i="3"/>
  <c r="AG75" i="3"/>
  <c r="AF75" i="3"/>
  <c r="AA75" i="3"/>
  <c r="U75" i="3"/>
  <c r="P75" i="3"/>
  <c r="O75" i="3"/>
  <c r="M75" i="3"/>
  <c r="J75" i="3"/>
  <c r="G75" i="3"/>
  <c r="AB74" i="3"/>
  <c r="AA74" i="3"/>
  <c r="X74" i="3"/>
  <c r="W74" i="3"/>
  <c r="J74" i="3"/>
  <c r="I74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AH72" i="3"/>
  <c r="AG72" i="3"/>
  <c r="AF72" i="3"/>
  <c r="AE72" i="3"/>
  <c r="AD72" i="3"/>
  <c r="AD74" i="3" s="1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R75" i="3" s="1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AI71" i="3" s="1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U74" i="3" s="1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G74" i="3" s="1"/>
  <c r="F70" i="3"/>
  <c r="AI70" i="3" s="1"/>
  <c r="E70" i="3"/>
  <c r="AH69" i="3"/>
  <c r="AG69" i="3"/>
  <c r="AF69" i="3"/>
  <c r="AE69" i="3"/>
  <c r="AD69" i="3"/>
  <c r="AC69" i="3"/>
  <c r="AB69" i="3"/>
  <c r="AA69" i="3"/>
  <c r="Z69" i="3"/>
  <c r="Y69" i="3"/>
  <c r="X69" i="3"/>
  <c r="X75" i="3" s="1"/>
  <c r="W69" i="3"/>
  <c r="W75" i="3" s="1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AH68" i="3"/>
  <c r="AG68" i="3"/>
  <c r="AG74" i="3" s="1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S74" i="3" s="1"/>
  <c r="R68" i="3"/>
  <c r="Q68" i="3"/>
  <c r="P68" i="3"/>
  <c r="P74" i="3" s="1"/>
  <c r="O68" i="3"/>
  <c r="N68" i="3"/>
  <c r="M68" i="3"/>
  <c r="M74" i="3" s="1"/>
  <c r="L68" i="3"/>
  <c r="K68" i="3"/>
  <c r="J68" i="3"/>
  <c r="I68" i="3"/>
  <c r="H68" i="3"/>
  <c r="G68" i="3"/>
  <c r="F68" i="3"/>
  <c r="E68" i="3"/>
  <c r="AH67" i="3"/>
  <c r="AG67" i="3"/>
  <c r="AF67" i="3"/>
  <c r="AE67" i="3"/>
  <c r="AD67" i="3"/>
  <c r="AD75" i="3" s="1"/>
  <c r="AC67" i="3"/>
  <c r="AC75" i="3" s="1"/>
  <c r="AB67" i="3"/>
  <c r="AB75" i="3" s="1"/>
  <c r="AA67" i="3"/>
  <c r="Z67" i="3"/>
  <c r="Y67" i="3"/>
  <c r="X67" i="3"/>
  <c r="W67" i="3"/>
  <c r="V67" i="3"/>
  <c r="U67" i="3"/>
  <c r="T67" i="3"/>
  <c r="T75" i="3" s="1"/>
  <c r="S67" i="3"/>
  <c r="S75" i="3" s="1"/>
  <c r="R67" i="3"/>
  <c r="Q67" i="3"/>
  <c r="P67" i="3"/>
  <c r="O67" i="3"/>
  <c r="N67" i="3"/>
  <c r="N75" i="3" s="1"/>
  <c r="M67" i="3"/>
  <c r="L67" i="3"/>
  <c r="K67" i="3"/>
  <c r="J67" i="3"/>
  <c r="I67" i="3"/>
  <c r="I75" i="3" s="1"/>
  <c r="H67" i="3"/>
  <c r="G67" i="3"/>
  <c r="F67" i="3"/>
  <c r="F75" i="3" s="1"/>
  <c r="E67" i="3"/>
  <c r="AH66" i="3"/>
  <c r="AG66" i="3"/>
  <c r="AF66" i="3"/>
  <c r="AF74" i="3" s="1"/>
  <c r="AE66" i="3"/>
  <c r="AD66" i="3"/>
  <c r="AC66" i="3"/>
  <c r="AB66" i="3"/>
  <c r="AA66" i="3"/>
  <c r="Z66" i="3"/>
  <c r="Z74" i="3" s="1"/>
  <c r="Y66" i="3"/>
  <c r="X66" i="3"/>
  <c r="W66" i="3"/>
  <c r="V66" i="3"/>
  <c r="V74" i="3" s="1"/>
  <c r="U66" i="3"/>
  <c r="T66" i="3"/>
  <c r="S66" i="3"/>
  <c r="R66" i="3"/>
  <c r="R74" i="3" s="1"/>
  <c r="Q66" i="3"/>
  <c r="P66" i="3"/>
  <c r="O66" i="3"/>
  <c r="N66" i="3"/>
  <c r="N74" i="3" s="1"/>
  <c r="M66" i="3"/>
  <c r="L66" i="3"/>
  <c r="L74" i="3" s="1"/>
  <c r="K66" i="3"/>
  <c r="J66" i="3"/>
  <c r="I66" i="3"/>
  <c r="H66" i="3"/>
  <c r="H74" i="3" s="1"/>
  <c r="G66" i="3"/>
  <c r="F66" i="3"/>
  <c r="J62" i="3"/>
  <c r="I62" i="3"/>
  <c r="W61" i="3"/>
  <c r="U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AH59" i="3"/>
  <c r="AH61" i="3" s="1"/>
  <c r="AG59" i="3"/>
  <c r="AF59" i="3"/>
  <c r="AE59" i="3"/>
  <c r="AD59" i="3"/>
  <c r="AC59" i="3"/>
  <c r="AB59" i="3"/>
  <c r="AA59" i="3"/>
  <c r="AA61" i="3" s="1"/>
  <c r="Z59" i="3"/>
  <c r="Z61" i="3" s="1"/>
  <c r="Y59" i="3"/>
  <c r="X59" i="3"/>
  <c r="W59" i="3"/>
  <c r="V59" i="3"/>
  <c r="U59" i="3"/>
  <c r="T59" i="3"/>
  <c r="T61" i="3" s="1"/>
  <c r="S59" i="3"/>
  <c r="R59" i="3"/>
  <c r="Q59" i="3"/>
  <c r="P59" i="3"/>
  <c r="O59" i="3"/>
  <c r="N59" i="3"/>
  <c r="M59" i="3"/>
  <c r="L59" i="3"/>
  <c r="L61" i="3" s="1"/>
  <c r="K59" i="3"/>
  <c r="J59" i="3"/>
  <c r="I59" i="3"/>
  <c r="I61" i="3" s="1"/>
  <c r="H59" i="3"/>
  <c r="G59" i="3"/>
  <c r="G61" i="3" s="1"/>
  <c r="F59" i="3"/>
  <c r="F61" i="3" s="1"/>
  <c r="AH58" i="3"/>
  <c r="AG58" i="3"/>
  <c r="AF58" i="3"/>
  <c r="AE58" i="3"/>
  <c r="AD58" i="3"/>
  <c r="AC58" i="3"/>
  <c r="AB58" i="3"/>
  <c r="AA58" i="3"/>
  <c r="Z58" i="3"/>
  <c r="Y58" i="3"/>
  <c r="X58" i="3"/>
  <c r="W58" i="3"/>
  <c r="W62" i="3" s="1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AH57" i="3"/>
  <c r="AG57" i="3"/>
  <c r="AF57" i="3"/>
  <c r="AE57" i="3"/>
  <c r="AD57" i="3"/>
  <c r="AC57" i="3"/>
  <c r="AB57" i="3"/>
  <c r="AB61" i="3" s="1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N61" i="3" s="1"/>
  <c r="M57" i="3"/>
  <c r="M61" i="3" s="1"/>
  <c r="L57" i="3"/>
  <c r="K57" i="3"/>
  <c r="J57" i="3"/>
  <c r="I57" i="3"/>
  <c r="H57" i="3"/>
  <c r="G57" i="3"/>
  <c r="F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AI56" i="3" s="1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AH54" i="3"/>
  <c r="AG54" i="3"/>
  <c r="AF54" i="3"/>
  <c r="AE54" i="3"/>
  <c r="AD54" i="3"/>
  <c r="AC54" i="3"/>
  <c r="AB54" i="3"/>
  <c r="AA54" i="3"/>
  <c r="Z54" i="3"/>
  <c r="Z62" i="3" s="1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L62" i="3" s="1"/>
  <c r="K54" i="3"/>
  <c r="K62" i="3" s="1"/>
  <c r="J54" i="3"/>
  <c r="I54" i="3"/>
  <c r="H54" i="3"/>
  <c r="G54" i="3"/>
  <c r="F54" i="3"/>
  <c r="AH53" i="3"/>
  <c r="AG53" i="3"/>
  <c r="AG61" i="3" s="1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S61" i="3" s="1"/>
  <c r="R51" i="3"/>
  <c r="R61" i="3" s="1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R62" i="3" s="1"/>
  <c r="Q50" i="3"/>
  <c r="P50" i="3"/>
  <c r="O50" i="3"/>
  <c r="N50" i="3"/>
  <c r="M50" i="3"/>
  <c r="L50" i="3"/>
  <c r="K50" i="3"/>
  <c r="J50" i="3"/>
  <c r="I50" i="3"/>
  <c r="H50" i="3"/>
  <c r="G50" i="3"/>
  <c r="F50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AH48" i="3"/>
  <c r="AG48" i="3"/>
  <c r="AF48" i="3"/>
  <c r="AF62" i="3" s="1"/>
  <c r="AE48" i="3"/>
  <c r="AD48" i="3"/>
  <c r="AC48" i="3"/>
  <c r="AC62" i="3" s="1"/>
  <c r="AB48" i="3"/>
  <c r="AB62" i="3" s="1"/>
  <c r="AA48" i="3"/>
  <c r="Z48" i="3"/>
  <c r="Y48" i="3"/>
  <c r="X48" i="3"/>
  <c r="X62" i="3" s="1"/>
  <c r="W48" i="3"/>
  <c r="V48" i="3"/>
  <c r="U48" i="3"/>
  <c r="T48" i="3"/>
  <c r="S48" i="3"/>
  <c r="R48" i="3"/>
  <c r="Q48" i="3"/>
  <c r="P48" i="3"/>
  <c r="O48" i="3"/>
  <c r="O62" i="3" s="1"/>
  <c r="N48" i="3"/>
  <c r="M48" i="3"/>
  <c r="L48" i="3"/>
  <c r="K48" i="3"/>
  <c r="J48" i="3"/>
  <c r="I48" i="3"/>
  <c r="H48" i="3"/>
  <c r="G48" i="3"/>
  <c r="F48" i="3"/>
  <c r="E48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AI47" i="3" s="1"/>
  <c r="AH46" i="3"/>
  <c r="AH62" i="3" s="1"/>
  <c r="AG46" i="3"/>
  <c r="AG62" i="3" s="1"/>
  <c r="AF46" i="3"/>
  <c r="AE46" i="3"/>
  <c r="AD46" i="3"/>
  <c r="AD62" i="3" s="1"/>
  <c r="AC46" i="3"/>
  <c r="AB46" i="3"/>
  <c r="AA46" i="3"/>
  <c r="Z46" i="3"/>
  <c r="Y46" i="3"/>
  <c r="Y62" i="3" s="1"/>
  <c r="X46" i="3"/>
  <c r="W46" i="3"/>
  <c r="V46" i="3"/>
  <c r="U46" i="3"/>
  <c r="U62" i="3" s="1"/>
  <c r="T46" i="3"/>
  <c r="T62" i="3" s="1"/>
  <c r="S46" i="3"/>
  <c r="S62" i="3" s="1"/>
  <c r="R46" i="3"/>
  <c r="Q46" i="3"/>
  <c r="P46" i="3"/>
  <c r="P62" i="3" s="1"/>
  <c r="O46" i="3"/>
  <c r="N46" i="3"/>
  <c r="M46" i="3"/>
  <c r="L46" i="3"/>
  <c r="K46" i="3"/>
  <c r="J46" i="3"/>
  <c r="I46" i="3"/>
  <c r="H46" i="3"/>
  <c r="G46" i="3"/>
  <c r="G62" i="3" s="1"/>
  <c r="F46" i="3"/>
  <c r="F62" i="3" s="1"/>
  <c r="E46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36" i="3"/>
  <c r="E79" i="3" s="1"/>
  <c r="D35" i="3"/>
  <c r="D34" i="3"/>
  <c r="E77" i="3" s="1"/>
  <c r="AI33" i="3"/>
  <c r="D33" i="3"/>
  <c r="E76" i="3" s="1"/>
  <c r="AI31" i="3"/>
  <c r="D31" i="3"/>
  <c r="E73" i="3" s="1"/>
  <c r="D30" i="3"/>
  <c r="AI30" i="3" s="1"/>
  <c r="AI29" i="3"/>
  <c r="D29" i="3"/>
  <c r="AI28" i="3"/>
  <c r="D28" i="3"/>
  <c r="D27" i="3"/>
  <c r="AI27" i="3" s="1"/>
  <c r="AI26" i="3"/>
  <c r="D26" i="3"/>
  <c r="AI25" i="3"/>
  <c r="D25" i="3"/>
  <c r="D24" i="3"/>
  <c r="D22" i="3"/>
  <c r="D21" i="3"/>
  <c r="E59" i="3" s="1"/>
  <c r="AI20" i="3"/>
  <c r="D20" i="3"/>
  <c r="D19" i="3"/>
  <c r="AI19" i="3" s="1"/>
  <c r="D18" i="3"/>
  <c r="AI18" i="3" s="1"/>
  <c r="AI17" i="3"/>
  <c r="D17" i="3"/>
  <c r="E55" i="3" s="1"/>
  <c r="D16" i="3"/>
  <c r="E54" i="3" s="1"/>
  <c r="AI54" i="3" s="1"/>
  <c r="D15" i="3"/>
  <c r="AI15" i="3" s="1"/>
  <c r="D14" i="3"/>
  <c r="E52" i="3" s="1"/>
  <c r="AI52" i="3" s="1"/>
  <c r="D13" i="3"/>
  <c r="AI13" i="3" s="1"/>
  <c r="D12" i="3"/>
  <c r="AI12" i="3" s="1"/>
  <c r="D11" i="3"/>
  <c r="AI11" i="3" s="1"/>
  <c r="AI10" i="3"/>
  <c r="D10" i="3"/>
  <c r="AI9" i="3"/>
  <c r="D9" i="3"/>
  <c r="D8" i="3"/>
  <c r="AI8" i="3" s="1"/>
  <c r="D7" i="3"/>
  <c r="AI7" i="3" s="1"/>
  <c r="AI80" i="2"/>
  <c r="AE80" i="2"/>
  <c r="Q80" i="2"/>
  <c r="M80" i="2"/>
  <c r="AI79" i="2"/>
  <c r="AH79" i="2"/>
  <c r="AG79" i="2"/>
  <c r="AF79" i="2"/>
  <c r="AF80" i="2" s="1"/>
  <c r="AE79" i="2"/>
  <c r="AD79" i="2"/>
  <c r="AC79" i="2"/>
  <c r="AB79" i="2"/>
  <c r="AA79" i="2"/>
  <c r="Z79" i="2"/>
  <c r="Y79" i="2"/>
  <c r="X79" i="2"/>
  <c r="W79" i="2"/>
  <c r="V79" i="2"/>
  <c r="U79" i="2"/>
  <c r="U80" i="2" s="1"/>
  <c r="T79" i="2"/>
  <c r="S79" i="2"/>
  <c r="R79" i="2"/>
  <c r="R80" i="2" s="1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AI78" i="2"/>
  <c r="AH78" i="2"/>
  <c r="AG78" i="2"/>
  <c r="AF78" i="2"/>
  <c r="AE78" i="2"/>
  <c r="AD78" i="2"/>
  <c r="AC78" i="2"/>
  <c r="AB78" i="2"/>
  <c r="AA78" i="2"/>
  <c r="Z78" i="2"/>
  <c r="Y78" i="2"/>
  <c r="Y80" i="2" s="1"/>
  <c r="X78" i="2"/>
  <c r="X80" i="2" s="1"/>
  <c r="W78" i="2"/>
  <c r="V78" i="2"/>
  <c r="U78" i="2"/>
  <c r="T78" i="2"/>
  <c r="S78" i="2"/>
  <c r="S80" i="2" s="1"/>
  <c r="R78" i="2"/>
  <c r="Q78" i="2"/>
  <c r="P78" i="2"/>
  <c r="O78" i="2"/>
  <c r="N78" i="2"/>
  <c r="M78" i="2"/>
  <c r="L78" i="2"/>
  <c r="K78" i="2"/>
  <c r="J78" i="2"/>
  <c r="I78" i="2"/>
  <c r="H78" i="2"/>
  <c r="H80" i="2" s="1"/>
  <c r="G78" i="2"/>
  <c r="F78" i="2"/>
  <c r="E78" i="2"/>
  <c r="AI77" i="2"/>
  <c r="AH77" i="2"/>
  <c r="AG77" i="2"/>
  <c r="AG80" i="2" s="1"/>
  <c r="AF77" i="2"/>
  <c r="AE77" i="2"/>
  <c r="AD77" i="2"/>
  <c r="AC77" i="2"/>
  <c r="AB77" i="2"/>
  <c r="AB80" i="2" s="1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N80" i="2" s="1"/>
  <c r="M77" i="2"/>
  <c r="L77" i="2"/>
  <c r="K77" i="2"/>
  <c r="J77" i="2"/>
  <c r="I77" i="2"/>
  <c r="H77" i="2"/>
  <c r="G77" i="2"/>
  <c r="F77" i="2"/>
  <c r="E77" i="2"/>
  <c r="AJ77" i="2" s="1"/>
  <c r="AI76" i="2"/>
  <c r="AH76" i="2"/>
  <c r="AG76" i="2"/>
  <c r="AF76" i="2"/>
  <c r="AE76" i="2"/>
  <c r="AD76" i="2"/>
  <c r="AD80" i="2" s="1"/>
  <c r="AC76" i="2"/>
  <c r="AC80" i="2" s="1"/>
  <c r="AB76" i="2"/>
  <c r="AA76" i="2"/>
  <c r="AA80" i="2" s="1"/>
  <c r="Z76" i="2"/>
  <c r="Y76" i="2"/>
  <c r="X76" i="2"/>
  <c r="W76" i="2"/>
  <c r="W80" i="2" s="1"/>
  <c r="V76" i="2"/>
  <c r="U76" i="2"/>
  <c r="T76" i="2"/>
  <c r="S76" i="2"/>
  <c r="R76" i="2"/>
  <c r="Q76" i="2"/>
  <c r="P76" i="2"/>
  <c r="P80" i="2" s="1"/>
  <c r="O76" i="2"/>
  <c r="O80" i="2" s="1"/>
  <c r="N76" i="2"/>
  <c r="M76" i="2"/>
  <c r="L76" i="2"/>
  <c r="K76" i="2"/>
  <c r="K80" i="2" s="1"/>
  <c r="J76" i="2"/>
  <c r="J80" i="2" s="1"/>
  <c r="I76" i="2"/>
  <c r="I80" i="2" s="1"/>
  <c r="H76" i="2"/>
  <c r="G76" i="2"/>
  <c r="G80" i="2" s="1"/>
  <c r="F76" i="2"/>
  <c r="E76" i="2"/>
  <c r="AH75" i="2"/>
  <c r="AG75" i="2"/>
  <c r="AE75" i="2"/>
  <c r="Q75" i="2"/>
  <c r="O75" i="2"/>
  <c r="AI74" i="2"/>
  <c r="AC74" i="2"/>
  <c r="AB74" i="2"/>
  <c r="X74" i="2"/>
  <c r="L74" i="2"/>
  <c r="J74" i="2"/>
  <c r="G74" i="2"/>
  <c r="F74" i="2"/>
  <c r="AI73" i="2"/>
  <c r="AH73" i="2"/>
  <c r="AG73" i="2"/>
  <c r="AF73" i="2"/>
  <c r="AE73" i="2"/>
  <c r="AD73" i="2"/>
  <c r="AC73" i="2"/>
  <c r="AB73" i="2"/>
  <c r="AB75" i="2" s="1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N75" i="2" s="1"/>
  <c r="M73" i="2"/>
  <c r="L73" i="2"/>
  <c r="K73" i="2"/>
  <c r="J73" i="2"/>
  <c r="J75" i="2" s="1"/>
  <c r="I73" i="2"/>
  <c r="H73" i="2"/>
  <c r="G73" i="2"/>
  <c r="F73" i="2"/>
  <c r="E73" i="2"/>
  <c r="AI72" i="2"/>
  <c r="AH72" i="2"/>
  <c r="AG72" i="2"/>
  <c r="AF72" i="2"/>
  <c r="AF74" i="2" s="1"/>
  <c r="AE72" i="2"/>
  <c r="AE74" i="2" s="1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R74" i="2" s="1"/>
  <c r="Q72" i="2"/>
  <c r="P72" i="2"/>
  <c r="O72" i="2"/>
  <c r="N72" i="2"/>
  <c r="M72" i="2"/>
  <c r="L72" i="2"/>
  <c r="K72" i="2"/>
  <c r="J72" i="2"/>
  <c r="I72" i="2"/>
  <c r="H72" i="2"/>
  <c r="G72" i="2"/>
  <c r="F72" i="2"/>
  <c r="AJ72" i="2" s="1"/>
  <c r="E72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V75" i="2" s="1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H75" i="2" s="1"/>
  <c r="G71" i="2"/>
  <c r="AJ71" i="2" s="1"/>
  <c r="F71" i="2"/>
  <c r="E71" i="2"/>
  <c r="AI70" i="2"/>
  <c r="AH70" i="2"/>
  <c r="AG70" i="2"/>
  <c r="AF70" i="2"/>
  <c r="AE70" i="2"/>
  <c r="AD70" i="2"/>
  <c r="AC70" i="2"/>
  <c r="AB70" i="2"/>
  <c r="AA70" i="2"/>
  <c r="Z70" i="2"/>
  <c r="Z74" i="2" s="1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AJ70" i="2" s="1"/>
  <c r="G70" i="2"/>
  <c r="F70" i="2"/>
  <c r="E70" i="2"/>
  <c r="AI69" i="2"/>
  <c r="AH69" i="2"/>
  <c r="AG69" i="2"/>
  <c r="AF69" i="2"/>
  <c r="AE69" i="2"/>
  <c r="AD69" i="2"/>
  <c r="AD75" i="2" s="1"/>
  <c r="AC69" i="2"/>
  <c r="AC75" i="2" s="1"/>
  <c r="AB69" i="2"/>
  <c r="AA69" i="2"/>
  <c r="Z69" i="2"/>
  <c r="Y69" i="2"/>
  <c r="Y75" i="2" s="1"/>
  <c r="X69" i="2"/>
  <c r="W69" i="2"/>
  <c r="V69" i="2"/>
  <c r="U69" i="2"/>
  <c r="T69" i="2"/>
  <c r="S69" i="2"/>
  <c r="R69" i="2"/>
  <c r="Q69" i="2"/>
  <c r="P69" i="2"/>
  <c r="P75" i="2" s="1"/>
  <c r="O69" i="2"/>
  <c r="N69" i="2"/>
  <c r="M69" i="2"/>
  <c r="L69" i="2"/>
  <c r="K69" i="2"/>
  <c r="K75" i="2" s="1"/>
  <c r="J69" i="2"/>
  <c r="I69" i="2"/>
  <c r="H69" i="2"/>
  <c r="G69" i="2"/>
  <c r="F69" i="2"/>
  <c r="E69" i="2"/>
  <c r="AI68" i="2"/>
  <c r="AH68" i="2"/>
  <c r="AH74" i="2" s="1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T74" i="2" s="1"/>
  <c r="S68" i="2"/>
  <c r="S74" i="2" s="1"/>
  <c r="R68" i="2"/>
  <c r="Q68" i="2"/>
  <c r="P68" i="2"/>
  <c r="O68" i="2"/>
  <c r="O74" i="2" s="1"/>
  <c r="N68" i="2"/>
  <c r="M68" i="2"/>
  <c r="L68" i="2"/>
  <c r="K68" i="2"/>
  <c r="J68" i="2"/>
  <c r="I68" i="2"/>
  <c r="H68" i="2"/>
  <c r="G68" i="2"/>
  <c r="F68" i="2"/>
  <c r="E68" i="2"/>
  <c r="AJ68" i="2" s="1"/>
  <c r="AI67" i="2"/>
  <c r="AH67" i="2"/>
  <c r="AG67" i="2"/>
  <c r="AF67" i="2"/>
  <c r="AF75" i="2" s="1"/>
  <c r="AE67" i="2"/>
  <c r="AD67" i="2"/>
  <c r="AC67" i="2"/>
  <c r="AB67" i="2"/>
  <c r="AA67" i="2"/>
  <c r="AA75" i="2" s="1"/>
  <c r="Z67" i="2"/>
  <c r="Y67" i="2"/>
  <c r="X67" i="2"/>
  <c r="X75" i="2" s="1"/>
  <c r="W67" i="2"/>
  <c r="W75" i="2" s="1"/>
  <c r="V67" i="2"/>
  <c r="U67" i="2"/>
  <c r="T67" i="2"/>
  <c r="T75" i="2" s="1"/>
  <c r="S67" i="2"/>
  <c r="S75" i="2" s="1"/>
  <c r="R67" i="2"/>
  <c r="R75" i="2" s="1"/>
  <c r="Q67" i="2"/>
  <c r="P67" i="2"/>
  <c r="O67" i="2"/>
  <c r="N67" i="2"/>
  <c r="M67" i="2"/>
  <c r="M75" i="2" s="1"/>
  <c r="L67" i="2"/>
  <c r="K67" i="2"/>
  <c r="J67" i="2"/>
  <c r="I67" i="2"/>
  <c r="I75" i="2" s="1"/>
  <c r="H67" i="2"/>
  <c r="G67" i="2"/>
  <c r="F67" i="2"/>
  <c r="F75" i="2" s="1"/>
  <c r="E67" i="2"/>
  <c r="AI66" i="2"/>
  <c r="AH66" i="2"/>
  <c r="AG66" i="2"/>
  <c r="AG74" i="2" s="1"/>
  <c r="AF66" i="2"/>
  <c r="AE66" i="2"/>
  <c r="AD66" i="2"/>
  <c r="AC66" i="2"/>
  <c r="AB66" i="2"/>
  <c r="AA66" i="2"/>
  <c r="AA74" i="2" s="1"/>
  <c r="Z66" i="2"/>
  <c r="Y66" i="2"/>
  <c r="Y74" i="2" s="1"/>
  <c r="X66" i="2"/>
  <c r="W66" i="2"/>
  <c r="W74" i="2" s="1"/>
  <c r="V66" i="2"/>
  <c r="V74" i="2" s="1"/>
  <c r="U66" i="2"/>
  <c r="U74" i="2" s="1"/>
  <c r="T66" i="2"/>
  <c r="S66" i="2"/>
  <c r="R66" i="2"/>
  <c r="Q66" i="2"/>
  <c r="P66" i="2"/>
  <c r="O66" i="2"/>
  <c r="N66" i="2"/>
  <c r="N74" i="2" s="1"/>
  <c r="M66" i="2"/>
  <c r="M74" i="2" s="1"/>
  <c r="L66" i="2"/>
  <c r="K66" i="2"/>
  <c r="K74" i="2" s="1"/>
  <c r="J66" i="2"/>
  <c r="I66" i="2"/>
  <c r="I74" i="2" s="1"/>
  <c r="H66" i="2"/>
  <c r="H74" i="2" s="1"/>
  <c r="G66" i="2"/>
  <c r="F66" i="2"/>
  <c r="E66" i="2"/>
  <c r="E74" i="2" s="1"/>
  <c r="AA62" i="2"/>
  <c r="J62" i="2"/>
  <c r="H62" i="2"/>
  <c r="Y61" i="2"/>
  <c r="G61" i="2"/>
  <c r="AI60" i="2"/>
  <c r="AH60" i="2"/>
  <c r="AG60" i="2"/>
  <c r="AF60" i="2"/>
  <c r="AE60" i="2"/>
  <c r="AD60" i="2"/>
  <c r="AC60" i="2"/>
  <c r="AB60" i="2"/>
  <c r="AA60" i="2"/>
  <c r="Z60" i="2"/>
  <c r="Y60" i="2"/>
  <c r="X60" i="2"/>
  <c r="X62" i="2" s="1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AI59" i="2"/>
  <c r="AH59" i="2"/>
  <c r="AH61" i="2" s="1"/>
  <c r="AG59" i="2"/>
  <c r="AF59" i="2"/>
  <c r="AE59" i="2"/>
  <c r="AD59" i="2"/>
  <c r="AC59" i="2"/>
  <c r="AB59" i="2"/>
  <c r="AB61" i="2" s="1"/>
  <c r="AA59" i="2"/>
  <c r="Z59" i="2"/>
  <c r="Y59" i="2"/>
  <c r="X59" i="2"/>
  <c r="X61" i="2" s="1"/>
  <c r="W59" i="2"/>
  <c r="V59" i="2"/>
  <c r="U59" i="2"/>
  <c r="T59" i="2"/>
  <c r="S59" i="2"/>
  <c r="R59" i="2"/>
  <c r="Q59" i="2"/>
  <c r="P59" i="2"/>
  <c r="O59" i="2"/>
  <c r="N59" i="2"/>
  <c r="N61" i="2" s="1"/>
  <c r="M59" i="2"/>
  <c r="L59" i="2"/>
  <c r="K59" i="2"/>
  <c r="J59" i="2"/>
  <c r="J61" i="2" s="1"/>
  <c r="I59" i="2"/>
  <c r="H59" i="2"/>
  <c r="G59" i="2"/>
  <c r="F59" i="2"/>
  <c r="E59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AI57" i="2"/>
  <c r="AI61" i="2" s="1"/>
  <c r="AH57" i="2"/>
  <c r="AG57" i="2"/>
  <c r="AF57" i="2"/>
  <c r="AF61" i="2" s="1"/>
  <c r="AE57" i="2"/>
  <c r="AD57" i="2"/>
  <c r="AC57" i="2"/>
  <c r="AB57" i="2"/>
  <c r="AA57" i="2"/>
  <c r="Z57" i="2"/>
  <c r="Y57" i="2"/>
  <c r="X57" i="2"/>
  <c r="W57" i="2"/>
  <c r="V57" i="2"/>
  <c r="U57" i="2"/>
  <c r="U61" i="2" s="1"/>
  <c r="T57" i="2"/>
  <c r="S57" i="2"/>
  <c r="R57" i="2"/>
  <c r="R61" i="2" s="1"/>
  <c r="Q57" i="2"/>
  <c r="P57" i="2"/>
  <c r="O57" i="2"/>
  <c r="N57" i="2"/>
  <c r="M57" i="2"/>
  <c r="L57" i="2"/>
  <c r="K57" i="2"/>
  <c r="K61" i="2" s="1"/>
  <c r="J57" i="2"/>
  <c r="I57" i="2"/>
  <c r="H57" i="2"/>
  <c r="AJ57" i="2" s="1"/>
  <c r="G57" i="2"/>
  <c r="F57" i="2"/>
  <c r="E57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V62" i="2" s="1"/>
  <c r="U56" i="2"/>
  <c r="T56" i="2"/>
  <c r="S56" i="2"/>
  <c r="R56" i="2"/>
  <c r="Q56" i="2"/>
  <c r="P56" i="2"/>
  <c r="O56" i="2"/>
  <c r="N56" i="2"/>
  <c r="M56" i="2"/>
  <c r="L56" i="2"/>
  <c r="K56" i="2"/>
  <c r="K62" i="2" s="1"/>
  <c r="J56" i="2"/>
  <c r="I56" i="2"/>
  <c r="H56" i="2"/>
  <c r="AJ56" i="2" s="1"/>
  <c r="G56" i="2"/>
  <c r="F56" i="2"/>
  <c r="E56" i="2"/>
  <c r="AI55" i="2"/>
  <c r="AH55" i="2"/>
  <c r="AG55" i="2"/>
  <c r="AF55" i="2"/>
  <c r="AE55" i="2"/>
  <c r="AD55" i="2"/>
  <c r="AC55" i="2"/>
  <c r="AB55" i="2"/>
  <c r="AA55" i="2"/>
  <c r="Z55" i="2"/>
  <c r="Z61" i="2" s="1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AJ53" i="2" s="1"/>
  <c r="G53" i="2"/>
  <c r="F53" i="2"/>
  <c r="E53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M62" i="2" s="1"/>
  <c r="L52" i="2"/>
  <c r="K52" i="2"/>
  <c r="J52" i="2"/>
  <c r="I52" i="2"/>
  <c r="H52" i="2"/>
  <c r="G52" i="2"/>
  <c r="F52" i="2"/>
  <c r="E52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AJ51" i="2" s="1"/>
  <c r="F51" i="2"/>
  <c r="E51" i="2"/>
  <c r="AI50" i="2"/>
  <c r="AI62" i="2" s="1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G62" i="2" s="1"/>
  <c r="F50" i="2"/>
  <c r="AJ50" i="2" s="1"/>
  <c r="E50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AI48" i="2"/>
  <c r="AH48" i="2"/>
  <c r="AG48" i="2"/>
  <c r="AF48" i="2"/>
  <c r="AE48" i="2"/>
  <c r="AD48" i="2"/>
  <c r="AD62" i="2" s="1"/>
  <c r="AC48" i="2"/>
  <c r="AB48" i="2"/>
  <c r="AB62" i="2" s="1"/>
  <c r="AA48" i="2"/>
  <c r="Z48" i="2"/>
  <c r="Y48" i="2"/>
  <c r="Y62" i="2" s="1"/>
  <c r="X48" i="2"/>
  <c r="W48" i="2"/>
  <c r="V48" i="2"/>
  <c r="U48" i="2"/>
  <c r="U62" i="2" s="1"/>
  <c r="T48" i="2"/>
  <c r="S48" i="2"/>
  <c r="R48" i="2"/>
  <c r="Q48" i="2"/>
  <c r="P48" i="2"/>
  <c r="P62" i="2" s="1"/>
  <c r="O48" i="2"/>
  <c r="N48" i="2"/>
  <c r="M48" i="2"/>
  <c r="L48" i="2"/>
  <c r="K48" i="2"/>
  <c r="J48" i="2"/>
  <c r="I48" i="2"/>
  <c r="H48" i="2"/>
  <c r="G48" i="2"/>
  <c r="F48" i="2"/>
  <c r="E48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AI46" i="2"/>
  <c r="AH46" i="2"/>
  <c r="AH62" i="2" s="1"/>
  <c r="AG46" i="2"/>
  <c r="AG62" i="2" s="1"/>
  <c r="AF46" i="2"/>
  <c r="AE46" i="2"/>
  <c r="AE62" i="2" s="1"/>
  <c r="AD46" i="2"/>
  <c r="AC46" i="2"/>
  <c r="AB46" i="2"/>
  <c r="AA46" i="2"/>
  <c r="Z46" i="2"/>
  <c r="Y46" i="2"/>
  <c r="X46" i="2"/>
  <c r="W46" i="2"/>
  <c r="V46" i="2"/>
  <c r="U46" i="2"/>
  <c r="T46" i="2"/>
  <c r="T62" i="2" s="1"/>
  <c r="S46" i="2"/>
  <c r="S62" i="2" s="1"/>
  <c r="R46" i="2"/>
  <c r="Q46" i="2"/>
  <c r="Q62" i="2" s="1"/>
  <c r="P46" i="2"/>
  <c r="O46" i="2"/>
  <c r="O62" i="2" s="1"/>
  <c r="N46" i="2"/>
  <c r="M46" i="2"/>
  <c r="L46" i="2"/>
  <c r="K46" i="2"/>
  <c r="J46" i="2"/>
  <c r="I46" i="2"/>
  <c r="H46" i="2"/>
  <c r="G46" i="2"/>
  <c r="F46" i="2"/>
  <c r="E46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T61" i="2" s="1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F61" i="2" s="1"/>
  <c r="E45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AJ36" i="2"/>
  <c r="AJ35" i="2"/>
  <c r="AJ34" i="2"/>
  <c r="AJ33" i="2"/>
  <c r="AJ31" i="2"/>
  <c r="AJ30" i="2"/>
  <c r="AJ29" i="2"/>
  <c r="AJ28" i="2"/>
  <c r="AJ27" i="2"/>
  <c r="AJ26" i="2"/>
  <c r="AJ25" i="2"/>
  <c r="AJ24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J6" i="2"/>
  <c r="T12" i="12"/>
  <c r="K10" i="12"/>
  <c r="K9" i="12"/>
  <c r="I9" i="12"/>
  <c r="T5" i="12"/>
  <c r="J4" i="12"/>
  <c r="J11" i="12" s="1"/>
  <c r="I4" i="12"/>
  <c r="F4" i="12"/>
  <c r="F11" i="12" s="1"/>
  <c r="T3" i="12"/>
  <c r="T10" i="12" s="1"/>
  <c r="K3" i="12"/>
  <c r="I3" i="12"/>
  <c r="H3" i="12"/>
  <c r="H10" i="12" s="1"/>
  <c r="G3" i="12"/>
  <c r="G10" i="12" s="1"/>
  <c r="F3" i="12"/>
  <c r="F10" i="12" s="1"/>
  <c r="K2" i="12"/>
  <c r="I2" i="12"/>
  <c r="AJ66" i="7" l="1"/>
  <c r="F74" i="7"/>
  <c r="I11" i="12"/>
  <c r="AJ46" i="2"/>
  <c r="F62" i="2"/>
  <c r="AI67" i="3"/>
  <c r="AJ71" i="4"/>
  <c r="AI60" i="5"/>
  <c r="AI76" i="5"/>
  <c r="AI80" i="5" s="1"/>
  <c r="AK57" i="5" s="1"/>
  <c r="E74" i="6"/>
  <c r="AJ68" i="6"/>
  <c r="AC62" i="2"/>
  <c r="AJ55" i="2"/>
  <c r="Q74" i="2"/>
  <c r="AI14" i="3"/>
  <c r="X61" i="5"/>
  <c r="J74" i="5"/>
  <c r="V75" i="5"/>
  <c r="L62" i="6"/>
  <c r="F62" i="6"/>
  <c r="T61" i="6"/>
  <c r="AH61" i="6"/>
  <c r="AB61" i="6"/>
  <c r="X62" i="11"/>
  <c r="N62" i="3"/>
  <c r="AI51" i="3"/>
  <c r="AJ49" i="4"/>
  <c r="P61" i="4"/>
  <c r="K62" i="5"/>
  <c r="Y62" i="5"/>
  <c r="AI55" i="5"/>
  <c r="AJ56" i="7"/>
  <c r="J61" i="3"/>
  <c r="AJ45" i="4"/>
  <c r="R61" i="4"/>
  <c r="N74" i="4"/>
  <c r="AB74" i="4"/>
  <c r="AJ73" i="4"/>
  <c r="E62" i="5"/>
  <c r="AI50" i="5"/>
  <c r="AI58" i="8"/>
  <c r="AJ66" i="9"/>
  <c r="AI48" i="10"/>
  <c r="AJ48" i="2"/>
  <c r="AJ60" i="2"/>
  <c r="Q62" i="3"/>
  <c r="AE62" i="3"/>
  <c r="E61" i="4"/>
  <c r="AJ59" i="4"/>
  <c r="L75" i="4"/>
  <c r="Z75" i="4"/>
  <c r="E75" i="4"/>
  <c r="AJ69" i="4"/>
  <c r="AB62" i="5"/>
  <c r="AJ45" i="6"/>
  <c r="X61" i="6"/>
  <c r="AJ73" i="6"/>
  <c r="G74" i="8"/>
  <c r="U74" i="8"/>
  <c r="AI66" i="8"/>
  <c r="R75" i="8"/>
  <c r="AF75" i="8"/>
  <c r="AI73" i="8"/>
  <c r="E63" i="9"/>
  <c r="I74" i="9"/>
  <c r="Y75" i="3"/>
  <c r="AJ54" i="4"/>
  <c r="AI51" i="5"/>
  <c r="AJ69" i="7"/>
  <c r="AA61" i="2"/>
  <c r="Q61" i="3"/>
  <c r="Z75" i="3"/>
  <c r="L80" i="3"/>
  <c r="AJ46" i="4"/>
  <c r="G61" i="4"/>
  <c r="U61" i="4"/>
  <c r="AI61" i="4"/>
  <c r="I80" i="4"/>
  <c r="P62" i="5"/>
  <c r="AD62" i="5"/>
  <c r="AI57" i="5"/>
  <c r="AD61" i="5"/>
  <c r="AH62" i="6"/>
  <c r="R61" i="6"/>
  <c r="AJ70" i="6"/>
  <c r="O62" i="7"/>
  <c r="AC62" i="7"/>
  <c r="AJ54" i="7"/>
  <c r="G9" i="12"/>
  <c r="X61" i="3"/>
  <c r="L61" i="2"/>
  <c r="V80" i="2"/>
  <c r="K75" i="3"/>
  <c r="AJ59" i="6"/>
  <c r="M61" i="2"/>
  <c r="AI46" i="3"/>
  <c r="AI55" i="3"/>
  <c r="AE61" i="3"/>
  <c r="L75" i="3"/>
  <c r="N62" i="2"/>
  <c r="G75" i="2"/>
  <c r="U75" i="2"/>
  <c r="AI75" i="2"/>
  <c r="O61" i="3"/>
  <c r="AC61" i="3"/>
  <c r="O74" i="3"/>
  <c r="AC74" i="3"/>
  <c r="F62" i="4"/>
  <c r="T62" i="4"/>
  <c r="AC62" i="4"/>
  <c r="V61" i="4"/>
  <c r="AA80" i="4"/>
  <c r="M62" i="5"/>
  <c r="AA62" i="5"/>
  <c r="AI52" i="5"/>
  <c r="H61" i="5"/>
  <c r="V61" i="5"/>
  <c r="M62" i="6"/>
  <c r="AA62" i="6"/>
  <c r="AJ55" i="6"/>
  <c r="P62" i="7"/>
  <c r="AD62" i="7"/>
  <c r="AI71" i="10"/>
  <c r="AJ78" i="2"/>
  <c r="AJ60" i="6"/>
  <c r="AJ49" i="2"/>
  <c r="R62" i="2"/>
  <c r="AF62" i="2"/>
  <c r="AJ54" i="2"/>
  <c r="E62" i="2"/>
  <c r="P61" i="2"/>
  <c r="AD61" i="2"/>
  <c r="I61" i="2"/>
  <c r="W61" i="2"/>
  <c r="AJ58" i="2"/>
  <c r="AI59" i="3"/>
  <c r="G74" i="4"/>
  <c r="U74" i="4"/>
  <c r="L80" i="4"/>
  <c r="Z80" i="4"/>
  <c r="E61" i="5"/>
  <c r="AI59" i="5"/>
  <c r="O61" i="2"/>
  <c r="AC61" i="2"/>
  <c r="AI73" i="3"/>
  <c r="AJ73" i="2"/>
  <c r="AJ79" i="2"/>
  <c r="E60" i="3"/>
  <c r="AI60" i="3" s="1"/>
  <c r="AI22" i="3"/>
  <c r="AI76" i="3"/>
  <c r="E80" i="3"/>
  <c r="AI48" i="3"/>
  <c r="AF61" i="3"/>
  <c r="I62" i="4"/>
  <c r="AJ47" i="4"/>
  <c r="AJ51" i="4"/>
  <c r="R75" i="4"/>
  <c r="AF75" i="4"/>
  <c r="K75" i="4"/>
  <c r="Y75" i="4"/>
  <c r="P80" i="4"/>
  <c r="AD80" i="4"/>
  <c r="P74" i="5"/>
  <c r="AJ47" i="6"/>
  <c r="E61" i="6"/>
  <c r="AJ51" i="6"/>
  <c r="E66" i="3"/>
  <c r="AI24" i="3"/>
  <c r="J62" i="4"/>
  <c r="X62" i="4"/>
  <c r="H74" i="4"/>
  <c r="V74" i="4"/>
  <c r="AJ67" i="4"/>
  <c r="AI46" i="5"/>
  <c r="AI73" i="5"/>
  <c r="Y61" i="6"/>
  <c r="E61" i="2"/>
  <c r="S61" i="2"/>
  <c r="AG61" i="2"/>
  <c r="AI77" i="3"/>
  <c r="AJ48" i="4"/>
  <c r="E80" i="4"/>
  <c r="M61" i="5"/>
  <c r="AJ72" i="6"/>
  <c r="AJ59" i="11"/>
  <c r="F61" i="11"/>
  <c r="F63" i="11" s="1"/>
  <c r="L80" i="2"/>
  <c r="M80" i="3"/>
  <c r="AI72" i="5"/>
  <c r="T62" i="6"/>
  <c r="AJ67" i="6"/>
  <c r="E75" i="6"/>
  <c r="AJ59" i="7"/>
  <c r="AI70" i="8"/>
  <c r="AE62" i="11"/>
  <c r="AJ66" i="2"/>
  <c r="Z80" i="2"/>
  <c r="AI69" i="3"/>
  <c r="AA80" i="3"/>
  <c r="AJ67" i="2"/>
  <c r="E45" i="3"/>
  <c r="AI45" i="3" s="1"/>
  <c r="Q61" i="4"/>
  <c r="AI58" i="5"/>
  <c r="AA80" i="5"/>
  <c r="AI62" i="6"/>
  <c r="N61" i="6"/>
  <c r="F61" i="6"/>
  <c r="AJ76" i="6"/>
  <c r="AJ80" i="6" s="1"/>
  <c r="AL63" i="6" s="1"/>
  <c r="C5" i="12" s="1"/>
  <c r="C12" i="12" s="1"/>
  <c r="Q62" i="8"/>
  <c r="AE62" i="8"/>
  <c r="AB61" i="8"/>
  <c r="AC75" i="8"/>
  <c r="AD62" i="9"/>
  <c r="T74" i="9"/>
  <c r="AI47" i="10"/>
  <c r="O80" i="10"/>
  <c r="AC80" i="10"/>
  <c r="AJ50" i="11"/>
  <c r="AJ58" i="11"/>
  <c r="AJ67" i="11"/>
  <c r="E50" i="3"/>
  <c r="AI50" i="3" s="1"/>
  <c r="AE61" i="4"/>
  <c r="AI67" i="5"/>
  <c r="M80" i="5"/>
  <c r="L62" i="2"/>
  <c r="Z62" i="2"/>
  <c r="AI21" i="3"/>
  <c r="L62" i="4"/>
  <c r="Z62" i="4"/>
  <c r="AJ55" i="4"/>
  <c r="N62" i="5"/>
  <c r="AF62" i="5"/>
  <c r="K74" i="5"/>
  <c r="AI68" i="5"/>
  <c r="K80" i="5"/>
  <c r="H62" i="6"/>
  <c r="AJ46" i="6"/>
  <c r="AJ77" i="6"/>
  <c r="AI45" i="8"/>
  <c r="AC61" i="8"/>
  <c r="I62" i="9"/>
  <c r="Y75" i="9"/>
  <c r="AJ71" i="9"/>
  <c r="Z61" i="10"/>
  <c r="Z63" i="10" s="1"/>
  <c r="J61" i="13"/>
  <c r="AE74" i="3"/>
  <c r="AI62" i="4"/>
  <c r="AI45" i="5"/>
  <c r="F61" i="5"/>
  <c r="AF61" i="6"/>
  <c r="F61" i="7"/>
  <c r="M61" i="7"/>
  <c r="U62" i="8"/>
  <c r="AJ54" i="13"/>
  <c r="I10" i="12"/>
  <c r="V62" i="3"/>
  <c r="N61" i="7"/>
  <c r="K61" i="3"/>
  <c r="Q74" i="3"/>
  <c r="G62" i="4"/>
  <c r="AH61" i="5"/>
  <c r="AH61" i="7"/>
  <c r="AK57" i="10"/>
  <c r="G4" i="12" s="1"/>
  <c r="G11" i="12" s="1"/>
  <c r="AJ51" i="15"/>
  <c r="E61" i="15"/>
  <c r="Z62" i="6"/>
  <c r="W61" i="11"/>
  <c r="W63" i="11" s="1"/>
  <c r="Q61" i="2"/>
  <c r="AE61" i="2"/>
  <c r="AJ76" i="2"/>
  <c r="AJ80" i="2" s="1"/>
  <c r="AL63" i="2" s="1"/>
  <c r="AI16" i="3"/>
  <c r="AI34" i="3"/>
  <c r="E57" i="3"/>
  <c r="AI57" i="3" s="1"/>
  <c r="Q75" i="3"/>
  <c r="AE75" i="3"/>
  <c r="I61" i="4"/>
  <c r="W61" i="4"/>
  <c r="F74" i="4"/>
  <c r="AJ74" i="4" s="1"/>
  <c r="AL62" i="4" s="1"/>
  <c r="T74" i="4"/>
  <c r="AH74" i="4"/>
  <c r="P75" i="4"/>
  <c r="AD75" i="4"/>
  <c r="S62" i="5"/>
  <c r="AG62" i="5"/>
  <c r="F74" i="5"/>
  <c r="AI74" i="5" s="1"/>
  <c r="AK56" i="5" s="1"/>
  <c r="AG80" i="5"/>
  <c r="AD74" i="6"/>
  <c r="AJ69" i="6"/>
  <c r="X74" i="7"/>
  <c r="AB75" i="7"/>
  <c r="F61" i="8"/>
  <c r="AI59" i="8"/>
  <c r="AH61" i="8"/>
  <c r="AI67" i="8"/>
  <c r="K62" i="10"/>
  <c r="AI56" i="10"/>
  <c r="AB61" i="10"/>
  <c r="AB63" i="10" s="1"/>
  <c r="L75" i="10"/>
  <c r="Z75" i="10"/>
  <c r="AL57" i="11"/>
  <c r="H4" i="12" s="1"/>
  <c r="H11" i="12" s="1"/>
  <c r="AJ45" i="13"/>
  <c r="E79" i="14"/>
  <c r="AI75" i="14"/>
  <c r="Y61" i="3"/>
  <c r="U62" i="4"/>
  <c r="T61" i="5"/>
  <c r="AE62" i="7"/>
  <c r="T61" i="7"/>
  <c r="AA61" i="7"/>
  <c r="AI57" i="16"/>
  <c r="I62" i="2"/>
  <c r="H62" i="3"/>
  <c r="R80" i="5"/>
  <c r="AJ78" i="6"/>
  <c r="AJ71" i="7"/>
  <c r="I61" i="11"/>
  <c r="I63" i="11" s="1"/>
  <c r="P74" i="2"/>
  <c r="AJ74" i="2" s="1"/>
  <c r="AL62" i="2" s="1"/>
  <c r="AD74" i="2"/>
  <c r="L75" i="2"/>
  <c r="Z75" i="2"/>
  <c r="AJ69" i="2"/>
  <c r="F80" i="2"/>
  <c r="T80" i="2"/>
  <c r="AH80" i="2"/>
  <c r="E80" i="2"/>
  <c r="AI35" i="3"/>
  <c r="E78" i="3"/>
  <c r="AI78" i="3" s="1"/>
  <c r="F74" i="3"/>
  <c r="T74" i="3"/>
  <c r="AH74" i="3"/>
  <c r="E72" i="3"/>
  <c r="AI72" i="3" s="1"/>
  <c r="G80" i="3"/>
  <c r="U80" i="3"/>
  <c r="R62" i="4"/>
  <c r="AF62" i="4"/>
  <c r="J80" i="4"/>
  <c r="X80" i="4"/>
  <c r="AJ77" i="4"/>
  <c r="AJ80" i="4" s="1"/>
  <c r="AL63" i="4" s="1"/>
  <c r="AI56" i="5"/>
  <c r="G62" i="5"/>
  <c r="Q74" i="5"/>
  <c r="AE74" i="5"/>
  <c r="N75" i="5"/>
  <c r="AB75" i="5"/>
  <c r="F80" i="5"/>
  <c r="N62" i="6"/>
  <c r="Q74" i="6"/>
  <c r="M75" i="6"/>
  <c r="O80" i="6"/>
  <c r="AJ46" i="7"/>
  <c r="M62" i="7"/>
  <c r="AD61" i="7"/>
  <c r="H75" i="7"/>
  <c r="V75" i="7"/>
  <c r="AJ67" i="7"/>
  <c r="R74" i="7"/>
  <c r="Z61" i="8"/>
  <c r="AI54" i="8"/>
  <c r="U61" i="8"/>
  <c r="AJ57" i="9"/>
  <c r="AC61" i="9"/>
  <c r="AC63" i="9" s="1"/>
  <c r="AE75" i="9"/>
  <c r="AJ79" i="9"/>
  <c r="AF61" i="10"/>
  <c r="AF63" i="10" s="1"/>
  <c r="O61" i="10"/>
  <c r="O63" i="10" s="1"/>
  <c r="O74" i="10"/>
  <c r="AI74" i="10" s="1"/>
  <c r="AC74" i="10"/>
  <c r="AJ48" i="11"/>
  <c r="E62" i="11"/>
  <c r="Z61" i="11"/>
  <c r="Z63" i="11" s="1"/>
  <c r="AJ59" i="2"/>
  <c r="E53" i="3"/>
  <c r="AI53" i="3" s="1"/>
  <c r="E62" i="4"/>
  <c r="AJ66" i="4"/>
  <c r="AJ70" i="4"/>
  <c r="Q61" i="5"/>
  <c r="AE61" i="5"/>
  <c r="R74" i="5"/>
  <c r="J75" i="5"/>
  <c r="U80" i="5"/>
  <c r="AC62" i="6"/>
  <c r="AC61" i="6"/>
  <c r="H61" i="6"/>
  <c r="R74" i="6"/>
  <c r="AB75" i="6"/>
  <c r="AF74" i="6"/>
  <c r="P80" i="6"/>
  <c r="AD80" i="6"/>
  <c r="G62" i="7"/>
  <c r="AJ62" i="7" s="1"/>
  <c r="AL59" i="7" s="1"/>
  <c r="D4" i="12" s="1"/>
  <c r="D11" i="12" s="1"/>
  <c r="U62" i="7"/>
  <c r="AI62" i="7"/>
  <c r="Q61" i="7"/>
  <c r="AE61" i="7"/>
  <c r="L74" i="7"/>
  <c r="AJ74" i="7" s="1"/>
  <c r="AL57" i="7" s="1"/>
  <c r="D3" i="12" s="1"/>
  <c r="D10" i="12" s="1"/>
  <c r="H80" i="7"/>
  <c r="K62" i="8"/>
  <c r="E61" i="8"/>
  <c r="AI55" i="8"/>
  <c r="V61" i="8"/>
  <c r="L74" i="8"/>
  <c r="Z74" i="8"/>
  <c r="I75" i="8"/>
  <c r="W75" i="8"/>
  <c r="AI68" i="8"/>
  <c r="H61" i="9"/>
  <c r="H63" i="9" s="1"/>
  <c r="AJ58" i="9"/>
  <c r="AI50" i="10"/>
  <c r="G74" i="10"/>
  <c r="U74" i="10"/>
  <c r="AI66" i="10"/>
  <c r="R75" i="10"/>
  <c r="AI76" i="14"/>
  <c r="E75" i="2"/>
  <c r="AI36" i="3"/>
  <c r="H61" i="3"/>
  <c r="V61" i="3"/>
  <c r="AI58" i="3"/>
  <c r="P61" i="3"/>
  <c r="AD61" i="3"/>
  <c r="E75" i="3"/>
  <c r="L61" i="4"/>
  <c r="Z61" i="4"/>
  <c r="H62" i="5"/>
  <c r="AI47" i="5"/>
  <c r="K61" i="5"/>
  <c r="Y61" i="5"/>
  <c r="AG74" i="5"/>
  <c r="P62" i="6"/>
  <c r="AD62" i="6"/>
  <c r="AJ56" i="6"/>
  <c r="W61" i="6"/>
  <c r="Z74" i="6"/>
  <c r="Q80" i="6"/>
  <c r="AE80" i="6"/>
  <c r="AE75" i="7"/>
  <c r="AJ75" i="7" s="1"/>
  <c r="M74" i="7"/>
  <c r="AA74" i="7"/>
  <c r="AJ77" i="7"/>
  <c r="L62" i="8"/>
  <c r="H62" i="8"/>
  <c r="V62" i="8"/>
  <c r="X75" i="8"/>
  <c r="AE80" i="9"/>
  <c r="AH61" i="10"/>
  <c r="AH63" i="10" s="1"/>
  <c r="AD61" i="10"/>
  <c r="AD63" i="10" s="1"/>
  <c r="AI72" i="10"/>
  <c r="M62" i="11"/>
  <c r="AA62" i="11"/>
  <c r="AJ47" i="2"/>
  <c r="AJ52" i="2"/>
  <c r="M62" i="3"/>
  <c r="AA62" i="3"/>
  <c r="W62" i="5"/>
  <c r="AJ49" i="6"/>
  <c r="F74" i="6"/>
  <c r="P75" i="6"/>
  <c r="AD75" i="6"/>
  <c r="AF80" i="6"/>
  <c r="I62" i="7"/>
  <c r="W62" i="7"/>
  <c r="AJ51" i="7"/>
  <c r="L61" i="7"/>
  <c r="Z61" i="7"/>
  <c r="AJ58" i="7"/>
  <c r="E61" i="7"/>
  <c r="K75" i="7"/>
  <c r="Y75" i="7"/>
  <c r="N74" i="7"/>
  <c r="X75" i="7"/>
  <c r="J80" i="7"/>
  <c r="M62" i="8"/>
  <c r="E62" i="8"/>
  <c r="S62" i="8"/>
  <c r="AI76" i="8"/>
  <c r="AJ50" i="9"/>
  <c r="X61" i="9"/>
  <c r="X63" i="9" s="1"/>
  <c r="Z75" i="9"/>
  <c r="W74" i="9"/>
  <c r="AJ69" i="9"/>
  <c r="F75" i="9"/>
  <c r="AI45" i="10"/>
  <c r="AG62" i="10"/>
  <c r="AI51" i="10"/>
  <c r="AA61" i="10"/>
  <c r="AA63" i="10" s="1"/>
  <c r="AJ67" i="13"/>
  <c r="W62" i="2"/>
  <c r="H61" i="2"/>
  <c r="V61" i="2"/>
  <c r="E49" i="3"/>
  <c r="AI49" i="3" s="1"/>
  <c r="H75" i="3"/>
  <c r="V75" i="3"/>
  <c r="AI68" i="3"/>
  <c r="AJ57" i="4"/>
  <c r="K74" i="4"/>
  <c r="Y74" i="4"/>
  <c r="G75" i="4"/>
  <c r="U75" i="4"/>
  <c r="AI75" i="4"/>
  <c r="AI48" i="5"/>
  <c r="U74" i="5"/>
  <c r="AF75" i="5"/>
  <c r="K61" i="6"/>
  <c r="AE75" i="6"/>
  <c r="G74" i="6"/>
  <c r="U74" i="6"/>
  <c r="E80" i="6"/>
  <c r="S80" i="6"/>
  <c r="AG80" i="6"/>
  <c r="J62" i="7"/>
  <c r="X62" i="7"/>
  <c r="AC74" i="7"/>
  <c r="Z75" i="7"/>
  <c r="AJ68" i="7"/>
  <c r="J62" i="8"/>
  <c r="S80" i="9"/>
  <c r="AG80" i="9"/>
  <c r="AI68" i="10"/>
  <c r="AI73" i="10"/>
  <c r="L61" i="11"/>
  <c r="L63" i="11" s="1"/>
  <c r="AJ57" i="11"/>
  <c r="AJ45" i="2"/>
  <c r="K74" i="3"/>
  <c r="Y74" i="3"/>
  <c r="O80" i="4"/>
  <c r="AC80" i="4"/>
  <c r="E75" i="5"/>
  <c r="E62" i="6"/>
  <c r="K62" i="6"/>
  <c r="Z61" i="6"/>
  <c r="H74" i="6"/>
  <c r="V74" i="6"/>
  <c r="AJ66" i="6"/>
  <c r="F80" i="6"/>
  <c r="AJ55" i="7"/>
  <c r="G61" i="7"/>
  <c r="P74" i="7"/>
  <c r="AD74" i="7"/>
  <c r="L80" i="7"/>
  <c r="O62" i="8"/>
  <c r="AC62" i="8"/>
  <c r="Y62" i="8"/>
  <c r="W61" i="8"/>
  <c r="F80" i="8"/>
  <c r="AI77" i="8"/>
  <c r="T61" i="9"/>
  <c r="T63" i="9" s="1"/>
  <c r="E62" i="9"/>
  <c r="AJ70" i="9"/>
  <c r="I61" i="10"/>
  <c r="I63" i="10" s="1"/>
  <c r="W61" i="10"/>
  <c r="W63" i="10" s="1"/>
  <c r="N60" i="14"/>
  <c r="N62" i="14" s="1"/>
  <c r="O74" i="6"/>
  <c r="AC74" i="6"/>
  <c r="K75" i="6"/>
  <c r="Y75" i="6"/>
  <c r="H62" i="7"/>
  <c r="I61" i="7"/>
  <c r="AA62" i="8"/>
  <c r="AJ46" i="9"/>
  <c r="AG62" i="9"/>
  <c r="H75" i="9"/>
  <c r="AB62" i="10"/>
  <c r="AC61" i="10"/>
  <c r="AC63" i="10" s="1"/>
  <c r="AE80" i="10"/>
  <c r="K62" i="11"/>
  <c r="J75" i="11"/>
  <c r="AJ68" i="11"/>
  <c r="P73" i="13"/>
  <c r="L74" i="15"/>
  <c r="Z74" i="15"/>
  <c r="AJ70" i="15"/>
  <c r="G61" i="6"/>
  <c r="U61" i="6"/>
  <c r="AI61" i="6"/>
  <c r="K62" i="7"/>
  <c r="R80" i="7"/>
  <c r="AF80" i="7"/>
  <c r="X61" i="8"/>
  <c r="S61" i="8"/>
  <c r="AG61" i="8"/>
  <c r="H80" i="8"/>
  <c r="V80" i="8"/>
  <c r="AJ54" i="9"/>
  <c r="U74" i="9"/>
  <c r="AI74" i="9"/>
  <c r="I80" i="9"/>
  <c r="Y61" i="10"/>
  <c r="Y63" i="10" s="1"/>
  <c r="F74" i="10"/>
  <c r="AI76" i="10"/>
  <c r="N80" i="11"/>
  <c r="AJ78" i="11"/>
  <c r="G80" i="11"/>
  <c r="J61" i="14"/>
  <c r="AI47" i="14"/>
  <c r="AH61" i="14"/>
  <c r="AI53" i="14"/>
  <c r="T74" i="14"/>
  <c r="AJ78" i="27"/>
  <c r="AB61" i="7"/>
  <c r="AJ79" i="7"/>
  <c r="R62" i="8"/>
  <c r="AF62" i="8"/>
  <c r="AA74" i="8"/>
  <c r="J80" i="8"/>
  <c r="X80" i="8"/>
  <c r="AL54" i="9"/>
  <c r="F2" i="12" s="1"/>
  <c r="K61" i="9"/>
  <c r="K63" i="9" s="1"/>
  <c r="Y61" i="9"/>
  <c r="Y63" i="9" s="1"/>
  <c r="R61" i="9"/>
  <c r="R63" i="9" s="1"/>
  <c r="AJ67" i="9"/>
  <c r="E75" i="9"/>
  <c r="Y80" i="9"/>
  <c r="AI49" i="10"/>
  <c r="P62" i="11"/>
  <c r="AD62" i="11"/>
  <c r="AG61" i="11"/>
  <c r="AG63" i="11" s="1"/>
  <c r="J61" i="11"/>
  <c r="J63" i="11" s="1"/>
  <c r="X61" i="11"/>
  <c r="X63" i="11" s="1"/>
  <c r="L61" i="14"/>
  <c r="H61" i="14"/>
  <c r="V61" i="14"/>
  <c r="Z60" i="14"/>
  <c r="Z62" i="14" s="1"/>
  <c r="AJ75" i="15"/>
  <c r="G79" i="15"/>
  <c r="G80" i="7"/>
  <c r="U80" i="7"/>
  <c r="AI80" i="7"/>
  <c r="F80" i="7"/>
  <c r="AG62" i="8"/>
  <c r="H61" i="8"/>
  <c r="AI60" i="8"/>
  <c r="E75" i="8"/>
  <c r="AI75" i="8" s="1"/>
  <c r="S75" i="8"/>
  <c r="K62" i="9"/>
  <c r="AJ59" i="9"/>
  <c r="S61" i="9"/>
  <c r="S63" i="9" s="1"/>
  <c r="AG61" i="9"/>
  <c r="AG63" i="9" s="1"/>
  <c r="J74" i="9"/>
  <c r="AJ74" i="9" s="1"/>
  <c r="AC80" i="9"/>
  <c r="AE62" i="10"/>
  <c r="AI60" i="10"/>
  <c r="I80" i="10"/>
  <c r="W80" i="10"/>
  <c r="AI78" i="10"/>
  <c r="E80" i="10"/>
  <c r="AG80" i="10"/>
  <c r="AJ45" i="11"/>
  <c r="Q62" i="11"/>
  <c r="J62" i="11"/>
  <c r="AJ53" i="11"/>
  <c r="G61" i="11"/>
  <c r="G63" i="11" s="1"/>
  <c r="F62" i="11"/>
  <c r="AJ70" i="11"/>
  <c r="AE80" i="11"/>
  <c r="N60" i="13"/>
  <c r="N62" i="13" s="1"/>
  <c r="P60" i="13"/>
  <c r="P62" i="13" s="1"/>
  <c r="AD60" i="13"/>
  <c r="AD62" i="13" s="1"/>
  <c r="AJ76" i="13"/>
  <c r="AA60" i="14"/>
  <c r="AA62" i="14" s="1"/>
  <c r="E62" i="20"/>
  <c r="AI62" i="20"/>
  <c r="AL68" i="20"/>
  <c r="T2" i="12" s="1"/>
  <c r="O74" i="7"/>
  <c r="AJ72" i="7"/>
  <c r="V80" i="7"/>
  <c r="AJ76" i="7"/>
  <c r="AJ80" i="7" s="1"/>
  <c r="AL58" i="7" s="1"/>
  <c r="D5" i="12" s="1"/>
  <c r="D12" i="12" s="1"/>
  <c r="AH62" i="8"/>
  <c r="AH61" i="9"/>
  <c r="AH63" i="9" s="1"/>
  <c r="AJ72" i="9"/>
  <c r="R62" i="10"/>
  <c r="AF62" i="10"/>
  <c r="V61" i="10"/>
  <c r="V63" i="10" s="1"/>
  <c r="G75" i="10"/>
  <c r="U75" i="10"/>
  <c r="AI67" i="10"/>
  <c r="AJ54" i="11"/>
  <c r="H61" i="11"/>
  <c r="H63" i="11" s="1"/>
  <c r="AJ79" i="11"/>
  <c r="X61" i="13"/>
  <c r="H60" i="13"/>
  <c r="H62" i="13" s="1"/>
  <c r="AJ52" i="13"/>
  <c r="AI49" i="14"/>
  <c r="AG74" i="15"/>
  <c r="AI51" i="8"/>
  <c r="AI56" i="8"/>
  <c r="AI69" i="8"/>
  <c r="G61" i="9"/>
  <c r="G63" i="9" s="1"/>
  <c r="Z74" i="9"/>
  <c r="E62" i="10"/>
  <c r="S62" i="10"/>
  <c r="K80" i="10"/>
  <c r="Y80" i="10"/>
  <c r="AI79" i="10"/>
  <c r="P61" i="11"/>
  <c r="P63" i="11" s="1"/>
  <c r="AD61" i="11"/>
  <c r="AD63" i="11" s="1"/>
  <c r="M61" i="11"/>
  <c r="M63" i="11" s="1"/>
  <c r="AA61" i="11"/>
  <c r="AA63" i="11" s="1"/>
  <c r="AJ66" i="11"/>
  <c r="G74" i="11"/>
  <c r="AJ74" i="11" s="1"/>
  <c r="AJ53" i="13"/>
  <c r="G74" i="14"/>
  <c r="AI68" i="14"/>
  <c r="AI74" i="14" s="1"/>
  <c r="G60" i="15"/>
  <c r="G62" i="15" s="1"/>
  <c r="AJ58" i="15"/>
  <c r="K61" i="8"/>
  <c r="Y61" i="8"/>
  <c r="AE74" i="8"/>
  <c r="N75" i="8"/>
  <c r="AI79" i="8"/>
  <c r="N62" i="9"/>
  <c r="AB62" i="9"/>
  <c r="AJ56" i="9"/>
  <c r="AJ60" i="9"/>
  <c r="AA74" i="9"/>
  <c r="Q61" i="10"/>
  <c r="Q63" i="10" s="1"/>
  <c r="X80" i="10"/>
  <c r="T62" i="11"/>
  <c r="AH62" i="11"/>
  <c r="E75" i="11"/>
  <c r="E61" i="13"/>
  <c r="S61" i="13"/>
  <c r="AG61" i="13"/>
  <c r="AJ58" i="13"/>
  <c r="E60" i="13"/>
  <c r="S60" i="13"/>
  <c r="S62" i="13" s="1"/>
  <c r="AG60" i="13"/>
  <c r="AG62" i="13" s="1"/>
  <c r="H74" i="13"/>
  <c r="V74" i="13"/>
  <c r="X73" i="14"/>
  <c r="AJ72" i="15"/>
  <c r="AF74" i="7"/>
  <c r="AI57" i="8"/>
  <c r="AJ76" i="9"/>
  <c r="AJ80" i="9" s="1"/>
  <c r="E80" i="9"/>
  <c r="AI46" i="10"/>
  <c r="O62" i="10"/>
  <c r="AC62" i="10"/>
  <c r="AA74" i="10"/>
  <c r="J75" i="10"/>
  <c r="X75" i="10"/>
  <c r="O61" i="11"/>
  <c r="O63" i="11" s="1"/>
  <c r="AC61" i="11"/>
  <c r="AC63" i="11" s="1"/>
  <c r="G75" i="11"/>
  <c r="AI75" i="11"/>
  <c r="L60" i="13"/>
  <c r="L62" i="13" s="1"/>
  <c r="Y73" i="14"/>
  <c r="S74" i="7"/>
  <c r="E74" i="8"/>
  <c r="AD75" i="8"/>
  <c r="P62" i="9"/>
  <c r="F80" i="9"/>
  <c r="AI52" i="10"/>
  <c r="L61" i="10"/>
  <c r="L63" i="10" s="1"/>
  <c r="AI69" i="10"/>
  <c r="AJ55" i="11"/>
  <c r="AJ72" i="11"/>
  <c r="G61" i="13"/>
  <c r="U61" i="13"/>
  <c r="K60" i="13"/>
  <c r="K62" i="13" s="1"/>
  <c r="M73" i="13"/>
  <c r="AA73" i="13"/>
  <c r="J74" i="13"/>
  <c r="X74" i="13"/>
  <c r="N74" i="14"/>
  <c r="AI69" i="14"/>
  <c r="Q79" i="14"/>
  <c r="H61" i="15"/>
  <c r="V61" i="15"/>
  <c r="S75" i="11"/>
  <c r="AG75" i="11"/>
  <c r="AH74" i="13"/>
  <c r="AI45" i="14"/>
  <c r="AI46" i="14"/>
  <c r="AC60" i="14"/>
  <c r="AC62" i="14" s="1"/>
  <c r="G60" i="14"/>
  <c r="G62" i="14" s="1"/>
  <c r="AI65" i="14"/>
  <c r="E73" i="14"/>
  <c r="AJ52" i="15"/>
  <c r="N73" i="15"/>
  <c r="AJ66" i="17"/>
  <c r="AG72" i="18"/>
  <c r="Z61" i="19"/>
  <c r="AJ72" i="19"/>
  <c r="F74" i="19"/>
  <c r="AF61" i="14"/>
  <c r="L60" i="14"/>
  <c r="L62" i="14" s="1"/>
  <c r="AI70" i="14"/>
  <c r="N79" i="14"/>
  <c r="P61" i="15"/>
  <c r="AI75" i="16"/>
  <c r="M60" i="14"/>
  <c r="M62" i="14" s="1"/>
  <c r="AI71" i="14"/>
  <c r="M79" i="14"/>
  <c r="AA79" i="14"/>
  <c r="Q61" i="15"/>
  <c r="R60" i="15"/>
  <c r="R62" i="15" s="1"/>
  <c r="AF60" i="15"/>
  <c r="AF62" i="15" s="1"/>
  <c r="P73" i="15"/>
  <c r="AD73" i="15"/>
  <c r="M74" i="15"/>
  <c r="W73" i="15"/>
  <c r="J62" i="9"/>
  <c r="X62" i="9"/>
  <c r="AB74" i="9"/>
  <c r="J75" i="9"/>
  <c r="V80" i="9"/>
  <c r="AD62" i="10"/>
  <c r="E61" i="10"/>
  <c r="AI59" i="10"/>
  <c r="AG61" i="10"/>
  <c r="AG63" i="10" s="1"/>
  <c r="V74" i="10"/>
  <c r="M80" i="10"/>
  <c r="AJ52" i="11"/>
  <c r="AJ56" i="11"/>
  <c r="AF74" i="11"/>
  <c r="N75" i="11"/>
  <c r="AB75" i="11"/>
  <c r="AF80" i="11"/>
  <c r="Z61" i="13"/>
  <c r="AJ51" i="13"/>
  <c r="P79" i="13"/>
  <c r="P61" i="14"/>
  <c r="AD61" i="14"/>
  <c r="L74" i="14"/>
  <c r="Z74" i="14"/>
  <c r="AI77" i="14"/>
  <c r="AJ46" i="15"/>
  <c r="I60" i="15"/>
  <c r="I62" i="15" s="1"/>
  <c r="AJ76" i="15"/>
  <c r="F60" i="16"/>
  <c r="F62" i="16" s="1"/>
  <c r="W74" i="16"/>
  <c r="AI68" i="16"/>
  <c r="AJ77" i="17"/>
  <c r="E79" i="17"/>
  <c r="AJ53" i="22"/>
  <c r="G61" i="22"/>
  <c r="Q80" i="7"/>
  <c r="N61" i="9"/>
  <c r="N63" i="9" s="1"/>
  <c r="AB61" i="9"/>
  <c r="AB63" i="9" s="1"/>
  <c r="K75" i="9"/>
  <c r="M61" i="10"/>
  <c r="M63" i="10" s="1"/>
  <c r="T61" i="10"/>
  <c r="T63" i="10" s="1"/>
  <c r="W74" i="10"/>
  <c r="F75" i="10"/>
  <c r="AB80" i="10"/>
  <c r="AJ49" i="11"/>
  <c r="AE61" i="11"/>
  <c r="AE63" i="11" s="1"/>
  <c r="AJ60" i="11"/>
  <c r="AJ76" i="11"/>
  <c r="E80" i="11"/>
  <c r="S80" i="11"/>
  <c r="AG80" i="11"/>
  <c r="AJ47" i="13"/>
  <c r="Q60" i="13"/>
  <c r="Q62" i="13" s="1"/>
  <c r="AJ68" i="13"/>
  <c r="AJ72" i="13"/>
  <c r="AJ78" i="13"/>
  <c r="AI44" i="14"/>
  <c r="Q61" i="14"/>
  <c r="AI50" i="14"/>
  <c r="O73" i="14"/>
  <c r="AC73" i="14"/>
  <c r="AA74" i="14"/>
  <c r="J73" i="15"/>
  <c r="X73" i="15"/>
  <c r="E74" i="15"/>
  <c r="H60" i="17"/>
  <c r="V60" i="17"/>
  <c r="V62" i="17" s="1"/>
  <c r="T61" i="13"/>
  <c r="AH61" i="13"/>
  <c r="R60" i="13"/>
  <c r="R62" i="13" s="1"/>
  <c r="AF60" i="13"/>
  <c r="AF62" i="13" s="1"/>
  <c r="AJ65" i="13"/>
  <c r="AJ73" i="13" s="1"/>
  <c r="AL69" i="13" s="1"/>
  <c r="AA3" i="12" s="1"/>
  <c r="AA10" i="12" s="1"/>
  <c r="E73" i="13"/>
  <c r="S73" i="13"/>
  <c r="P74" i="13"/>
  <c r="AD74" i="13"/>
  <c r="AI51" i="14"/>
  <c r="H60" i="14"/>
  <c r="H62" i="14" s="1"/>
  <c r="V60" i="14"/>
  <c r="V62" i="14" s="1"/>
  <c r="AI57" i="14"/>
  <c r="P73" i="14"/>
  <c r="AD73" i="14"/>
  <c r="AB74" i="14"/>
  <c r="X79" i="14"/>
  <c r="AH61" i="15"/>
  <c r="AJ66" i="15"/>
  <c r="M79" i="15"/>
  <c r="J79" i="15"/>
  <c r="X79" i="15"/>
  <c r="G60" i="16"/>
  <c r="G62" i="16" s="1"/>
  <c r="O61" i="13"/>
  <c r="M60" i="13"/>
  <c r="M62" i="13" s="1"/>
  <c r="I60" i="14"/>
  <c r="I62" i="14" s="1"/>
  <c r="W60" i="14"/>
  <c r="W62" i="14" s="1"/>
  <c r="E60" i="14"/>
  <c r="E62" i="14" s="1"/>
  <c r="S60" i="14"/>
  <c r="S62" i="14" s="1"/>
  <c r="AG60" i="14"/>
  <c r="AG62" i="14" s="1"/>
  <c r="Y79" i="14"/>
  <c r="AI78" i="14"/>
  <c r="U61" i="15"/>
  <c r="AJ67" i="15"/>
  <c r="E73" i="15"/>
  <c r="N60" i="16"/>
  <c r="N62" i="16" s="1"/>
  <c r="M79" i="16"/>
  <c r="AJ78" i="17"/>
  <c r="E60" i="19"/>
  <c r="E62" i="19" s="1"/>
  <c r="AJ56" i="19"/>
  <c r="AF79" i="19"/>
  <c r="N62" i="8"/>
  <c r="AB62" i="8"/>
  <c r="F74" i="8"/>
  <c r="T74" i="8"/>
  <c r="AI71" i="8"/>
  <c r="E80" i="8"/>
  <c r="AB75" i="9"/>
  <c r="L80" i="9"/>
  <c r="Z80" i="9"/>
  <c r="T62" i="10"/>
  <c r="N62" i="10"/>
  <c r="Q80" i="10"/>
  <c r="R62" i="11"/>
  <c r="AF62" i="11"/>
  <c r="K61" i="11"/>
  <c r="K63" i="11" s="1"/>
  <c r="AJ48" i="13"/>
  <c r="U73" i="13"/>
  <c r="AJ69" i="13"/>
  <c r="AI52" i="14"/>
  <c r="AB60" i="14"/>
  <c r="AB62" i="14" s="1"/>
  <c r="J60" i="14"/>
  <c r="J62" i="14" s="1"/>
  <c r="T60" i="14"/>
  <c r="T62" i="14" s="1"/>
  <c r="N61" i="15"/>
  <c r="M73" i="15"/>
  <c r="AA73" i="15"/>
  <c r="J74" i="15"/>
  <c r="X74" i="15"/>
  <c r="AJ78" i="15"/>
  <c r="AJ94" i="15"/>
  <c r="AC61" i="16"/>
  <c r="K61" i="16"/>
  <c r="Y61" i="16"/>
  <c r="AI48" i="16"/>
  <c r="O60" i="16"/>
  <c r="O62" i="16" s="1"/>
  <c r="AC60" i="16"/>
  <c r="AC62" i="16" s="1"/>
  <c r="AJ50" i="17"/>
  <c r="J73" i="17"/>
  <c r="X73" i="17"/>
  <c r="G74" i="17"/>
  <c r="U74" i="17"/>
  <c r="AI74" i="17"/>
  <c r="AC79" i="13"/>
  <c r="E61" i="14"/>
  <c r="P60" i="14"/>
  <c r="P62" i="14" s="1"/>
  <c r="AD60" i="14"/>
  <c r="AD62" i="14" s="1"/>
  <c r="J73" i="14"/>
  <c r="H74" i="14"/>
  <c r="R74" i="15"/>
  <c r="AI45" i="16"/>
  <c r="Z61" i="16"/>
  <c r="AI53" i="16"/>
  <c r="K60" i="16"/>
  <c r="K62" i="16" s="1"/>
  <c r="Y60" i="16"/>
  <c r="Y62" i="16" s="1"/>
  <c r="Q79" i="16"/>
  <c r="AE79" i="16"/>
  <c r="H74" i="19"/>
  <c r="AJ66" i="13"/>
  <c r="AD79" i="13"/>
  <c r="T61" i="14"/>
  <c r="Q60" i="14"/>
  <c r="Q62" i="14" s="1"/>
  <c r="AE60" i="14"/>
  <c r="AE62" i="14" s="1"/>
  <c r="K73" i="14"/>
  <c r="AJ56" i="15"/>
  <c r="S74" i="15"/>
  <c r="AJ77" i="15"/>
  <c r="AI47" i="16"/>
  <c r="P60" i="16"/>
  <c r="P62" i="16" s="1"/>
  <c r="AD60" i="16"/>
  <c r="AD62" i="16" s="1"/>
  <c r="L60" i="16"/>
  <c r="L62" i="16" s="1"/>
  <c r="AI67" i="16"/>
  <c r="AA79" i="16"/>
  <c r="AG53" i="18"/>
  <c r="E60" i="18"/>
  <c r="AG54" i="18"/>
  <c r="AG68" i="18"/>
  <c r="M61" i="14"/>
  <c r="AA61" i="14"/>
  <c r="AI67" i="14"/>
  <c r="AJ45" i="15"/>
  <c r="S61" i="15"/>
  <c r="F74" i="15"/>
  <c r="T74" i="15"/>
  <c r="AH74" i="15"/>
  <c r="AI54" i="16"/>
  <c r="M60" i="16"/>
  <c r="M62" i="16" s="1"/>
  <c r="V74" i="16"/>
  <c r="AD79" i="16"/>
  <c r="J60" i="17"/>
  <c r="J62" i="17" s="1"/>
  <c r="Y74" i="17"/>
  <c r="J60" i="18"/>
  <c r="J62" i="18" s="1"/>
  <c r="X60" i="18"/>
  <c r="X62" i="18" s="1"/>
  <c r="E61" i="19"/>
  <c r="AJ45" i="19"/>
  <c r="S61" i="19"/>
  <c r="AG61" i="19"/>
  <c r="AJ69" i="20"/>
  <c r="AI47" i="8"/>
  <c r="N62" i="11"/>
  <c r="AB62" i="11"/>
  <c r="J74" i="11"/>
  <c r="AJ71" i="11"/>
  <c r="AE73" i="13"/>
  <c r="AJ75" i="13"/>
  <c r="U79" i="14"/>
  <c r="X61" i="15"/>
  <c r="S60" i="15"/>
  <c r="S62" i="15" s="1"/>
  <c r="AB73" i="15"/>
  <c r="AE74" i="15"/>
  <c r="E79" i="15"/>
  <c r="E61" i="16"/>
  <c r="AG61" i="16"/>
  <c r="I61" i="16"/>
  <c r="P60" i="17"/>
  <c r="P62" i="17" s="1"/>
  <c r="AD60" i="17"/>
  <c r="AD62" i="17" s="1"/>
  <c r="L73" i="17"/>
  <c r="AJ67" i="17"/>
  <c r="E73" i="17"/>
  <c r="S73" i="17"/>
  <c r="AG73" i="17"/>
  <c r="F79" i="17"/>
  <c r="T79" i="17"/>
  <c r="AJ55" i="19"/>
  <c r="AJ68" i="19"/>
  <c r="X60" i="22"/>
  <c r="X62" i="22" s="1"/>
  <c r="M74" i="9"/>
  <c r="AJ68" i="9"/>
  <c r="P74" i="10"/>
  <c r="AD74" i="10"/>
  <c r="M75" i="10"/>
  <c r="AA75" i="10"/>
  <c r="H80" i="10"/>
  <c r="AI77" i="10"/>
  <c r="AA80" i="11"/>
  <c r="AF73" i="13"/>
  <c r="O74" i="13"/>
  <c r="AJ71" i="13"/>
  <c r="AI59" i="14"/>
  <c r="F60" i="15"/>
  <c r="F62" i="15" s="1"/>
  <c r="T60" i="15"/>
  <c r="T62" i="15" s="1"/>
  <c r="E62" i="15"/>
  <c r="O73" i="15"/>
  <c r="AC73" i="15"/>
  <c r="AF74" i="15"/>
  <c r="F61" i="16"/>
  <c r="T61" i="16"/>
  <c r="E60" i="16"/>
  <c r="E62" i="16" s="1"/>
  <c r="S60" i="16"/>
  <c r="S62" i="16" s="1"/>
  <c r="AG60" i="16"/>
  <c r="AG62" i="16" s="1"/>
  <c r="L61" i="16"/>
  <c r="N74" i="16"/>
  <c r="AB74" i="16"/>
  <c r="AJ46" i="17"/>
  <c r="J74" i="17"/>
  <c r="X74" i="17"/>
  <c r="M79" i="17"/>
  <c r="K60" i="18"/>
  <c r="K62" i="18" s="1"/>
  <c r="H79" i="19"/>
  <c r="H61" i="20"/>
  <c r="AJ54" i="20"/>
  <c r="E61" i="11"/>
  <c r="F60" i="13"/>
  <c r="F62" i="13" s="1"/>
  <c r="T60" i="13"/>
  <c r="T62" i="13" s="1"/>
  <c r="AH60" i="13"/>
  <c r="AH62" i="13" s="1"/>
  <c r="U61" i="14"/>
  <c r="M61" i="15"/>
  <c r="AA61" i="15"/>
  <c r="F61" i="15"/>
  <c r="T61" i="15"/>
  <c r="H60" i="15"/>
  <c r="H62" i="15" s="1"/>
  <c r="V60" i="15"/>
  <c r="V62" i="15" s="1"/>
  <c r="Q73" i="15"/>
  <c r="AE73" i="15"/>
  <c r="V79" i="15"/>
  <c r="R79" i="15"/>
  <c r="H61" i="16"/>
  <c r="AI51" i="16"/>
  <c r="AI56" i="16"/>
  <c r="U60" i="16"/>
  <c r="U62" i="16" s="1"/>
  <c r="AJ55" i="17"/>
  <c r="E60" i="17"/>
  <c r="E62" i="17" s="1"/>
  <c r="S60" i="17"/>
  <c r="S62" i="17" s="1"/>
  <c r="AG60" i="17"/>
  <c r="AG62" i="17" s="1"/>
  <c r="L60" i="17"/>
  <c r="L62" i="17" s="1"/>
  <c r="AJ68" i="17"/>
  <c r="R61" i="18"/>
  <c r="AF61" i="18"/>
  <c r="V79" i="19"/>
  <c r="R79" i="19"/>
  <c r="G60" i="13"/>
  <c r="G62" i="13" s="1"/>
  <c r="U60" i="13"/>
  <c r="U62" i="13" s="1"/>
  <c r="AI60" i="13"/>
  <c r="AI62" i="13" s="1"/>
  <c r="G61" i="15"/>
  <c r="AI61" i="15"/>
  <c r="AJ55" i="15"/>
  <c r="W60" i="15"/>
  <c r="W62" i="15" s="1"/>
  <c r="AJ59" i="15"/>
  <c r="AJ71" i="15"/>
  <c r="I79" i="15"/>
  <c r="W79" i="15"/>
  <c r="H60" i="16"/>
  <c r="AI58" i="16"/>
  <c r="Q74" i="16"/>
  <c r="AB79" i="16"/>
  <c r="H61" i="17"/>
  <c r="AJ47" i="17"/>
  <c r="AJ51" i="17"/>
  <c r="P79" i="17"/>
  <c r="AJ94" i="17"/>
  <c r="AG46" i="18"/>
  <c r="S61" i="18"/>
  <c r="N60" i="18"/>
  <c r="N62" i="18" s="1"/>
  <c r="AB60" i="18"/>
  <c r="AB62" i="18" s="1"/>
  <c r="AC61" i="19"/>
  <c r="AJ52" i="19"/>
  <c r="N60" i="19"/>
  <c r="N62" i="19" s="1"/>
  <c r="AB60" i="19"/>
  <c r="AB62" i="19" s="1"/>
  <c r="G61" i="10"/>
  <c r="G63" i="10" s="1"/>
  <c r="U61" i="10"/>
  <c r="U63" i="10" s="1"/>
  <c r="L80" i="10"/>
  <c r="Z80" i="10"/>
  <c r="AG62" i="11"/>
  <c r="AI61" i="11"/>
  <c r="AI63" i="11" s="1"/>
  <c r="O74" i="11"/>
  <c r="AC74" i="11"/>
  <c r="K75" i="11"/>
  <c r="Y75" i="11"/>
  <c r="V60" i="13"/>
  <c r="V62" i="13" s="1"/>
  <c r="M79" i="13"/>
  <c r="H73" i="14"/>
  <c r="V73" i="14"/>
  <c r="T79" i="15"/>
  <c r="AH79" i="15"/>
  <c r="F61" i="18"/>
  <c r="AG61" i="18" s="1"/>
  <c r="T61" i="18"/>
  <c r="P61" i="19"/>
  <c r="M60" i="19"/>
  <c r="M62" i="19" s="1"/>
  <c r="AA60" i="19"/>
  <c r="AA62" i="19" s="1"/>
  <c r="T60" i="19"/>
  <c r="T62" i="19" s="1"/>
  <c r="AH60" i="19"/>
  <c r="AH62" i="19" s="1"/>
  <c r="O60" i="19"/>
  <c r="O62" i="19" s="1"/>
  <c r="AC60" i="19"/>
  <c r="AC62" i="19" s="1"/>
  <c r="P74" i="11"/>
  <c r="AD74" i="11"/>
  <c r="L75" i="11"/>
  <c r="Z75" i="11"/>
  <c r="P61" i="13"/>
  <c r="AD61" i="13"/>
  <c r="AJ59" i="13"/>
  <c r="N79" i="13"/>
  <c r="W73" i="14"/>
  <c r="AJ48" i="15"/>
  <c r="AJ65" i="15"/>
  <c r="AH73" i="15"/>
  <c r="Q74" i="15"/>
  <c r="AI46" i="16"/>
  <c r="I60" i="16"/>
  <c r="I62" i="16" s="1"/>
  <c r="J60" i="16"/>
  <c r="J62" i="16" s="1"/>
  <c r="X60" i="16"/>
  <c r="X62" i="16" s="1"/>
  <c r="P61" i="17"/>
  <c r="AD61" i="17"/>
  <c r="AJ56" i="17"/>
  <c r="U61" i="18"/>
  <c r="AG49" i="18"/>
  <c r="AG50" i="18"/>
  <c r="AI60" i="19"/>
  <c r="AI62" i="19" s="1"/>
  <c r="L61" i="19"/>
  <c r="AJ57" i="19"/>
  <c r="AD60" i="19"/>
  <c r="AD62" i="19" s="1"/>
  <c r="F61" i="19"/>
  <c r="N73" i="20"/>
  <c r="AJ75" i="20"/>
  <c r="E79" i="20"/>
  <c r="AI52" i="16"/>
  <c r="Q60" i="16"/>
  <c r="Q62" i="16" s="1"/>
  <c r="AE60" i="16"/>
  <c r="AE62" i="16" s="1"/>
  <c r="J73" i="16"/>
  <c r="X73" i="16"/>
  <c r="E74" i="17"/>
  <c r="S74" i="17"/>
  <c r="AG74" i="17"/>
  <c r="L60" i="18"/>
  <c r="L62" i="18" s="1"/>
  <c r="AG65" i="18"/>
  <c r="AG66" i="18"/>
  <c r="AG74" i="18" s="1"/>
  <c r="AG67" i="18"/>
  <c r="AG94" i="18"/>
  <c r="AH61" i="19"/>
  <c r="AE60" i="19"/>
  <c r="AE62" i="19" s="1"/>
  <c r="J60" i="19"/>
  <c r="J62" i="19" s="1"/>
  <c r="P61" i="20"/>
  <c r="AD61" i="20"/>
  <c r="T73" i="20"/>
  <c r="AI79" i="21"/>
  <c r="AK70" i="21" s="1"/>
  <c r="S5" i="12" s="1"/>
  <c r="S12" i="12" s="1"/>
  <c r="AJ70" i="17"/>
  <c r="AJ76" i="17"/>
  <c r="AG44" i="18"/>
  <c r="AG45" i="18"/>
  <c r="T73" i="18"/>
  <c r="T74" i="18"/>
  <c r="AG75" i="18"/>
  <c r="AG76" i="18"/>
  <c r="AG77" i="18"/>
  <c r="AG78" i="18"/>
  <c r="AF60" i="19"/>
  <c r="AF62" i="19" s="1"/>
  <c r="K60" i="19"/>
  <c r="K62" i="19" s="1"/>
  <c r="Y60" i="19"/>
  <c r="Y62" i="19" s="1"/>
  <c r="AJ78" i="19"/>
  <c r="Q61" i="20"/>
  <c r="AJ52" i="20"/>
  <c r="O79" i="15"/>
  <c r="AC79" i="15"/>
  <c r="N61" i="16"/>
  <c r="AB61" i="16"/>
  <c r="AI76" i="16"/>
  <c r="Q61" i="17"/>
  <c r="AJ72" i="17"/>
  <c r="K61" i="18"/>
  <c r="Y61" i="18"/>
  <c r="AG55" i="18"/>
  <c r="AG57" i="18"/>
  <c r="AA61" i="19"/>
  <c r="M61" i="19"/>
  <c r="AJ65" i="20"/>
  <c r="G61" i="16"/>
  <c r="U61" i="16"/>
  <c r="P74" i="16"/>
  <c r="AD74" i="16"/>
  <c r="AI70" i="16"/>
  <c r="R61" i="17"/>
  <c r="AF61" i="17"/>
  <c r="K61" i="17"/>
  <c r="Y61" i="17"/>
  <c r="M60" i="17"/>
  <c r="M62" i="17" s="1"/>
  <c r="AA60" i="17"/>
  <c r="AA62" i="17" s="1"/>
  <c r="AD73" i="17"/>
  <c r="AA74" i="17"/>
  <c r="F74" i="17"/>
  <c r="Z74" i="17"/>
  <c r="R79" i="17"/>
  <c r="AF79" i="17"/>
  <c r="Z61" i="18"/>
  <c r="F60" i="18"/>
  <c r="F62" i="18" s="1"/>
  <c r="T60" i="18"/>
  <c r="T62" i="18" s="1"/>
  <c r="N61" i="19"/>
  <c r="AI73" i="19"/>
  <c r="AJ76" i="19"/>
  <c r="AJ79" i="19" s="1"/>
  <c r="AL70" i="19" s="1"/>
  <c r="U5" i="12" s="1"/>
  <c r="J61" i="20"/>
  <c r="X61" i="20"/>
  <c r="AE61" i="20"/>
  <c r="AJ55" i="20"/>
  <c r="F73" i="20"/>
  <c r="AJ73" i="20" s="1"/>
  <c r="AH73" i="20"/>
  <c r="V61" i="16"/>
  <c r="AI50" i="16"/>
  <c r="AI65" i="16"/>
  <c r="E73" i="16"/>
  <c r="S73" i="16"/>
  <c r="AG73" i="16"/>
  <c r="AI77" i="16"/>
  <c r="AJ44" i="17"/>
  <c r="AG61" i="17"/>
  <c r="L61" i="17"/>
  <c r="Z61" i="17"/>
  <c r="AJ48" i="17"/>
  <c r="O60" i="17"/>
  <c r="O62" i="17" s="1"/>
  <c r="AC60" i="17"/>
  <c r="AC62" i="17" s="1"/>
  <c r="N60" i="17"/>
  <c r="N62" i="17" s="1"/>
  <c r="AB60" i="17"/>
  <c r="AB62" i="17" s="1"/>
  <c r="Q73" i="17"/>
  <c r="AE73" i="17"/>
  <c r="U60" i="18"/>
  <c r="U62" i="18" s="1"/>
  <c r="N73" i="18"/>
  <c r="AB73" i="18"/>
  <c r="H61" i="19"/>
  <c r="V61" i="19"/>
  <c r="O61" i="19"/>
  <c r="H73" i="19"/>
  <c r="Y79" i="19"/>
  <c r="K61" i="20"/>
  <c r="Y61" i="20"/>
  <c r="R61" i="20"/>
  <c r="AF61" i="20"/>
  <c r="AJ51" i="20"/>
  <c r="G73" i="20"/>
  <c r="U73" i="20"/>
  <c r="AI54" i="21"/>
  <c r="AI68" i="21"/>
  <c r="F74" i="21"/>
  <c r="R74" i="16"/>
  <c r="AF74" i="16"/>
  <c r="K79" i="16"/>
  <c r="Y79" i="16"/>
  <c r="V60" i="18"/>
  <c r="V62" i="18" s="1"/>
  <c r="AC73" i="18"/>
  <c r="I61" i="19"/>
  <c r="AJ46" i="19"/>
  <c r="AD61" i="19"/>
  <c r="T74" i="19"/>
  <c r="AH74" i="19"/>
  <c r="L61" i="20"/>
  <c r="Z61" i="20"/>
  <c r="E61" i="20"/>
  <c r="T61" i="20"/>
  <c r="AJ77" i="20"/>
  <c r="K61" i="21"/>
  <c r="Y61" i="21"/>
  <c r="AI48" i="21"/>
  <c r="R74" i="14"/>
  <c r="AF74" i="14"/>
  <c r="G73" i="16"/>
  <c r="U73" i="16"/>
  <c r="AI66" i="16"/>
  <c r="S74" i="16"/>
  <c r="AG74" i="16"/>
  <c r="L79" i="16"/>
  <c r="Z79" i="16"/>
  <c r="AI78" i="16"/>
  <c r="G61" i="17"/>
  <c r="U61" i="17"/>
  <c r="AJ65" i="17"/>
  <c r="P74" i="17"/>
  <c r="G79" i="17"/>
  <c r="AI79" i="17"/>
  <c r="AC61" i="18"/>
  <c r="W60" i="18"/>
  <c r="W62" i="18" s="1"/>
  <c r="P74" i="18"/>
  <c r="AD74" i="18"/>
  <c r="J61" i="19"/>
  <c r="AJ50" i="19"/>
  <c r="U60" i="19"/>
  <c r="U62" i="19" s="1"/>
  <c r="AA60" i="20"/>
  <c r="AA62" i="20" s="1"/>
  <c r="AJ71" i="20"/>
  <c r="I79" i="20"/>
  <c r="H61" i="21"/>
  <c r="V61" i="21"/>
  <c r="AJ56" i="13"/>
  <c r="G73" i="14"/>
  <c r="U73" i="14"/>
  <c r="E74" i="14"/>
  <c r="S74" i="14"/>
  <c r="AG74" i="14"/>
  <c r="P60" i="15"/>
  <c r="P62" i="15" s="1"/>
  <c r="AD60" i="15"/>
  <c r="AD62" i="15" s="1"/>
  <c r="H73" i="16"/>
  <c r="V73" i="16"/>
  <c r="F74" i="16"/>
  <c r="T74" i="16"/>
  <c r="AH74" i="16"/>
  <c r="T73" i="17"/>
  <c r="AJ69" i="17"/>
  <c r="Q73" i="18"/>
  <c r="AE73" i="18"/>
  <c r="Q74" i="18"/>
  <c r="H60" i="19"/>
  <c r="H62" i="19" s="1"/>
  <c r="V60" i="19"/>
  <c r="V62" i="19" s="1"/>
  <c r="AJ58" i="19"/>
  <c r="V74" i="19"/>
  <c r="AJ66" i="19"/>
  <c r="AJ56" i="20"/>
  <c r="N60" i="20"/>
  <c r="N62" i="20" s="1"/>
  <c r="AB60" i="20"/>
  <c r="AB62" i="20" s="1"/>
  <c r="U74" i="20"/>
  <c r="AI74" i="20"/>
  <c r="AL71" i="20" s="1"/>
  <c r="T4" i="12" s="1"/>
  <c r="T11" i="12" s="1"/>
  <c r="Z73" i="20"/>
  <c r="AJ94" i="20"/>
  <c r="AI49" i="21"/>
  <c r="AJ47" i="24"/>
  <c r="E74" i="16"/>
  <c r="AJ58" i="17"/>
  <c r="AJ75" i="17"/>
  <c r="AG56" i="18"/>
  <c r="R60" i="18"/>
  <c r="R62" i="18" s="1"/>
  <c r="AF60" i="18"/>
  <c r="AF62" i="18" s="1"/>
  <c r="AJ54" i="19"/>
  <c r="F73" i="19"/>
  <c r="T73" i="19"/>
  <c r="AH73" i="19"/>
  <c r="P74" i="19"/>
  <c r="AD74" i="19"/>
  <c r="K60" i="20"/>
  <c r="K62" i="20" s="1"/>
  <c r="AJ57" i="20"/>
  <c r="R60" i="20"/>
  <c r="R62" i="20" s="1"/>
  <c r="AJ72" i="20"/>
  <c r="O60" i="24"/>
  <c r="O62" i="24" s="1"/>
  <c r="AC60" i="24"/>
  <c r="AC62" i="24" s="1"/>
  <c r="AF60" i="26"/>
  <c r="AF62" i="26" s="1"/>
  <c r="P61" i="18"/>
  <c r="AD61" i="18"/>
  <c r="AG58" i="18"/>
  <c r="AG59" i="18"/>
  <c r="AJ47" i="19"/>
  <c r="V61" i="20"/>
  <c r="AJ45" i="20"/>
  <c r="S60" i="20"/>
  <c r="S62" i="20" s="1"/>
  <c r="AG60" i="20"/>
  <c r="AG62" i="20" s="1"/>
  <c r="Q79" i="20"/>
  <c r="AE79" i="20"/>
  <c r="AJ78" i="20"/>
  <c r="I61" i="21"/>
  <c r="W61" i="21"/>
  <c r="L60" i="21"/>
  <c r="L62" i="21" s="1"/>
  <c r="Z60" i="21"/>
  <c r="Z62" i="21" s="1"/>
  <c r="AI76" i="21"/>
  <c r="E79" i="23"/>
  <c r="AI75" i="23"/>
  <c r="AJ67" i="24"/>
  <c r="Q61" i="18"/>
  <c r="AE61" i="18"/>
  <c r="H79" i="18"/>
  <c r="V79" i="18"/>
  <c r="AJ65" i="19"/>
  <c r="AJ73" i="19" s="1"/>
  <c r="AL69" i="19" s="1"/>
  <c r="U3" i="12" s="1"/>
  <c r="AJ69" i="19"/>
  <c r="G79" i="19"/>
  <c r="U79" i="19"/>
  <c r="F60" i="20"/>
  <c r="F62" i="20" s="1"/>
  <c r="AH60" i="20"/>
  <c r="AH62" i="20" s="1"/>
  <c r="N74" i="20"/>
  <c r="AJ68" i="20"/>
  <c r="R79" i="20"/>
  <c r="AI46" i="21"/>
  <c r="AI47" i="21"/>
  <c r="AE60" i="21"/>
  <c r="AE62" i="21" s="1"/>
  <c r="AJ71" i="25"/>
  <c r="S61" i="20"/>
  <c r="AI55" i="21"/>
  <c r="AJ79" i="29"/>
  <c r="N73" i="17"/>
  <c r="AB73" i="17"/>
  <c r="O79" i="17"/>
  <c r="AC79" i="17"/>
  <c r="AG70" i="18"/>
  <c r="L60" i="19"/>
  <c r="L62" i="19" s="1"/>
  <c r="Z60" i="19"/>
  <c r="Z62" i="19" s="1"/>
  <c r="N61" i="20"/>
  <c r="F61" i="20"/>
  <c r="E74" i="20"/>
  <c r="AJ66" i="20"/>
  <c r="W79" i="20"/>
  <c r="AJ76" i="20"/>
  <c r="N61" i="21"/>
  <c r="AB61" i="21"/>
  <c r="M60" i="21"/>
  <c r="M62" i="21" s="1"/>
  <c r="AA60" i="21"/>
  <c r="AA62" i="21" s="1"/>
  <c r="AJ45" i="22"/>
  <c r="E61" i="22"/>
  <c r="M61" i="22"/>
  <c r="AJ49" i="22"/>
  <c r="R73" i="22"/>
  <c r="AF73" i="22"/>
  <c r="V60" i="23"/>
  <c r="V62" i="23" s="1"/>
  <c r="AJ44" i="25"/>
  <c r="Q73" i="26"/>
  <c r="AJ46" i="27"/>
  <c r="AG71" i="18"/>
  <c r="G61" i="19"/>
  <c r="U61" i="19"/>
  <c r="AI61" i="19"/>
  <c r="I79" i="19"/>
  <c r="W79" i="19"/>
  <c r="AC61" i="20"/>
  <c r="AH61" i="20"/>
  <c r="L60" i="20"/>
  <c r="L62" i="20" s="1"/>
  <c r="Z60" i="20"/>
  <c r="Z62" i="20" s="1"/>
  <c r="F74" i="20"/>
  <c r="AB74" i="20"/>
  <c r="P73" i="21"/>
  <c r="AD73" i="21"/>
  <c r="Y73" i="21"/>
  <c r="S60" i="22"/>
  <c r="S62" i="22" s="1"/>
  <c r="O60" i="18"/>
  <c r="O62" i="18" s="1"/>
  <c r="AC60" i="18"/>
  <c r="AC62" i="18" s="1"/>
  <c r="P73" i="18"/>
  <c r="AD73" i="18"/>
  <c r="O74" i="18"/>
  <c r="AC74" i="18"/>
  <c r="Q73" i="19"/>
  <c r="AE73" i="19"/>
  <c r="M74" i="19"/>
  <c r="AA74" i="19"/>
  <c r="H60" i="20"/>
  <c r="H62" i="20" s="1"/>
  <c r="W74" i="20"/>
  <c r="M79" i="20"/>
  <c r="AA79" i="20"/>
  <c r="AI44" i="21"/>
  <c r="R61" i="21"/>
  <c r="I61" i="22"/>
  <c r="W61" i="22"/>
  <c r="AJ51" i="22"/>
  <c r="AI45" i="23"/>
  <c r="AJ71" i="24"/>
  <c r="AJ48" i="20"/>
  <c r="AJ53" i="20"/>
  <c r="P60" i="20"/>
  <c r="P62" i="20" s="1"/>
  <c r="AB73" i="20"/>
  <c r="E61" i="21"/>
  <c r="AI61" i="21" s="1"/>
  <c r="AI45" i="21"/>
  <c r="S61" i="21"/>
  <c r="AG61" i="21"/>
  <c r="T73" i="21"/>
  <c r="AA60" i="22"/>
  <c r="AA62" i="22" s="1"/>
  <c r="AJ66" i="22"/>
  <c r="AJ66" i="24"/>
  <c r="Q79" i="17"/>
  <c r="AE79" i="17"/>
  <c r="N61" i="18"/>
  <c r="AB61" i="18"/>
  <c r="E73" i="19"/>
  <c r="S73" i="19"/>
  <c r="AG73" i="19"/>
  <c r="O74" i="19"/>
  <c r="AC74" i="19"/>
  <c r="AJ49" i="20"/>
  <c r="X60" i="20"/>
  <c r="X62" i="20" s="1"/>
  <c r="AE60" i="20"/>
  <c r="AE62" i="20" s="1"/>
  <c r="O73" i="20"/>
  <c r="K74" i="20"/>
  <c r="Y74" i="20"/>
  <c r="O79" i="20"/>
  <c r="J60" i="21"/>
  <c r="J62" i="21" s="1"/>
  <c r="X60" i="21"/>
  <c r="X62" i="21" s="1"/>
  <c r="E60" i="21"/>
  <c r="S60" i="21"/>
  <c r="S62" i="21" s="1"/>
  <c r="AG60" i="21"/>
  <c r="AG62" i="21" s="1"/>
  <c r="AJ78" i="22"/>
  <c r="AI51" i="21"/>
  <c r="AI66" i="21"/>
  <c r="E74" i="21"/>
  <c r="AA74" i="22"/>
  <c r="AJ77" i="22"/>
  <c r="AJ79" i="22" s="1"/>
  <c r="AL70" i="22" s="1"/>
  <c r="R5" i="12" s="1"/>
  <c r="R12" i="12" s="1"/>
  <c r="R60" i="23"/>
  <c r="R62" i="23" s="1"/>
  <c r="AJ55" i="24"/>
  <c r="AJ52" i="25"/>
  <c r="L61" i="28"/>
  <c r="Z61" i="28"/>
  <c r="AJ58" i="20"/>
  <c r="L79" i="20"/>
  <c r="Z79" i="20"/>
  <c r="H61" i="22"/>
  <c r="AJ54" i="22"/>
  <c r="AJ58" i="22"/>
  <c r="E61" i="23"/>
  <c r="S61" i="23"/>
  <c r="AG61" i="23"/>
  <c r="AI51" i="23"/>
  <c r="U60" i="23"/>
  <c r="U62" i="23" s="1"/>
  <c r="AI57" i="23"/>
  <c r="E73" i="23"/>
  <c r="AJ51" i="24"/>
  <c r="AJ45" i="27"/>
  <c r="F60" i="21"/>
  <c r="F62" i="21" s="1"/>
  <c r="T60" i="21"/>
  <c r="T62" i="21" s="1"/>
  <c r="AH60" i="21"/>
  <c r="AH62" i="21" s="1"/>
  <c r="L73" i="21"/>
  <c r="Z73" i="21"/>
  <c r="I74" i="21"/>
  <c r="L79" i="21"/>
  <c r="J61" i="22"/>
  <c r="X61" i="22"/>
  <c r="R61" i="22"/>
  <c r="AJ55" i="22"/>
  <c r="AJ65" i="22"/>
  <c r="E73" i="22"/>
  <c r="E79" i="22"/>
  <c r="S79" i="22"/>
  <c r="AG79" i="22"/>
  <c r="G79" i="22"/>
  <c r="AI46" i="23"/>
  <c r="X60" i="23"/>
  <c r="X62" i="23" s="1"/>
  <c r="Z73" i="23"/>
  <c r="J79" i="23"/>
  <c r="AJ76" i="24"/>
  <c r="AJ70" i="20"/>
  <c r="O61" i="21"/>
  <c r="AC61" i="21"/>
  <c r="H60" i="21"/>
  <c r="H62" i="21" s="1"/>
  <c r="V60" i="21"/>
  <c r="V62" i="21" s="1"/>
  <c r="AI59" i="21"/>
  <c r="N79" i="21"/>
  <c r="AB79" i="21"/>
  <c r="K60" i="22"/>
  <c r="K62" i="22" s="1"/>
  <c r="Y60" i="22"/>
  <c r="Y62" i="22" s="1"/>
  <c r="AJ69" i="22"/>
  <c r="AI79" i="22"/>
  <c r="J61" i="23"/>
  <c r="AI47" i="23"/>
  <c r="L74" i="23"/>
  <c r="O61" i="24"/>
  <c r="AJ48" i="24"/>
  <c r="AJ67" i="20"/>
  <c r="P61" i="21"/>
  <c r="AD61" i="21"/>
  <c r="I60" i="21"/>
  <c r="I62" i="21" s="1"/>
  <c r="W60" i="21"/>
  <c r="W62" i="21" s="1"/>
  <c r="O73" i="21"/>
  <c r="AC73" i="21"/>
  <c r="L74" i="21"/>
  <c r="Z74" i="21"/>
  <c r="J73" i="21"/>
  <c r="O79" i="21"/>
  <c r="AA61" i="22"/>
  <c r="AJ47" i="22"/>
  <c r="E60" i="22"/>
  <c r="AG60" i="22"/>
  <c r="AG62" i="22" s="1"/>
  <c r="H60" i="22"/>
  <c r="H62" i="22" s="1"/>
  <c r="K61" i="23"/>
  <c r="F61" i="23"/>
  <c r="AI78" i="23"/>
  <c r="AJ44" i="24"/>
  <c r="AJ77" i="24"/>
  <c r="Z79" i="21"/>
  <c r="O61" i="22"/>
  <c r="AC61" i="22"/>
  <c r="T60" i="22"/>
  <c r="T62" i="22" s="1"/>
  <c r="M60" i="22"/>
  <c r="M62" i="22" s="1"/>
  <c r="N60" i="22"/>
  <c r="N62" i="22" s="1"/>
  <c r="AB60" i="22"/>
  <c r="AB62" i="22" s="1"/>
  <c r="G74" i="22"/>
  <c r="M61" i="23"/>
  <c r="AA61" i="23"/>
  <c r="AF61" i="24"/>
  <c r="AC73" i="24"/>
  <c r="R60" i="25"/>
  <c r="R62" i="25" s="1"/>
  <c r="R79" i="21"/>
  <c r="AF79" i="21"/>
  <c r="AJ44" i="22"/>
  <c r="P61" i="22"/>
  <c r="AD61" i="22"/>
  <c r="K73" i="22"/>
  <c r="Y73" i="22"/>
  <c r="E62" i="24"/>
  <c r="F61" i="21"/>
  <c r="T61" i="21"/>
  <c r="AH61" i="21"/>
  <c r="AI50" i="21"/>
  <c r="P74" i="21"/>
  <c r="AI70" i="21"/>
  <c r="AE61" i="22"/>
  <c r="AJ57" i="22"/>
  <c r="P60" i="22"/>
  <c r="P62" i="22" s="1"/>
  <c r="AD60" i="22"/>
  <c r="AD62" i="22" s="1"/>
  <c r="O60" i="23"/>
  <c r="O62" i="23" s="1"/>
  <c r="M74" i="23"/>
  <c r="AI74" i="23" s="1"/>
  <c r="AI56" i="21"/>
  <c r="F73" i="21"/>
  <c r="AI73" i="21" s="1"/>
  <c r="AK69" i="21" s="1"/>
  <c r="S3" i="12" s="1"/>
  <c r="S10" i="12" s="1"/>
  <c r="Q74" i="21"/>
  <c r="AE74" i="21"/>
  <c r="L61" i="22"/>
  <c r="Z61" i="22"/>
  <c r="J60" i="22"/>
  <c r="J62" i="22" s="1"/>
  <c r="Q60" i="22"/>
  <c r="Q62" i="22" s="1"/>
  <c r="AE60" i="22"/>
  <c r="AE62" i="22" s="1"/>
  <c r="AA73" i="22"/>
  <c r="G73" i="22"/>
  <c r="AJ67" i="22"/>
  <c r="N60" i="24"/>
  <c r="N62" i="24" s="1"/>
  <c r="AB60" i="24"/>
  <c r="AB62" i="24" s="1"/>
  <c r="J60" i="24"/>
  <c r="J62" i="24" s="1"/>
  <c r="X60" i="24"/>
  <c r="X62" i="24" s="1"/>
  <c r="AJ75" i="24"/>
  <c r="Q61" i="23"/>
  <c r="AE61" i="23"/>
  <c r="P79" i="23"/>
  <c r="I61" i="24"/>
  <c r="W61" i="24"/>
  <c r="H60" i="24"/>
  <c r="H62" i="24" s="1"/>
  <c r="V60" i="24"/>
  <c r="V62" i="24" s="1"/>
  <c r="AJ58" i="24"/>
  <c r="P60" i="25"/>
  <c r="P62" i="25" s="1"/>
  <c r="AJ72" i="25"/>
  <c r="E74" i="25"/>
  <c r="N60" i="27"/>
  <c r="N62" i="27" s="1"/>
  <c r="AB60" i="27"/>
  <c r="AB62" i="27" s="1"/>
  <c r="AJ68" i="27"/>
  <c r="O79" i="27"/>
  <c r="AC79" i="27"/>
  <c r="I79" i="27"/>
  <c r="W79" i="27"/>
  <c r="AJ58" i="29"/>
  <c r="F60" i="22"/>
  <c r="F62" i="22" s="1"/>
  <c r="P73" i="22"/>
  <c r="AD73" i="22"/>
  <c r="M74" i="22"/>
  <c r="AJ68" i="22"/>
  <c r="AI44" i="23"/>
  <c r="AF61" i="23"/>
  <c r="O73" i="23"/>
  <c r="AJ50" i="24"/>
  <c r="I60" i="24"/>
  <c r="I62" i="24" s="1"/>
  <c r="W60" i="24"/>
  <c r="W62" i="24" s="1"/>
  <c r="I73" i="24"/>
  <c r="W73" i="24"/>
  <c r="F74" i="24"/>
  <c r="AJ74" i="24" s="1"/>
  <c r="N61" i="25"/>
  <c r="AJ56" i="25"/>
  <c r="S74" i="25"/>
  <c r="AG74" i="25"/>
  <c r="AJ44" i="26"/>
  <c r="J61" i="27"/>
  <c r="X61" i="27"/>
  <c r="AI53" i="28"/>
  <c r="AA61" i="27"/>
  <c r="AJ75" i="27"/>
  <c r="AE74" i="22"/>
  <c r="J79" i="22"/>
  <c r="X79" i="22"/>
  <c r="S73" i="23"/>
  <c r="P74" i="23"/>
  <c r="AD74" i="23"/>
  <c r="AI70" i="23"/>
  <c r="AB61" i="24"/>
  <c r="U61" i="24"/>
  <c r="AJ50" i="25"/>
  <c r="G60" i="25"/>
  <c r="G62" i="25" s="1"/>
  <c r="U60" i="25"/>
  <c r="U62" i="25" s="1"/>
  <c r="AI60" i="25"/>
  <c r="AI62" i="25" s="1"/>
  <c r="AJ71" i="26"/>
  <c r="AJ78" i="26"/>
  <c r="E63" i="30"/>
  <c r="R60" i="22"/>
  <c r="R62" i="22" s="1"/>
  <c r="AF60" i="22"/>
  <c r="AF62" i="22" s="1"/>
  <c r="F74" i="22"/>
  <c r="Y79" i="22"/>
  <c r="P60" i="23"/>
  <c r="P62" i="23" s="1"/>
  <c r="AH73" i="23"/>
  <c r="H61" i="24"/>
  <c r="V61" i="24"/>
  <c r="Y74" i="24"/>
  <c r="E61" i="26"/>
  <c r="AJ49" i="26"/>
  <c r="N79" i="26"/>
  <c r="AB79" i="26"/>
  <c r="Q60" i="27"/>
  <c r="Q62" i="27" s="1"/>
  <c r="AE60" i="27"/>
  <c r="AE62" i="27" s="1"/>
  <c r="R74" i="27"/>
  <c r="R60" i="28"/>
  <c r="R62" i="28" s="1"/>
  <c r="J79" i="21"/>
  <c r="X79" i="21"/>
  <c r="Q60" i="23"/>
  <c r="Q62" i="23" s="1"/>
  <c r="AE60" i="23"/>
  <c r="AE62" i="23" s="1"/>
  <c r="AI65" i="23"/>
  <c r="R74" i="23"/>
  <c r="AF74" i="23"/>
  <c r="AD73" i="23"/>
  <c r="P61" i="24"/>
  <c r="AD61" i="24"/>
  <c r="AJ52" i="24"/>
  <c r="AJ56" i="24"/>
  <c r="L74" i="24"/>
  <c r="Z74" i="24"/>
  <c r="F79" i="25"/>
  <c r="AJ75" i="25"/>
  <c r="AJ79" i="25" s="1"/>
  <c r="AL70" i="25" s="1"/>
  <c r="O5" i="12" s="1"/>
  <c r="O12" i="12" s="1"/>
  <c r="R60" i="26"/>
  <c r="R62" i="26" s="1"/>
  <c r="Y62" i="29"/>
  <c r="AI71" i="21"/>
  <c r="N61" i="22"/>
  <c r="AB61" i="22"/>
  <c r="H60" i="23"/>
  <c r="H62" i="23" s="1"/>
  <c r="AF60" i="23"/>
  <c r="AF62" i="23" s="1"/>
  <c r="V73" i="23"/>
  <c r="AI66" i="23"/>
  <c r="AG74" i="23"/>
  <c r="AI71" i="23"/>
  <c r="X79" i="23"/>
  <c r="X61" i="24"/>
  <c r="M74" i="24"/>
  <c r="AA74" i="24"/>
  <c r="H73" i="25"/>
  <c r="V73" i="25"/>
  <c r="AJ65" i="25"/>
  <c r="R74" i="25"/>
  <c r="AF74" i="25"/>
  <c r="L74" i="25"/>
  <c r="AF73" i="26"/>
  <c r="K60" i="27"/>
  <c r="K62" i="27" s="1"/>
  <c r="Y60" i="27"/>
  <c r="Y62" i="27" s="1"/>
  <c r="E60" i="27"/>
  <c r="F74" i="28"/>
  <c r="AI70" i="28"/>
  <c r="AG75" i="30"/>
  <c r="AJ51" i="31"/>
  <c r="AF62" i="31"/>
  <c r="AJ56" i="31"/>
  <c r="AH61" i="23"/>
  <c r="E60" i="23"/>
  <c r="AI58" i="23"/>
  <c r="S60" i="23"/>
  <c r="S62" i="23" s="1"/>
  <c r="AG60" i="23"/>
  <c r="AG62" i="23" s="1"/>
  <c r="F74" i="23"/>
  <c r="AI77" i="23"/>
  <c r="G60" i="24"/>
  <c r="G62" i="24" s="1"/>
  <c r="Q73" i="24"/>
  <c r="AE73" i="24"/>
  <c r="L79" i="24"/>
  <c r="AJ70" i="25"/>
  <c r="AJ50" i="26"/>
  <c r="AI50" i="28"/>
  <c r="AK50" i="28" s="1"/>
  <c r="L2" i="12" s="1"/>
  <c r="I61" i="30"/>
  <c r="I63" i="30" s="1"/>
  <c r="E62" i="31"/>
  <c r="AJ62" i="31" s="1"/>
  <c r="AJ52" i="31"/>
  <c r="N73" i="21"/>
  <c r="AB73" i="21"/>
  <c r="K74" i="21"/>
  <c r="Y74" i="21"/>
  <c r="H74" i="22"/>
  <c r="AJ74" i="22" s="1"/>
  <c r="V74" i="22"/>
  <c r="T60" i="23"/>
  <c r="T62" i="23" s="1"/>
  <c r="J73" i="23"/>
  <c r="X73" i="23"/>
  <c r="G74" i="23"/>
  <c r="U74" i="23"/>
  <c r="AG73" i="23"/>
  <c r="AJ45" i="24"/>
  <c r="E61" i="24"/>
  <c r="S61" i="24"/>
  <c r="AG61" i="24"/>
  <c r="AJ57" i="24"/>
  <c r="R73" i="24"/>
  <c r="AJ72" i="24"/>
  <c r="AJ47" i="25"/>
  <c r="AJ51" i="26"/>
  <c r="I60" i="26"/>
  <c r="I62" i="26" s="1"/>
  <c r="E62" i="26"/>
  <c r="E61" i="27"/>
  <c r="AJ49" i="27"/>
  <c r="AJ71" i="27"/>
  <c r="AF60" i="28"/>
  <c r="AF62" i="28" s="1"/>
  <c r="Q80" i="29"/>
  <c r="K62" i="31"/>
  <c r="Y62" i="31"/>
  <c r="AH62" i="31"/>
  <c r="AJ59" i="22"/>
  <c r="P79" i="22"/>
  <c r="AD79" i="22"/>
  <c r="L79" i="22"/>
  <c r="AI48" i="23"/>
  <c r="V74" i="23"/>
  <c r="AI72" i="23"/>
  <c r="F61" i="24"/>
  <c r="AJ49" i="24"/>
  <c r="E73" i="24"/>
  <c r="AJ65" i="24"/>
  <c r="N79" i="24"/>
  <c r="K79" i="24"/>
  <c r="AF60" i="25"/>
  <c r="AF62" i="25" s="1"/>
  <c r="M60" i="25"/>
  <c r="M62" i="25" s="1"/>
  <c r="N61" i="26"/>
  <c r="AB61" i="26"/>
  <c r="F60" i="26"/>
  <c r="F62" i="26" s="1"/>
  <c r="AH60" i="26"/>
  <c r="AH62" i="26" s="1"/>
  <c r="E74" i="26"/>
  <c r="AJ68" i="26"/>
  <c r="AH61" i="27"/>
  <c r="V60" i="27"/>
  <c r="V62" i="27" s="1"/>
  <c r="AJ58" i="27"/>
  <c r="I74" i="27"/>
  <c r="W74" i="27"/>
  <c r="AI65" i="28"/>
  <c r="E73" i="28"/>
  <c r="AI71" i="28"/>
  <c r="AJ52" i="22"/>
  <c r="P74" i="22"/>
  <c r="O61" i="23"/>
  <c r="AI59" i="23"/>
  <c r="AI67" i="23"/>
  <c r="G61" i="24"/>
  <c r="AJ53" i="24"/>
  <c r="F60" i="24"/>
  <c r="F62" i="24" s="1"/>
  <c r="T60" i="24"/>
  <c r="T62" i="24" s="1"/>
  <c r="AH60" i="24"/>
  <c r="AH62" i="24" s="1"/>
  <c r="AE74" i="24"/>
  <c r="W74" i="24"/>
  <c r="AC79" i="24"/>
  <c r="K61" i="25"/>
  <c r="Y61" i="25"/>
  <c r="AH60" i="25"/>
  <c r="AH62" i="25" s="1"/>
  <c r="E60" i="25"/>
  <c r="AG60" i="25"/>
  <c r="AG62" i="25" s="1"/>
  <c r="N60" i="25"/>
  <c r="N62" i="25" s="1"/>
  <c r="AB60" i="25"/>
  <c r="AB62" i="25" s="1"/>
  <c r="AJ52" i="26"/>
  <c r="AJ58" i="26"/>
  <c r="AC61" i="27"/>
  <c r="F60" i="27"/>
  <c r="F62" i="27" s="1"/>
  <c r="AJ59" i="27"/>
  <c r="L61" i="30"/>
  <c r="L63" i="30" s="1"/>
  <c r="Z61" i="30"/>
  <c r="Z63" i="30" s="1"/>
  <c r="M62" i="31"/>
  <c r="AA62" i="31"/>
  <c r="W61" i="30"/>
  <c r="W63" i="30" s="1"/>
  <c r="AJ58" i="31"/>
  <c r="AJ55" i="26"/>
  <c r="K79" i="26"/>
  <c r="F61" i="27"/>
  <c r="T61" i="27"/>
  <c r="N61" i="27"/>
  <c r="AB61" i="27"/>
  <c r="AJ54" i="27"/>
  <c r="H73" i="27"/>
  <c r="V73" i="27"/>
  <c r="AJ65" i="27"/>
  <c r="AI48" i="28"/>
  <c r="Q73" i="28"/>
  <c r="AE73" i="28"/>
  <c r="O74" i="28"/>
  <c r="AC74" i="28"/>
  <c r="AI76" i="28"/>
  <c r="O61" i="29"/>
  <c r="O63" i="29" s="1"/>
  <c r="H61" i="29"/>
  <c r="H63" i="29" s="1"/>
  <c r="V61" i="29"/>
  <c r="V63" i="29" s="1"/>
  <c r="AJ60" i="29"/>
  <c r="AJ66" i="29"/>
  <c r="F79" i="23"/>
  <c r="T79" i="23"/>
  <c r="AH79" i="23"/>
  <c r="J74" i="24"/>
  <c r="X74" i="24"/>
  <c r="J73" i="25"/>
  <c r="X73" i="25"/>
  <c r="AJ66" i="25"/>
  <c r="F74" i="25"/>
  <c r="T74" i="25"/>
  <c r="AH74" i="25"/>
  <c r="Z61" i="26"/>
  <c r="AJ56" i="26"/>
  <c r="AA74" i="26"/>
  <c r="L79" i="26"/>
  <c r="G61" i="27"/>
  <c r="U61" i="27"/>
  <c r="AI61" i="27"/>
  <c r="AJ50" i="27"/>
  <c r="G60" i="27"/>
  <c r="G62" i="27" s="1"/>
  <c r="U60" i="27"/>
  <c r="U62" i="27" s="1"/>
  <c r="I73" i="27"/>
  <c r="AJ66" i="27"/>
  <c r="S74" i="27"/>
  <c r="M79" i="27"/>
  <c r="F60" i="28"/>
  <c r="F62" i="28" s="1"/>
  <c r="AI54" i="28"/>
  <c r="T60" i="28"/>
  <c r="T62" i="28" s="1"/>
  <c r="R73" i="28"/>
  <c r="AF73" i="28"/>
  <c r="W62" i="29"/>
  <c r="AJ52" i="29"/>
  <c r="W61" i="29"/>
  <c r="W63" i="29" s="1"/>
  <c r="Y80" i="29"/>
  <c r="F61" i="25"/>
  <c r="AJ45" i="25"/>
  <c r="T61" i="25"/>
  <c r="AH61" i="25"/>
  <c r="AJ45" i="26"/>
  <c r="AG61" i="26"/>
  <c r="H60" i="26"/>
  <c r="H62" i="26" s="1"/>
  <c r="V60" i="26"/>
  <c r="V62" i="26" s="1"/>
  <c r="AJ59" i="26"/>
  <c r="AJ75" i="26"/>
  <c r="AJ56" i="27"/>
  <c r="AI60" i="27"/>
  <c r="AI62" i="27" s="1"/>
  <c r="AH79" i="27"/>
  <c r="AI51" i="28"/>
  <c r="G79" i="24"/>
  <c r="U79" i="24"/>
  <c r="AI79" i="24"/>
  <c r="G61" i="25"/>
  <c r="U61" i="25"/>
  <c r="AI61" i="25"/>
  <c r="E61" i="25"/>
  <c r="S61" i="25"/>
  <c r="AG61" i="25"/>
  <c r="AJ54" i="25"/>
  <c r="AJ76" i="25"/>
  <c r="S79" i="25"/>
  <c r="F61" i="26"/>
  <c r="AJ47" i="26"/>
  <c r="T61" i="26"/>
  <c r="AA60" i="26"/>
  <c r="AA62" i="26" s="1"/>
  <c r="W73" i="26"/>
  <c r="G74" i="26"/>
  <c r="U74" i="26"/>
  <c r="AJ66" i="26"/>
  <c r="AH79" i="26"/>
  <c r="AJ52" i="27"/>
  <c r="O60" i="27"/>
  <c r="O62" i="27" s="1"/>
  <c r="AA74" i="27"/>
  <c r="AJ72" i="27"/>
  <c r="G79" i="27"/>
  <c r="AI79" i="27"/>
  <c r="AI45" i="28"/>
  <c r="AI52" i="28"/>
  <c r="AH60" i="28"/>
  <c r="AH62" i="28" s="1"/>
  <c r="AJ69" i="29"/>
  <c r="AG58" i="30"/>
  <c r="AG59" i="30"/>
  <c r="P61" i="23"/>
  <c r="AD61" i="23"/>
  <c r="AJ69" i="24"/>
  <c r="H79" i="24"/>
  <c r="V79" i="24"/>
  <c r="H61" i="25"/>
  <c r="V61" i="25"/>
  <c r="AJ46" i="25"/>
  <c r="O60" i="25"/>
  <c r="O62" i="25" s="1"/>
  <c r="AC60" i="25"/>
  <c r="AC62" i="25" s="1"/>
  <c r="J60" i="25"/>
  <c r="J62" i="25" s="1"/>
  <c r="X60" i="25"/>
  <c r="X62" i="25" s="1"/>
  <c r="E73" i="25"/>
  <c r="S73" i="25"/>
  <c r="AG73" i="25"/>
  <c r="O74" i="25"/>
  <c r="AH79" i="25"/>
  <c r="G61" i="26"/>
  <c r="U61" i="26"/>
  <c r="AJ46" i="26"/>
  <c r="X60" i="26"/>
  <c r="X62" i="26" s="1"/>
  <c r="J73" i="26"/>
  <c r="X73" i="26"/>
  <c r="H74" i="26"/>
  <c r="V74" i="26"/>
  <c r="P60" i="27"/>
  <c r="P62" i="27" s="1"/>
  <c r="AD60" i="27"/>
  <c r="AD62" i="27" s="1"/>
  <c r="G60" i="28"/>
  <c r="G62" i="28" s="1"/>
  <c r="U60" i="28"/>
  <c r="U62" i="28" s="1"/>
  <c r="AI58" i="28"/>
  <c r="O74" i="29"/>
  <c r="AC74" i="29"/>
  <c r="E74" i="29"/>
  <c r="F61" i="30"/>
  <c r="F63" i="30" s="1"/>
  <c r="T61" i="30"/>
  <c r="T63" i="30" s="1"/>
  <c r="AG60" i="30"/>
  <c r="I79" i="24"/>
  <c r="W79" i="24"/>
  <c r="F79" i="24"/>
  <c r="T79" i="24"/>
  <c r="AH79" i="24"/>
  <c r="K60" i="25"/>
  <c r="K62" i="25" s="1"/>
  <c r="Y60" i="25"/>
  <c r="Y62" i="25" s="1"/>
  <c r="F73" i="25"/>
  <c r="T73" i="25"/>
  <c r="AH73" i="25"/>
  <c r="P74" i="25"/>
  <c r="AD74" i="25"/>
  <c r="AJ69" i="25"/>
  <c r="H61" i="26"/>
  <c r="V61" i="26"/>
  <c r="AJ54" i="26"/>
  <c r="K60" i="26"/>
  <c r="K62" i="26" s="1"/>
  <c r="Y60" i="26"/>
  <c r="Y62" i="26" s="1"/>
  <c r="K73" i="26"/>
  <c r="Y73" i="26"/>
  <c r="I74" i="26"/>
  <c r="W74" i="26"/>
  <c r="AJ72" i="26"/>
  <c r="Y61" i="27"/>
  <c r="AJ48" i="27"/>
  <c r="X60" i="27"/>
  <c r="X62" i="27" s="1"/>
  <c r="E73" i="27"/>
  <c r="S73" i="27"/>
  <c r="AG73" i="27"/>
  <c r="R73" i="27"/>
  <c r="AI46" i="28"/>
  <c r="AI47" i="28"/>
  <c r="H60" i="28"/>
  <c r="H62" i="28" s="1"/>
  <c r="V60" i="28"/>
  <c r="V62" i="28" s="1"/>
  <c r="AI69" i="28"/>
  <c r="AA62" i="29"/>
  <c r="E61" i="29"/>
  <c r="AJ59" i="29"/>
  <c r="S61" i="29"/>
  <c r="S63" i="29" s="1"/>
  <c r="AG61" i="29"/>
  <c r="AG63" i="29" s="1"/>
  <c r="U61" i="30"/>
  <c r="U63" i="30" s="1"/>
  <c r="AI54" i="23"/>
  <c r="J61" i="25"/>
  <c r="X61" i="25"/>
  <c r="L60" i="25"/>
  <c r="L62" i="25" s="1"/>
  <c r="Z60" i="25"/>
  <c r="Z62" i="25" s="1"/>
  <c r="G73" i="25"/>
  <c r="U73" i="25"/>
  <c r="AI73" i="25"/>
  <c r="Q74" i="25"/>
  <c r="AE74" i="25"/>
  <c r="AJ77" i="25"/>
  <c r="W61" i="26"/>
  <c r="I61" i="26"/>
  <c r="L60" i="26"/>
  <c r="L62" i="26" s="1"/>
  <c r="Z60" i="26"/>
  <c r="Z62" i="26" s="1"/>
  <c r="AJ76" i="26"/>
  <c r="AJ44" i="27"/>
  <c r="R61" i="27"/>
  <c r="R60" i="27"/>
  <c r="R62" i="27" s="1"/>
  <c r="F73" i="27"/>
  <c r="T73" i="27"/>
  <c r="AH73" i="27"/>
  <c r="P74" i="27"/>
  <c r="AD74" i="27"/>
  <c r="AJ69" i="27"/>
  <c r="F62" i="29"/>
  <c r="AH62" i="29"/>
  <c r="M61" i="29"/>
  <c r="M63" i="29" s="1"/>
  <c r="AA61" i="29"/>
  <c r="AA63" i="29" s="1"/>
  <c r="F61" i="29"/>
  <c r="F63" i="29" s="1"/>
  <c r="T61" i="29"/>
  <c r="T63" i="29" s="1"/>
  <c r="AH61" i="29"/>
  <c r="AH63" i="29" s="1"/>
  <c r="H61" i="30"/>
  <c r="H63" i="30" s="1"/>
  <c r="V61" i="30"/>
  <c r="V63" i="30" s="1"/>
  <c r="AG74" i="30"/>
  <c r="AJ65" i="26"/>
  <c r="J79" i="26"/>
  <c r="AJ77" i="26"/>
  <c r="M60" i="27"/>
  <c r="M62" i="27" s="1"/>
  <c r="W61" i="28"/>
  <c r="N73" i="28"/>
  <c r="AB73" i="28"/>
  <c r="L74" i="28"/>
  <c r="AE79" i="28"/>
  <c r="AJ49" i="29"/>
  <c r="AC61" i="29"/>
  <c r="AC63" i="29" s="1"/>
  <c r="G75" i="29"/>
  <c r="AI75" i="29"/>
  <c r="AE80" i="29"/>
  <c r="R62" i="31"/>
  <c r="AJ66" i="31"/>
  <c r="AJ58" i="25"/>
  <c r="Q60" i="26"/>
  <c r="Q62" i="26" s="1"/>
  <c r="AE60" i="26"/>
  <c r="AE62" i="26" s="1"/>
  <c r="Y79" i="26"/>
  <c r="AA79" i="27"/>
  <c r="AI56" i="28"/>
  <c r="P60" i="28"/>
  <c r="P62" i="28" s="1"/>
  <c r="AD60" i="28"/>
  <c r="AD62" i="28" s="1"/>
  <c r="AE62" i="29"/>
  <c r="K74" i="29"/>
  <c r="AJ77" i="29"/>
  <c r="AF62" i="30"/>
  <c r="AJ54" i="31"/>
  <c r="AJ55" i="31"/>
  <c r="E75" i="31"/>
  <c r="AJ67" i="31"/>
  <c r="P74" i="31"/>
  <c r="AD74" i="31"/>
  <c r="I73" i="26"/>
  <c r="AC60" i="27"/>
  <c r="AC62" i="27" s="1"/>
  <c r="N79" i="27"/>
  <c r="AB79" i="27"/>
  <c r="AI57" i="28"/>
  <c r="J61" i="29"/>
  <c r="J63" i="29" s="1"/>
  <c r="AE61" i="29"/>
  <c r="AE63" i="29" s="1"/>
  <c r="I75" i="29"/>
  <c r="AJ73" i="29"/>
  <c r="K80" i="29"/>
  <c r="H80" i="29"/>
  <c r="V80" i="29"/>
  <c r="AG49" i="30"/>
  <c r="AG53" i="30"/>
  <c r="F62" i="31"/>
  <c r="T62" i="31"/>
  <c r="E61" i="31"/>
  <c r="S61" i="31"/>
  <c r="S63" i="31" s="1"/>
  <c r="AG61" i="31"/>
  <c r="AG63" i="31" s="1"/>
  <c r="X74" i="31"/>
  <c r="AH75" i="31"/>
  <c r="G73" i="27"/>
  <c r="Q61" i="28"/>
  <c r="AE61" i="28"/>
  <c r="M60" i="28"/>
  <c r="M62" i="28" s="1"/>
  <c r="W60" i="28"/>
  <c r="W62" i="28" s="1"/>
  <c r="AH74" i="28"/>
  <c r="AL57" i="29"/>
  <c r="K4" i="12" s="1"/>
  <c r="K11" i="12" s="1"/>
  <c r="K13" i="12" s="1"/>
  <c r="AJ56" i="29"/>
  <c r="I61" i="29"/>
  <c r="I63" i="29" s="1"/>
  <c r="J61" i="30"/>
  <c r="J63" i="30" s="1"/>
  <c r="X61" i="30"/>
  <c r="X63" i="30" s="1"/>
  <c r="AG66" i="30"/>
  <c r="AG67" i="30"/>
  <c r="AG68" i="30"/>
  <c r="AG69" i="30"/>
  <c r="AG70" i="30"/>
  <c r="AG71" i="30"/>
  <c r="R80" i="30"/>
  <c r="L62" i="31"/>
  <c r="Z62" i="31"/>
  <c r="AJ48" i="31"/>
  <c r="AB79" i="25"/>
  <c r="W73" i="27"/>
  <c r="H79" i="27"/>
  <c r="AJ76" i="27"/>
  <c r="S61" i="28"/>
  <c r="AG61" i="28"/>
  <c r="O60" i="28"/>
  <c r="O62" i="28" s="1"/>
  <c r="K60" i="28"/>
  <c r="K62" i="28" s="1"/>
  <c r="Y60" i="28"/>
  <c r="Y62" i="28" s="1"/>
  <c r="E62" i="28"/>
  <c r="X73" i="28"/>
  <c r="H74" i="28"/>
  <c r="AI78" i="28"/>
  <c r="H62" i="29"/>
  <c r="V62" i="29"/>
  <c r="AG78" i="30"/>
  <c r="H62" i="31"/>
  <c r="AJ69" i="31"/>
  <c r="N79" i="25"/>
  <c r="J73" i="27"/>
  <c r="X73" i="27"/>
  <c r="F74" i="27"/>
  <c r="T74" i="27"/>
  <c r="AH74" i="27"/>
  <c r="E74" i="27"/>
  <c r="F61" i="28"/>
  <c r="AI61" i="28" s="1"/>
  <c r="T61" i="28"/>
  <c r="AH61" i="28"/>
  <c r="P61" i="28"/>
  <c r="L60" i="28"/>
  <c r="L62" i="28" s="1"/>
  <c r="Y73" i="28"/>
  <c r="N79" i="28"/>
  <c r="AB79" i="28"/>
  <c r="AJ48" i="29"/>
  <c r="F74" i="31"/>
  <c r="E73" i="26"/>
  <c r="S73" i="26"/>
  <c r="AG73" i="26"/>
  <c r="P74" i="26"/>
  <c r="AD74" i="26"/>
  <c r="U61" i="28"/>
  <c r="Q60" i="28"/>
  <c r="Q62" i="28" s="1"/>
  <c r="AE60" i="28"/>
  <c r="AE62" i="28" s="1"/>
  <c r="E75" i="29"/>
  <c r="AG75" i="29"/>
  <c r="P62" i="31"/>
  <c r="AD61" i="27"/>
  <c r="L60" i="27"/>
  <c r="L62" i="27" s="1"/>
  <c r="Z60" i="27"/>
  <c r="Z62" i="27" s="1"/>
  <c r="H74" i="27"/>
  <c r="K79" i="27"/>
  <c r="Y79" i="27"/>
  <c r="AJ77" i="27"/>
  <c r="H61" i="28"/>
  <c r="V61" i="28"/>
  <c r="N60" i="28"/>
  <c r="N62" i="28" s="1"/>
  <c r="AB60" i="28"/>
  <c r="AB62" i="28" s="1"/>
  <c r="K74" i="28"/>
  <c r="AI74" i="28" s="1"/>
  <c r="Y74" i="28"/>
  <c r="I74" i="29"/>
  <c r="AJ71" i="29"/>
  <c r="AJ49" i="31"/>
  <c r="J61" i="31"/>
  <c r="J63" i="31" s="1"/>
  <c r="AI67" i="28"/>
  <c r="AI72" i="28"/>
  <c r="R62" i="29"/>
  <c r="AF62" i="29"/>
  <c r="AJ50" i="29"/>
  <c r="F80" i="29"/>
  <c r="T80" i="29"/>
  <c r="AH80" i="29"/>
  <c r="H62" i="30"/>
  <c r="V62" i="30"/>
  <c r="AG50" i="30"/>
  <c r="N61" i="31"/>
  <c r="N63" i="31" s="1"/>
  <c r="AB61" i="31"/>
  <c r="AB63" i="31" s="1"/>
  <c r="O74" i="31"/>
  <c r="AC74" i="31"/>
  <c r="K75" i="31"/>
  <c r="Y75" i="31"/>
  <c r="AJ46" i="29"/>
  <c r="AJ67" i="29"/>
  <c r="AJ72" i="29"/>
  <c r="G80" i="29"/>
  <c r="U80" i="29"/>
  <c r="AI80" i="29"/>
  <c r="I62" i="30"/>
  <c r="W62" i="30"/>
  <c r="AG52" i="30"/>
  <c r="AJ46" i="31"/>
  <c r="AJ50" i="31"/>
  <c r="I61" i="31"/>
  <c r="I63" i="31" s="1"/>
  <c r="W61" i="31"/>
  <c r="W63" i="31" s="1"/>
  <c r="O61" i="31"/>
  <c r="O63" i="31" s="1"/>
  <c r="AC61" i="31"/>
  <c r="AC63" i="31" s="1"/>
  <c r="AI68" i="28"/>
  <c r="AI75" i="28"/>
  <c r="AI79" i="28" s="1"/>
  <c r="AK52" i="28" s="1"/>
  <c r="L5" i="12" s="1"/>
  <c r="L12" i="12" s="1"/>
  <c r="AJ68" i="29"/>
  <c r="J62" i="30"/>
  <c r="X62" i="30"/>
  <c r="AG54" i="30"/>
  <c r="AG55" i="30"/>
  <c r="AG56" i="30"/>
  <c r="AG57" i="30"/>
  <c r="Q80" i="30"/>
  <c r="AE80" i="30"/>
  <c r="P61" i="31"/>
  <c r="P63" i="31" s="1"/>
  <c r="AD61" i="31"/>
  <c r="AD63" i="31" s="1"/>
  <c r="F80" i="31"/>
  <c r="AJ77" i="31"/>
  <c r="F73" i="28"/>
  <c r="T73" i="28"/>
  <c r="AH73" i="28"/>
  <c r="Q74" i="28"/>
  <c r="AE74" i="28"/>
  <c r="N62" i="29"/>
  <c r="AB62" i="29"/>
  <c r="AJ53" i="29"/>
  <c r="AJ70" i="29"/>
  <c r="P80" i="29"/>
  <c r="AD80" i="29"/>
  <c r="M61" i="30"/>
  <c r="M63" i="30" s="1"/>
  <c r="AA61" i="30"/>
  <c r="AA63" i="30" s="1"/>
  <c r="K61" i="30"/>
  <c r="K63" i="30" s="1"/>
  <c r="Y61" i="30"/>
  <c r="Y63" i="30" s="1"/>
  <c r="N62" i="31"/>
  <c r="AB62" i="31"/>
  <c r="AJ47" i="27"/>
  <c r="P79" i="28"/>
  <c r="AD79" i="28"/>
  <c r="O62" i="29"/>
  <c r="AC62" i="29"/>
  <c r="AJ57" i="29"/>
  <c r="AI54" i="30"/>
  <c r="J2" i="12" s="1"/>
  <c r="AG45" i="30"/>
  <c r="AG46" i="30"/>
  <c r="N61" i="30"/>
  <c r="N63" i="30" s="1"/>
  <c r="AB61" i="30"/>
  <c r="AB63" i="30" s="1"/>
  <c r="O62" i="31"/>
  <c r="AC62" i="31"/>
  <c r="AJ60" i="31"/>
  <c r="L74" i="31"/>
  <c r="Z74" i="31"/>
  <c r="H75" i="31"/>
  <c r="V75" i="31"/>
  <c r="AI66" i="28"/>
  <c r="P62" i="29"/>
  <c r="AD62" i="29"/>
  <c r="J62" i="29"/>
  <c r="X62" i="29"/>
  <c r="R80" i="29"/>
  <c r="AF80" i="29"/>
  <c r="E62" i="30"/>
  <c r="S62" i="30"/>
  <c r="AG48" i="30"/>
  <c r="Q62" i="30"/>
  <c r="AE62" i="30"/>
  <c r="J62" i="31"/>
  <c r="X62" i="31"/>
  <c r="AJ53" i="31"/>
  <c r="M74" i="31"/>
  <c r="AA74" i="31"/>
  <c r="I75" i="31"/>
  <c r="W75" i="31"/>
  <c r="AJ68" i="31"/>
  <c r="AD75" i="31"/>
  <c r="AJ72" i="31"/>
  <c r="AJ76" i="31"/>
  <c r="J79" i="27"/>
  <c r="X79" i="27"/>
  <c r="AJ54" i="29"/>
  <c r="E62" i="29"/>
  <c r="AJ76" i="29"/>
  <c r="AJ80" i="29" s="1"/>
  <c r="AL56" i="29" s="1"/>
  <c r="K5" i="12" s="1"/>
  <c r="K12" i="12" s="1"/>
  <c r="E80" i="29"/>
  <c r="S80" i="29"/>
  <c r="AG80" i="29"/>
  <c r="AI55" i="30"/>
  <c r="J3" i="12" s="1"/>
  <c r="J10" i="12" s="1"/>
  <c r="AJ57" i="31"/>
  <c r="M61" i="31"/>
  <c r="M63" i="31" s="1"/>
  <c r="AA61" i="31"/>
  <c r="AA63" i="31" s="1"/>
  <c r="N74" i="31"/>
  <c r="AB74" i="31"/>
  <c r="J75" i="31"/>
  <c r="X75" i="31"/>
  <c r="AG76" i="30"/>
  <c r="AJ78" i="31"/>
  <c r="AJ59" i="31"/>
  <c r="L9" i="12" l="1"/>
  <c r="U12" i="12"/>
  <c r="AK53" i="28"/>
  <c r="L4" i="12" s="1"/>
  <c r="L11" i="12" s="1"/>
  <c r="AJ74" i="29"/>
  <c r="AI73" i="28"/>
  <c r="AJ61" i="22"/>
  <c r="AL71" i="22" s="1"/>
  <c r="R4" i="12" s="1"/>
  <c r="R11" i="12" s="1"/>
  <c r="AJ74" i="13"/>
  <c r="AI60" i="14"/>
  <c r="AI75" i="10"/>
  <c r="AJ75" i="11"/>
  <c r="AI61" i="5"/>
  <c r="AK55" i="5" s="1"/>
  <c r="E63" i="5"/>
  <c r="F63" i="5" s="1"/>
  <c r="G63" i="5" s="1"/>
  <c r="H63" i="5" s="1"/>
  <c r="I63" i="5" s="1"/>
  <c r="J63" i="5" s="1"/>
  <c r="K63" i="5" s="1"/>
  <c r="L63" i="5" s="1"/>
  <c r="M63" i="5" s="1"/>
  <c r="N63" i="5" s="1"/>
  <c r="O63" i="5" s="1"/>
  <c r="P63" i="5" s="1"/>
  <c r="Q63" i="5" s="1"/>
  <c r="R63" i="5" s="1"/>
  <c r="S63" i="5" s="1"/>
  <c r="T63" i="5" s="1"/>
  <c r="U63" i="5" s="1"/>
  <c r="V63" i="5" s="1"/>
  <c r="W63" i="5" s="1"/>
  <c r="X63" i="5" s="1"/>
  <c r="Y63" i="5" s="1"/>
  <c r="Z63" i="5" s="1"/>
  <c r="AA63" i="5" s="1"/>
  <c r="AB63" i="5" s="1"/>
  <c r="AC63" i="5" s="1"/>
  <c r="AD63" i="5" s="1"/>
  <c r="AE63" i="5" s="1"/>
  <c r="AF63" i="5" s="1"/>
  <c r="AG63" i="5" s="1"/>
  <c r="AJ74" i="6"/>
  <c r="AL62" i="6" s="1"/>
  <c r="C3" i="12" s="1"/>
  <c r="C10" i="12" s="1"/>
  <c r="E62" i="25"/>
  <c r="AJ60" i="25"/>
  <c r="AG62" i="30"/>
  <c r="AJ74" i="27"/>
  <c r="AJ79" i="26"/>
  <c r="AL70" i="26" s="1"/>
  <c r="N5" i="12" s="1"/>
  <c r="N12" i="12" s="1"/>
  <c r="AK51" i="28"/>
  <c r="L3" i="12" s="1"/>
  <c r="L10" i="12" s="1"/>
  <c r="AI61" i="23"/>
  <c r="AK71" i="23" s="1"/>
  <c r="Q4" i="12" s="1"/>
  <c r="Q11" i="12" s="1"/>
  <c r="AI74" i="21"/>
  <c r="AK71" i="21" s="1"/>
  <c r="S4" i="12" s="1"/>
  <c r="S11" i="12" s="1"/>
  <c r="T9" i="12"/>
  <c r="T13" i="12" s="1"/>
  <c r="T6" i="12"/>
  <c r="E63" i="8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Q63" i="8" s="1"/>
  <c r="R63" i="8" s="1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D63" i="8" s="1"/>
  <c r="AE63" i="8" s="1"/>
  <c r="AF63" i="8" s="1"/>
  <c r="AG63" i="8" s="1"/>
  <c r="AI61" i="8"/>
  <c r="AK55" i="8" s="1"/>
  <c r="E2" i="12" s="1"/>
  <c r="AI66" i="3"/>
  <c r="E74" i="3"/>
  <c r="AI74" i="3" s="1"/>
  <c r="AK56" i="3" s="1"/>
  <c r="AJ74" i="31"/>
  <c r="AJ80" i="31"/>
  <c r="AL56" i="31" s="1"/>
  <c r="I5" i="12" s="1"/>
  <c r="AI60" i="28"/>
  <c r="AI62" i="28" s="1"/>
  <c r="AJ75" i="31"/>
  <c r="AJ61" i="29"/>
  <c r="AJ63" i="29" s="1"/>
  <c r="E63" i="29"/>
  <c r="AG61" i="30"/>
  <c r="AG63" i="30" s="1"/>
  <c r="AJ74" i="17"/>
  <c r="AL71" i="17" s="1"/>
  <c r="W4" i="12" s="1"/>
  <c r="W11" i="12" s="1"/>
  <c r="AI62" i="10"/>
  <c r="AJ62" i="11"/>
  <c r="AJ75" i="6"/>
  <c r="AI61" i="14"/>
  <c r="AK71" i="14" s="1"/>
  <c r="Z4" i="12" s="1"/>
  <c r="Z11" i="12" s="1"/>
  <c r="AJ79" i="15"/>
  <c r="AL70" i="15" s="1"/>
  <c r="Y5" i="12" s="1"/>
  <c r="Y12" i="12" s="1"/>
  <c r="AJ60" i="20"/>
  <c r="AJ62" i="20" s="1"/>
  <c r="F9" i="12"/>
  <c r="F13" i="12" s="1"/>
  <c r="F6" i="12"/>
  <c r="E63" i="7"/>
  <c r="F63" i="7" s="1"/>
  <c r="G63" i="7" s="1"/>
  <c r="H63" i="7" s="1"/>
  <c r="I63" i="7" s="1"/>
  <c r="J63" i="7" s="1"/>
  <c r="K63" i="7" s="1"/>
  <c r="L63" i="7" s="1"/>
  <c r="M63" i="7" s="1"/>
  <c r="N63" i="7" s="1"/>
  <c r="O63" i="7" s="1"/>
  <c r="P63" i="7" s="1"/>
  <c r="Q63" i="7" s="1"/>
  <c r="R63" i="7" s="1"/>
  <c r="S63" i="7" s="1"/>
  <c r="T63" i="7" s="1"/>
  <c r="U63" i="7" s="1"/>
  <c r="V63" i="7" s="1"/>
  <c r="W63" i="7" s="1"/>
  <c r="X63" i="7" s="1"/>
  <c r="Y63" i="7" s="1"/>
  <c r="Z63" i="7" s="1"/>
  <c r="AA63" i="7" s="1"/>
  <c r="AB63" i="7" s="1"/>
  <c r="AC63" i="7" s="1"/>
  <c r="AD63" i="7" s="1"/>
  <c r="AE63" i="7" s="1"/>
  <c r="AF63" i="7" s="1"/>
  <c r="AG63" i="7" s="1"/>
  <c r="AJ61" i="7"/>
  <c r="AL56" i="7" s="1"/>
  <c r="D2" i="12" s="1"/>
  <c r="E63" i="6"/>
  <c r="F63" i="6" s="1"/>
  <c r="G63" i="6" s="1"/>
  <c r="H63" i="6" s="1"/>
  <c r="I63" i="6" s="1"/>
  <c r="J63" i="6" s="1"/>
  <c r="K63" i="6" s="1"/>
  <c r="L63" i="6" s="1"/>
  <c r="M63" i="6" s="1"/>
  <c r="N63" i="6" s="1"/>
  <c r="O63" i="6" s="1"/>
  <c r="P63" i="6" s="1"/>
  <c r="Q63" i="6" s="1"/>
  <c r="R63" i="6" s="1"/>
  <c r="S63" i="6" s="1"/>
  <c r="T63" i="6" s="1"/>
  <c r="U63" i="6" s="1"/>
  <c r="V63" i="6" s="1"/>
  <c r="W63" i="6" s="1"/>
  <c r="X63" i="6" s="1"/>
  <c r="Y63" i="6" s="1"/>
  <c r="Z63" i="6" s="1"/>
  <c r="AA63" i="6" s="1"/>
  <c r="AB63" i="6" s="1"/>
  <c r="AC63" i="6" s="1"/>
  <c r="AD63" i="6" s="1"/>
  <c r="AE63" i="6" s="1"/>
  <c r="AF63" i="6" s="1"/>
  <c r="AG63" i="6" s="1"/>
  <c r="AJ61" i="6"/>
  <c r="AL61" i="6" s="1"/>
  <c r="C2" i="12" s="1"/>
  <c r="J6" i="12"/>
  <c r="F11" i="1" s="1"/>
  <c r="H11" i="1" s="1"/>
  <c r="J9" i="12"/>
  <c r="AJ73" i="26"/>
  <c r="AL69" i="26" s="1"/>
  <c r="N3" i="12" s="1"/>
  <c r="N10" i="12" s="1"/>
  <c r="AJ61" i="25"/>
  <c r="AJ73" i="24"/>
  <c r="AL69" i="24" s="1"/>
  <c r="P3" i="12" s="1"/>
  <c r="P10" i="12" s="1"/>
  <c r="AJ61" i="24"/>
  <c r="AL71" i="24" s="1"/>
  <c r="P4" i="12" s="1"/>
  <c r="P11" i="12" s="1"/>
  <c r="AJ74" i="19"/>
  <c r="AJ61" i="20"/>
  <c r="AJ61" i="2"/>
  <c r="AL61" i="2" s="1"/>
  <c r="E63" i="2"/>
  <c r="F63" i="2" s="1"/>
  <c r="G63" i="2" s="1"/>
  <c r="H63" i="2" s="1"/>
  <c r="I63" i="2" s="1"/>
  <c r="J63" i="2" s="1"/>
  <c r="K63" i="2" s="1"/>
  <c r="L63" i="2" s="1"/>
  <c r="M63" i="2" s="1"/>
  <c r="N63" i="2" s="1"/>
  <c r="O63" i="2" s="1"/>
  <c r="P63" i="2" s="1"/>
  <c r="Q63" i="2" s="1"/>
  <c r="R63" i="2" s="1"/>
  <c r="S63" i="2" s="1"/>
  <c r="T63" i="2" s="1"/>
  <c r="U63" i="2" s="1"/>
  <c r="V63" i="2" s="1"/>
  <c r="W63" i="2" s="1"/>
  <c r="X63" i="2" s="1"/>
  <c r="Y63" i="2" s="1"/>
  <c r="Z63" i="2" s="1"/>
  <c r="AA63" i="2" s="1"/>
  <c r="AB63" i="2" s="1"/>
  <c r="AC63" i="2" s="1"/>
  <c r="AD63" i="2" s="1"/>
  <c r="AE63" i="2" s="1"/>
  <c r="AF63" i="2" s="1"/>
  <c r="AG63" i="2" s="1"/>
  <c r="AI80" i="3"/>
  <c r="AK57" i="3" s="1"/>
  <c r="E62" i="3"/>
  <c r="AI62" i="3" s="1"/>
  <c r="AI60" i="23"/>
  <c r="E62" i="23"/>
  <c r="AJ60" i="17"/>
  <c r="H62" i="17"/>
  <c r="AJ73" i="25"/>
  <c r="AL69" i="25" s="1"/>
  <c r="O3" i="12" s="1"/>
  <c r="O10" i="12" s="1"/>
  <c r="AJ61" i="26"/>
  <c r="AJ79" i="27"/>
  <c r="AL71" i="27" s="1"/>
  <c r="M5" i="12" s="1"/>
  <c r="M12" i="12" s="1"/>
  <c r="AJ60" i="19"/>
  <c r="AL68" i="19" s="1"/>
  <c r="U2" i="12" s="1"/>
  <c r="AJ61" i="17"/>
  <c r="AJ61" i="19"/>
  <c r="AJ62" i="19"/>
  <c r="AJ74" i="15"/>
  <c r="AI80" i="10"/>
  <c r="AK56" i="10" s="1"/>
  <c r="G5" i="12" s="1"/>
  <c r="AJ62" i="9"/>
  <c r="AI75" i="3"/>
  <c r="B22" i="1"/>
  <c r="AJ79" i="24"/>
  <c r="AL70" i="24" s="1"/>
  <c r="P5" i="12" s="1"/>
  <c r="P12" i="12" s="1"/>
  <c r="AI60" i="21"/>
  <c r="E62" i="21"/>
  <c r="U10" i="12"/>
  <c r="AI61" i="16"/>
  <c r="AJ61" i="27"/>
  <c r="AL72" i="27" s="1"/>
  <c r="M4" i="12" s="1"/>
  <c r="M11" i="12" s="1"/>
  <c r="AJ62" i="29"/>
  <c r="AJ74" i="26"/>
  <c r="AJ60" i="26"/>
  <c r="AJ73" i="22"/>
  <c r="AL69" i="22" s="1"/>
  <c r="R3" i="12" s="1"/>
  <c r="R10" i="12" s="1"/>
  <c r="AI74" i="16"/>
  <c r="AK71" i="16" s="1"/>
  <c r="X4" i="12" s="1"/>
  <c r="X11" i="12" s="1"/>
  <c r="AI73" i="16"/>
  <c r="AK69" i="16" s="1"/>
  <c r="X3" i="12" s="1"/>
  <c r="X10" i="12" s="1"/>
  <c r="AJ79" i="20"/>
  <c r="E63" i="11"/>
  <c r="AJ61" i="11"/>
  <c r="AJ63" i="11" s="1"/>
  <c r="AI61" i="10"/>
  <c r="AI63" i="10" s="1"/>
  <c r="E63" i="10"/>
  <c r="AI80" i="8"/>
  <c r="AK57" i="8" s="1"/>
  <c r="E5" i="12" s="1"/>
  <c r="E12" i="12" s="1"/>
  <c r="AG80" i="30"/>
  <c r="AI56" i="30" s="1"/>
  <c r="J5" i="12" s="1"/>
  <c r="J12" i="12" s="1"/>
  <c r="AJ60" i="24"/>
  <c r="AI73" i="23"/>
  <c r="AK69" i="23" s="1"/>
  <c r="Q3" i="12" s="1"/>
  <c r="Q10" i="12" s="1"/>
  <c r="AJ74" i="20"/>
  <c r="AG79" i="18"/>
  <c r="AI70" i="18" s="1"/>
  <c r="V5" i="12" s="1"/>
  <c r="V12" i="12" s="1"/>
  <c r="AJ73" i="17"/>
  <c r="AL69" i="17" s="1"/>
  <c r="W3" i="12" s="1"/>
  <c r="W10" i="12" s="1"/>
  <c r="AJ79" i="13"/>
  <c r="AL70" i="13" s="1"/>
  <c r="AA5" i="12" s="1"/>
  <c r="AA12" i="12" s="1"/>
  <c r="AJ80" i="11"/>
  <c r="AL56" i="11" s="1"/>
  <c r="H5" i="12" s="1"/>
  <c r="H12" i="12" s="1"/>
  <c r="H13" i="12" s="1"/>
  <c r="AJ60" i="13"/>
  <c r="E62" i="13"/>
  <c r="AJ75" i="4"/>
  <c r="AI62" i="5"/>
  <c r="E63" i="31"/>
  <c r="AJ61" i="31"/>
  <c r="AJ63" i="31" s="1"/>
  <c r="AJ74" i="25"/>
  <c r="AL71" i="25" s="1"/>
  <c r="O4" i="12" s="1"/>
  <c r="O11" i="12" s="1"/>
  <c r="AJ60" i="22"/>
  <c r="E62" i="22"/>
  <c r="AI60" i="16"/>
  <c r="H62" i="16"/>
  <c r="AJ79" i="17"/>
  <c r="AL70" i="17" s="1"/>
  <c r="W5" i="12" s="1"/>
  <c r="W12" i="12" s="1"/>
  <c r="AI62" i="8"/>
  <c r="AK58" i="8" s="1"/>
  <c r="E4" i="12" s="1"/>
  <c r="E11" i="12" s="1"/>
  <c r="AJ61" i="15"/>
  <c r="AJ61" i="9"/>
  <c r="AJ63" i="9" s="1"/>
  <c r="AI71" i="18"/>
  <c r="V4" i="12" s="1"/>
  <c r="V11" i="12" s="1"/>
  <c r="AJ73" i="15"/>
  <c r="AL69" i="15" s="1"/>
  <c r="Y3" i="12" s="1"/>
  <c r="Y10" i="12" s="1"/>
  <c r="AJ62" i="6"/>
  <c r="AL64" i="6" s="1"/>
  <c r="C4" i="12" s="1"/>
  <c r="C11" i="12" s="1"/>
  <c r="AJ62" i="2"/>
  <c r="AG73" i="18"/>
  <c r="AI69" i="18" s="1"/>
  <c r="V3" i="12" s="1"/>
  <c r="V10" i="12" s="1"/>
  <c r="E62" i="18"/>
  <c r="AG62" i="18" s="1"/>
  <c r="AG60" i="18"/>
  <c r="AI68" i="18" s="1"/>
  <c r="V2" i="12" s="1"/>
  <c r="AJ60" i="15"/>
  <c r="AJ75" i="9"/>
  <c r="AI75" i="5"/>
  <c r="AJ62" i="4"/>
  <c r="AL64" i="4" s="1"/>
  <c r="E61" i="3"/>
  <c r="AJ75" i="29"/>
  <c r="AJ73" i="27"/>
  <c r="AL70" i="27" s="1"/>
  <c r="M3" i="12" s="1"/>
  <c r="M10" i="12" s="1"/>
  <c r="AJ60" i="27"/>
  <c r="E62" i="27"/>
  <c r="AI79" i="23"/>
  <c r="AK70" i="23" s="1"/>
  <c r="Q5" i="12" s="1"/>
  <c r="Q12" i="12" s="1"/>
  <c r="AI79" i="16"/>
  <c r="AK70" i="16" s="1"/>
  <c r="X5" i="12" s="1"/>
  <c r="X12" i="12" s="1"/>
  <c r="AI73" i="14"/>
  <c r="AK69" i="14" s="1"/>
  <c r="Z3" i="12" s="1"/>
  <c r="Z10" i="12" s="1"/>
  <c r="AI74" i="8"/>
  <c r="AK56" i="8" s="1"/>
  <c r="E3" i="12" s="1"/>
  <c r="E10" i="12" s="1"/>
  <c r="AJ61" i="13"/>
  <c r="AJ75" i="2"/>
  <c r="AI79" i="14"/>
  <c r="AK70" i="14" s="1"/>
  <c r="Z5" i="12" s="1"/>
  <c r="Z12" i="12" s="1"/>
  <c r="AJ61" i="4"/>
  <c r="AL61" i="4" s="1"/>
  <c r="E63" i="4"/>
  <c r="F63" i="4" s="1"/>
  <c r="G63" i="4" s="1"/>
  <c r="H63" i="4" s="1"/>
  <c r="I63" i="4" s="1"/>
  <c r="J63" i="4" s="1"/>
  <c r="K63" i="4" s="1"/>
  <c r="L63" i="4" s="1"/>
  <c r="M63" i="4" s="1"/>
  <c r="N63" i="4" s="1"/>
  <c r="O63" i="4" s="1"/>
  <c r="P63" i="4" s="1"/>
  <c r="Q63" i="4" s="1"/>
  <c r="R63" i="4" s="1"/>
  <c r="S63" i="4" s="1"/>
  <c r="T63" i="4" s="1"/>
  <c r="U63" i="4" s="1"/>
  <c r="V63" i="4" s="1"/>
  <c r="W63" i="4" s="1"/>
  <c r="X63" i="4" s="1"/>
  <c r="Y63" i="4" s="1"/>
  <c r="Z63" i="4" s="1"/>
  <c r="AA63" i="4" s="1"/>
  <c r="AB63" i="4" s="1"/>
  <c r="AC63" i="4" s="1"/>
  <c r="AD63" i="4" s="1"/>
  <c r="AE63" i="4" s="1"/>
  <c r="AF63" i="4" s="1"/>
  <c r="AG63" i="4" s="1"/>
  <c r="K6" i="12"/>
  <c r="F12" i="1" s="1"/>
  <c r="H12" i="1" s="1"/>
  <c r="AL68" i="13" l="1"/>
  <c r="AA2" i="12" s="1"/>
  <c r="AJ62" i="13"/>
  <c r="AL71" i="13"/>
  <c r="AA4" i="12" s="1"/>
  <c r="AA11" i="12" s="1"/>
  <c r="AK68" i="23"/>
  <c r="Q2" i="12" s="1"/>
  <c r="AI62" i="23"/>
  <c r="C6" i="12"/>
  <c r="C9" i="12"/>
  <c r="C13" i="12" s="1"/>
  <c r="H6" i="12"/>
  <c r="AJ63" i="6"/>
  <c r="AH63" i="6"/>
  <c r="AI63" i="6" s="1"/>
  <c r="AK58" i="3"/>
  <c r="D6" i="12"/>
  <c r="D9" i="12"/>
  <c r="D13" i="12" s="1"/>
  <c r="AJ62" i="15"/>
  <c r="AL68" i="15"/>
  <c r="Y2" i="12" s="1"/>
  <c r="AI62" i="16"/>
  <c r="AK68" i="16"/>
  <c r="X2" i="12" s="1"/>
  <c r="AJ62" i="26"/>
  <c r="AL68" i="26"/>
  <c r="N2" i="12" s="1"/>
  <c r="AL71" i="15"/>
  <c r="Y4" i="12" s="1"/>
  <c r="Y11" i="12" s="1"/>
  <c r="AJ63" i="7"/>
  <c r="AH63" i="7"/>
  <c r="AI63" i="7" s="1"/>
  <c r="G12" i="12"/>
  <c r="G13" i="12" s="1"/>
  <c r="G6" i="12"/>
  <c r="V6" i="12"/>
  <c r="G11" i="1" s="1"/>
  <c r="I11" i="1" s="1"/>
  <c r="J11" i="1" s="1"/>
  <c r="V9" i="12"/>
  <c r="V13" i="12" s="1"/>
  <c r="AL71" i="26"/>
  <c r="N4" i="12" s="1"/>
  <c r="N11" i="12" s="1"/>
  <c r="AJ63" i="2"/>
  <c r="AH63" i="2"/>
  <c r="AI63" i="2" s="1"/>
  <c r="AJ62" i="22"/>
  <c r="AL68" i="22"/>
  <c r="R2" i="12" s="1"/>
  <c r="B24" i="1"/>
  <c r="I12" i="12"/>
  <c r="I13" i="12" s="1"/>
  <c r="I6" i="12"/>
  <c r="F10" i="1" s="1"/>
  <c r="AL68" i="25"/>
  <c r="O2" i="12" s="1"/>
  <c r="AJ62" i="25"/>
  <c r="AH63" i="4"/>
  <c r="AI63" i="4" s="1"/>
  <c r="AJ63" i="4"/>
  <c r="AL68" i="24"/>
  <c r="P2" i="12" s="1"/>
  <c r="AJ62" i="24"/>
  <c r="AL64" i="2"/>
  <c r="U6" i="12"/>
  <c r="G10" i="1" s="1"/>
  <c r="U9" i="12"/>
  <c r="AL71" i="19"/>
  <c r="U4" i="12" s="1"/>
  <c r="D22" i="1"/>
  <c r="F22" i="1"/>
  <c r="AI63" i="5"/>
  <c r="AH63" i="5"/>
  <c r="B23" i="1"/>
  <c r="C24" i="1"/>
  <c r="AK58" i="5"/>
  <c r="AH63" i="8"/>
  <c r="AI63" i="8"/>
  <c r="E6" i="12"/>
  <c r="E9" i="12"/>
  <c r="E13" i="12" s="1"/>
  <c r="AI62" i="21"/>
  <c r="AK68" i="21"/>
  <c r="S2" i="12" s="1"/>
  <c r="L13" i="12"/>
  <c r="C22" i="1"/>
  <c r="AJ62" i="27"/>
  <c r="AL69" i="27"/>
  <c r="M2" i="12" s="1"/>
  <c r="E63" i="3"/>
  <c r="F63" i="3" s="1"/>
  <c r="G63" i="3" s="1"/>
  <c r="H63" i="3" s="1"/>
  <c r="I63" i="3" s="1"/>
  <c r="J63" i="3" s="1"/>
  <c r="K63" i="3" s="1"/>
  <c r="L63" i="3" s="1"/>
  <c r="M63" i="3" s="1"/>
  <c r="N63" i="3" s="1"/>
  <c r="O63" i="3" s="1"/>
  <c r="P63" i="3" s="1"/>
  <c r="Q63" i="3" s="1"/>
  <c r="R63" i="3" s="1"/>
  <c r="S63" i="3" s="1"/>
  <c r="T63" i="3" s="1"/>
  <c r="U63" i="3" s="1"/>
  <c r="V63" i="3" s="1"/>
  <c r="W63" i="3" s="1"/>
  <c r="X63" i="3" s="1"/>
  <c r="Y63" i="3" s="1"/>
  <c r="Z63" i="3" s="1"/>
  <c r="AA63" i="3" s="1"/>
  <c r="AB63" i="3" s="1"/>
  <c r="AC63" i="3" s="1"/>
  <c r="AD63" i="3" s="1"/>
  <c r="AE63" i="3" s="1"/>
  <c r="AF63" i="3" s="1"/>
  <c r="AG63" i="3" s="1"/>
  <c r="AI61" i="3"/>
  <c r="AK55" i="3" s="1"/>
  <c r="AL68" i="17"/>
  <c r="W2" i="12" s="1"/>
  <c r="AJ62" i="17"/>
  <c r="J13" i="12"/>
  <c r="AI62" i="14"/>
  <c r="AK68" i="14"/>
  <c r="Z2" i="12" s="1"/>
  <c r="L6" i="12"/>
  <c r="F13" i="1" s="1"/>
  <c r="H13" i="1" s="1"/>
  <c r="I10" i="1" l="1"/>
  <c r="J10" i="1" s="1"/>
  <c r="P9" i="12"/>
  <c r="P13" i="12" s="1"/>
  <c r="P6" i="12"/>
  <c r="Z6" i="12"/>
  <c r="G15" i="1" s="1"/>
  <c r="I15" i="1" s="1"/>
  <c r="Z9" i="12"/>
  <c r="Z13" i="12" s="1"/>
  <c r="W6" i="12"/>
  <c r="G12" i="1" s="1"/>
  <c r="I12" i="1" s="1"/>
  <c r="J12" i="1" s="1"/>
  <c r="W9" i="12"/>
  <c r="W13" i="12" s="1"/>
  <c r="G24" i="1"/>
  <c r="E24" i="1"/>
  <c r="F23" i="1"/>
  <c r="AI63" i="3"/>
  <c r="AH63" i="3"/>
  <c r="O9" i="12"/>
  <c r="O13" i="12" s="1"/>
  <c r="O6" i="12"/>
  <c r="F16" i="1" s="1"/>
  <c r="H16" i="1" s="1"/>
  <c r="H10" i="1"/>
  <c r="N9" i="12"/>
  <c r="N13" i="12" s="1"/>
  <c r="N6" i="12"/>
  <c r="F15" i="1" s="1"/>
  <c r="H15" i="1" s="1"/>
  <c r="G22" i="1"/>
  <c r="I22" i="1" s="1"/>
  <c r="E22" i="1"/>
  <c r="F24" i="1"/>
  <c r="H24" i="1" s="1"/>
  <c r="D24" i="1"/>
  <c r="Q6" i="12"/>
  <c r="Q9" i="12"/>
  <c r="Q13" i="12" s="1"/>
  <c r="U11" i="12"/>
  <c r="U13" i="12" s="1"/>
  <c r="C23" i="1"/>
  <c r="D23" i="1" s="1"/>
  <c r="R9" i="12"/>
  <c r="R13" i="12" s="1"/>
  <c r="R6" i="12"/>
  <c r="X6" i="12"/>
  <c r="G13" i="1" s="1"/>
  <c r="I13" i="1" s="1"/>
  <c r="J13" i="1" s="1"/>
  <c r="X9" i="12"/>
  <c r="X13" i="12" s="1"/>
  <c r="M6" i="12"/>
  <c r="F14" i="1" s="1"/>
  <c r="H14" i="1" s="1"/>
  <c r="M9" i="12"/>
  <c r="M13" i="12" s="1"/>
  <c r="B21" i="1"/>
  <c r="S9" i="12"/>
  <c r="S13" i="12" s="1"/>
  <c r="S6" i="12"/>
  <c r="C21" i="1"/>
  <c r="Y6" i="12"/>
  <c r="G14" i="1" s="1"/>
  <c r="I14" i="1" s="1"/>
  <c r="J14" i="1" s="1"/>
  <c r="Y9" i="12"/>
  <c r="Y13" i="12" s="1"/>
  <c r="AA6" i="12"/>
  <c r="G16" i="1" s="1"/>
  <c r="I16" i="1" s="1"/>
  <c r="AA9" i="12"/>
  <c r="AA13" i="12" s="1"/>
  <c r="G21" i="1" l="1"/>
  <c r="C25" i="1"/>
  <c r="E21" i="1"/>
  <c r="I24" i="1"/>
  <c r="D21" i="1"/>
  <c r="F21" i="1"/>
  <c r="B25" i="1"/>
  <c r="D25" i="1" s="1"/>
  <c r="H5" i="1" s="1"/>
  <c r="J15" i="1"/>
  <c r="H22" i="1"/>
  <c r="F17" i="1"/>
  <c r="H17" i="1" s="1"/>
  <c r="J16" i="1"/>
  <c r="G23" i="1"/>
  <c r="I23" i="1" s="1"/>
  <c r="E23" i="1"/>
  <c r="G17" i="1"/>
  <c r="I17" i="1" s="1"/>
  <c r="F25" i="1" l="1"/>
  <c r="H21" i="1"/>
  <c r="E25" i="1"/>
  <c r="H23" i="1"/>
  <c r="J17" i="1"/>
  <c r="C5" i="1" s="1"/>
  <c r="A5" i="1"/>
  <c r="I21" i="1"/>
  <c r="G25" i="1"/>
  <c r="I25" i="1" s="1"/>
  <c r="H25" i="1" l="1"/>
  <c r="E5" i="1" s="1"/>
</calcChain>
</file>

<file path=xl/sharedStrings.xml><?xml version="1.0" encoding="utf-8"?>
<sst xmlns="http://schemas.openxmlformats.org/spreadsheetml/2006/main" count="7605" uniqueCount="181">
  <si>
    <t>Sr.No.</t>
  </si>
  <si>
    <t>Consumption</t>
  </si>
  <si>
    <t>July'24</t>
  </si>
  <si>
    <t>Aug'24</t>
  </si>
  <si>
    <t>Sept'24</t>
  </si>
  <si>
    <t>Oct'24</t>
  </si>
  <si>
    <t>Nov'24</t>
  </si>
  <si>
    <t>Dec'24</t>
  </si>
  <si>
    <t>Jan'25</t>
  </si>
  <si>
    <t>Feb'25</t>
  </si>
  <si>
    <t>Mar'25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</si>
  <si>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</si>
  <si>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</si>
  <si>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</si>
  <si>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</si>
  <si>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</si>
  <si>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</si>
  <si>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</si>
  <si>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</si>
  <si>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</si>
  <si>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EB</t>
  </si>
  <si>
    <t>AHU</t>
  </si>
  <si>
    <t>DG</t>
  </si>
  <si>
    <t>BTU</t>
  </si>
  <si>
    <t>Total</t>
  </si>
  <si>
    <t>Cost</t>
  </si>
  <si>
    <t>Jan-26 to june 26</t>
  </si>
  <si>
    <t>Saving</t>
  </si>
  <si>
    <t>Jan-25 to june -25</t>
  </si>
  <si>
    <t>DT-3 ENERGY CONSUMPTION &amp; EPI PERFORMANCE DASHBOARD (JAN - JUL 2025 vs 2026)</t>
  </si>
  <si>
    <t>2026 JAN-JUL AVG EPI</t>
  </si>
  <si>
    <t>EPI VARIANCE (vs 2025)</t>
  </si>
  <si>
    <t>NET YTD COST SAVINGS</t>
  </si>
  <si>
    <t>NET YTD ENERGY SAVED</t>
  </si>
  <si>
    <t>Status: Best-in-Class / Efficient</t>
  </si>
  <si>
    <t>Improved YTD Performance</t>
  </si>
  <si>
    <t>Jan–July 2026 vs 2025</t>
  </si>
  <si>
    <t>Facility Energy Reduction</t>
  </si>
  <si>
    <t>1. EPI PERFORMANCE LEVEL BENCHMARK STANDARDS (kWh/m²/year)</t>
  </si>
  <si>
    <t>2. DT3 MONTHLY ENERGY CONSUMPTION &amp; EPI TREND (2025 vs 2026 INCL. JULY)</t>
  </si>
  <si>
    <t>Performance Level</t>
  </si>
  <si>
    <t>EPI Range (kWh/m²/yr)</t>
  </si>
  <si>
    <t>Status Category</t>
  </si>
  <si>
    <t>Facility Benchmark Target</t>
  </si>
  <si>
    <t>Month</t>
  </si>
  <si>
    <t>2025 Cons (kWh)</t>
  </si>
  <si>
    <t>2026 Cons (kWh)</t>
  </si>
  <si>
    <t>2025 EPI (kWh/m²/yr)</t>
  </si>
  <si>
    <t>2026 EPI (kWh/m²/yr)</t>
  </si>
  <si>
    <t>Variance (EPI)</t>
  </si>
  <si>
    <t>Average</t>
  </si>
  <si>
    <t>160 – 200</t>
  </si>
  <si>
    <t>Typical Office</t>
  </si>
  <si>
    <t>Standard Commercial Building</t>
  </si>
  <si>
    <t>Jan</t>
  </si>
  <si>
    <t>Good</t>
  </si>
  <si>
    <t>120 – 150</t>
  </si>
  <si>
    <t>Efficient Office</t>
  </si>
  <si>
    <t>Energy Efficient Facility Target</t>
  </si>
  <si>
    <t>Feb</t>
  </si>
  <si>
    <t>Excellent</t>
  </si>
  <si>
    <t>Below 120</t>
  </si>
  <si>
    <t>Best-in-Class</t>
  </si>
  <si>
    <t>DT3 Operational Target (&lt;120)</t>
  </si>
  <si>
    <t>Mar</t>
  </si>
  <si>
    <t>Apr</t>
  </si>
  <si>
    <t>May</t>
  </si>
  <si>
    <t>Jun</t>
  </si>
  <si>
    <t>Jul</t>
  </si>
  <si>
    <t>Jan-Jul AVERAGE</t>
  </si>
  <si>
    <t>3. YoY SAVINGS &amp; COMPARATIVE PERFORMANCE ANALYSIS TABLE (JAN - JUL 2025 vs 2026)</t>
  </si>
  <si>
    <t>Energy Component</t>
  </si>
  <si>
    <t>kWh Savings</t>
  </si>
  <si>
    <t>% Change (kWh)</t>
  </si>
  <si>
    <t>2025 Cost (₹)</t>
  </si>
  <si>
    <t>2026 Cost (₹)</t>
  </si>
  <si>
    <t>Net Cost Savings (₹)</t>
  </si>
  <si>
    <t>% Cost Savings</t>
  </si>
  <si>
    <t>Operational Analysis &amp; Savings Justification</t>
  </si>
  <si>
    <t>EB Electricity (kWh)</t>
  </si>
  <si>
    <t>23,622 kWh EB Savings (-6.2%) achieved YTD via efficiency</t>
  </si>
  <si>
    <t>AHU HVAC Power (kWh)</t>
  </si>
  <si>
    <t>Transitioned to 12*5.5 KAM model from May (saved ~4,035 kWh/mo)</t>
  </si>
  <si>
    <t>DG Backup Power (kWh)</t>
  </si>
  <si>
    <t>DG run hours reduced by 37.8% due to higher utility grid stability</t>
  </si>
  <si>
    <t>BTU Cooling Load (kWh)</t>
  </si>
  <si>
    <t>BTU cooling load energy reduced by 35,641 kWh (-18.3%) saving ₹3.83L</t>
  </si>
  <si>
    <t>Total Facility (Jan-Jul)</t>
  </si>
  <si>
    <t>Total Jan–July facility energy cost reduced by ₹5.45L (-9.8%)</t>
  </si>
  <si>
    <t>4. KEY OPERATIONAL INSIGHTS &amp; SAVINGS JUSTIFICATION (DT3)</t>
  </si>
  <si>
    <t>• Operational Model Transition:</t>
  </si>
  <si>
    <t>Prior to May, DT3 AHUs operated on a 24*7 running schedule. From May onwards, DT3 transitioned to a 12*5.5 KAM model (12 hrs/day, 5.5 days/week), discontinuing night operations and weekend shifts.</t>
  </si>
  <si>
    <t>• Hours &amp; Energy Saved:</t>
  </si>
  <si>
    <t>Switching to the 12*5.5 KAM model saved ~12 hrs/day on weekdays and full weekends (~434 operating hrs/mo per AHU, totaling ~1,736 AHU hrs/mo saved). Monthly AHU consumption dropped from 10,301 kWh in April to 6,266 kWh in May (saved 4,035 kWh / -39.2%), 7,682 kWh in June, and 8,308 kWh in July.</t>
  </si>
  <si>
    <t>• EPI Trend Justification (vs 2025):</t>
  </si>
  <si>
    <t>Annualized EPI dropped significantly YTD (May EPI: 100.42 vs 123.85 in 2025, -18.9%; June EPI: 108.28 vs 139.05 in 2025, -22.1%; July EPI: 147.21 vs 150.36 in 2025). Overall Jan–Jul average EPI improved from 119.36 to 110.39 kWh/m²/yr (-7.5%), maintaining Best-in-Class status (&lt;120 kWh/m²/yr).</t>
  </si>
  <si>
    <t>• YTD Cost Savings:</t>
  </si>
  <si>
    <t>Total Jan–July energy cost fell from ₹55.51L in 2025 to ₹50.06L in 2026, delivering ₹5.45L (-9.8%) cost savings YTD.</t>
  </si>
  <si>
    <t>March -  2024</t>
  </si>
  <si>
    <t>Sr.No</t>
  </si>
  <si>
    <t>Location</t>
  </si>
  <si>
    <t>Meter</t>
  </si>
  <si>
    <t>Previous Reading</t>
  </si>
  <si>
    <t>Fri</t>
  </si>
  <si>
    <t>Sat</t>
  </si>
  <si>
    <t>Sun</t>
  </si>
  <si>
    <t>Mon</t>
  </si>
  <si>
    <t>Tue</t>
  </si>
  <si>
    <t>Wed</t>
  </si>
  <si>
    <t>Thu</t>
  </si>
  <si>
    <t>Time</t>
  </si>
  <si>
    <t>SL No 540430038840 (EB Unit)</t>
  </si>
  <si>
    <t>SL No 540430038845 (EB Unit)</t>
  </si>
  <si>
    <t>SL No 540430038844 (EB Unit)</t>
  </si>
  <si>
    <t>SL No 540430038821 (EB Unit)</t>
  </si>
  <si>
    <t>SL No 540430038849 (EB Unit)</t>
  </si>
  <si>
    <t>SL No 540430038696 (EB Unit)</t>
  </si>
  <si>
    <t>SL No 540430038843 (EB Unit)</t>
  </si>
  <si>
    <t>SL No 540430038848 (EB Unit)</t>
  </si>
  <si>
    <t>AHU1</t>
  </si>
  <si>
    <t>AHU2</t>
  </si>
  <si>
    <t>AHU3</t>
  </si>
  <si>
    <t>AHU4</t>
  </si>
  <si>
    <t>AHU1 - BTU</t>
  </si>
  <si>
    <t>AHU2 - BTU</t>
  </si>
  <si>
    <t>AHU3 - BTU</t>
  </si>
  <si>
    <t>AHU4 - BTU</t>
  </si>
  <si>
    <t xml:space="preserve"> Daily Energy Report</t>
  </si>
  <si>
    <t>Electricity Consumption</t>
  </si>
  <si>
    <t>3F</t>
  </si>
  <si>
    <t>Total Power - EB Unit</t>
  </si>
  <si>
    <t>Total Power- DG</t>
  </si>
  <si>
    <t>Total Power Cumulative</t>
  </si>
  <si>
    <t>S No</t>
  </si>
  <si>
    <t>Total AHU Power Consumption</t>
  </si>
  <si>
    <t>Total AHU DG consumption</t>
  </si>
  <si>
    <t>Total BTU Consumption</t>
  </si>
  <si>
    <t>April - 2024</t>
  </si>
  <si>
    <t>May -  2024</t>
  </si>
  <si>
    <t>June -  2024</t>
  </si>
  <si>
    <t>July 2024</t>
  </si>
  <si>
    <t>August 2024</t>
  </si>
  <si>
    <t>SL No 540430038646 (EB Unit)</t>
  </si>
  <si>
    <t>September 2024</t>
  </si>
  <si>
    <t>October 2024</t>
  </si>
  <si>
    <t>November 2024</t>
  </si>
  <si>
    <t>December 2024</t>
  </si>
  <si>
    <t>JULY -  2026</t>
  </si>
  <si>
    <t>.</t>
  </si>
  <si>
    <t>JUNE - 2026    EV METER READING</t>
  </si>
  <si>
    <t>Basement:-2</t>
  </si>
  <si>
    <t>Liberty-170</t>
  </si>
  <si>
    <t>JUNE -  2026</t>
  </si>
  <si>
    <t>May -  2026</t>
  </si>
  <si>
    <t>May - 2026    EV METER READING</t>
  </si>
  <si>
    <t>April -  2026</t>
  </si>
  <si>
    <t>April - 2026    EV METER READING</t>
  </si>
  <si>
    <t>Mar -  2026</t>
  </si>
  <si>
    <t>Mar - 2026    EV METER READING</t>
  </si>
  <si>
    <t>FEB- 2026</t>
  </si>
  <si>
    <t>FEB- 2026    EV METER READING</t>
  </si>
  <si>
    <t>JAN- 2026</t>
  </si>
  <si>
    <t>JAN- 2026    EV METER READING</t>
  </si>
  <si>
    <t>DEC- 2025</t>
  </si>
  <si>
    <t>Nove- 2025    EV METER READING</t>
  </si>
  <si>
    <t>Nov- 2025</t>
  </si>
  <si>
    <t>Oct- 2025</t>
  </si>
  <si>
    <t>SEP- 2025</t>
  </si>
  <si>
    <t>AUG- 2025</t>
  </si>
  <si>
    <t>TUE</t>
  </si>
  <si>
    <t>WED</t>
  </si>
  <si>
    <t>THU</t>
  </si>
  <si>
    <t>FRI</t>
  </si>
  <si>
    <t>SAT</t>
  </si>
  <si>
    <t>SUN</t>
  </si>
  <si>
    <t>MON</t>
  </si>
  <si>
    <t>JULY- 2025</t>
  </si>
  <si>
    <t>JUNE - 2025</t>
  </si>
  <si>
    <t>MAY-2025</t>
  </si>
  <si>
    <t>APRIL-25</t>
  </si>
  <si>
    <t>MARCH-25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</si>
</sst>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"/>
    <numFmt numFmtId="165" formatCode="dd/mm/yy;@"/>
    <numFmt numFmtId="166" formatCode="[$-409]mmm\-yy;@"/>
    <numFmt numFmtId="167" formatCode="\-0.0%;\+0.0%;0.0%"/>
    <numFmt numFmtId="168" formatCode="#,##0&quot; kWh&quot;"/>
    <numFmt numFmtId="169" formatCode="0.00&quot; kWh/m²/yr&quot;"/>
    <numFmt numFmtId="170" formatCode="\₹#,##0.00"/>
    <numFmt numFmtId="171" formatCode="\+0.0%;\-0.0%;0.0%"/>
    <numFmt numFmtId="172" formatCode="\+#,##0;\-#,##0;0"/>
    <numFmt numFmtId="173" formatCode="\+\₹#,##0.00;\-\₹#,##0.00;\₹0.00"/>
  </numFmts>
  <fonts count="6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Inconsolata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6"/>
      <color rgb="FFFF0000"/>
      <name val="Calibri"/>
      <family val="2"/>
    </font>
    <font>
      <b/>
      <sz val="20"/>
      <color rgb="FFFF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name val="Calibri"/>
      <family val="2"/>
    </font>
    <font>
      <sz val="10"/>
      <color theme="1"/>
      <name val="Inconsolata"/>
    </font>
    <font>
      <b/>
      <sz val="10"/>
      <color rgb="FF000000"/>
      <name val="Inconsolata"/>
    </font>
    <font>
      <b/>
      <sz val="9"/>
      <name val="Calibri"/>
      <family val="2"/>
    </font>
    <font>
      <sz val="9"/>
      <color rgb="FF000000"/>
      <name val="Inconsolata"/>
    </font>
    <font>
      <b/>
      <sz val="9"/>
      <color rgb="FF000000"/>
      <name val="Inconsolata"/>
    </font>
    <font>
      <b/>
      <sz val="9"/>
      <color rgb="FFFF0000"/>
      <name val="Calibri"/>
      <family val="2"/>
    </font>
    <font>
      <sz val="9"/>
      <color theme="0"/>
      <name val="Calibri"/>
      <family val="2"/>
      <scheme val="minor"/>
    </font>
    <font>
      <sz val="10"/>
      <color rgb="FF000000"/>
      <name val="Futura Bk BT"/>
      <family val="2"/>
    </font>
    <font>
      <b/>
      <sz val="8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Inconsolata"/>
    </font>
    <font>
      <b/>
      <sz val="8"/>
      <color rgb="FFFF0000"/>
      <name val="Calibri"/>
      <family val="2"/>
    </font>
    <font>
      <b/>
      <sz val="14"/>
      <name val="Calibri"/>
      <family val="2"/>
    </font>
    <font>
      <sz val="11"/>
      <color rgb="FF000000"/>
      <name val="Inconsolata"/>
    </font>
    <font>
      <sz val="10"/>
      <name val="Segoe UI"/>
    </font>
    <font>
      <b/>
      <sz val="10"/>
      <name val="Segoe UI"/>
    </font>
    <font>
      <i/>
      <sz val="9"/>
      <name val="Segoe UI"/>
    </font>
    <font>
      <b/>
      <sz val="14"/>
      <color rgb="FFFFFFFF"/>
      <name val="Segoe UI"/>
    </font>
    <font>
      <b/>
      <sz val="9"/>
      <color rgb="FF595959"/>
      <name val="Segoe UI"/>
    </font>
    <font>
      <b/>
      <sz val="15"/>
      <color rgb="FF1F4E78"/>
      <name val="Segoe UI"/>
    </font>
    <font>
      <i/>
      <sz val="8"/>
      <color rgb="FF595959"/>
      <name val="Segoe UI"/>
    </font>
    <font>
      <b/>
      <sz val="10"/>
      <color rgb="FF1F4E78"/>
      <name val="Segoe UI"/>
    </font>
    <font>
      <b/>
      <sz val="10"/>
      <color rgb="FFFFFFFF"/>
      <name val="Segoe UI"/>
    </font>
    <font>
      <b/>
      <sz val="9"/>
      <color rgb="FF1F4E78"/>
      <name val="Segoe UI"/>
    </font>
  </fonts>
  <fills count="24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E5B8B7"/>
        <bgColor rgb="FFE5B8B7"/>
      </patternFill>
    </fill>
    <fill>
      <patternFill patternType="solid">
        <fgColor rgb="FF4BACC6"/>
        <bgColor rgb="FF4BACC6"/>
      </patternFill>
    </fill>
    <fill>
      <patternFill patternType="solid">
        <fgColor rgb="FF3399FF"/>
        <bgColor rgb="FF3399FF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3399FF"/>
      </patternFill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D9E1F2"/>
        <bgColor rgb="FFD9E1F2"/>
      </patternFill>
    </fill>
    <fill>
      <patternFill patternType="solid">
        <fgColor rgb="FF2F5597"/>
        <bgColor rgb="FF2F5597"/>
      </patternFill>
    </fill>
    <fill>
      <patternFill patternType="solid">
        <fgColor rgb="FFF9FAFC"/>
        <bgColor rgb="FFF9FAFC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E9EEF4"/>
        <bgColor rgb="FFE9EEF4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03">
    <xf numFmtId="0" fontId="0" fillId="0" borderId="0" xfId="0"/>
    <xf numFmtId="15" fontId="12" fillId="3" borderId="1" xfId="0" applyNumberFormat="1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4" borderId="1" xfId="0" applyFont="1" applyFill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1" fontId="14" fillId="0" borderId="7" xfId="0" applyNumberFormat="1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2" fontId="14" fillId="0" borderId="1" xfId="0" applyNumberFormat="1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wrapText="1"/>
    </xf>
    <xf numFmtId="164" fontId="14" fillId="0" borderId="7" xfId="0" applyNumberFormat="1" applyFont="1" applyBorder="1" applyAlignment="1">
      <alignment horizontal="center" wrapText="1"/>
    </xf>
    <xf numFmtId="2" fontId="8" fillId="0" borderId="0" xfId="0" applyNumberFormat="1" applyFont="1"/>
    <xf numFmtId="0" fontId="12" fillId="0" borderId="0" xfId="0" applyFont="1" applyAlignment="1">
      <alignment wrapText="1"/>
    </xf>
    <xf numFmtId="0" fontId="15" fillId="0" borderId="0" xfId="0" applyFont="1" applyAlignment="1">
      <alignment horizontal="center" wrapText="1"/>
    </xf>
    <xf numFmtId="0" fontId="12" fillId="0" borderId="1" xfId="0" applyFont="1" applyBorder="1" applyAlignment="1">
      <alignment wrapText="1"/>
    </xf>
    <xf numFmtId="0" fontId="12" fillId="5" borderId="1" xfId="0" applyFont="1" applyFill="1" applyBorder="1" applyAlignment="1">
      <alignment wrapText="1"/>
    </xf>
    <xf numFmtId="0" fontId="12" fillId="3" borderId="1" xfId="0" applyFont="1" applyFill="1" applyBorder="1" applyAlignment="1">
      <alignment horizontal="center" wrapText="1"/>
    </xf>
    <xf numFmtId="20" fontId="12" fillId="3" borderId="1" xfId="0" applyNumberFormat="1" applyFont="1" applyFill="1" applyBorder="1" applyAlignment="1">
      <alignment horizontal="center" wrapText="1"/>
    </xf>
    <xf numFmtId="1" fontId="17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0" fontId="12" fillId="6" borderId="1" xfId="0" applyFont="1" applyFill="1" applyBorder="1" applyAlignment="1">
      <alignment wrapText="1"/>
    </xf>
    <xf numFmtId="1" fontId="19" fillId="6" borderId="1" xfId="0" applyNumberFormat="1" applyFont="1" applyFill="1" applyBorder="1" applyAlignment="1">
      <alignment horizontal="center" vertical="center" wrapText="1"/>
    </xf>
    <xf numFmtId="1" fontId="18" fillId="7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1" fontId="12" fillId="0" borderId="1" xfId="0" applyNumberFormat="1" applyFont="1" applyBorder="1" applyAlignment="1">
      <alignment horizontal="center" wrapText="1"/>
    </xf>
    <xf numFmtId="0" fontId="19" fillId="5" borderId="1" xfId="0" applyFont="1" applyFill="1" applyBorder="1" applyAlignment="1">
      <alignment horizontal="center" wrapText="1"/>
    </xf>
    <xf numFmtId="0" fontId="19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wrapText="1"/>
    </xf>
    <xf numFmtId="2" fontId="17" fillId="0" borderId="1" xfId="0" applyNumberFormat="1" applyFont="1" applyBorder="1" applyAlignment="1">
      <alignment horizontal="center" wrapText="1"/>
    </xf>
    <xf numFmtId="1" fontId="14" fillId="0" borderId="1" xfId="0" applyNumberFormat="1" applyFont="1" applyBorder="1" applyAlignment="1">
      <alignment horizontal="center" wrapText="1"/>
    </xf>
    <xf numFmtId="164" fontId="14" fillId="0" borderId="1" xfId="0" applyNumberFormat="1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1" fontId="20" fillId="0" borderId="7" xfId="0" applyNumberFormat="1" applyFont="1" applyBorder="1" applyAlignment="1">
      <alignment horizontal="center" wrapText="1"/>
    </xf>
    <xf numFmtId="164" fontId="20" fillId="0" borderId="7" xfId="0" applyNumberFormat="1" applyFont="1" applyBorder="1" applyAlignment="1">
      <alignment horizontal="center" wrapText="1"/>
    </xf>
    <xf numFmtId="2" fontId="8" fillId="0" borderId="2" xfId="0" applyNumberFormat="1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0" fontId="0" fillId="0" borderId="14" xfId="0" applyBorder="1"/>
    <xf numFmtId="2" fontId="8" fillId="0" borderId="7" xfId="0" applyNumberFormat="1" applyFont="1" applyBorder="1" applyAlignment="1">
      <alignment horizontal="center" wrapText="1"/>
    </xf>
    <xf numFmtId="0" fontId="13" fillId="0" borderId="6" xfId="0" applyFont="1" applyBorder="1" applyAlignment="1">
      <alignment horizontal="center" wrapText="1"/>
    </xf>
    <xf numFmtId="165" fontId="12" fillId="3" borderId="1" xfId="0" applyNumberFormat="1" applyFont="1" applyFill="1" applyBorder="1" applyAlignment="1">
      <alignment horizontal="center" wrapText="1"/>
    </xf>
    <xf numFmtId="164" fontId="8" fillId="0" borderId="7" xfId="0" applyNumberFormat="1" applyFont="1" applyBorder="1" applyAlignment="1">
      <alignment horizontal="center" wrapText="1"/>
    </xf>
    <xf numFmtId="1" fontId="8" fillId="0" borderId="7" xfId="0" applyNumberFormat="1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2" fontId="14" fillId="0" borderId="7" xfId="0" applyNumberFormat="1" applyFont="1" applyBorder="1" applyAlignment="1">
      <alignment horizontal="center" wrapText="1"/>
    </xf>
    <xf numFmtId="0" fontId="0" fillId="0" borderId="0" xfId="0" applyAlignment="1">
      <alignment wrapText="1"/>
    </xf>
    <xf numFmtId="0" fontId="8" fillId="0" borderId="14" xfId="0" applyFont="1" applyBorder="1" applyAlignment="1">
      <alignment horizontal="center" wrapText="1"/>
    </xf>
    <xf numFmtId="0" fontId="13" fillId="0" borderId="7" xfId="0" applyFont="1" applyBorder="1" applyAlignment="1">
      <alignment horizontal="center" wrapText="1"/>
    </xf>
    <xf numFmtId="0" fontId="8" fillId="2" borderId="14" xfId="0" applyFont="1" applyFill="1" applyBorder="1" applyAlignment="1">
      <alignment wrapText="1"/>
    </xf>
    <xf numFmtId="165" fontId="12" fillId="3" borderId="14" xfId="0" applyNumberFormat="1" applyFont="1" applyFill="1" applyBorder="1" applyAlignment="1">
      <alignment horizontal="center" wrapText="1"/>
    </xf>
    <xf numFmtId="0" fontId="8" fillId="3" borderId="14" xfId="0" applyFont="1" applyFill="1" applyBorder="1" applyAlignment="1">
      <alignment horizontal="center" wrapText="1"/>
    </xf>
    <xf numFmtId="20" fontId="8" fillId="3" borderId="14" xfId="0" applyNumberFormat="1" applyFont="1" applyFill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4" fillId="0" borderId="14" xfId="0" applyFont="1" applyBorder="1" applyAlignment="1">
      <alignment horizontal="center" wrapText="1"/>
    </xf>
    <xf numFmtId="0" fontId="8" fillId="4" borderId="14" xfId="0" applyFont="1" applyFill="1" applyBorder="1" applyAlignment="1">
      <alignment horizontal="center" wrapText="1"/>
    </xf>
    <xf numFmtId="1" fontId="14" fillId="0" borderId="14" xfId="0" applyNumberFormat="1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19" fillId="6" borderId="2" xfId="0" applyFont="1" applyFill="1" applyBorder="1" applyAlignment="1">
      <alignment vertical="center" wrapText="1"/>
    </xf>
    <xf numFmtId="1" fontId="0" fillId="0" borderId="0" xfId="0" applyNumberFormat="1"/>
    <xf numFmtId="0" fontId="10" fillId="8" borderId="4" xfId="0" applyFont="1" applyFill="1" applyBorder="1"/>
    <xf numFmtId="1" fontId="18" fillId="9" borderId="0" xfId="0" applyNumberFormat="1" applyFont="1" applyFill="1" applyAlignment="1">
      <alignment horizontal="center" vertical="center" wrapText="1"/>
    </xf>
    <xf numFmtId="0" fontId="13" fillId="0" borderId="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2" borderId="14" xfId="0" applyFont="1" applyFill="1" applyBorder="1" applyAlignment="1">
      <alignment wrapText="1"/>
    </xf>
    <xf numFmtId="0" fontId="23" fillId="0" borderId="0" xfId="0" applyFont="1"/>
    <xf numFmtId="165" fontId="17" fillId="3" borderId="14" xfId="0" applyNumberFormat="1" applyFont="1" applyFill="1" applyBorder="1" applyAlignment="1">
      <alignment horizontal="center" wrapText="1"/>
    </xf>
    <xf numFmtId="0" fontId="13" fillId="3" borderId="14" xfId="0" applyFont="1" applyFill="1" applyBorder="1" applyAlignment="1">
      <alignment horizontal="center" wrapText="1"/>
    </xf>
    <xf numFmtId="20" fontId="13" fillId="3" borderId="14" xfId="0" applyNumberFormat="1" applyFont="1" applyFill="1" applyBorder="1" applyAlignment="1">
      <alignment horizontal="center" wrapText="1"/>
    </xf>
    <xf numFmtId="0" fontId="21" fillId="0" borderId="14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1" fontId="21" fillId="0" borderId="14" xfId="0" applyNumberFormat="1" applyFont="1" applyBorder="1" applyAlignment="1">
      <alignment horizontal="center" wrapText="1"/>
    </xf>
    <xf numFmtId="1" fontId="23" fillId="0" borderId="0" xfId="0" applyNumberFormat="1" applyFont="1"/>
    <xf numFmtId="0" fontId="21" fillId="0" borderId="7" xfId="0" applyFont="1" applyBorder="1" applyAlignment="1">
      <alignment horizontal="center" wrapText="1"/>
    </xf>
    <xf numFmtId="0" fontId="21" fillId="0" borderId="1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1" fontId="21" fillId="0" borderId="7" xfId="0" applyNumberFormat="1" applyFont="1" applyBorder="1" applyAlignment="1">
      <alignment horizontal="center" wrapText="1"/>
    </xf>
    <xf numFmtId="2" fontId="21" fillId="0" borderId="7" xfId="0" applyNumberFormat="1" applyFont="1" applyBorder="1" applyAlignment="1">
      <alignment horizontal="center" wrapText="1"/>
    </xf>
    <xf numFmtId="2" fontId="13" fillId="0" borderId="1" xfId="0" applyNumberFormat="1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wrapText="1"/>
    </xf>
    <xf numFmtId="2" fontId="13" fillId="0" borderId="7" xfId="0" applyNumberFormat="1" applyFont="1" applyBorder="1" applyAlignment="1">
      <alignment horizontal="center" wrapText="1"/>
    </xf>
    <xf numFmtId="2" fontId="13" fillId="0" borderId="2" xfId="0" applyNumberFormat="1" applyFont="1" applyBorder="1" applyAlignment="1">
      <alignment horizontal="center" vertical="center" wrapText="1"/>
    </xf>
    <xf numFmtId="2" fontId="13" fillId="0" borderId="4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wrapText="1"/>
    </xf>
    <xf numFmtId="2" fontId="13" fillId="0" borderId="0" xfId="0" applyNumberFormat="1" applyFont="1"/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wrapText="1"/>
    </xf>
    <xf numFmtId="0" fontId="17" fillId="0" borderId="1" xfId="0" applyFont="1" applyBorder="1" applyAlignment="1">
      <alignment wrapText="1"/>
    </xf>
    <xf numFmtId="0" fontId="17" fillId="5" borderId="1" xfId="0" applyFont="1" applyFill="1" applyBorder="1" applyAlignment="1">
      <alignment wrapText="1"/>
    </xf>
    <xf numFmtId="165" fontId="17" fillId="3" borderId="1" xfId="0" applyNumberFormat="1" applyFont="1" applyFill="1" applyBorder="1" applyAlignment="1">
      <alignment horizontal="center" wrapText="1"/>
    </xf>
    <xf numFmtId="15" fontId="17" fillId="3" borderId="1" xfId="0" applyNumberFormat="1" applyFont="1" applyFill="1" applyBorder="1" applyAlignment="1">
      <alignment horizontal="center" wrapText="1"/>
    </xf>
    <xf numFmtId="0" fontId="17" fillId="3" borderId="1" xfId="0" applyFont="1" applyFill="1" applyBorder="1" applyAlignment="1">
      <alignment horizontal="center" wrapText="1"/>
    </xf>
    <xf numFmtId="20" fontId="17" fillId="3" borderId="1" xfId="0" applyNumberFormat="1" applyFont="1" applyFill="1" applyBorder="1" applyAlignment="1">
      <alignment horizontal="center" wrapText="1"/>
    </xf>
    <xf numFmtId="0" fontId="17" fillId="6" borderId="1" xfId="0" applyFont="1" applyFill="1" applyBorder="1" applyAlignment="1">
      <alignment wrapText="1"/>
    </xf>
    <xf numFmtId="0" fontId="22" fillId="8" borderId="4" xfId="0" applyFont="1" applyFill="1" applyBorder="1"/>
    <xf numFmtId="0" fontId="17" fillId="0" borderId="1" xfId="0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3" borderId="1" xfId="0" applyFont="1" applyFill="1" applyBorder="1" applyAlignment="1">
      <alignment wrapText="1"/>
    </xf>
    <xf numFmtId="0" fontId="21" fillId="0" borderId="4" xfId="0" applyFont="1" applyBorder="1" applyAlignment="1">
      <alignment horizontal="center" wrapText="1"/>
    </xf>
    <xf numFmtId="1" fontId="18" fillId="0" borderId="2" xfId="0" applyNumberFormat="1" applyFont="1" applyBorder="1" applyAlignment="1">
      <alignment horizontal="center" vertical="center" wrapText="1"/>
    </xf>
    <xf numFmtId="2" fontId="21" fillId="0" borderId="0" xfId="0" applyNumberFormat="1" applyFont="1"/>
    <xf numFmtId="0" fontId="19" fillId="0" borderId="0" xfId="0" applyFont="1" applyAlignment="1">
      <alignment horizontal="center" wrapText="1"/>
    </xf>
    <xf numFmtId="0" fontId="25" fillId="8" borderId="4" xfId="0" applyFont="1" applyFill="1" applyBorder="1"/>
    <xf numFmtId="0" fontId="19" fillId="5" borderId="1" xfId="0" applyFont="1" applyFill="1" applyBorder="1" applyAlignment="1">
      <alignment wrapText="1"/>
    </xf>
    <xf numFmtId="0" fontId="24" fillId="0" borderId="0" xfId="0" applyFont="1"/>
    <xf numFmtId="1" fontId="18" fillId="7" borderId="2" xfId="0" applyNumberFormat="1" applyFont="1" applyFill="1" applyBorder="1" applyAlignment="1">
      <alignment horizontal="center" vertical="center" wrapText="1"/>
    </xf>
    <xf numFmtId="1" fontId="17" fillId="0" borderId="2" xfId="0" applyNumberFormat="1" applyFont="1" applyBorder="1" applyAlignment="1">
      <alignment horizontal="center" wrapText="1"/>
    </xf>
    <xf numFmtId="0" fontId="23" fillId="12" borderId="14" xfId="0" applyFont="1" applyFill="1" applyBorder="1" applyAlignment="1">
      <alignment horizontal="center"/>
    </xf>
    <xf numFmtId="1" fontId="23" fillId="12" borderId="14" xfId="0" applyNumberFormat="1" applyFont="1" applyFill="1" applyBorder="1" applyAlignment="1">
      <alignment horizontal="center"/>
    </xf>
    <xf numFmtId="0" fontId="24" fillId="12" borderId="14" xfId="0" applyFont="1" applyFill="1" applyBorder="1" applyAlignment="1">
      <alignment horizontal="center" vertical="center"/>
    </xf>
    <xf numFmtId="1" fontId="24" fillId="12" borderId="14" xfId="0" applyNumberFormat="1" applyFont="1" applyFill="1" applyBorder="1" applyAlignment="1">
      <alignment horizontal="center" vertical="center"/>
    </xf>
    <xf numFmtId="0" fontId="24" fillId="12" borderId="14" xfId="0" applyFont="1" applyFill="1" applyBorder="1" applyAlignment="1">
      <alignment horizontal="center"/>
    </xf>
    <xf numFmtId="1" fontId="24" fillId="12" borderId="14" xfId="0" applyNumberFormat="1" applyFont="1" applyFill="1" applyBorder="1" applyAlignment="1">
      <alignment horizontal="center"/>
    </xf>
    <xf numFmtId="1" fontId="12" fillId="0" borderId="2" xfId="0" applyNumberFormat="1" applyFont="1" applyBorder="1" applyAlignment="1">
      <alignment horizontal="center" wrapText="1"/>
    </xf>
    <xf numFmtId="0" fontId="12" fillId="5" borderId="2" xfId="0" applyFont="1" applyFill="1" applyBorder="1" applyAlignment="1">
      <alignment wrapText="1"/>
    </xf>
    <xf numFmtId="1" fontId="7" fillId="12" borderId="14" xfId="0" applyNumberFormat="1" applyFont="1" applyFill="1" applyBorder="1" applyAlignment="1">
      <alignment horizontal="center" vertical="center"/>
    </xf>
    <xf numFmtId="1" fontId="0" fillId="12" borderId="14" xfId="0" applyNumberFormat="1" applyFill="1" applyBorder="1" applyAlignment="1">
      <alignment horizontal="center" vertical="center"/>
    </xf>
    <xf numFmtId="0" fontId="7" fillId="12" borderId="14" xfId="0" applyFont="1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8" fillId="0" borderId="15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14" fillId="0" borderId="12" xfId="0" applyFont="1" applyBorder="1" applyAlignment="1">
      <alignment horizontal="center" wrapText="1"/>
    </xf>
    <xf numFmtId="0" fontId="6" fillId="0" borderId="14" xfId="0" applyFont="1" applyBorder="1" applyAlignment="1">
      <alignment horizontal="center"/>
    </xf>
    <xf numFmtId="0" fontId="6" fillId="0" borderId="1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0" xfId="0" applyFont="1"/>
    <xf numFmtId="2" fontId="14" fillId="0" borderId="0" xfId="0" applyNumberFormat="1" applyFont="1"/>
    <xf numFmtId="1" fontId="6" fillId="0" borderId="0" xfId="0" applyNumberFormat="1" applyFont="1"/>
    <xf numFmtId="0" fontId="12" fillId="0" borderId="0" xfId="0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28" fillId="0" borderId="14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0" fillId="0" borderId="0" xfId="0" applyFont="1"/>
    <xf numFmtId="0" fontId="31" fillId="0" borderId="0" xfId="0" applyFont="1" applyAlignment="1">
      <alignment horizontal="center"/>
    </xf>
    <xf numFmtId="0" fontId="32" fillId="6" borderId="2" xfId="0" applyFont="1" applyFill="1" applyBorder="1" applyAlignment="1">
      <alignment vertical="center"/>
    </xf>
    <xf numFmtId="0" fontId="32" fillId="5" borderId="1" xfId="0" applyFont="1" applyFill="1" applyBorder="1" applyAlignment="1">
      <alignment horizontal="center"/>
    </xf>
    <xf numFmtId="1" fontId="18" fillId="0" borderId="5" xfId="0" applyNumberFormat="1" applyFont="1" applyBorder="1" applyAlignment="1">
      <alignment horizontal="center" vertical="center" wrapText="1"/>
    </xf>
    <xf numFmtId="1" fontId="18" fillId="0" borderId="7" xfId="0" applyNumberFormat="1" applyFont="1" applyBorder="1" applyAlignment="1">
      <alignment horizontal="center" vertical="center" wrapText="1"/>
    </xf>
    <xf numFmtId="1" fontId="18" fillId="0" borderId="14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wrapText="1"/>
    </xf>
    <xf numFmtId="1" fontId="20" fillId="0" borderId="6" xfId="0" applyNumberFormat="1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0" borderId="13" xfId="0" applyFont="1" applyBorder="1" applyAlignment="1">
      <alignment horizontal="center" wrapText="1"/>
    </xf>
    <xf numFmtId="0" fontId="11" fillId="0" borderId="14" xfId="0" applyFont="1" applyBorder="1" applyAlignment="1">
      <alignment horizontal="center" wrapText="1"/>
    </xf>
    <xf numFmtId="0" fontId="19" fillId="6" borderId="4" xfId="0" applyFont="1" applyFill="1" applyBorder="1" applyAlignment="1">
      <alignment vertical="center" wrapText="1"/>
    </xf>
    <xf numFmtId="49" fontId="34" fillId="2" borderId="17" xfId="0" applyNumberFormat="1" applyFont="1" applyFill="1" applyBorder="1" applyAlignment="1">
      <alignment horizontal="center" wrapText="1"/>
    </xf>
    <xf numFmtId="1" fontId="14" fillId="0" borderId="1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65" fontId="17" fillId="3" borderId="5" xfId="0" applyNumberFormat="1" applyFont="1" applyFill="1" applyBorder="1" applyAlignment="1">
      <alignment horizontal="center" wrapText="1"/>
    </xf>
    <xf numFmtId="15" fontId="17" fillId="3" borderId="6" xfId="0" applyNumberFormat="1" applyFont="1" applyFill="1" applyBorder="1" applyAlignment="1">
      <alignment horizontal="center" wrapText="1"/>
    </xf>
    <xf numFmtId="165" fontId="17" fillId="3" borderId="6" xfId="0" applyNumberFormat="1" applyFont="1" applyFill="1" applyBorder="1" applyAlignment="1">
      <alignment horizontal="center" wrapText="1"/>
    </xf>
    <xf numFmtId="20" fontId="17" fillId="3" borderId="7" xfId="0" applyNumberFormat="1" applyFont="1" applyFill="1" applyBorder="1" applyAlignment="1">
      <alignment horizontal="center" wrapText="1"/>
    </xf>
    <xf numFmtId="1" fontId="17" fillId="0" borderId="5" xfId="0" applyNumberFormat="1" applyFont="1" applyBorder="1" applyAlignment="1">
      <alignment horizontal="center" vertical="center" wrapText="1"/>
    </xf>
    <xf numFmtId="1" fontId="17" fillId="0" borderId="0" xfId="0" applyNumberFormat="1" applyFont="1" applyAlignment="1">
      <alignment horizontal="center" vertical="center" wrapText="1"/>
    </xf>
    <xf numFmtId="1" fontId="17" fillId="0" borderId="7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wrapText="1"/>
    </xf>
    <xf numFmtId="0" fontId="8" fillId="14" borderId="7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wrapText="1"/>
    </xf>
    <xf numFmtId="1" fontId="38" fillId="0" borderId="1" xfId="0" applyNumberFormat="1" applyFont="1" applyBorder="1" applyAlignment="1">
      <alignment horizontal="center" vertical="center" wrapText="1"/>
    </xf>
    <xf numFmtId="1" fontId="38" fillId="7" borderId="1" xfId="0" applyNumberFormat="1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wrapText="1"/>
    </xf>
    <xf numFmtId="0" fontId="21" fillId="3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wrapText="1"/>
    </xf>
    <xf numFmtId="0" fontId="5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0" xfId="0" applyFont="1"/>
    <xf numFmtId="1" fontId="5" fillId="0" borderId="0" xfId="0" applyNumberFormat="1" applyFont="1"/>
    <xf numFmtId="0" fontId="16" fillId="11" borderId="14" xfId="0" applyFont="1" applyFill="1" applyBorder="1" applyAlignment="1">
      <alignment horizontal="center" vertical="center" wrapText="1"/>
    </xf>
    <xf numFmtId="166" fontId="36" fillId="13" borderId="14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3" fontId="0" fillId="0" borderId="14" xfId="0" applyNumberFormat="1" applyBorder="1" applyAlignment="1">
      <alignment horizontal="center"/>
    </xf>
    <xf numFmtId="3" fontId="0" fillId="0" borderId="14" xfId="0" applyNumberFormat="1" applyBorder="1" applyAlignment="1">
      <alignment horizontal="center" vertical="center"/>
    </xf>
    <xf numFmtId="0" fontId="36" fillId="13" borderId="18" xfId="0" applyFont="1" applyFill="1" applyBorder="1" applyAlignment="1">
      <alignment horizontal="center"/>
    </xf>
    <xf numFmtId="0" fontId="35" fillId="0" borderId="18" xfId="0" applyFont="1" applyBorder="1" applyAlignment="1">
      <alignment horizontal="center"/>
    </xf>
    <xf numFmtId="0" fontId="36" fillId="13" borderId="14" xfId="0" applyFont="1" applyFill="1" applyBorder="1" applyAlignment="1">
      <alignment horizontal="center"/>
    </xf>
    <xf numFmtId="0" fontId="26" fillId="11" borderId="14" xfId="0" applyFont="1" applyFill="1" applyBorder="1" applyAlignment="1">
      <alignment horizontal="center" vertical="center" wrapText="1"/>
    </xf>
    <xf numFmtId="0" fontId="35" fillId="0" borderId="14" xfId="0" applyFont="1" applyBorder="1" applyAlignment="1">
      <alignment horizontal="center"/>
    </xf>
    <xf numFmtId="0" fontId="12" fillId="10" borderId="14" xfId="0" applyFont="1" applyFill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/>
    </xf>
    <xf numFmtId="165" fontId="8" fillId="3" borderId="14" xfId="0" applyNumberFormat="1" applyFont="1" applyFill="1" applyBorder="1" applyAlignment="1">
      <alignment horizontal="center" wrapText="1"/>
    </xf>
    <xf numFmtId="0" fontId="4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20" fontId="8" fillId="3" borderId="20" xfId="0" applyNumberFormat="1" applyFont="1" applyFill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14" borderId="13" xfId="0" applyFont="1" applyFill="1" applyBorder="1" applyAlignment="1">
      <alignment horizontal="center" wrapText="1"/>
    </xf>
    <xf numFmtId="1" fontId="8" fillId="14" borderId="1" xfId="0" applyNumberFormat="1" applyFont="1" applyFill="1" applyBorder="1" applyAlignment="1">
      <alignment horizontal="center" vertical="center" wrapText="1"/>
    </xf>
    <xf numFmtId="1" fontId="24" fillId="14" borderId="14" xfId="0" applyNumberFormat="1" applyFont="1" applyFill="1" applyBorder="1" applyAlignment="1">
      <alignment horizontal="center" vertical="center"/>
    </xf>
    <xf numFmtId="1" fontId="24" fillId="14" borderId="14" xfId="0" applyNumberFormat="1" applyFont="1" applyFill="1" applyBorder="1" applyAlignment="1">
      <alignment horizontal="center"/>
    </xf>
    <xf numFmtId="0" fontId="8" fillId="0" borderId="8" xfId="0" applyFont="1" applyBorder="1" applyAlignment="1">
      <alignment horizontal="center" wrapText="1"/>
    </xf>
    <xf numFmtId="0" fontId="8" fillId="0" borderId="19" xfId="0" applyFont="1" applyBorder="1" applyAlignment="1">
      <alignment horizontal="center" wrapText="1"/>
    </xf>
    <xf numFmtId="1" fontId="8" fillId="0" borderId="2" xfId="0" applyNumberFormat="1" applyFont="1" applyBorder="1" applyAlignment="1">
      <alignment horizontal="center" vertical="center" wrapText="1"/>
    </xf>
    <xf numFmtId="1" fontId="8" fillId="0" borderId="14" xfId="0" applyNumberFormat="1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1" fontId="14" fillId="0" borderId="2" xfId="0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/>
    </xf>
    <xf numFmtId="0" fontId="29" fillId="0" borderId="12" xfId="0" applyFont="1" applyBorder="1" applyAlignment="1">
      <alignment horizontal="center"/>
    </xf>
    <xf numFmtId="0" fontId="8" fillId="0" borderId="9" xfId="0" applyFont="1" applyBorder="1" applyAlignment="1">
      <alignment horizontal="center" wrapText="1"/>
    </xf>
    <xf numFmtId="0" fontId="3" fillId="0" borderId="21" xfId="0" applyFont="1" applyBorder="1" applyAlignment="1">
      <alignment horizontal="center"/>
    </xf>
    <xf numFmtId="1" fontId="39" fillId="7" borderId="1" xfId="0" applyNumberFormat="1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8" fillId="2" borderId="14" xfId="0" applyFont="1" applyFill="1" applyBorder="1" applyAlignment="1">
      <alignment wrapText="1"/>
    </xf>
    <xf numFmtId="165" fontId="31" fillId="3" borderId="14" xfId="0" applyNumberFormat="1" applyFont="1" applyFill="1" applyBorder="1" applyAlignment="1">
      <alignment horizontal="center" wrapText="1"/>
    </xf>
    <xf numFmtId="15" fontId="31" fillId="3" borderId="1" xfId="0" applyNumberFormat="1" applyFont="1" applyFill="1" applyBorder="1" applyAlignment="1">
      <alignment horizontal="center" wrapText="1"/>
    </xf>
    <xf numFmtId="0" fontId="28" fillId="3" borderId="14" xfId="0" applyFont="1" applyFill="1" applyBorder="1" applyAlignment="1">
      <alignment horizontal="center" wrapText="1"/>
    </xf>
    <xf numFmtId="20" fontId="28" fillId="3" borderId="14" xfId="0" applyNumberFormat="1" applyFont="1" applyFill="1" applyBorder="1" applyAlignment="1">
      <alignment horizontal="center" wrapText="1"/>
    </xf>
    <xf numFmtId="20" fontId="28" fillId="3" borderId="20" xfId="0" applyNumberFormat="1" applyFont="1" applyFill="1" applyBorder="1" applyAlignment="1">
      <alignment horizontal="center" wrapText="1"/>
    </xf>
    <xf numFmtId="0" fontId="28" fillId="0" borderId="14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29" fillId="0" borderId="16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30" fillId="0" borderId="1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wrapText="1"/>
    </xf>
    <xf numFmtId="0" fontId="28" fillId="0" borderId="15" xfId="0" applyFont="1" applyBorder="1" applyAlignment="1">
      <alignment horizontal="center" wrapText="1"/>
    </xf>
    <xf numFmtId="0" fontId="28" fillId="0" borderId="16" xfId="0" applyFont="1" applyBorder="1" applyAlignment="1">
      <alignment horizontal="center" wrapText="1"/>
    </xf>
    <xf numFmtId="1" fontId="29" fillId="0" borderId="14" xfId="0" applyNumberFormat="1" applyFont="1" applyBorder="1" applyAlignment="1">
      <alignment horizontal="center" wrapText="1"/>
    </xf>
    <xf numFmtId="0" fontId="28" fillId="0" borderId="7" xfId="0" applyFont="1" applyBorder="1" applyAlignment="1">
      <alignment horizontal="center" wrapText="1"/>
    </xf>
    <xf numFmtId="0" fontId="29" fillId="0" borderId="12" xfId="0" applyFont="1" applyBorder="1" applyAlignment="1">
      <alignment horizontal="center" wrapText="1"/>
    </xf>
    <xf numFmtId="0" fontId="28" fillId="0" borderId="12" xfId="0" applyFont="1" applyBorder="1" applyAlignment="1">
      <alignment horizontal="center" wrapText="1"/>
    </xf>
    <xf numFmtId="0" fontId="29" fillId="0" borderId="2" xfId="0" applyFont="1" applyBorder="1" applyAlignment="1">
      <alignment horizontal="center" wrapText="1"/>
    </xf>
    <xf numFmtId="0" fontId="29" fillId="0" borderId="8" xfId="0" applyFont="1" applyBorder="1" applyAlignment="1">
      <alignment horizontal="center" wrapText="1"/>
    </xf>
    <xf numFmtId="0" fontId="28" fillId="0" borderId="8" xfId="0" applyFont="1" applyBorder="1" applyAlignment="1">
      <alignment horizontal="center" wrapText="1"/>
    </xf>
    <xf numFmtId="0" fontId="29" fillId="0" borderId="14" xfId="0" applyFont="1" applyBorder="1" applyAlignment="1">
      <alignment horizontal="center" wrapText="1"/>
    </xf>
    <xf numFmtId="0" fontId="28" fillId="0" borderId="6" xfId="0" applyFont="1" applyBorder="1" applyAlignment="1">
      <alignment horizontal="center" wrapText="1"/>
    </xf>
    <xf numFmtId="0" fontId="28" fillId="0" borderId="10" xfId="0" applyFont="1" applyBorder="1" applyAlignment="1">
      <alignment horizontal="center" wrapText="1"/>
    </xf>
    <xf numFmtId="0" fontId="28" fillId="0" borderId="9" xfId="0" applyFont="1" applyBorder="1" applyAlignment="1">
      <alignment horizontal="center" wrapText="1"/>
    </xf>
    <xf numFmtId="0" fontId="28" fillId="0" borderId="5" xfId="0" applyFont="1" applyBorder="1" applyAlignment="1">
      <alignment horizontal="center" wrapText="1"/>
    </xf>
    <xf numFmtId="0" fontId="30" fillId="0" borderId="21" xfId="0" applyFont="1" applyBorder="1" applyAlignment="1">
      <alignment horizontal="center"/>
    </xf>
    <xf numFmtId="0" fontId="28" fillId="0" borderId="14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wrapText="1"/>
    </xf>
    <xf numFmtId="0" fontId="28" fillId="0" borderId="19" xfId="0" applyFont="1" applyBorder="1" applyAlignment="1">
      <alignment horizontal="center" wrapText="1"/>
    </xf>
    <xf numFmtId="0" fontId="28" fillId="4" borderId="1" xfId="0" applyFont="1" applyFill="1" applyBorder="1" applyAlignment="1">
      <alignment horizontal="center" wrapText="1"/>
    </xf>
    <xf numFmtId="0" fontId="28" fillId="14" borderId="13" xfId="0" applyFont="1" applyFill="1" applyBorder="1" applyAlignment="1">
      <alignment horizontal="center" wrapText="1"/>
    </xf>
    <xf numFmtId="1" fontId="29" fillId="0" borderId="2" xfId="0" applyNumberFormat="1" applyFont="1" applyBorder="1" applyAlignment="1">
      <alignment horizontal="center" vertical="center" wrapText="1"/>
    </xf>
    <xf numFmtId="1" fontId="28" fillId="0" borderId="7" xfId="0" applyNumberFormat="1" applyFont="1" applyBorder="1" applyAlignment="1">
      <alignment horizontal="center" wrapText="1"/>
    </xf>
    <xf numFmtId="1" fontId="28" fillId="0" borderId="1" xfId="0" applyNumberFormat="1" applyFont="1" applyBorder="1" applyAlignment="1">
      <alignment horizontal="center" vertical="center" wrapText="1"/>
    </xf>
    <xf numFmtId="1" fontId="28" fillId="0" borderId="2" xfId="0" applyNumberFormat="1" applyFont="1" applyBorder="1" applyAlignment="1">
      <alignment horizontal="center" vertical="center" wrapText="1"/>
    </xf>
    <xf numFmtId="1" fontId="28" fillId="14" borderId="1" xfId="0" applyNumberFormat="1" applyFont="1" applyFill="1" applyBorder="1" applyAlignment="1">
      <alignment horizontal="center" vertical="center" wrapText="1"/>
    </xf>
    <xf numFmtId="2" fontId="28" fillId="0" borderId="0" xfId="0" applyNumberFormat="1" applyFont="1"/>
    <xf numFmtId="0" fontId="28" fillId="0" borderId="0" xfId="0" applyFont="1" applyAlignment="1">
      <alignment horizontal="center" wrapText="1"/>
    </xf>
    <xf numFmtId="1" fontId="30" fillId="0" borderId="0" xfId="0" applyNumberFormat="1" applyFont="1"/>
    <xf numFmtId="0" fontId="31" fillId="0" borderId="0" xfId="0" applyFont="1" applyAlignment="1">
      <alignment wrapText="1"/>
    </xf>
    <xf numFmtId="0" fontId="31" fillId="0" borderId="0" xfId="0" applyFont="1" applyAlignment="1">
      <alignment horizontal="center" wrapText="1"/>
    </xf>
    <xf numFmtId="0" fontId="32" fillId="0" borderId="0" xfId="0" applyFont="1" applyAlignment="1">
      <alignment horizontal="center" wrapText="1"/>
    </xf>
    <xf numFmtId="0" fontId="31" fillId="0" borderId="1" xfId="0" applyFont="1" applyBorder="1" applyAlignment="1">
      <alignment wrapText="1"/>
    </xf>
    <xf numFmtId="0" fontId="31" fillId="5" borderId="1" xfId="0" applyFont="1" applyFill="1" applyBorder="1" applyAlignment="1">
      <alignment wrapText="1"/>
    </xf>
    <xf numFmtId="165" fontId="31" fillId="3" borderId="1" xfId="0" applyNumberFormat="1" applyFont="1" applyFill="1" applyBorder="1" applyAlignment="1">
      <alignment horizontal="center" wrapText="1"/>
    </xf>
    <xf numFmtId="0" fontId="31" fillId="3" borderId="1" xfId="0" applyFont="1" applyFill="1" applyBorder="1" applyAlignment="1">
      <alignment horizontal="center" wrapText="1"/>
    </xf>
    <xf numFmtId="20" fontId="31" fillId="3" borderId="1" xfId="0" applyNumberFormat="1" applyFont="1" applyFill="1" applyBorder="1" applyAlignment="1">
      <alignment horizontal="center" wrapText="1"/>
    </xf>
    <xf numFmtId="1" fontId="31" fillId="0" borderId="1" xfId="0" applyNumberFormat="1" applyFont="1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center" vertical="center" wrapText="1"/>
    </xf>
    <xf numFmtId="0" fontId="31" fillId="6" borderId="1" xfId="0" applyFont="1" applyFill="1" applyBorder="1" applyAlignment="1">
      <alignment wrapText="1"/>
    </xf>
    <xf numFmtId="1" fontId="32" fillId="6" borderId="1" xfId="0" applyNumberFormat="1" applyFont="1" applyFill="1" applyBorder="1" applyAlignment="1">
      <alignment horizontal="center" vertical="center" wrapText="1"/>
    </xf>
    <xf numFmtId="1" fontId="41" fillId="7" borderId="1" xfId="0" applyNumberFormat="1" applyFont="1" applyFill="1" applyBorder="1" applyAlignment="1">
      <alignment horizontal="center" vertical="center" wrapText="1"/>
    </xf>
    <xf numFmtId="0" fontId="40" fillId="8" borderId="4" xfId="0" applyFont="1" applyFill="1" applyBorder="1"/>
    <xf numFmtId="0" fontId="31" fillId="0" borderId="1" xfId="0" applyFont="1" applyBorder="1" applyAlignment="1">
      <alignment horizontal="center" wrapText="1"/>
    </xf>
    <xf numFmtId="1" fontId="31" fillId="0" borderId="1" xfId="0" applyNumberFormat="1" applyFont="1" applyBorder="1" applyAlignment="1">
      <alignment horizontal="center" wrapText="1"/>
    </xf>
    <xf numFmtId="0" fontId="32" fillId="5" borderId="1" xfId="0" applyFont="1" applyFill="1" applyBorder="1" applyAlignment="1">
      <alignment horizontal="center" wrapText="1"/>
    </xf>
    <xf numFmtId="0" fontId="32" fillId="5" borderId="1" xfId="0" applyFont="1" applyFill="1" applyBorder="1" applyAlignment="1">
      <alignment wrapText="1"/>
    </xf>
    <xf numFmtId="0" fontId="32" fillId="3" borderId="1" xfId="0" applyFont="1" applyFill="1" applyBorder="1" applyAlignment="1">
      <alignment horizontal="center" wrapText="1"/>
    </xf>
    <xf numFmtId="0" fontId="31" fillId="3" borderId="1" xfId="0" applyFont="1" applyFill="1" applyBorder="1" applyAlignment="1">
      <alignment wrapText="1"/>
    </xf>
    <xf numFmtId="1" fontId="42" fillId="7" borderId="1" xfId="0" applyNumberFormat="1" applyFont="1" applyFill="1" applyBorder="1" applyAlignment="1">
      <alignment horizontal="center" vertical="center" wrapText="1"/>
    </xf>
    <xf numFmtId="49" fontId="43" fillId="2" borderId="0" xfId="0" applyNumberFormat="1" applyFont="1" applyFill="1" applyAlignment="1">
      <alignment horizontal="center" wrapText="1"/>
    </xf>
    <xf numFmtId="0" fontId="30" fillId="0" borderId="14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30" fillId="0" borderId="14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28" fillId="14" borderId="12" xfId="0" applyFont="1" applyFill="1" applyBorder="1" applyAlignment="1">
      <alignment horizontal="center" wrapText="1"/>
    </xf>
    <xf numFmtId="0" fontId="44" fillId="0" borderId="0" xfId="0" applyFont="1"/>
    <xf numFmtId="0" fontId="28" fillId="14" borderId="2" xfId="0" applyFont="1" applyFill="1" applyBorder="1" applyAlignment="1">
      <alignment horizontal="center" wrapText="1"/>
    </xf>
    <xf numFmtId="0" fontId="28" fillId="14" borderId="8" xfId="0" applyFont="1" applyFill="1" applyBorder="1" applyAlignment="1">
      <alignment horizontal="center" wrapText="1"/>
    </xf>
    <xf numFmtId="0" fontId="28" fillId="14" borderId="19" xfId="0" applyFont="1" applyFill="1" applyBorder="1" applyAlignment="1">
      <alignment horizontal="center" wrapText="1"/>
    </xf>
    <xf numFmtId="0" fontId="2" fillId="0" borderId="0" xfId="0" applyFont="1"/>
    <xf numFmtId="166" fontId="36" fillId="13" borderId="14" xfId="0" applyNumberFormat="1" applyFont="1" applyFill="1" applyBorder="1" applyAlignment="1">
      <alignment horizontal="center"/>
    </xf>
    <xf numFmtId="3" fontId="45" fillId="0" borderId="14" xfId="0" applyNumberFormat="1" applyFont="1" applyBorder="1" applyAlignment="1">
      <alignment horizontal="center" vertical="top" wrapText="1"/>
    </xf>
    <xf numFmtId="49" fontId="46" fillId="2" borderId="17" xfId="0" applyNumberFormat="1" applyFont="1" applyFill="1" applyBorder="1" applyAlignment="1">
      <alignment wrapText="1"/>
    </xf>
    <xf numFmtId="0" fontId="47" fillId="0" borderId="0" xfId="0" applyFont="1"/>
    <xf numFmtId="165" fontId="50" fillId="3" borderId="14" xfId="0" applyNumberFormat="1" applyFont="1" applyFill="1" applyBorder="1" applyAlignment="1">
      <alignment horizontal="center" wrapText="1"/>
    </xf>
    <xf numFmtId="15" fontId="50" fillId="3" borderId="1" xfId="0" applyNumberFormat="1" applyFont="1" applyFill="1" applyBorder="1" applyAlignment="1">
      <alignment horizontal="center" wrapText="1"/>
    </xf>
    <xf numFmtId="0" fontId="48" fillId="3" borderId="14" xfId="0" applyFont="1" applyFill="1" applyBorder="1" applyAlignment="1">
      <alignment horizontal="center" wrapText="1"/>
    </xf>
    <xf numFmtId="20" fontId="48" fillId="3" borderId="14" xfId="0" applyNumberFormat="1" applyFont="1" applyFill="1" applyBorder="1" applyAlignment="1">
      <alignment horizontal="center" wrapText="1"/>
    </xf>
    <xf numFmtId="0" fontId="48" fillId="0" borderId="14" xfId="0" applyFont="1" applyBorder="1" applyAlignment="1">
      <alignment horizontal="center" wrapText="1"/>
    </xf>
    <xf numFmtId="0" fontId="48" fillId="0" borderId="1" xfId="0" applyFont="1" applyBorder="1" applyAlignment="1">
      <alignment horizontal="center" wrapText="1"/>
    </xf>
    <xf numFmtId="0" fontId="48" fillId="0" borderId="14" xfId="0" applyFont="1" applyBorder="1" applyAlignment="1">
      <alignment horizontal="center"/>
    </xf>
    <xf numFmtId="0" fontId="49" fillId="0" borderId="16" xfId="0" applyFont="1" applyBorder="1" applyAlignment="1">
      <alignment horizontal="center" wrapText="1"/>
    </xf>
    <xf numFmtId="0" fontId="48" fillId="0" borderId="2" xfId="0" applyFont="1" applyBorder="1" applyAlignment="1">
      <alignment horizontal="center" wrapText="1"/>
    </xf>
    <xf numFmtId="0" fontId="47" fillId="0" borderId="14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 wrapText="1"/>
    </xf>
    <xf numFmtId="0" fontId="48" fillId="0" borderId="15" xfId="0" applyFont="1" applyBorder="1" applyAlignment="1">
      <alignment horizontal="center" wrapText="1"/>
    </xf>
    <xf numFmtId="0" fontId="48" fillId="0" borderId="16" xfId="0" applyFont="1" applyBorder="1" applyAlignment="1">
      <alignment horizontal="center" wrapText="1"/>
    </xf>
    <xf numFmtId="1" fontId="49" fillId="0" borderId="14" xfId="0" applyNumberFormat="1" applyFont="1" applyBorder="1" applyAlignment="1">
      <alignment horizontal="center" wrapText="1"/>
    </xf>
    <xf numFmtId="0" fontId="48" fillId="0" borderId="7" xfId="0" applyFont="1" applyBorder="1" applyAlignment="1">
      <alignment horizontal="center" wrapText="1"/>
    </xf>
    <xf numFmtId="0" fontId="49" fillId="0" borderId="7" xfId="0" applyFont="1" applyBorder="1" applyAlignment="1">
      <alignment horizontal="center"/>
    </xf>
    <xf numFmtId="0" fontId="49" fillId="0" borderId="12" xfId="0" applyFont="1" applyBorder="1" applyAlignment="1">
      <alignment horizontal="center" wrapText="1"/>
    </xf>
    <xf numFmtId="0" fontId="48" fillId="0" borderId="12" xfId="0" applyFont="1" applyBorder="1" applyAlignment="1">
      <alignment horizontal="center" wrapText="1"/>
    </xf>
    <xf numFmtId="0" fontId="48" fillId="0" borderId="1" xfId="0" applyFont="1" applyBorder="1" applyAlignment="1">
      <alignment horizontal="center"/>
    </xf>
    <xf numFmtId="0" fontId="49" fillId="0" borderId="2" xfId="0" applyFont="1" applyBorder="1" applyAlignment="1">
      <alignment horizontal="center" wrapText="1"/>
    </xf>
    <xf numFmtId="0" fontId="49" fillId="0" borderId="8" xfId="0" applyFont="1" applyBorder="1" applyAlignment="1">
      <alignment horizontal="center" wrapText="1"/>
    </xf>
    <xf numFmtId="0" fontId="48" fillId="0" borderId="2" xfId="0" applyFont="1" applyBorder="1" applyAlignment="1">
      <alignment horizontal="center"/>
    </xf>
    <xf numFmtId="0" fontId="49" fillId="0" borderId="14" xfId="0" applyFont="1" applyBorder="1" applyAlignment="1">
      <alignment horizontal="center" wrapText="1"/>
    </xf>
    <xf numFmtId="0" fontId="48" fillId="0" borderId="3" xfId="0" applyFont="1" applyBorder="1" applyAlignment="1">
      <alignment horizontal="center" wrapText="1"/>
    </xf>
    <xf numFmtId="0" fontId="49" fillId="0" borderId="12" xfId="0" applyFont="1" applyBorder="1" applyAlignment="1">
      <alignment horizontal="center"/>
    </xf>
    <xf numFmtId="0" fontId="48" fillId="0" borderId="22" xfId="0" applyFont="1" applyBorder="1" applyAlignment="1">
      <alignment horizontal="center" wrapText="1"/>
    </xf>
    <xf numFmtId="0" fontId="48" fillId="0" borderId="8" xfId="0" applyFont="1" applyBorder="1" applyAlignment="1">
      <alignment horizontal="center" wrapText="1"/>
    </xf>
    <xf numFmtId="0" fontId="48" fillId="0" borderId="6" xfId="0" applyFont="1" applyBorder="1" applyAlignment="1">
      <alignment horizontal="center" wrapText="1"/>
    </xf>
    <xf numFmtId="0" fontId="48" fillId="0" borderId="10" xfId="0" applyFont="1" applyBorder="1" applyAlignment="1">
      <alignment horizontal="center" wrapText="1"/>
    </xf>
    <xf numFmtId="0" fontId="48" fillId="0" borderId="9" xfId="0" applyFont="1" applyBorder="1" applyAlignment="1">
      <alignment horizontal="center" wrapText="1"/>
    </xf>
    <xf numFmtId="0" fontId="48" fillId="0" borderId="5" xfId="0" applyFont="1" applyBorder="1" applyAlignment="1">
      <alignment horizontal="center" wrapText="1"/>
    </xf>
    <xf numFmtId="0" fontId="47" fillId="0" borderId="21" xfId="0" applyFont="1" applyBorder="1" applyAlignment="1">
      <alignment horizontal="center"/>
    </xf>
    <xf numFmtId="0" fontId="48" fillId="0" borderId="14" xfId="0" applyFont="1" applyBorder="1" applyAlignment="1">
      <alignment horizontal="center" vertical="center" wrapText="1"/>
    </xf>
    <xf numFmtId="0" fontId="47" fillId="0" borderId="16" xfId="0" applyFont="1" applyBorder="1" applyAlignment="1">
      <alignment horizontal="center" vertical="center"/>
    </xf>
    <xf numFmtId="0" fontId="48" fillId="0" borderId="13" xfId="0" applyFont="1" applyBorder="1" applyAlignment="1">
      <alignment horizontal="center" wrapText="1"/>
    </xf>
    <xf numFmtId="0" fontId="48" fillId="4" borderId="1" xfId="0" applyFont="1" applyFill="1" applyBorder="1" applyAlignment="1">
      <alignment horizontal="center" wrapText="1"/>
    </xf>
    <xf numFmtId="0" fontId="48" fillId="14" borderId="13" xfId="0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/>
    </xf>
    <xf numFmtId="1" fontId="49" fillId="0" borderId="2" xfId="0" applyNumberFormat="1" applyFont="1" applyBorder="1" applyAlignment="1">
      <alignment horizontal="center" vertical="center" wrapText="1"/>
    </xf>
    <xf numFmtId="1" fontId="48" fillId="0" borderId="7" xfId="0" applyNumberFormat="1" applyFont="1" applyBorder="1" applyAlignment="1">
      <alignment horizontal="center" wrapText="1"/>
    </xf>
    <xf numFmtId="1" fontId="48" fillId="0" borderId="1" xfId="0" applyNumberFormat="1" applyFont="1" applyBorder="1" applyAlignment="1">
      <alignment horizontal="center" vertical="center" wrapText="1"/>
    </xf>
    <xf numFmtId="1" fontId="48" fillId="0" borderId="2" xfId="0" applyNumberFormat="1" applyFont="1" applyBorder="1" applyAlignment="1">
      <alignment horizontal="center" vertical="center" wrapText="1"/>
    </xf>
    <xf numFmtId="1" fontId="48" fillId="14" borderId="1" xfId="0" applyNumberFormat="1" applyFont="1" applyFill="1" applyBorder="1" applyAlignment="1">
      <alignment horizontal="center" vertical="center" wrapText="1"/>
    </xf>
    <xf numFmtId="2" fontId="48" fillId="0" borderId="0" xfId="0" applyNumberFormat="1" applyFont="1"/>
    <xf numFmtId="1" fontId="47" fillId="0" borderId="0" xfId="0" applyNumberFormat="1" applyFont="1"/>
    <xf numFmtId="0" fontId="50" fillId="0" borderId="0" xfId="0" applyFont="1" applyAlignment="1">
      <alignment wrapText="1"/>
    </xf>
    <xf numFmtId="0" fontId="50" fillId="0" borderId="0" xfId="0" applyFont="1" applyAlignment="1">
      <alignment horizontal="center" wrapText="1"/>
    </xf>
    <xf numFmtId="0" fontId="50" fillId="0" borderId="0" xfId="0" applyFont="1" applyAlignment="1">
      <alignment horizontal="center"/>
    </xf>
    <xf numFmtId="0" fontId="51" fillId="0" borderId="0" xfId="0" applyFont="1" applyAlignment="1">
      <alignment horizontal="center" wrapText="1"/>
    </xf>
    <xf numFmtId="0" fontId="50" fillId="0" borderId="1" xfId="0" applyFont="1" applyBorder="1" applyAlignment="1">
      <alignment wrapText="1"/>
    </xf>
    <xf numFmtId="0" fontId="50" fillId="5" borderId="1" xfId="0" applyFont="1" applyFill="1" applyBorder="1" applyAlignment="1">
      <alignment wrapText="1"/>
    </xf>
    <xf numFmtId="165" fontId="50" fillId="3" borderId="1" xfId="0" applyNumberFormat="1" applyFont="1" applyFill="1" applyBorder="1" applyAlignment="1">
      <alignment horizontal="center" wrapText="1"/>
    </xf>
    <xf numFmtId="0" fontId="50" fillId="3" borderId="1" xfId="0" applyFont="1" applyFill="1" applyBorder="1" applyAlignment="1">
      <alignment horizontal="center" wrapText="1"/>
    </xf>
    <xf numFmtId="20" fontId="50" fillId="3" borderId="1" xfId="0" applyNumberFormat="1" applyFont="1" applyFill="1" applyBorder="1" applyAlignment="1">
      <alignment horizontal="center" wrapText="1"/>
    </xf>
    <xf numFmtId="1" fontId="50" fillId="0" borderId="1" xfId="0" applyNumberFormat="1" applyFont="1" applyBorder="1" applyAlignment="1">
      <alignment horizontal="center" vertical="center" wrapText="1"/>
    </xf>
    <xf numFmtId="1" fontId="52" fillId="0" borderId="1" xfId="0" applyNumberFormat="1" applyFont="1" applyBorder="1" applyAlignment="1">
      <alignment horizontal="center" vertical="center" wrapText="1"/>
    </xf>
    <xf numFmtId="0" fontId="50" fillId="6" borderId="1" xfId="0" applyFont="1" applyFill="1" applyBorder="1" applyAlignment="1">
      <alignment wrapText="1"/>
    </xf>
    <xf numFmtId="1" fontId="51" fillId="6" borderId="1" xfId="0" applyNumberFormat="1" applyFont="1" applyFill="1" applyBorder="1" applyAlignment="1">
      <alignment horizontal="center" vertical="center" wrapText="1"/>
    </xf>
    <xf numFmtId="1" fontId="52" fillId="7" borderId="1" xfId="0" applyNumberFormat="1" applyFont="1" applyFill="1" applyBorder="1" applyAlignment="1">
      <alignment horizontal="center" vertical="center" wrapText="1"/>
    </xf>
    <xf numFmtId="0" fontId="51" fillId="6" borderId="2" xfId="0" applyFont="1" applyFill="1" applyBorder="1" applyAlignment="1">
      <alignment vertical="center"/>
    </xf>
    <xf numFmtId="0" fontId="46" fillId="8" borderId="4" xfId="0" applyFont="1" applyFill="1" applyBorder="1"/>
    <xf numFmtId="0" fontId="50" fillId="0" borderId="1" xfId="0" applyFont="1" applyBorder="1" applyAlignment="1">
      <alignment horizontal="center" wrapText="1"/>
    </xf>
    <xf numFmtId="1" fontId="50" fillId="0" borderId="1" xfId="0" applyNumberFormat="1" applyFont="1" applyBorder="1" applyAlignment="1">
      <alignment horizontal="center" wrapText="1"/>
    </xf>
    <xf numFmtId="0" fontId="51" fillId="5" borderId="1" xfId="0" applyFont="1" applyFill="1" applyBorder="1" applyAlignment="1">
      <alignment horizontal="center" wrapText="1"/>
    </xf>
    <xf numFmtId="0" fontId="51" fillId="5" borderId="1" xfId="0" applyFont="1" applyFill="1" applyBorder="1" applyAlignment="1">
      <alignment horizontal="center"/>
    </xf>
    <xf numFmtId="0" fontId="51" fillId="5" borderId="1" xfId="0" applyFont="1" applyFill="1" applyBorder="1" applyAlignment="1">
      <alignment wrapText="1"/>
    </xf>
    <xf numFmtId="0" fontId="51" fillId="3" borderId="1" xfId="0" applyFont="1" applyFill="1" applyBorder="1" applyAlignment="1">
      <alignment horizontal="center" wrapText="1"/>
    </xf>
    <xf numFmtId="0" fontId="50" fillId="3" borderId="1" xfId="0" applyFont="1" applyFill="1" applyBorder="1" applyAlignment="1">
      <alignment wrapText="1"/>
    </xf>
    <xf numFmtId="20" fontId="48" fillId="3" borderId="20" xfId="0" applyNumberFormat="1" applyFont="1" applyFill="1" applyBorder="1" applyAlignment="1">
      <alignment horizontal="center" wrapText="1"/>
    </xf>
    <xf numFmtId="0" fontId="47" fillId="0" borderId="14" xfId="0" applyFont="1" applyBorder="1" applyAlignment="1">
      <alignment horizontal="center"/>
    </xf>
    <xf numFmtId="0" fontId="47" fillId="0" borderId="0" xfId="0" applyFont="1" applyAlignment="1">
      <alignment horizontal="center"/>
    </xf>
    <xf numFmtId="0" fontId="48" fillId="0" borderId="1" xfId="0" applyFont="1" applyBorder="1" applyAlignment="1">
      <alignment horizontal="center" vertical="center" wrapText="1"/>
    </xf>
    <xf numFmtId="0" fontId="47" fillId="0" borderId="14" xfId="0" applyFont="1" applyBorder="1" applyAlignment="1">
      <alignment vertical="center"/>
    </xf>
    <xf numFmtId="0" fontId="47" fillId="0" borderId="0" xfId="0" applyFont="1" applyAlignment="1">
      <alignment vertical="center"/>
    </xf>
    <xf numFmtId="49" fontId="53" fillId="2" borderId="21" xfId="0" applyNumberFormat="1" applyFont="1" applyFill="1" applyBorder="1" applyAlignment="1">
      <alignment horizontal="center" wrapText="1"/>
    </xf>
    <xf numFmtId="0" fontId="48" fillId="0" borderId="19" xfId="0" applyFont="1" applyBorder="1" applyAlignment="1">
      <alignment horizontal="center" wrapText="1"/>
    </xf>
    <xf numFmtId="0" fontId="48" fillId="0" borderId="16" xfId="0" applyFont="1" applyBorder="1" applyAlignment="1">
      <alignment horizontal="center"/>
    </xf>
    <xf numFmtId="0" fontId="48" fillId="0" borderId="21" xfId="0" applyFont="1" applyBorder="1" applyAlignment="1">
      <alignment horizontal="center" wrapText="1"/>
    </xf>
    <xf numFmtId="1" fontId="48" fillId="0" borderId="7" xfId="0" applyNumberFormat="1" applyFont="1" applyBorder="1" applyAlignment="1">
      <alignment horizontal="center" vertical="center" wrapText="1"/>
    </xf>
    <xf numFmtId="1" fontId="48" fillId="14" borderId="7" xfId="0" applyNumberFormat="1" applyFont="1" applyFill="1" applyBorder="1" applyAlignment="1">
      <alignment horizontal="center" vertical="center" wrapText="1"/>
    </xf>
    <xf numFmtId="1" fontId="48" fillId="0" borderId="12" xfId="0" applyNumberFormat="1" applyFont="1" applyBorder="1" applyAlignment="1">
      <alignment horizontal="center" vertical="center" wrapText="1"/>
    </xf>
    <xf numFmtId="1" fontId="48" fillId="0" borderId="14" xfId="0" applyNumberFormat="1" applyFont="1" applyBorder="1" applyAlignment="1">
      <alignment horizontal="center" wrapText="1"/>
    </xf>
    <xf numFmtId="1" fontId="48" fillId="0" borderId="14" xfId="0" applyNumberFormat="1" applyFont="1" applyBorder="1" applyAlignment="1">
      <alignment horizontal="center" vertical="center" wrapText="1"/>
    </xf>
    <xf numFmtId="1" fontId="49" fillId="14" borderId="14" xfId="0" applyNumberFormat="1" applyFont="1" applyFill="1" applyBorder="1" applyAlignment="1">
      <alignment horizontal="center" wrapText="1"/>
    </xf>
    <xf numFmtId="0" fontId="48" fillId="15" borderId="16" xfId="0" applyFont="1" applyFill="1" applyBorder="1" applyAlignment="1">
      <alignment horizontal="center" wrapText="1"/>
    </xf>
    <xf numFmtId="0" fontId="48" fillId="15" borderId="2" xfId="0" applyFont="1" applyFill="1" applyBorder="1" applyAlignment="1">
      <alignment horizontal="center" wrapText="1"/>
    </xf>
    <xf numFmtId="0" fontId="48" fillId="15" borderId="12" xfId="0" applyFont="1" applyFill="1" applyBorder="1" applyAlignment="1">
      <alignment horizontal="center" wrapText="1"/>
    </xf>
    <xf numFmtId="0" fontId="48" fillId="15" borderId="10" xfId="0" applyFont="1" applyFill="1" applyBorder="1" applyAlignment="1">
      <alignment horizontal="center" wrapText="1"/>
    </xf>
    <xf numFmtId="1" fontId="48" fillId="15" borderId="2" xfId="0" applyNumberFormat="1" applyFont="1" applyFill="1" applyBorder="1" applyAlignment="1">
      <alignment horizontal="center" vertical="center" wrapText="1"/>
    </xf>
    <xf numFmtId="1" fontId="48" fillId="0" borderId="16" xfId="0" applyNumberFormat="1" applyFont="1" applyBorder="1" applyAlignment="1">
      <alignment horizontal="center" wrapText="1"/>
    </xf>
    <xf numFmtId="1" fontId="48" fillId="0" borderId="16" xfId="0" applyNumberFormat="1" applyFont="1" applyBorder="1" applyAlignment="1">
      <alignment horizontal="center" vertical="center" wrapText="1"/>
    </xf>
    <xf numFmtId="0" fontId="47" fillId="0" borderId="25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24" fillId="0" borderId="25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wrapText="1"/>
    </xf>
    <xf numFmtId="0" fontId="35" fillId="0" borderId="14" xfId="0" applyFont="1" applyBorder="1" applyAlignment="1">
      <alignment horizontal="center" vertical="center"/>
    </xf>
    <xf numFmtId="1" fontId="50" fillId="0" borderId="4" xfId="0" applyNumberFormat="1" applyFont="1" applyBorder="1" applyAlignment="1">
      <alignment horizontal="center" vertical="center" wrapText="1"/>
    </xf>
    <xf numFmtId="0" fontId="48" fillId="0" borderId="0" xfId="0" applyFont="1" applyAlignment="1">
      <alignment horizontal="center" wrapText="1"/>
    </xf>
    <xf numFmtId="0" fontId="1" fillId="0" borderId="0" xfId="0" applyFont="1"/>
    <xf numFmtId="0" fontId="8" fillId="0" borderId="16" xfId="0" applyFont="1" applyBorder="1" applyAlignment="1">
      <alignment horizontal="center"/>
    </xf>
    <xf numFmtId="0" fontId="8" fillId="0" borderId="21" xfId="0" applyFont="1" applyBorder="1" applyAlignment="1">
      <alignment horizontal="center" wrapText="1"/>
    </xf>
    <xf numFmtId="0" fontId="14" fillId="0" borderId="1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" fontId="8" fillId="0" borderId="16" xfId="0" applyNumberFormat="1" applyFont="1" applyBorder="1" applyAlignment="1">
      <alignment horizontal="center" wrapText="1"/>
    </xf>
    <xf numFmtId="0" fontId="1" fillId="0" borderId="1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1" fontId="14" fillId="14" borderId="14" xfId="0" applyNumberFormat="1" applyFont="1" applyFill="1" applyBorder="1" applyAlignment="1">
      <alignment horizontal="center" wrapText="1"/>
    </xf>
    <xf numFmtId="0" fontId="14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1" fontId="8" fillId="0" borderId="14" xfId="0" applyNumberFormat="1" applyFont="1" applyBorder="1" applyAlignment="1">
      <alignment horizontal="center" wrapText="1"/>
    </xf>
    <xf numFmtId="0" fontId="35" fillId="0" borderId="25" xfId="0" applyFont="1" applyBorder="1" applyAlignment="1">
      <alignment horizontal="center" vertical="center"/>
    </xf>
    <xf numFmtId="1" fontId="8" fillId="14" borderId="7" xfId="0" applyNumberFormat="1" applyFont="1" applyFill="1" applyBorder="1" applyAlignment="1">
      <alignment horizontal="center" vertical="center" wrapText="1"/>
    </xf>
    <xf numFmtId="1" fontId="8" fillId="0" borderId="12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 wrapText="1"/>
    </xf>
    <xf numFmtId="1" fontId="55" fillId="0" borderId="1" xfId="0" applyNumberFormat="1" applyFont="1" applyBorder="1" applyAlignment="1">
      <alignment horizontal="center" vertical="center" wrapText="1"/>
    </xf>
    <xf numFmtId="1" fontId="16" fillId="6" borderId="1" xfId="0" applyNumberFormat="1" applyFont="1" applyFill="1" applyBorder="1" applyAlignment="1">
      <alignment horizontal="center" vertical="center" wrapText="1"/>
    </xf>
    <xf numFmtId="1" fontId="55" fillId="7" borderId="1" xfId="0" applyNumberFormat="1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vertical="center"/>
    </xf>
    <xf numFmtId="0" fontId="27" fillId="8" borderId="4" xfId="0" applyFont="1" applyFill="1" applyBorder="1"/>
    <xf numFmtId="0" fontId="16" fillId="5" borderId="1" xfId="0" applyFont="1" applyFill="1" applyBorder="1" applyAlignment="1">
      <alignment horizontal="center" wrapText="1"/>
    </xf>
    <xf numFmtId="0" fontId="16" fillId="5" borderId="1" xfId="0" applyFont="1" applyFill="1" applyBorder="1" applyAlignment="1">
      <alignment horizontal="center"/>
    </xf>
    <xf numFmtId="0" fontId="16" fillId="5" borderId="1" xfId="0" applyFont="1" applyFill="1" applyBorder="1" applyAlignment="1">
      <alignment wrapText="1"/>
    </xf>
    <xf numFmtId="0" fontId="16" fillId="3" borderId="1" xfId="0" applyFont="1" applyFill="1" applyBorder="1" applyAlignment="1">
      <alignment horizontal="center" wrapText="1"/>
    </xf>
    <xf numFmtId="0" fontId="1" fillId="0" borderId="14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/>
    </xf>
    <xf numFmtId="1" fontId="48" fillId="0" borderId="26" xfId="0" applyNumberFormat="1" applyFont="1" applyBorder="1" applyAlignment="1">
      <alignment horizontal="center" vertical="center" wrapText="1"/>
    </xf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0" fontId="35" fillId="0" borderId="0" xfId="0" applyFont="1" applyAlignment="1">
      <alignment horizontal="center"/>
    </xf>
    <xf numFmtId="0" fontId="48" fillId="0" borderId="17" xfId="0" applyFont="1" applyBorder="1" applyAlignment="1">
      <alignment horizontal="center" wrapText="1"/>
    </xf>
    <xf numFmtId="1" fontId="49" fillId="0" borderId="16" xfId="0" applyNumberFormat="1" applyFont="1" applyBorder="1" applyAlignment="1">
      <alignment horizontal="center" wrapText="1"/>
    </xf>
    <xf numFmtId="0" fontId="49" fillId="0" borderId="1" xfId="0" applyFont="1" applyBorder="1" applyAlignment="1">
      <alignment horizontal="center" wrapText="1"/>
    </xf>
    <xf numFmtId="0" fontId="49" fillId="0" borderId="0" xfId="0" applyFont="1" applyAlignment="1">
      <alignment horizontal="center" wrapText="1"/>
    </xf>
    <xf numFmtId="1" fontId="49" fillId="0" borderId="14" xfId="0" applyNumberFormat="1" applyFont="1" applyBorder="1" applyAlignment="1">
      <alignment horizontal="center" vertical="center" wrapText="1"/>
    </xf>
    <xf numFmtId="165" fontId="50" fillId="3" borderId="5" xfId="0" applyNumberFormat="1" applyFont="1" applyFill="1" applyBorder="1" applyAlignment="1">
      <alignment horizontal="center" wrapText="1"/>
    </xf>
    <xf numFmtId="15" fontId="50" fillId="3" borderId="6" xfId="0" applyNumberFormat="1" applyFont="1" applyFill="1" applyBorder="1" applyAlignment="1">
      <alignment horizontal="center" wrapText="1"/>
    </xf>
    <xf numFmtId="0" fontId="50" fillId="3" borderId="6" xfId="0" applyFont="1" applyFill="1" applyBorder="1" applyAlignment="1">
      <alignment horizontal="center" wrapText="1"/>
    </xf>
    <xf numFmtId="20" fontId="50" fillId="3" borderId="7" xfId="0" applyNumberFormat="1" applyFont="1" applyFill="1" applyBorder="1" applyAlignment="1">
      <alignment horizontal="center" wrapText="1"/>
    </xf>
    <xf numFmtId="0" fontId="64" fillId="19" borderId="0" xfId="0" applyFont="1" applyFill="1" applyAlignment="1">
      <alignment horizontal="center" vertical="center"/>
    </xf>
    <xf numFmtId="0" fontId="56" fillId="20" borderId="29" xfId="0" applyFont="1" applyFill="1" applyBorder="1" applyAlignment="1">
      <alignment horizontal="center"/>
    </xf>
    <xf numFmtId="0" fontId="56" fillId="21" borderId="29" xfId="0" applyFont="1" applyFill="1" applyBorder="1" applyAlignment="1">
      <alignment horizontal="center"/>
    </xf>
    <xf numFmtId="0" fontId="57" fillId="22" borderId="29" xfId="0" applyFont="1" applyFill="1" applyBorder="1" applyAlignment="1">
      <alignment horizontal="center"/>
    </xf>
    <xf numFmtId="0" fontId="65" fillId="20" borderId="29" xfId="0" applyFont="1" applyFill="1" applyBorder="1"/>
    <xf numFmtId="0" fontId="0" fillId="20" borderId="29" xfId="0" applyFill="1" applyBorder="1"/>
    <xf numFmtId="0" fontId="65" fillId="21" borderId="29" xfId="0" applyFont="1" applyFill="1" applyBorder="1"/>
    <xf numFmtId="0" fontId="0" fillId="21" borderId="29" xfId="0" applyFill="1" applyBorder="1"/>
    <xf numFmtId="0" fontId="56" fillId="20" borderId="28" xfId="0" applyFont="1" applyFill="1" applyBorder="1" applyAlignment="1">
      <alignment horizontal="center"/>
    </xf>
    <xf numFmtId="0" fontId="56" fillId="21" borderId="28" xfId="0" applyFont="1" applyFill="1" applyBorder="1" applyAlignment="1">
      <alignment horizontal="center"/>
    </xf>
    <xf numFmtId="0" fontId="57" fillId="22" borderId="28" xfId="0" applyFont="1" applyFill="1" applyBorder="1" applyAlignment="1">
      <alignment horizontal="center"/>
    </xf>
    <xf numFmtId="0" fontId="64" fillId="19" borderId="14" xfId="0" applyFont="1" applyFill="1" applyBorder="1" applyAlignment="1">
      <alignment horizontal="center" vertical="center"/>
    </xf>
    <xf numFmtId="0" fontId="56" fillId="20" borderId="14" xfId="0" applyFont="1" applyFill="1" applyBorder="1" applyAlignment="1">
      <alignment horizontal="center"/>
    </xf>
    <xf numFmtId="0" fontId="56" fillId="21" borderId="14" xfId="0" applyFont="1" applyFill="1" applyBorder="1" applyAlignment="1">
      <alignment horizontal="center"/>
    </xf>
    <xf numFmtId="0" fontId="57" fillId="23" borderId="14" xfId="0" applyFont="1" applyFill="1" applyBorder="1" applyAlignment="1">
      <alignment horizontal="center"/>
    </xf>
    <xf numFmtId="3" fontId="56" fillId="20" borderId="14" xfId="0" applyNumberFormat="1" applyFont="1" applyFill="1" applyBorder="1" applyAlignment="1">
      <alignment horizontal="center"/>
    </xf>
    <xf numFmtId="2" fontId="56" fillId="20" borderId="14" xfId="0" applyNumberFormat="1" applyFont="1" applyFill="1" applyBorder="1" applyAlignment="1">
      <alignment horizontal="center"/>
    </xf>
    <xf numFmtId="171" fontId="56" fillId="20" borderId="14" xfId="0" applyNumberFormat="1" applyFont="1" applyFill="1" applyBorder="1" applyAlignment="1">
      <alignment horizontal="center"/>
    </xf>
    <xf numFmtId="3" fontId="56" fillId="21" borderId="14" xfId="0" applyNumberFormat="1" applyFont="1" applyFill="1" applyBorder="1" applyAlignment="1">
      <alignment horizontal="center"/>
    </xf>
    <xf numFmtId="2" fontId="56" fillId="21" borderId="14" xfId="0" applyNumberFormat="1" applyFont="1" applyFill="1" applyBorder="1" applyAlignment="1">
      <alignment horizontal="center"/>
    </xf>
    <xf numFmtId="171" fontId="56" fillId="21" borderId="14" xfId="0" applyNumberFormat="1" applyFont="1" applyFill="1" applyBorder="1" applyAlignment="1">
      <alignment horizontal="center"/>
    </xf>
    <xf numFmtId="3" fontId="57" fillId="23" borderId="14" xfId="0" applyNumberFormat="1" applyFont="1" applyFill="1" applyBorder="1" applyAlignment="1">
      <alignment horizontal="center"/>
    </xf>
    <xf numFmtId="2" fontId="57" fillId="23" borderId="14" xfId="0" applyNumberFormat="1" applyFont="1" applyFill="1" applyBorder="1" applyAlignment="1">
      <alignment horizontal="center"/>
    </xf>
    <xf numFmtId="171" fontId="57" fillId="23" borderId="14" xfId="0" applyNumberFormat="1" applyFont="1" applyFill="1" applyBorder="1" applyAlignment="1">
      <alignment horizontal="center"/>
    </xf>
    <xf numFmtId="0" fontId="57" fillId="21" borderId="14" xfId="0" applyFont="1" applyFill="1" applyBorder="1" applyAlignment="1">
      <alignment horizontal="center"/>
    </xf>
    <xf numFmtId="3" fontId="0" fillId="21" borderId="14" xfId="0" applyNumberFormat="1" applyFill="1" applyBorder="1" applyAlignment="1">
      <alignment horizontal="center"/>
    </xf>
    <xf numFmtId="172" fontId="0" fillId="21" borderId="14" xfId="0" applyNumberFormat="1" applyFill="1" applyBorder="1" applyAlignment="1">
      <alignment horizontal="center"/>
    </xf>
    <xf numFmtId="171" fontId="0" fillId="21" borderId="14" xfId="0" applyNumberFormat="1" applyFill="1" applyBorder="1" applyAlignment="1">
      <alignment horizontal="center"/>
    </xf>
    <xf numFmtId="170" fontId="0" fillId="21" borderId="14" xfId="0" applyNumberFormat="1" applyFill="1" applyBorder="1" applyAlignment="1">
      <alignment horizontal="center"/>
    </xf>
    <xf numFmtId="173" fontId="0" fillId="21" borderId="14" xfId="0" applyNumberFormat="1" applyFill="1" applyBorder="1" applyAlignment="1">
      <alignment horizontal="center"/>
    </xf>
    <xf numFmtId="0" fontId="58" fillId="21" borderId="14" xfId="0" applyFont="1" applyFill="1" applyBorder="1" applyAlignment="1">
      <alignment horizontal="center"/>
    </xf>
    <xf numFmtId="0" fontId="57" fillId="20" borderId="14" xfId="0" applyFont="1" applyFill="1" applyBorder="1" applyAlignment="1">
      <alignment horizontal="center"/>
    </xf>
    <xf numFmtId="3" fontId="0" fillId="20" borderId="14" xfId="0" applyNumberFormat="1" applyFill="1" applyBorder="1" applyAlignment="1">
      <alignment horizontal="center"/>
    </xf>
    <xf numFmtId="172" fontId="0" fillId="20" borderId="14" xfId="0" applyNumberFormat="1" applyFill="1" applyBorder="1" applyAlignment="1">
      <alignment horizontal="center"/>
    </xf>
    <xf numFmtId="171" fontId="0" fillId="20" borderId="14" xfId="0" applyNumberFormat="1" applyFill="1" applyBorder="1" applyAlignment="1">
      <alignment horizontal="center"/>
    </xf>
    <xf numFmtId="170" fontId="0" fillId="20" borderId="14" xfId="0" applyNumberFormat="1" applyFill="1" applyBorder="1" applyAlignment="1">
      <alignment horizontal="center"/>
    </xf>
    <xf numFmtId="173" fontId="0" fillId="20" borderId="14" xfId="0" applyNumberFormat="1" applyFill="1" applyBorder="1" applyAlignment="1">
      <alignment horizontal="center"/>
    </xf>
    <xf numFmtId="0" fontId="58" fillId="20" borderId="14" xfId="0" applyFont="1" applyFill="1" applyBorder="1" applyAlignment="1">
      <alignment horizontal="center"/>
    </xf>
    <xf numFmtId="172" fontId="57" fillId="23" borderId="14" xfId="0" applyNumberFormat="1" applyFont="1" applyFill="1" applyBorder="1" applyAlignment="1">
      <alignment horizontal="center"/>
    </xf>
    <xf numFmtId="170" fontId="57" fillId="23" borderId="14" xfId="0" applyNumberFormat="1" applyFont="1" applyFill="1" applyBorder="1" applyAlignment="1">
      <alignment horizontal="center"/>
    </xf>
    <xf numFmtId="173" fontId="57" fillId="23" borderId="14" xfId="0" applyNumberFormat="1" applyFont="1" applyFill="1" applyBorder="1" applyAlignment="1">
      <alignment horizontal="center"/>
    </xf>
    <xf numFmtId="0" fontId="58" fillId="21" borderId="29" xfId="0" applyFont="1" applyFill="1" applyBorder="1"/>
    <xf numFmtId="0" fontId="0" fillId="0" borderId="30" xfId="0" applyBorder="1"/>
    <xf numFmtId="0" fontId="0" fillId="0" borderId="31" xfId="0" applyBorder="1"/>
    <xf numFmtId="168" fontId="61" fillId="17" borderId="29" xfId="0" applyNumberFormat="1" applyFont="1" applyFill="1" applyBorder="1" applyAlignment="1">
      <alignment horizontal="center" vertical="center"/>
    </xf>
    <xf numFmtId="169" fontId="61" fillId="17" borderId="29" xfId="0" applyNumberFormat="1" applyFont="1" applyFill="1" applyBorder="1" applyAlignment="1">
      <alignment horizontal="center" vertical="center"/>
    </xf>
    <xf numFmtId="0" fontId="60" fillId="17" borderId="29" xfId="0" applyFont="1" applyFill="1" applyBorder="1" applyAlignment="1">
      <alignment horizontal="center" vertical="center"/>
    </xf>
    <xf numFmtId="170" fontId="61" fillId="17" borderId="29" xfId="0" applyNumberFormat="1" applyFont="1" applyFill="1" applyBorder="1" applyAlignment="1">
      <alignment horizontal="center" vertical="center"/>
    </xf>
    <xf numFmtId="0" fontId="63" fillId="18" borderId="0" xfId="0" applyFont="1" applyFill="1"/>
    <xf numFmtId="0" fontId="0" fillId="0" borderId="0" xfId="0"/>
    <xf numFmtId="0" fontId="58" fillId="20" borderId="29" xfId="0" applyFont="1" applyFill="1" applyBorder="1"/>
    <xf numFmtId="0" fontId="62" fillId="17" borderId="29" xfId="0" applyFont="1" applyFill="1" applyBorder="1" applyAlignment="1">
      <alignment horizontal="center" vertical="center"/>
    </xf>
    <xf numFmtId="0" fontId="59" fillId="16" borderId="0" xfId="0" applyFont="1" applyFill="1" applyAlignment="1">
      <alignment horizontal="center" vertical="center"/>
    </xf>
    <xf numFmtId="167" fontId="61" fillId="17" borderId="29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vertical="center" wrapText="1"/>
    </xf>
    <xf numFmtId="0" fontId="0" fillId="0" borderId="4" xfId="0" applyBorder="1"/>
    <xf numFmtId="0" fontId="11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0" fillId="0" borderId="3" xfId="0" applyBorder="1"/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8" fillId="3" borderId="14" xfId="0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25" xfId="0" applyBorder="1"/>
    <xf numFmtId="0" fontId="19" fillId="6" borderId="1" xfId="0" applyFont="1" applyFill="1" applyBorder="1" applyAlignment="1">
      <alignment horizontal="left" vertical="center" wrapText="1"/>
    </xf>
    <xf numFmtId="15" fontId="8" fillId="3" borderId="14" xfId="0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wrapText="1"/>
    </xf>
    <xf numFmtId="2" fontId="8" fillId="3" borderId="14" xfId="0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5" fillId="0" borderId="1" xfId="0" applyFont="1" applyBorder="1" applyAlignment="1">
      <alignment horizontal="center" wrapText="1"/>
    </xf>
    <xf numFmtId="0" fontId="19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wrapText="1"/>
    </xf>
    <xf numFmtId="49" fontId="11" fillId="2" borderId="14" xfId="0" applyNumberFormat="1" applyFont="1" applyFill="1" applyBorder="1" applyAlignment="1">
      <alignment horizontal="center" wrapText="1"/>
    </xf>
    <xf numFmtId="0" fontId="0" fillId="0" borderId="17" xfId="0" applyBorder="1"/>
    <xf numFmtId="0" fontId="0" fillId="0" borderId="21" xfId="0" applyBorder="1"/>
    <xf numFmtId="0" fontId="9" fillId="2" borderId="14" xfId="0" applyFont="1" applyFill="1" applyBorder="1" applyAlignment="1">
      <alignment horizontal="center" wrapText="1"/>
    </xf>
    <xf numFmtId="0" fontId="17" fillId="3" borderId="1" xfId="0" applyFont="1" applyFill="1" applyBorder="1" applyAlignment="1">
      <alignment horizontal="center" vertical="center" wrapText="1"/>
    </xf>
    <xf numFmtId="15" fontId="13" fillId="3" borderId="14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wrapText="1"/>
    </xf>
    <xf numFmtId="49" fontId="21" fillId="2" borderId="14" xfId="0" applyNumberFormat="1" applyFont="1" applyFill="1" applyBorder="1" applyAlignment="1">
      <alignment horizontal="center" wrapText="1"/>
    </xf>
    <xf numFmtId="2" fontId="21" fillId="3" borderId="14" xfId="0" applyNumberFormat="1" applyFont="1" applyFill="1" applyBorder="1" applyAlignment="1">
      <alignment horizontal="center" vertical="center" wrapText="1"/>
    </xf>
    <xf numFmtId="0" fontId="21" fillId="2" borderId="14" xfId="0" applyFont="1" applyFill="1" applyBorder="1" applyAlignment="1">
      <alignment horizontal="center" wrapText="1"/>
    </xf>
    <xf numFmtId="0" fontId="19" fillId="5" borderId="1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left" wrapText="1"/>
    </xf>
    <xf numFmtId="2" fontId="13" fillId="3" borderId="14" xfId="0" applyNumberFormat="1" applyFont="1" applyFill="1" applyBorder="1" applyAlignment="1">
      <alignment horizontal="center" vertical="center" wrapText="1"/>
    </xf>
    <xf numFmtId="0" fontId="50" fillId="3" borderId="1" xfId="0" applyFont="1" applyFill="1" applyBorder="1" applyAlignment="1">
      <alignment horizontal="center" vertical="center" wrapText="1"/>
    </xf>
    <xf numFmtId="49" fontId="37" fillId="2" borderId="23" xfId="0" applyNumberFormat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wrapText="1"/>
    </xf>
    <xf numFmtId="0" fontId="48" fillId="0" borderId="1" xfId="0" applyFont="1" applyBorder="1" applyAlignment="1">
      <alignment horizontal="center" wrapText="1"/>
    </xf>
    <xf numFmtId="0" fontId="49" fillId="2" borderId="14" xfId="0" applyFont="1" applyFill="1" applyBorder="1" applyAlignment="1">
      <alignment horizontal="center" wrapText="1"/>
    </xf>
    <xf numFmtId="0" fontId="48" fillId="0" borderId="1" xfId="0" applyFont="1" applyBorder="1" applyAlignment="1">
      <alignment horizontal="center" vertical="center" wrapText="1"/>
    </xf>
    <xf numFmtId="0" fontId="47" fillId="0" borderId="0" xfId="0" applyFont="1" applyAlignment="1">
      <alignment horizontal="center"/>
    </xf>
    <xf numFmtId="0" fontId="48" fillId="0" borderId="10" xfId="0" applyFont="1" applyBorder="1" applyAlignment="1">
      <alignment horizontal="center" wrapText="1"/>
    </xf>
    <xf numFmtId="0" fontId="48" fillId="3" borderId="14" xfId="0" applyFont="1" applyFill="1" applyBorder="1" applyAlignment="1">
      <alignment horizontal="center" vertical="center" wrapText="1"/>
    </xf>
    <xf numFmtId="0" fontId="48" fillId="3" borderId="14" xfId="0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wrapText="1"/>
    </xf>
    <xf numFmtId="2" fontId="49" fillId="3" borderId="14" xfId="0" applyNumberFormat="1" applyFont="1" applyFill="1" applyBorder="1" applyAlignment="1">
      <alignment horizontal="center" vertical="center" wrapText="1"/>
    </xf>
    <xf numFmtId="0" fontId="51" fillId="6" borderId="1" xfId="0" applyFont="1" applyFill="1" applyBorder="1" applyAlignment="1">
      <alignment vertical="center" wrapText="1"/>
    </xf>
    <xf numFmtId="0" fontId="49" fillId="0" borderId="1" xfId="0" applyFont="1" applyBorder="1" applyAlignment="1">
      <alignment horizontal="center" vertical="center" wrapText="1"/>
    </xf>
    <xf numFmtId="15" fontId="48" fillId="3" borderId="14" xfId="0" applyNumberFormat="1" applyFont="1" applyFill="1" applyBorder="1" applyAlignment="1">
      <alignment horizontal="center" vertical="center" wrapText="1"/>
    </xf>
    <xf numFmtId="0" fontId="51" fillId="6" borderId="1" xfId="0" applyFont="1" applyFill="1" applyBorder="1" applyAlignment="1">
      <alignment horizontal="left" vertical="center" wrapText="1"/>
    </xf>
    <xf numFmtId="0" fontId="51" fillId="3" borderId="1" xfId="0" applyFont="1" applyFill="1" applyBorder="1" applyAlignment="1">
      <alignment horizontal="center" vertical="center" wrapText="1"/>
    </xf>
    <xf numFmtId="0" fontId="51" fillId="5" borderId="1" xfId="0" applyFont="1" applyFill="1" applyBorder="1" applyAlignment="1">
      <alignment horizontal="center" wrapText="1"/>
    </xf>
    <xf numFmtId="49" fontId="54" fillId="2" borderId="14" xfId="0" applyNumberFormat="1" applyFont="1" applyFill="1" applyBorder="1" applyAlignment="1">
      <alignment horizontal="center" wrapText="1"/>
    </xf>
    <xf numFmtId="0" fontId="50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3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8" fillId="0" borderId="10" xfId="0" applyFont="1" applyBorder="1" applyAlignment="1">
      <alignment horizontal="center" wrapText="1"/>
    </xf>
    <xf numFmtId="0" fontId="16" fillId="6" borderId="1" xfId="0" applyFont="1" applyFill="1" applyBorder="1" applyAlignment="1">
      <alignment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2" fontId="14" fillId="3" borderId="14" xfId="0" applyNumberFormat="1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wrapText="1"/>
    </xf>
    <xf numFmtId="0" fontId="16" fillId="6" borderId="1" xfId="0" applyFont="1" applyFill="1" applyBorder="1" applyAlignment="1">
      <alignment horizontal="left" vertical="center" wrapText="1"/>
    </xf>
    <xf numFmtId="49" fontId="27" fillId="2" borderId="14" xfId="0" applyNumberFormat="1" applyFont="1" applyFill="1" applyBorder="1" applyAlignment="1">
      <alignment horizontal="center" wrapText="1"/>
    </xf>
    <xf numFmtId="0" fontId="48" fillId="0" borderId="27" xfId="0" applyFont="1" applyBorder="1" applyAlignment="1">
      <alignment horizontal="center" wrapText="1"/>
    </xf>
    <xf numFmtId="0" fontId="0" fillId="0" borderId="24" xfId="0" applyBorder="1"/>
    <xf numFmtId="49" fontId="46" fillId="2" borderId="14" xfId="0" applyNumberFormat="1" applyFont="1" applyFill="1" applyBorder="1" applyAlignment="1">
      <alignment horizontal="center" wrapText="1"/>
    </xf>
    <xf numFmtId="49" fontId="46" fillId="2" borderId="16" xfId="0" applyNumberFormat="1" applyFont="1" applyFill="1" applyBorder="1" applyAlignment="1">
      <alignment horizontal="center" wrapText="1"/>
    </xf>
    <xf numFmtId="0" fontId="28" fillId="3" borderId="14" xfId="0" applyFont="1" applyFill="1" applyBorder="1" applyAlignment="1">
      <alignment horizontal="center" vertical="center"/>
    </xf>
    <xf numFmtId="49" fontId="37" fillId="2" borderId="16" xfId="0" applyNumberFormat="1" applyFont="1" applyFill="1" applyBorder="1" applyAlignment="1">
      <alignment horizontal="center" wrapText="1"/>
    </xf>
    <xf numFmtId="49" fontId="37" fillId="2" borderId="14" xfId="0" applyNumberFormat="1" applyFont="1" applyFill="1" applyBorder="1" applyAlignment="1">
      <alignment horizontal="center" wrapText="1"/>
    </xf>
    <xf numFmtId="0" fontId="31" fillId="3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wrapText="1"/>
    </xf>
    <xf numFmtId="49" fontId="40" fillId="2" borderId="14" xfId="0" applyNumberFormat="1" applyFont="1" applyFill="1" applyBorder="1" applyAlignment="1">
      <alignment horizontal="center" wrapText="1"/>
    </xf>
    <xf numFmtId="0" fontId="28" fillId="3" borderId="14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wrapText="1"/>
    </xf>
    <xf numFmtId="0" fontId="32" fillId="6" borderId="1" xfId="0" applyFont="1" applyFill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wrapText="1"/>
    </xf>
    <xf numFmtId="0" fontId="31" fillId="0" borderId="1" xfId="0" applyFont="1" applyBorder="1" applyAlignment="1">
      <alignment horizontal="center" wrapText="1"/>
    </xf>
    <xf numFmtId="2" fontId="29" fillId="3" borderId="14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wrapText="1"/>
    </xf>
    <xf numFmtId="15" fontId="28" fillId="3" borderId="14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left" vertical="center" wrapText="1"/>
    </xf>
    <xf numFmtId="0" fontId="32" fillId="3" borderId="1" xfId="0" applyFont="1" applyFill="1" applyBorder="1" applyAlignment="1">
      <alignment horizontal="center" vertical="center" wrapText="1"/>
    </xf>
    <xf numFmtId="49" fontId="40" fillId="2" borderId="16" xfId="0" applyNumberFormat="1" applyFont="1" applyFill="1" applyBorder="1" applyAlignment="1">
      <alignment horizontal="center" wrapText="1"/>
    </xf>
    <xf numFmtId="0" fontId="31" fillId="0" borderId="1" xfId="0" applyFont="1" applyBorder="1" applyAlignment="1">
      <alignment horizontal="left" wrapText="1"/>
    </xf>
    <xf numFmtId="0" fontId="13" fillId="3" borderId="1" xfId="0" applyFont="1" applyFill="1" applyBorder="1" applyAlignment="1">
      <alignment horizontal="center" vertical="center" wrapText="1"/>
    </xf>
    <xf numFmtId="49" fontId="33" fillId="2" borderId="16" xfId="0" applyNumberFormat="1" applyFont="1" applyFill="1" applyBorder="1" applyAlignment="1">
      <alignment horizontal="center" wrapText="1"/>
    </xf>
    <xf numFmtId="49" fontId="14" fillId="2" borderId="1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232071</xdr:colOff>
      <xdr:row>94</xdr:row>
      <xdr:rowOff>12773</xdr:rowOff>
    </xdr:from>
    <xdr:to>
      <xdr:col>2</xdr:col>
      <xdr:colOff>399292</xdr:colOff>
      <xdr:row>94</xdr:row>
      <xdr:rowOff>58492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 flipV="1">
          <a:off x="1451271" y="18062648"/>
          <a:ext cx="167221" cy="4571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154782</xdr:colOff>
      <xdr:row>80</xdr:row>
      <xdr:rowOff>158750</xdr:rowOff>
    </xdr:from>
    <xdr:to>
      <xdr:col>6</xdr:col>
      <xdr:colOff>339229</xdr:colOff>
      <xdr:row>88</xdr:row>
      <xdr:rowOff>146124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2" y="15422563"/>
          <a:ext cx="5542260" cy="15113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18" workbookViewId="0">
      <selection activeCell="C24" sqref="C24"/>
    </sheetView>
  </sheetViews>
  <sheetFormatPr defaultRowHeight="14.5"/>
  <cols>
    <col min="1" max="1" width="27" customWidth="1"/>
    <col min="2" max="2" width="21.08984375" bestFit="1" customWidth="1"/>
    <col min="3" max="3" width="15.6328125" bestFit="1" customWidth="1"/>
    <col min="4" max="4" width="28" bestFit="1" customWidth="1"/>
    <col min="5" max="5" width="25" customWidth="1"/>
    <col min="6" max="7" width="19" customWidth="1"/>
    <col min="8" max="8" width="29" customWidth="1"/>
    <col min="9" max="9" width="24" customWidth="1"/>
    <col min="10" max="10" width="54.26953125" bestFit="1" customWidth="1"/>
  </cols>
  <sheetData>
    <row r="1" spans="1:10">
      <c r="A1" s="498" t="s">
        <v>29</v>
      </c>
      <c r="B1" s="495"/>
      <c r="C1" s="495"/>
      <c r="D1" s="495"/>
      <c r="E1" s="495"/>
      <c r="F1" s="495"/>
      <c r="G1" s="495"/>
      <c r="H1" s="495"/>
      <c r="I1" s="495"/>
      <c r="J1" s="495"/>
    </row>
    <row r="2" spans="1:10">
      <c r="A2" s="495"/>
      <c r="B2" s="495"/>
      <c r="C2" s="495"/>
      <c r="D2" s="495"/>
      <c r="E2" s="495"/>
      <c r="F2" s="495"/>
      <c r="G2" s="495"/>
      <c r="H2" s="495"/>
      <c r="I2" s="495"/>
      <c r="J2" s="495"/>
    </row>
    <row r="4" spans="1:10">
      <c r="A4" s="492" t="s">
        <v>30</v>
      </c>
      <c r="B4" s="489"/>
      <c r="C4" s="492" t="s">
        <v>31</v>
      </c>
      <c r="D4" s="489"/>
      <c r="E4" s="492" t="s">
        <v>32</v>
      </c>
      <c r="F4" s="488"/>
      <c r="G4" s="489"/>
      <c r="H4" s="492" t="s">
        <v>33</v>
      </c>
      <c r="I4" s="488"/>
      <c r="J4" s="489"/>
    </row>
    <row r="5" spans="1:10" ht="22.5" customHeight="1">
      <c r="A5" s="491">
        <f>I17</f>
        <v>103.69899545693973</v>
      </c>
      <c r="B5" s="489"/>
      <c r="C5" s="499">
        <f>J17</f>
        <v>-0.13118264133336996</v>
      </c>
      <c r="D5" s="489"/>
      <c r="E5" s="493">
        <f>H25</f>
        <v>893612.25</v>
      </c>
      <c r="F5" s="488"/>
      <c r="G5" s="489"/>
      <c r="H5" s="490">
        <f>D25</f>
        <v>83337.000000000116</v>
      </c>
      <c r="I5" s="488"/>
      <c r="J5" s="489"/>
    </row>
    <row r="6" spans="1:10">
      <c r="A6" s="497" t="s">
        <v>34</v>
      </c>
      <c r="B6" s="489"/>
      <c r="C6" s="497" t="s">
        <v>35</v>
      </c>
      <c r="D6" s="489"/>
      <c r="E6" s="497" t="s">
        <v>36</v>
      </c>
      <c r="F6" s="488"/>
      <c r="G6" s="489"/>
      <c r="H6" s="497" t="s">
        <v>37</v>
      </c>
      <c r="I6" s="488"/>
      <c r="J6" s="489"/>
    </row>
    <row r="8" spans="1:10" ht="16" customHeight="1">
      <c r="A8" s="494" t="s">
        <v>38</v>
      </c>
      <c r="B8" s="495"/>
      <c r="C8" s="495"/>
      <c r="D8" s="495"/>
      <c r="E8" s="494" t="s">
        <v>39</v>
      </c>
      <c r="F8" s="495"/>
      <c r="G8" s="495"/>
      <c r="H8" s="495"/>
      <c r="I8" s="495"/>
      <c r="J8" s="495"/>
    </row>
    <row r="9" spans="1:10" ht="16" customHeight="1">
      <c r="A9" s="446" t="s">
        <v>40</v>
      </c>
      <c r="B9" s="446" t="s">
        <v>41</v>
      </c>
      <c r="C9" s="446" t="s">
        <v>42</v>
      </c>
      <c r="D9" s="446" t="s">
        <v>43</v>
      </c>
      <c r="E9" s="457" t="s">
        <v>44</v>
      </c>
      <c r="F9" s="457" t="s">
        <v>45</v>
      </c>
      <c r="G9" s="457" t="s">
        <v>46</v>
      </c>
      <c r="H9" s="457" t="s">
        <v>47</v>
      </c>
      <c r="I9" s="457" t="s">
        <v>48</v>
      </c>
      <c r="J9" s="457" t="s">
        <v>49</v>
      </c>
    </row>
    <row r="10" spans="1:10" ht="16" customHeight="1">
      <c r="A10" s="447" t="s">
        <v>50</v>
      </c>
      <c r="B10" s="447" t="s">
        <v>51</v>
      </c>
      <c r="C10" s="447" t="s">
        <v>52</v>
      </c>
      <c r="D10" s="454" t="s">
        <v>53</v>
      </c>
      <c r="E10" s="458" t="s">
        <v>54</v>
      </c>
      <c r="F10" s="461">
        <f>summary!I6</f>
        <v>71247</v>
      </c>
      <c r="G10" s="461">
        <f>summary!U6</f>
        <v>78875.600000000006</v>
      </c>
      <c r="H10" s="462">
        <f t="shared" ref="H10:I17" si="0">F10*12/9124.2807</f>
        <v>93.702071221899175</v>
      </c>
      <c r="I10" s="462">
        <f t="shared" si="0"/>
        <v>103.73499359790631</v>
      </c>
      <c r="J10" s="463">
        <f t="shared" ref="J10:J17" si="1">(I10-H10)/H10</f>
        <v>0.10707257849453315</v>
      </c>
    </row>
    <row r="11" spans="1:10" ht="16" customHeight="1">
      <c r="A11" s="448" t="s">
        <v>55</v>
      </c>
      <c r="B11" s="448" t="s">
        <v>56</v>
      </c>
      <c r="C11" s="448" t="s">
        <v>57</v>
      </c>
      <c r="D11" s="455" t="s">
        <v>58</v>
      </c>
      <c r="E11" s="459" t="s">
        <v>59</v>
      </c>
      <c r="F11" s="464">
        <f>summary!J6</f>
        <v>74823</v>
      </c>
      <c r="G11" s="464">
        <f>summary!V6</f>
        <v>77805.2</v>
      </c>
      <c r="H11" s="465">
        <f t="shared" si="0"/>
        <v>98.405126883042968</v>
      </c>
      <c r="I11" s="465">
        <f t="shared" si="0"/>
        <v>102.32723331275855</v>
      </c>
      <c r="J11" s="466">
        <f t="shared" si="1"/>
        <v>3.9856728546035086E-2</v>
      </c>
    </row>
    <row r="12" spans="1:10" ht="16" customHeight="1">
      <c r="A12" s="449" t="s">
        <v>60</v>
      </c>
      <c r="B12" s="449" t="s">
        <v>61</v>
      </c>
      <c r="C12" s="449" t="s">
        <v>62</v>
      </c>
      <c r="D12" s="456" t="s">
        <v>63</v>
      </c>
      <c r="E12" s="458" t="s">
        <v>64</v>
      </c>
      <c r="F12" s="461">
        <f>summary!K6</f>
        <v>83562</v>
      </c>
      <c r="G12" s="461">
        <f>summary!W6</f>
        <v>80041</v>
      </c>
      <c r="H12" s="462">
        <f t="shared" si="0"/>
        <v>109.8984164307878</v>
      </c>
      <c r="I12" s="462">
        <f t="shared" si="0"/>
        <v>105.26769523870523</v>
      </c>
      <c r="J12" s="463">
        <f t="shared" si="1"/>
        <v>-4.213637777937343E-2</v>
      </c>
    </row>
    <row r="13" spans="1:10" ht="16" customHeight="1">
      <c r="E13" s="459" t="s">
        <v>65</v>
      </c>
      <c r="F13" s="464">
        <f>summary!L6</f>
        <v>91430</v>
      </c>
      <c r="G13" s="464">
        <f>summary!X6</f>
        <v>80188</v>
      </c>
      <c r="H13" s="465">
        <f t="shared" si="0"/>
        <v>120.24619102303593</v>
      </c>
      <c r="I13" s="465">
        <f t="shared" si="0"/>
        <v>105.46102554692339</v>
      </c>
      <c r="J13" s="466">
        <f t="shared" si="1"/>
        <v>-0.12295745378978448</v>
      </c>
    </row>
    <row r="14" spans="1:10" ht="16" customHeight="1">
      <c r="E14" s="458" t="s">
        <v>66</v>
      </c>
      <c r="F14" s="461">
        <f>summary!M6</f>
        <v>94164.200000000012</v>
      </c>
      <c r="G14" s="461">
        <f>summary!Y6</f>
        <v>76356.2</v>
      </c>
      <c r="H14" s="462">
        <f t="shared" si="0"/>
        <v>123.84213475589371</v>
      </c>
      <c r="I14" s="462">
        <f t="shared" si="0"/>
        <v>100.4215488460367</v>
      </c>
      <c r="J14" s="463">
        <f t="shared" si="1"/>
        <v>-0.18911645827182749</v>
      </c>
    </row>
    <row r="15" spans="1:10" ht="16" customHeight="1">
      <c r="E15" s="459" t="s">
        <v>67</v>
      </c>
      <c r="F15" s="464">
        <f>summary!N6</f>
        <v>105721.20000000001</v>
      </c>
      <c r="G15" s="464">
        <f>summary!Z6</f>
        <v>82334</v>
      </c>
      <c r="H15" s="465">
        <f t="shared" si="0"/>
        <v>139.04157946390231</v>
      </c>
      <c r="I15" s="465">
        <f t="shared" si="0"/>
        <v>108.28338501247556</v>
      </c>
      <c r="J15" s="466">
        <f t="shared" si="1"/>
        <v>-0.22121580156108717</v>
      </c>
    </row>
    <row r="16" spans="1:10" ht="16" customHeight="1">
      <c r="E16" s="458" t="s">
        <v>68</v>
      </c>
      <c r="F16" s="461">
        <f>summary!O6</f>
        <v>114327.20000000001</v>
      </c>
      <c r="G16" s="461">
        <f>summary!AA6</f>
        <v>76337.600000000006</v>
      </c>
      <c r="H16" s="462">
        <f t="shared" si="0"/>
        <v>150.35995111373549</v>
      </c>
      <c r="I16" s="462">
        <f t="shared" si="0"/>
        <v>100.39708664377238</v>
      </c>
      <c r="J16" s="463">
        <f t="shared" si="1"/>
        <v>-0.33228837931830746</v>
      </c>
    </row>
    <row r="17" spans="1:10" ht="16" customHeight="1">
      <c r="E17" s="460" t="s">
        <v>69</v>
      </c>
      <c r="F17" s="467">
        <f>AVERAGE(F10:F16)</f>
        <v>90753.514285714293</v>
      </c>
      <c r="G17" s="467">
        <f>AVERAGE(G10:G16)</f>
        <v>78848.228571428568</v>
      </c>
      <c r="H17" s="468">
        <f t="shared" si="0"/>
        <v>119.35649584175677</v>
      </c>
      <c r="I17" s="468">
        <f t="shared" si="0"/>
        <v>103.69899545693973</v>
      </c>
      <c r="J17" s="469">
        <f t="shared" si="1"/>
        <v>-0.13118264133336996</v>
      </c>
    </row>
    <row r="19" spans="1:10" ht="16" customHeight="1">
      <c r="A19" s="494" t="s">
        <v>70</v>
      </c>
      <c r="B19" s="495"/>
      <c r="C19" s="495"/>
      <c r="D19" s="495"/>
      <c r="E19" s="495"/>
      <c r="F19" s="495"/>
      <c r="G19" s="495"/>
      <c r="H19" s="495"/>
      <c r="I19" s="495"/>
      <c r="J19" s="495"/>
    </row>
    <row r="20" spans="1:10" ht="16" customHeight="1">
      <c r="A20" s="457" t="s">
        <v>71</v>
      </c>
      <c r="B20" s="457" t="s">
        <v>45</v>
      </c>
      <c r="C20" s="457" t="s">
        <v>46</v>
      </c>
      <c r="D20" s="457" t="s">
        <v>72</v>
      </c>
      <c r="E20" s="457" t="s">
        <v>73</v>
      </c>
      <c r="F20" s="457" t="s">
        <v>74</v>
      </c>
      <c r="G20" s="457" t="s">
        <v>75</v>
      </c>
      <c r="H20" s="457" t="s">
        <v>76</v>
      </c>
      <c r="I20" s="457" t="s">
        <v>77</v>
      </c>
      <c r="J20" s="457" t="s">
        <v>78</v>
      </c>
    </row>
    <row r="21" spans="1:10" ht="16" customHeight="1">
      <c r="A21" s="470" t="s">
        <v>79</v>
      </c>
      <c r="B21" s="471">
        <f>SUM(summary!I2:'summary'!O2)</f>
        <v>382703</v>
      </c>
      <c r="C21" s="471">
        <f>SUM(summary!U2:'summary'!AA2)</f>
        <v>358855</v>
      </c>
      <c r="D21" s="472">
        <f>B21-C21</f>
        <v>23848</v>
      </c>
      <c r="E21" s="473">
        <f>(C21-B21)/B21</f>
        <v>-6.2314640857270523E-2</v>
      </c>
      <c r="F21" s="474">
        <f>B21*7.45</f>
        <v>2851137.35</v>
      </c>
      <c r="G21" s="474">
        <f>C21*7.45</f>
        <v>2673469.75</v>
      </c>
      <c r="H21" s="475">
        <f>F21-G21</f>
        <v>177667.60000000009</v>
      </c>
      <c r="I21" s="473">
        <f>(G21-F21)/F21</f>
        <v>-6.2314640857270551E-2</v>
      </c>
      <c r="J21" s="476" t="s">
        <v>80</v>
      </c>
    </row>
    <row r="22" spans="1:10" ht="16" customHeight="1">
      <c r="A22" s="477" t="s">
        <v>81</v>
      </c>
      <c r="B22" s="478">
        <f>SUM(summary!I3:'summary'!O3)</f>
        <v>51569</v>
      </c>
      <c r="C22" s="478">
        <f>SUM(summary!U3:'summary'!AA3)</f>
        <v>66409</v>
      </c>
      <c r="D22" s="479">
        <f>B22-C22</f>
        <v>-14840</v>
      </c>
      <c r="E22" s="480">
        <f>(C22-B22)/B22</f>
        <v>0.28776978417266186</v>
      </c>
      <c r="F22" s="481">
        <f>B22*7.45</f>
        <v>384189.05</v>
      </c>
      <c r="G22" s="481">
        <f>C22*7.45</f>
        <v>494747.05</v>
      </c>
      <c r="H22" s="482">
        <f>F22-G22</f>
        <v>-110558</v>
      </c>
      <c r="I22" s="480">
        <f>(G22-F22)/F22</f>
        <v>0.28776978417266186</v>
      </c>
      <c r="J22" s="483" t="s">
        <v>82</v>
      </c>
    </row>
    <row r="23" spans="1:10" ht="16" customHeight="1">
      <c r="A23" s="470" t="s">
        <v>83</v>
      </c>
      <c r="B23" s="471">
        <f>SUM(summary!I4:'summary'!O4)</f>
        <v>3159</v>
      </c>
      <c r="C23" s="471">
        <f>SUM(summary!U4:'summary'!AA4)</f>
        <v>1970</v>
      </c>
      <c r="D23" s="472">
        <f>B23-C23</f>
        <v>1189</v>
      </c>
      <c r="E23" s="473">
        <f>(C23-B23)/B23</f>
        <v>-0.3763849319404875</v>
      </c>
      <c r="F23" s="474">
        <f>B23*33.85</f>
        <v>106932.15000000001</v>
      </c>
      <c r="G23" s="474">
        <f>C23*33.85</f>
        <v>66684.5</v>
      </c>
      <c r="H23" s="475">
        <f>F23-G23</f>
        <v>40247.650000000009</v>
      </c>
      <c r="I23" s="473">
        <f>(G23-F23)/F23</f>
        <v>-0.37638493194048755</v>
      </c>
      <c r="J23" s="476" t="s">
        <v>84</v>
      </c>
    </row>
    <row r="24" spans="1:10" ht="16" customHeight="1">
      <c r="A24" s="477" t="s">
        <v>85</v>
      </c>
      <c r="B24" s="478">
        <f>SUM(summary!I5:'summary'!O5)</f>
        <v>197843.60000000003</v>
      </c>
      <c r="C24" s="478">
        <f>SUM(summary!U5:'summary'!AA5)</f>
        <v>124703.6</v>
      </c>
      <c r="D24" s="479">
        <f>B24-C24</f>
        <v>73140.000000000029</v>
      </c>
      <c r="E24" s="480">
        <f>(C24-B24)/B24</f>
        <v>-0.36968595395554882</v>
      </c>
      <c r="F24" s="481">
        <f>B24*10.75</f>
        <v>2126818.7000000002</v>
      </c>
      <c r="G24" s="481">
        <f>C24*10.75</f>
        <v>1340563.7</v>
      </c>
      <c r="H24" s="482">
        <f>F24-G24</f>
        <v>786255.00000000023</v>
      </c>
      <c r="I24" s="480">
        <f>(G24-F24)/F24</f>
        <v>-0.36968595395554882</v>
      </c>
      <c r="J24" s="483" t="s">
        <v>86</v>
      </c>
    </row>
    <row r="25" spans="1:10" ht="16" customHeight="1">
      <c r="A25" s="460" t="s">
        <v>87</v>
      </c>
      <c r="B25" s="467">
        <f>SUM(B21:B24)</f>
        <v>635274.60000000009</v>
      </c>
      <c r="C25" s="467">
        <f>SUM(C21:C24)</f>
        <v>551937.6</v>
      </c>
      <c r="D25" s="484">
        <f>B25-C25</f>
        <v>83337.000000000116</v>
      </c>
      <c r="E25" s="469">
        <f>(C25-B25)/B25</f>
        <v>-0.13118264133337001</v>
      </c>
      <c r="F25" s="485">
        <f>SUM(F21:F24)</f>
        <v>5469077.25</v>
      </c>
      <c r="G25" s="485">
        <f>SUM(G21:G24)</f>
        <v>4575465</v>
      </c>
      <c r="H25" s="486">
        <f>F25-G25</f>
        <v>893612.25</v>
      </c>
      <c r="I25" s="469">
        <f>(G25-F25)/F25</f>
        <v>-0.16339360538379669</v>
      </c>
      <c r="J25" s="460" t="s">
        <v>88</v>
      </c>
    </row>
    <row r="27" spans="1:10" ht="16" customHeight="1">
      <c r="A27" s="494" t="s">
        <v>89</v>
      </c>
      <c r="B27" s="495"/>
      <c r="C27" s="495"/>
      <c r="D27" s="495"/>
      <c r="E27" s="495"/>
      <c r="F27" s="495"/>
      <c r="G27" s="495"/>
      <c r="H27" s="495"/>
      <c r="I27" s="495"/>
      <c r="J27" s="495"/>
    </row>
    <row r="28" spans="1:10" ht="15" customHeight="1">
      <c r="A28" s="450" t="s">
        <v>90</v>
      </c>
      <c r="B28" s="451"/>
      <c r="C28" s="496" t="s">
        <v>91</v>
      </c>
      <c r="D28" s="488"/>
      <c r="E28" s="488"/>
      <c r="F28" s="488"/>
      <c r="G28" s="488"/>
      <c r="H28" s="488"/>
      <c r="I28" s="488"/>
      <c r="J28" s="489"/>
    </row>
    <row r="29" spans="1:10" ht="15" customHeight="1">
      <c r="A29" s="452" t="s">
        <v>92</v>
      </c>
      <c r="B29" s="453"/>
      <c r="C29" s="487" t="s">
        <v>93</v>
      </c>
      <c r="D29" s="488"/>
      <c r="E29" s="488"/>
      <c r="F29" s="488"/>
      <c r="G29" s="488"/>
      <c r="H29" s="488"/>
      <c r="I29" s="488"/>
      <c r="J29" s="489"/>
    </row>
    <row r="30" spans="1:10" ht="15" customHeight="1">
      <c r="A30" s="450" t="s">
        <v>94</v>
      </c>
      <c r="B30" s="451"/>
      <c r="C30" s="496" t="s">
        <v>95</v>
      </c>
      <c r="D30" s="488"/>
      <c r="E30" s="488"/>
      <c r="F30" s="488"/>
      <c r="G30" s="488"/>
      <c r="H30" s="488"/>
      <c r="I30" s="488"/>
      <c r="J30" s="489"/>
    </row>
    <row r="31" spans="1:10" ht="15" customHeight="1">
      <c r="A31" s="452" t="s">
        <v>96</v>
      </c>
      <c r="B31" s="453"/>
      <c r="C31" s="487" t="s">
        <v>97</v>
      </c>
      <c r="D31" s="488"/>
      <c r="E31" s="488"/>
      <c r="F31" s="488"/>
      <c r="G31" s="488"/>
      <c r="H31" s="488"/>
      <c r="I31" s="488"/>
      <c r="J31" s="489"/>
    </row>
  </sheetData>
  <mergeCells count="21">
    <mergeCell ref="A1:J2"/>
    <mergeCell ref="A8:D8"/>
    <mergeCell ref="C6:D6"/>
    <mergeCell ref="C30:J30"/>
    <mergeCell ref="C5:D5"/>
    <mergeCell ref="A6:B6"/>
    <mergeCell ref="E6:G6"/>
    <mergeCell ref="A19:J19"/>
    <mergeCell ref="C4:D4"/>
    <mergeCell ref="C29:J29"/>
    <mergeCell ref="C31:J31"/>
    <mergeCell ref="H5:J5"/>
    <mergeCell ref="A5:B5"/>
    <mergeCell ref="A4:B4"/>
    <mergeCell ref="E5:G5"/>
    <mergeCell ref="A27:J27"/>
    <mergeCell ref="H4:J4"/>
    <mergeCell ref="E8:J8"/>
    <mergeCell ref="C28:J28"/>
    <mergeCell ref="E4:G4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N80"/>
  <sheetViews>
    <sheetView topLeftCell="N49" workbookViewId="0">
      <selection activeCell="A22" sqref="A22:AJ22"/>
    </sheetView>
  </sheetViews>
  <sheetFormatPr defaultRowHeight="14.5"/>
  <cols>
    <col min="1" max="1" width="14" customWidth="1"/>
    <col min="2" max="2" width="27" customWidth="1"/>
    <col min="3" max="3" width="32" style="47" bestFit="1" customWidth="1"/>
    <col min="4" max="4" width="20" bestFit="1" customWidth="1"/>
    <col min="5" max="15" width="23" customWidth="1"/>
    <col min="16" max="17" width="23" bestFit="1" customWidth="1"/>
    <col min="18" max="22" width="23" customWidth="1"/>
    <col min="23" max="24" width="23" bestFit="1" customWidth="1"/>
    <col min="25" max="25" width="23" customWidth="1"/>
    <col min="26" max="27" width="23" bestFit="1" customWidth="1"/>
    <col min="28" max="29" width="23" customWidth="1"/>
    <col min="30" max="30" width="23" bestFit="1" customWidth="1"/>
    <col min="31" max="31" width="23" customWidth="1"/>
    <col min="32" max="32" width="23" bestFit="1" customWidth="1"/>
    <col min="33" max="33" width="23" customWidth="1"/>
    <col min="34" max="35" width="23" bestFit="1" customWidth="1"/>
    <col min="36" max="36" width="18" bestFit="1" customWidth="1"/>
    <col min="37" max="37" width="14" customWidth="1"/>
    <col min="38" max="38" width="18" customWidth="1"/>
    <col min="39" max="40" width="14" customWidth="1"/>
  </cols>
  <sheetData>
    <row r="2" spans="1:36" ht="16.5" customHeight="1">
      <c r="A2" s="528"/>
      <c r="B2" s="526"/>
      <c r="C2" s="526"/>
      <c r="D2" s="527"/>
      <c r="E2" s="525" t="s">
        <v>98</v>
      </c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7"/>
      <c r="AJ2" s="50"/>
    </row>
    <row r="3" spans="1:36">
      <c r="A3" s="510" t="s">
        <v>99</v>
      </c>
      <c r="B3" s="510" t="s">
        <v>100</v>
      </c>
      <c r="C3" s="510" t="s">
        <v>101</v>
      </c>
      <c r="D3" s="516" t="s">
        <v>102</v>
      </c>
      <c r="E3" s="51">
        <v>45352</v>
      </c>
      <c r="F3" s="51">
        <v>45353</v>
      </c>
      <c r="G3" s="51">
        <v>45354</v>
      </c>
      <c r="H3" s="51">
        <v>45355</v>
      </c>
      <c r="I3" s="51">
        <v>45356</v>
      </c>
      <c r="J3" s="51">
        <v>45357</v>
      </c>
      <c r="K3" s="51">
        <v>45358</v>
      </c>
      <c r="L3" s="51">
        <v>45359</v>
      </c>
      <c r="M3" s="51">
        <v>45360</v>
      </c>
      <c r="N3" s="51">
        <v>45361</v>
      </c>
      <c r="O3" s="51">
        <v>45362</v>
      </c>
      <c r="P3" s="51">
        <v>45363</v>
      </c>
      <c r="Q3" s="51">
        <v>45364</v>
      </c>
      <c r="R3" s="51">
        <v>45365</v>
      </c>
      <c r="S3" s="51">
        <v>45366</v>
      </c>
      <c r="T3" s="51">
        <v>45367</v>
      </c>
      <c r="U3" s="51">
        <v>45368</v>
      </c>
      <c r="V3" s="51">
        <v>45369</v>
      </c>
      <c r="W3" s="51">
        <v>45370</v>
      </c>
      <c r="X3" s="51">
        <v>45371</v>
      </c>
      <c r="Y3" s="51">
        <v>45372</v>
      </c>
      <c r="Z3" s="51">
        <v>45373</v>
      </c>
      <c r="AA3" s="51">
        <v>45374</v>
      </c>
      <c r="AB3" s="51">
        <v>45375</v>
      </c>
      <c r="AC3" s="51">
        <v>45376</v>
      </c>
      <c r="AD3" s="51">
        <v>45377</v>
      </c>
      <c r="AE3" s="51">
        <v>45378</v>
      </c>
      <c r="AF3" s="51">
        <v>45379</v>
      </c>
      <c r="AG3" s="51">
        <v>45380</v>
      </c>
      <c r="AH3" s="51">
        <v>45381</v>
      </c>
      <c r="AI3" s="51">
        <v>45382</v>
      </c>
      <c r="AJ3" s="514" t="s">
        <v>1</v>
      </c>
    </row>
    <row r="4" spans="1:36">
      <c r="A4" s="511"/>
      <c r="B4" s="511"/>
      <c r="C4" s="511"/>
      <c r="D4" s="511"/>
      <c r="E4" s="52" t="s">
        <v>103</v>
      </c>
      <c r="F4" s="52" t="s">
        <v>104</v>
      </c>
      <c r="G4" s="52" t="s">
        <v>105</v>
      </c>
      <c r="H4" s="52" t="s">
        <v>106</v>
      </c>
      <c r="I4" s="52" t="s">
        <v>107</v>
      </c>
      <c r="J4" s="52" t="s">
        <v>108</v>
      </c>
      <c r="K4" s="52" t="s">
        <v>109</v>
      </c>
      <c r="L4" s="52" t="s">
        <v>103</v>
      </c>
      <c r="M4" s="52" t="s">
        <v>104</v>
      </c>
      <c r="N4" s="52" t="s">
        <v>105</v>
      </c>
      <c r="O4" s="52" t="s">
        <v>106</v>
      </c>
      <c r="P4" s="52" t="s">
        <v>107</v>
      </c>
      <c r="Q4" s="52" t="s">
        <v>108</v>
      </c>
      <c r="R4" s="52" t="s">
        <v>109</v>
      </c>
      <c r="S4" s="52" t="s">
        <v>103</v>
      </c>
      <c r="T4" s="52" t="s">
        <v>104</v>
      </c>
      <c r="U4" s="52" t="s">
        <v>105</v>
      </c>
      <c r="V4" s="52" t="s">
        <v>106</v>
      </c>
      <c r="W4" s="52" t="s">
        <v>107</v>
      </c>
      <c r="X4" s="52" t="s">
        <v>108</v>
      </c>
      <c r="Y4" s="52" t="s">
        <v>109</v>
      </c>
      <c r="Z4" s="52" t="s">
        <v>103</v>
      </c>
      <c r="AA4" s="52" t="s">
        <v>104</v>
      </c>
      <c r="AB4" s="52" t="s">
        <v>105</v>
      </c>
      <c r="AC4" s="52" t="s">
        <v>106</v>
      </c>
      <c r="AD4" s="52" t="s">
        <v>107</v>
      </c>
      <c r="AE4" s="52" t="s">
        <v>108</v>
      </c>
      <c r="AF4" s="52" t="s">
        <v>109</v>
      </c>
      <c r="AG4" s="52" t="s">
        <v>103</v>
      </c>
      <c r="AH4" s="52" t="s">
        <v>104</v>
      </c>
      <c r="AI4" s="52" t="s">
        <v>105</v>
      </c>
      <c r="AJ4" s="511"/>
    </row>
    <row r="5" spans="1:36">
      <c r="A5" s="511"/>
      <c r="B5" s="511"/>
      <c r="C5" s="511"/>
      <c r="D5" s="511"/>
      <c r="E5" s="52" t="s">
        <v>110</v>
      </c>
      <c r="F5" s="52" t="s">
        <v>110</v>
      </c>
      <c r="G5" s="52" t="s">
        <v>110</v>
      </c>
      <c r="H5" s="52" t="s">
        <v>110</v>
      </c>
      <c r="I5" s="52" t="s">
        <v>110</v>
      </c>
      <c r="J5" s="52" t="s">
        <v>110</v>
      </c>
      <c r="K5" s="52" t="s">
        <v>110</v>
      </c>
      <c r="L5" s="52" t="s">
        <v>110</v>
      </c>
      <c r="M5" s="52" t="s">
        <v>110</v>
      </c>
      <c r="N5" s="52" t="s">
        <v>110</v>
      </c>
      <c r="O5" s="52" t="s">
        <v>110</v>
      </c>
      <c r="P5" s="52" t="s">
        <v>110</v>
      </c>
      <c r="Q5" s="52" t="s">
        <v>110</v>
      </c>
      <c r="R5" s="52" t="s">
        <v>110</v>
      </c>
      <c r="S5" s="52" t="s">
        <v>110</v>
      </c>
      <c r="T5" s="52" t="s">
        <v>110</v>
      </c>
      <c r="U5" s="52" t="s">
        <v>110</v>
      </c>
      <c r="V5" s="52" t="s">
        <v>110</v>
      </c>
      <c r="W5" s="52" t="s">
        <v>110</v>
      </c>
      <c r="X5" s="52" t="s">
        <v>110</v>
      </c>
      <c r="Y5" s="52" t="s">
        <v>110</v>
      </c>
      <c r="Z5" s="52" t="s">
        <v>110</v>
      </c>
      <c r="AA5" s="52" t="s">
        <v>110</v>
      </c>
      <c r="AB5" s="52" t="s">
        <v>110</v>
      </c>
      <c r="AC5" s="52" t="s">
        <v>110</v>
      </c>
      <c r="AD5" s="52" t="s">
        <v>110</v>
      </c>
      <c r="AE5" s="52" t="s">
        <v>110</v>
      </c>
      <c r="AF5" s="52" t="s">
        <v>110</v>
      </c>
      <c r="AG5" s="52" t="s">
        <v>110</v>
      </c>
      <c r="AH5" s="52" t="s">
        <v>110</v>
      </c>
      <c r="AI5" s="52" t="s">
        <v>110</v>
      </c>
      <c r="AJ5" s="511"/>
    </row>
    <row r="6" spans="1:36">
      <c r="A6" s="512"/>
      <c r="B6" s="512"/>
      <c r="C6" s="512"/>
      <c r="D6" s="512"/>
      <c r="E6" s="53">
        <v>0.33333333333333331</v>
      </c>
      <c r="F6" s="53">
        <v>0.33333333333333331</v>
      </c>
      <c r="G6" s="53">
        <v>0.33333333333333331</v>
      </c>
      <c r="H6" s="53">
        <v>0.33333333333333331</v>
      </c>
      <c r="I6" s="53">
        <v>0.33333333333333331</v>
      </c>
      <c r="J6" s="53" t="e">
        <f>#REF!=AN73</f>
        <v>#REF!</v>
      </c>
      <c r="K6" s="53">
        <v>0.33333333333333331</v>
      </c>
      <c r="L6" s="53">
        <v>0.33333333333333331</v>
      </c>
      <c r="M6" s="53">
        <v>0.33333333333333331</v>
      </c>
      <c r="N6" s="53">
        <v>0.33333333333333331</v>
      </c>
      <c r="O6" s="53">
        <v>0.33333333333333331</v>
      </c>
      <c r="P6" s="53">
        <v>0.33333333333333331</v>
      </c>
      <c r="Q6" s="53">
        <v>0.33333333333333331</v>
      </c>
      <c r="R6" s="53">
        <v>0.33333333333333331</v>
      </c>
      <c r="S6" s="53">
        <v>0.33333333333333331</v>
      </c>
      <c r="T6" s="53">
        <v>0.33333333333333331</v>
      </c>
      <c r="U6" s="53">
        <v>0.33333333333333331</v>
      </c>
      <c r="V6" s="53">
        <v>0.33333333333333331</v>
      </c>
      <c r="W6" s="53">
        <v>0.33333333333333331</v>
      </c>
      <c r="X6" s="53">
        <v>0.33333333333333331</v>
      </c>
      <c r="Y6" s="53">
        <v>0.33333333333333331</v>
      </c>
      <c r="Z6" s="53">
        <v>0.33333333333333331</v>
      </c>
      <c r="AA6" s="53">
        <v>0.33333333333333331</v>
      </c>
      <c r="AB6" s="53">
        <v>0.33333333333333331</v>
      </c>
      <c r="AC6" s="53">
        <v>0.33333333333333331</v>
      </c>
      <c r="AD6" s="53">
        <v>0.33333333333333331</v>
      </c>
      <c r="AE6" s="53">
        <v>0.33333333333333331</v>
      </c>
      <c r="AF6" s="53">
        <v>0.33333333333333331</v>
      </c>
      <c r="AG6" s="53">
        <v>0.33333333333333331</v>
      </c>
      <c r="AH6" s="53">
        <v>0.33333333333333331</v>
      </c>
      <c r="AI6" s="53">
        <v>0.33333333333333331</v>
      </c>
      <c r="AJ6" s="512"/>
    </row>
    <row r="7" spans="1:36" ht="14.25" customHeight="1">
      <c r="A7" s="2">
        <v>1</v>
      </c>
      <c r="B7" s="67"/>
      <c r="C7" s="54" t="s">
        <v>111</v>
      </c>
      <c r="D7" s="154">
        <v>6604</v>
      </c>
      <c r="E7" s="4">
        <v>6890</v>
      </c>
      <c r="F7" s="4">
        <v>7077</v>
      </c>
      <c r="G7" s="5">
        <v>7264</v>
      </c>
      <c r="H7" s="5">
        <v>7501</v>
      </c>
      <c r="I7" s="4">
        <v>7740</v>
      </c>
      <c r="J7" s="4">
        <v>8016</v>
      </c>
      <c r="K7" s="4">
        <v>8260</v>
      </c>
      <c r="L7" s="4">
        <v>8503</v>
      </c>
      <c r="M7" s="6">
        <v>8721</v>
      </c>
      <c r="N7" s="4">
        <v>8938</v>
      </c>
      <c r="O7" s="4">
        <v>9166</v>
      </c>
      <c r="P7" s="4">
        <v>9432</v>
      </c>
      <c r="Q7" s="6">
        <v>9675</v>
      </c>
      <c r="R7" s="4">
        <v>9922</v>
      </c>
      <c r="S7" s="4">
        <v>10128</v>
      </c>
      <c r="T7" s="4">
        <v>10324</v>
      </c>
      <c r="U7" s="4">
        <v>10542</v>
      </c>
      <c r="V7" s="6">
        <v>10788</v>
      </c>
      <c r="W7" s="4">
        <v>11051</v>
      </c>
      <c r="X7" s="4">
        <v>11305</v>
      </c>
      <c r="Y7" s="4">
        <v>11563</v>
      </c>
      <c r="Z7" s="4">
        <v>11784</v>
      </c>
      <c r="AA7" s="4">
        <v>11987</v>
      </c>
      <c r="AB7" s="4">
        <v>12185</v>
      </c>
      <c r="AC7" s="4">
        <v>12392</v>
      </c>
      <c r="AD7" s="4">
        <v>12629</v>
      </c>
      <c r="AE7" s="4">
        <v>12859</v>
      </c>
      <c r="AF7" s="4">
        <v>13093</v>
      </c>
      <c r="AG7" s="4">
        <v>13317</v>
      </c>
      <c r="AH7" s="34">
        <v>13516</v>
      </c>
      <c r="AI7" s="34">
        <v>13613</v>
      </c>
      <c r="AJ7" s="7">
        <f t="shared" ref="AJ7:AJ22" si="0">AI7-D7</f>
        <v>7009</v>
      </c>
    </row>
    <row r="8" spans="1:36" ht="14.25" customHeight="1">
      <c r="A8" s="2"/>
      <c r="B8" s="67"/>
      <c r="C8" s="157" t="s">
        <v>22</v>
      </c>
      <c r="D8" s="154">
        <v>165</v>
      </c>
      <c r="E8" s="4">
        <v>218</v>
      </c>
      <c r="F8" s="4">
        <v>220</v>
      </c>
      <c r="G8" s="4">
        <v>220</v>
      </c>
      <c r="H8" s="4">
        <v>220</v>
      </c>
      <c r="I8" s="4">
        <v>220</v>
      </c>
      <c r="J8" s="4">
        <v>220</v>
      </c>
      <c r="K8" s="4">
        <v>220</v>
      </c>
      <c r="L8" s="4">
        <v>220</v>
      </c>
      <c r="M8" s="4">
        <v>220</v>
      </c>
      <c r="N8" s="4">
        <v>220</v>
      </c>
      <c r="O8" s="4">
        <v>220</v>
      </c>
      <c r="P8" s="4">
        <v>220</v>
      </c>
      <c r="Q8" s="4">
        <v>220</v>
      </c>
      <c r="R8" s="4">
        <v>258</v>
      </c>
      <c r="S8" s="4">
        <v>271</v>
      </c>
      <c r="T8" s="4">
        <v>271</v>
      </c>
      <c r="U8" s="4">
        <v>271</v>
      </c>
      <c r="V8" s="4">
        <v>271</v>
      </c>
      <c r="W8" s="4">
        <v>271</v>
      </c>
      <c r="X8" s="4">
        <v>271</v>
      </c>
      <c r="Y8" s="4">
        <v>272</v>
      </c>
      <c r="Z8" s="4">
        <v>272</v>
      </c>
      <c r="AA8" s="4">
        <v>272</v>
      </c>
      <c r="AB8" s="4">
        <v>272</v>
      </c>
      <c r="AC8" s="4">
        <v>272</v>
      </c>
      <c r="AD8" s="4">
        <v>272</v>
      </c>
      <c r="AE8" s="4">
        <v>272</v>
      </c>
      <c r="AF8" s="4">
        <v>272</v>
      </c>
      <c r="AG8" s="4">
        <v>272</v>
      </c>
      <c r="AH8" s="34">
        <v>278</v>
      </c>
      <c r="AI8" s="34">
        <v>278</v>
      </c>
      <c r="AJ8" s="7">
        <f t="shared" si="0"/>
        <v>113</v>
      </c>
    </row>
    <row r="9" spans="1:36" ht="14.25" customHeight="1">
      <c r="A9" s="2">
        <v>2</v>
      </c>
      <c r="B9" s="67"/>
      <c r="C9" s="54" t="s">
        <v>112</v>
      </c>
      <c r="D9" s="154">
        <v>1956</v>
      </c>
      <c r="E9" s="4">
        <v>1956</v>
      </c>
      <c r="F9" s="4">
        <v>1956</v>
      </c>
      <c r="G9" s="4">
        <v>1956</v>
      </c>
      <c r="H9" s="4">
        <v>1956</v>
      </c>
      <c r="I9" s="4">
        <v>1956</v>
      </c>
      <c r="J9" s="4">
        <v>1956</v>
      </c>
      <c r="K9" s="4">
        <v>1956</v>
      </c>
      <c r="L9" s="4">
        <v>1956</v>
      </c>
      <c r="M9" s="4">
        <v>1956</v>
      </c>
      <c r="N9" s="4">
        <v>1956</v>
      </c>
      <c r="O9" s="4">
        <v>1956</v>
      </c>
      <c r="P9" s="4">
        <v>1956</v>
      </c>
      <c r="Q9" s="4">
        <v>1956</v>
      </c>
      <c r="R9" s="4">
        <v>1956</v>
      </c>
      <c r="S9" s="4">
        <v>1956</v>
      </c>
      <c r="T9" s="4">
        <v>1956</v>
      </c>
      <c r="U9" s="4">
        <v>1956</v>
      </c>
      <c r="V9" s="4">
        <v>1956</v>
      </c>
      <c r="W9" s="4">
        <v>1956</v>
      </c>
      <c r="X9" s="4">
        <v>1956</v>
      </c>
      <c r="Y9" s="4">
        <v>1956</v>
      </c>
      <c r="Z9" s="4">
        <v>1956</v>
      </c>
      <c r="AA9" s="4">
        <v>1956</v>
      </c>
      <c r="AB9" s="4">
        <v>1956</v>
      </c>
      <c r="AC9" s="4">
        <v>1956</v>
      </c>
      <c r="AD9" s="4">
        <v>1956</v>
      </c>
      <c r="AE9" s="4">
        <v>1956</v>
      </c>
      <c r="AF9" s="4">
        <v>1956</v>
      </c>
      <c r="AG9" s="4">
        <v>1956</v>
      </c>
      <c r="AH9" s="34">
        <v>1956</v>
      </c>
      <c r="AI9" s="34">
        <v>1956</v>
      </c>
      <c r="AJ9" s="7">
        <f t="shared" si="0"/>
        <v>0</v>
      </c>
    </row>
    <row r="10" spans="1:36" ht="14.25" customHeight="1">
      <c r="A10" s="2"/>
      <c r="B10" s="67"/>
      <c r="C10" s="157" t="s">
        <v>22</v>
      </c>
      <c r="D10" s="154">
        <v>28</v>
      </c>
      <c r="E10" s="4">
        <v>28</v>
      </c>
      <c r="F10" s="4">
        <v>28</v>
      </c>
      <c r="G10" s="4">
        <v>28</v>
      </c>
      <c r="H10" s="4">
        <v>28</v>
      </c>
      <c r="I10" s="4">
        <v>28</v>
      </c>
      <c r="J10" s="4">
        <v>28</v>
      </c>
      <c r="K10" s="4">
        <v>28</v>
      </c>
      <c r="L10" s="4">
        <v>28</v>
      </c>
      <c r="M10" s="4">
        <v>28</v>
      </c>
      <c r="N10" s="4">
        <v>28</v>
      </c>
      <c r="O10" s="4">
        <v>28</v>
      </c>
      <c r="P10" s="4">
        <v>28</v>
      </c>
      <c r="Q10" s="4">
        <v>28</v>
      </c>
      <c r="R10" s="4">
        <v>28</v>
      </c>
      <c r="S10" s="4">
        <v>28</v>
      </c>
      <c r="T10" s="4">
        <v>28</v>
      </c>
      <c r="U10" s="4">
        <v>28</v>
      </c>
      <c r="V10" s="4">
        <v>28</v>
      </c>
      <c r="W10" s="4">
        <v>28</v>
      </c>
      <c r="X10" s="4">
        <v>28</v>
      </c>
      <c r="Y10" s="4">
        <v>28</v>
      </c>
      <c r="Z10" s="4">
        <v>28</v>
      </c>
      <c r="AA10" s="4">
        <v>28</v>
      </c>
      <c r="AB10" s="4">
        <v>28</v>
      </c>
      <c r="AC10" s="4">
        <v>28</v>
      </c>
      <c r="AD10" s="4">
        <v>28</v>
      </c>
      <c r="AE10" s="4">
        <v>28</v>
      </c>
      <c r="AF10" s="4">
        <v>28</v>
      </c>
      <c r="AG10" s="4">
        <v>28</v>
      </c>
      <c r="AH10" s="4">
        <v>28</v>
      </c>
      <c r="AI10" s="4">
        <v>28</v>
      </c>
      <c r="AJ10" s="7">
        <f t="shared" si="0"/>
        <v>0</v>
      </c>
    </row>
    <row r="11" spans="1:36" ht="14.25" customHeight="1">
      <c r="A11" s="2">
        <v>3</v>
      </c>
      <c r="B11" s="67"/>
      <c r="C11" s="54" t="s">
        <v>113</v>
      </c>
      <c r="D11" s="154">
        <v>16819</v>
      </c>
      <c r="E11" s="4">
        <v>17196</v>
      </c>
      <c r="F11" s="4">
        <v>17459</v>
      </c>
      <c r="G11" s="4">
        <v>17701</v>
      </c>
      <c r="H11" s="4">
        <v>18037</v>
      </c>
      <c r="I11" s="4">
        <v>18363</v>
      </c>
      <c r="J11" s="4">
        <v>18729</v>
      </c>
      <c r="K11" s="4">
        <v>19110</v>
      </c>
      <c r="L11" s="4">
        <v>19460</v>
      </c>
      <c r="M11" s="4">
        <v>19746</v>
      </c>
      <c r="N11" s="4">
        <v>20030</v>
      </c>
      <c r="O11" s="4">
        <v>20356</v>
      </c>
      <c r="P11" s="4">
        <v>20729</v>
      </c>
      <c r="Q11" s="4">
        <v>21071</v>
      </c>
      <c r="R11" s="4">
        <v>21423</v>
      </c>
      <c r="S11" s="4">
        <v>21703</v>
      </c>
      <c r="T11" s="4">
        <v>21962</v>
      </c>
      <c r="U11" s="4">
        <v>22246</v>
      </c>
      <c r="V11" s="4">
        <v>22598</v>
      </c>
      <c r="W11" s="4">
        <v>22978</v>
      </c>
      <c r="X11" s="4">
        <v>23334</v>
      </c>
      <c r="Y11" s="4">
        <v>23707</v>
      </c>
      <c r="Z11" s="4">
        <v>24010</v>
      </c>
      <c r="AA11" s="4">
        <v>24269</v>
      </c>
      <c r="AB11" s="4">
        <v>24524</v>
      </c>
      <c r="AC11" s="4">
        <v>24795</v>
      </c>
      <c r="AD11" s="4">
        <v>25118</v>
      </c>
      <c r="AE11" s="8">
        <v>25438</v>
      </c>
      <c r="AF11" s="8">
        <v>25765</v>
      </c>
      <c r="AG11" s="8">
        <v>26060</v>
      </c>
      <c r="AH11" s="34">
        <v>26319</v>
      </c>
      <c r="AI11" s="34">
        <v>26440</v>
      </c>
      <c r="AJ11" s="7">
        <f t="shared" si="0"/>
        <v>9621</v>
      </c>
    </row>
    <row r="12" spans="1:36" ht="14.25" customHeight="1">
      <c r="A12" s="2"/>
      <c r="B12" s="67"/>
      <c r="C12" s="157" t="s">
        <v>22</v>
      </c>
      <c r="D12" s="154">
        <v>352</v>
      </c>
      <c r="E12" s="4">
        <v>430</v>
      </c>
      <c r="F12" s="4">
        <v>433</v>
      </c>
      <c r="G12" s="4">
        <v>433</v>
      </c>
      <c r="H12" s="4">
        <v>433</v>
      </c>
      <c r="I12" s="4">
        <v>433</v>
      </c>
      <c r="J12" s="4">
        <v>433</v>
      </c>
      <c r="K12" s="4">
        <v>433</v>
      </c>
      <c r="L12" s="4">
        <v>433</v>
      </c>
      <c r="M12" s="4">
        <v>433</v>
      </c>
      <c r="N12" s="4">
        <v>433</v>
      </c>
      <c r="O12" s="4">
        <v>433</v>
      </c>
      <c r="P12" s="4">
        <v>433</v>
      </c>
      <c r="Q12" s="4">
        <v>433</v>
      </c>
      <c r="R12" s="4">
        <v>491</v>
      </c>
      <c r="S12" s="4">
        <v>508</v>
      </c>
      <c r="T12" s="4">
        <v>508</v>
      </c>
      <c r="U12" s="4">
        <v>508</v>
      </c>
      <c r="V12" s="4">
        <v>508</v>
      </c>
      <c r="W12" s="4">
        <v>508</v>
      </c>
      <c r="X12" s="4">
        <v>508</v>
      </c>
      <c r="Y12" s="4">
        <v>508</v>
      </c>
      <c r="Z12" s="4">
        <v>508</v>
      </c>
      <c r="AA12" s="4">
        <v>508</v>
      </c>
      <c r="AB12" s="4">
        <v>508</v>
      </c>
      <c r="AC12" s="4">
        <v>508</v>
      </c>
      <c r="AD12" s="4">
        <v>508</v>
      </c>
      <c r="AE12" s="4">
        <v>508</v>
      </c>
      <c r="AF12" s="4">
        <v>508</v>
      </c>
      <c r="AG12" s="4">
        <v>508</v>
      </c>
      <c r="AH12" s="34">
        <v>517</v>
      </c>
      <c r="AI12" s="34">
        <v>517</v>
      </c>
      <c r="AJ12" s="7">
        <f t="shared" si="0"/>
        <v>165</v>
      </c>
    </row>
    <row r="13" spans="1:36" ht="14.25" customHeight="1">
      <c r="A13" s="2">
        <v>4</v>
      </c>
      <c r="B13" s="67"/>
      <c r="C13" s="54" t="s">
        <v>114</v>
      </c>
      <c r="D13" s="15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34">
        <v>0</v>
      </c>
      <c r="AI13" s="34">
        <v>0</v>
      </c>
      <c r="AJ13" s="7">
        <f t="shared" si="0"/>
        <v>0</v>
      </c>
    </row>
    <row r="14" spans="1:36" ht="14.25" customHeight="1">
      <c r="A14" s="2"/>
      <c r="B14" s="67"/>
      <c r="C14" s="157" t="s">
        <v>22</v>
      </c>
      <c r="D14" s="154">
        <v>0</v>
      </c>
      <c r="E14" s="154">
        <v>0</v>
      </c>
      <c r="F14" s="154">
        <v>0</v>
      </c>
      <c r="G14" s="154">
        <v>0</v>
      </c>
      <c r="H14" s="154">
        <v>0</v>
      </c>
      <c r="I14" s="154">
        <v>0</v>
      </c>
      <c r="J14" s="154">
        <v>0</v>
      </c>
      <c r="K14" s="154">
        <v>0</v>
      </c>
      <c r="L14" s="154">
        <v>0</v>
      </c>
      <c r="M14" s="154">
        <v>0</v>
      </c>
      <c r="N14" s="154">
        <v>0</v>
      </c>
      <c r="O14" s="154">
        <v>0</v>
      </c>
      <c r="P14" s="154">
        <v>0</v>
      </c>
      <c r="Q14" s="154">
        <v>0</v>
      </c>
      <c r="R14" s="154">
        <v>0</v>
      </c>
      <c r="S14" s="154">
        <v>0</v>
      </c>
      <c r="T14" s="154">
        <v>0</v>
      </c>
      <c r="U14" s="154">
        <v>0</v>
      </c>
      <c r="V14" s="154">
        <v>0</v>
      </c>
      <c r="W14" s="154">
        <v>0</v>
      </c>
      <c r="X14" s="154">
        <v>0</v>
      </c>
      <c r="Y14" s="154">
        <v>0</v>
      </c>
      <c r="Z14" s="154">
        <v>0</v>
      </c>
      <c r="AA14" s="154">
        <v>0</v>
      </c>
      <c r="AB14" s="154">
        <v>0</v>
      </c>
      <c r="AC14" s="154">
        <v>0</v>
      </c>
      <c r="AD14" s="154">
        <v>0</v>
      </c>
      <c r="AE14" s="154">
        <v>0</v>
      </c>
      <c r="AF14" s="154">
        <v>0</v>
      </c>
      <c r="AG14" s="154">
        <v>0</v>
      </c>
      <c r="AH14" s="154">
        <v>0</v>
      </c>
      <c r="AI14" s="154">
        <v>0</v>
      </c>
      <c r="AJ14" s="7">
        <f t="shared" si="0"/>
        <v>0</v>
      </c>
    </row>
    <row r="15" spans="1:36" ht="14.25" customHeight="1">
      <c r="A15" s="2">
        <v>5</v>
      </c>
      <c r="B15" s="67"/>
      <c r="C15" s="54" t="s">
        <v>115</v>
      </c>
      <c r="D15" s="154">
        <v>2670</v>
      </c>
      <c r="E15" s="4">
        <v>2868</v>
      </c>
      <c r="F15" s="4">
        <v>2973</v>
      </c>
      <c r="G15" s="5">
        <v>3077</v>
      </c>
      <c r="H15" s="5">
        <v>3235</v>
      </c>
      <c r="I15" s="4">
        <v>3404</v>
      </c>
      <c r="J15" s="4">
        <v>3602</v>
      </c>
      <c r="K15" s="4">
        <v>3782</v>
      </c>
      <c r="L15" s="4">
        <v>3944</v>
      </c>
      <c r="M15" s="4">
        <v>4053</v>
      </c>
      <c r="N15" s="4">
        <v>4163</v>
      </c>
      <c r="O15" s="4">
        <v>4319</v>
      </c>
      <c r="P15" s="4">
        <v>4493</v>
      </c>
      <c r="Q15" s="4">
        <v>4656</v>
      </c>
      <c r="R15" s="4">
        <v>4826</v>
      </c>
      <c r="S15" s="4">
        <v>4956</v>
      </c>
      <c r="T15" s="4">
        <v>5048</v>
      </c>
      <c r="U15" s="4">
        <v>5170</v>
      </c>
      <c r="V15" s="4">
        <v>5340</v>
      </c>
      <c r="W15" s="4">
        <v>5518</v>
      </c>
      <c r="X15" s="4">
        <v>5697</v>
      </c>
      <c r="Y15" s="33">
        <v>5870</v>
      </c>
      <c r="Z15" s="4">
        <v>6024</v>
      </c>
      <c r="AA15" s="4">
        <v>6138</v>
      </c>
      <c r="AB15" s="4">
        <v>6241</v>
      </c>
      <c r="AC15" s="4">
        <v>6359</v>
      </c>
      <c r="AD15" s="4">
        <v>6496</v>
      </c>
      <c r="AE15" s="8">
        <v>6649</v>
      </c>
      <c r="AF15" s="8">
        <v>6811</v>
      </c>
      <c r="AG15" s="8">
        <v>6975</v>
      </c>
      <c r="AH15" s="34">
        <v>7097</v>
      </c>
      <c r="AI15" s="34">
        <v>7150</v>
      </c>
      <c r="AJ15" s="7">
        <f t="shared" si="0"/>
        <v>4480</v>
      </c>
    </row>
    <row r="16" spans="1:36" ht="14.25" customHeight="1">
      <c r="A16" s="2"/>
      <c r="B16" s="67"/>
      <c r="C16" s="157" t="s">
        <v>22</v>
      </c>
      <c r="D16" s="154">
        <v>76</v>
      </c>
      <c r="E16" s="4">
        <v>120</v>
      </c>
      <c r="F16" s="4">
        <v>121</v>
      </c>
      <c r="G16" s="4">
        <v>121</v>
      </c>
      <c r="H16" s="4">
        <v>121</v>
      </c>
      <c r="I16" s="4">
        <v>121</v>
      </c>
      <c r="J16" s="4">
        <v>121</v>
      </c>
      <c r="K16" s="4">
        <v>121</v>
      </c>
      <c r="L16" s="4">
        <v>121</v>
      </c>
      <c r="M16" s="4">
        <v>121</v>
      </c>
      <c r="N16" s="4">
        <v>121</v>
      </c>
      <c r="O16" s="4">
        <v>121</v>
      </c>
      <c r="P16" s="4">
        <v>121</v>
      </c>
      <c r="Q16" s="4">
        <v>121</v>
      </c>
      <c r="R16" s="4">
        <v>149</v>
      </c>
      <c r="S16" s="4">
        <v>154</v>
      </c>
      <c r="T16" s="4">
        <v>154</v>
      </c>
      <c r="U16" s="4">
        <v>154</v>
      </c>
      <c r="V16" s="4">
        <v>154</v>
      </c>
      <c r="W16" s="4">
        <v>154</v>
      </c>
      <c r="X16" s="4">
        <v>154</v>
      </c>
      <c r="Y16" s="4">
        <v>155</v>
      </c>
      <c r="Z16" s="4">
        <v>155</v>
      </c>
      <c r="AA16" s="4">
        <v>155</v>
      </c>
      <c r="AB16" s="4">
        <v>155</v>
      </c>
      <c r="AC16" s="4">
        <v>155</v>
      </c>
      <c r="AD16" s="4">
        <v>155</v>
      </c>
      <c r="AE16" s="4">
        <v>155</v>
      </c>
      <c r="AF16" s="4">
        <v>155</v>
      </c>
      <c r="AG16" s="4">
        <v>155</v>
      </c>
      <c r="AH16" s="34">
        <v>159</v>
      </c>
      <c r="AI16" s="34">
        <v>159</v>
      </c>
      <c r="AJ16" s="7">
        <f t="shared" si="0"/>
        <v>83</v>
      </c>
    </row>
    <row r="17" spans="1:36" ht="14.25" customHeight="1">
      <c r="A17" s="2">
        <v>6</v>
      </c>
      <c r="B17" s="67"/>
      <c r="C17" s="54" t="s">
        <v>116</v>
      </c>
      <c r="D17" s="154">
        <v>7208</v>
      </c>
      <c r="E17" s="4">
        <v>7489</v>
      </c>
      <c r="F17" s="4">
        <v>7616</v>
      </c>
      <c r="G17" s="4">
        <v>7747</v>
      </c>
      <c r="H17" s="4">
        <v>7999</v>
      </c>
      <c r="I17" s="4">
        <v>8168</v>
      </c>
      <c r="J17" s="4">
        <v>8384</v>
      </c>
      <c r="K17" s="4">
        <v>8618</v>
      </c>
      <c r="L17" s="4">
        <v>8862</v>
      </c>
      <c r="M17" s="4">
        <v>9031</v>
      </c>
      <c r="N17" s="4">
        <v>9157</v>
      </c>
      <c r="O17" s="4">
        <v>9390</v>
      </c>
      <c r="P17" s="4">
        <v>9632</v>
      </c>
      <c r="Q17" s="4">
        <v>9846</v>
      </c>
      <c r="R17" s="4">
        <v>10087</v>
      </c>
      <c r="S17" s="4">
        <v>10280</v>
      </c>
      <c r="T17" s="4">
        <v>10419</v>
      </c>
      <c r="U17" s="4">
        <v>10545</v>
      </c>
      <c r="V17" s="4">
        <v>10792</v>
      </c>
      <c r="W17" s="4">
        <v>11047</v>
      </c>
      <c r="X17" s="4">
        <v>11291</v>
      </c>
      <c r="Y17" s="4">
        <v>11527</v>
      </c>
      <c r="Z17" s="4">
        <v>11717</v>
      </c>
      <c r="AA17" s="4">
        <v>11844</v>
      </c>
      <c r="AB17" s="4">
        <v>11930</v>
      </c>
      <c r="AC17" s="4">
        <v>12027</v>
      </c>
      <c r="AD17" s="4">
        <v>12230</v>
      </c>
      <c r="AE17" s="4">
        <v>12449</v>
      </c>
      <c r="AF17" s="8">
        <v>12650</v>
      </c>
      <c r="AG17" s="4">
        <v>12826</v>
      </c>
      <c r="AH17" s="34">
        <v>12947</v>
      </c>
      <c r="AI17" s="34">
        <v>13012</v>
      </c>
      <c r="AJ17" s="7">
        <f t="shared" si="0"/>
        <v>5804</v>
      </c>
    </row>
    <row r="18" spans="1:36" ht="14.25" customHeight="1">
      <c r="A18" s="2"/>
      <c r="B18" s="67"/>
      <c r="C18" s="157" t="s">
        <v>22</v>
      </c>
      <c r="D18" s="154">
        <v>171</v>
      </c>
      <c r="E18" s="4">
        <v>231</v>
      </c>
      <c r="F18" s="4">
        <v>232</v>
      </c>
      <c r="G18" s="4">
        <v>232</v>
      </c>
      <c r="H18" s="4">
        <v>232</v>
      </c>
      <c r="I18" s="4">
        <v>232</v>
      </c>
      <c r="J18" s="4">
        <v>232</v>
      </c>
      <c r="K18" s="4">
        <v>232</v>
      </c>
      <c r="L18" s="4">
        <v>232</v>
      </c>
      <c r="M18" s="4">
        <v>232</v>
      </c>
      <c r="N18" s="4">
        <v>232</v>
      </c>
      <c r="O18" s="4">
        <v>232</v>
      </c>
      <c r="P18" s="4">
        <v>232</v>
      </c>
      <c r="Q18" s="4">
        <v>232</v>
      </c>
      <c r="R18" s="4">
        <v>284</v>
      </c>
      <c r="S18" s="4">
        <v>299</v>
      </c>
      <c r="T18" s="4">
        <v>299</v>
      </c>
      <c r="U18" s="4">
        <v>299</v>
      </c>
      <c r="V18" s="4">
        <v>299</v>
      </c>
      <c r="W18" s="4">
        <v>299</v>
      </c>
      <c r="X18" s="4">
        <v>299</v>
      </c>
      <c r="Y18" s="4">
        <v>300</v>
      </c>
      <c r="Z18" s="4">
        <v>300</v>
      </c>
      <c r="AA18" s="4">
        <v>300</v>
      </c>
      <c r="AB18" s="4">
        <v>300</v>
      </c>
      <c r="AC18" s="4">
        <v>300</v>
      </c>
      <c r="AD18" s="4">
        <v>300</v>
      </c>
      <c r="AE18" s="4">
        <v>300</v>
      </c>
      <c r="AF18" s="4">
        <v>300</v>
      </c>
      <c r="AG18" s="4">
        <v>300</v>
      </c>
      <c r="AH18" s="4">
        <v>300</v>
      </c>
      <c r="AI18" s="4">
        <v>300</v>
      </c>
      <c r="AJ18" s="7">
        <f t="shared" si="0"/>
        <v>129</v>
      </c>
    </row>
    <row r="19" spans="1:36" ht="14.25" customHeight="1">
      <c r="A19" s="2">
        <v>7</v>
      </c>
      <c r="B19" s="67"/>
      <c r="C19" s="54" t="s">
        <v>117</v>
      </c>
      <c r="D19" s="154">
        <v>29055</v>
      </c>
      <c r="E19" s="4">
        <v>30140</v>
      </c>
      <c r="F19" s="5">
        <v>30900</v>
      </c>
      <c r="G19" s="5">
        <v>31689</v>
      </c>
      <c r="H19" s="4">
        <v>32526</v>
      </c>
      <c r="I19" s="4">
        <v>33424</v>
      </c>
      <c r="J19" s="4">
        <v>34380</v>
      </c>
      <c r="K19" s="4">
        <v>35165</v>
      </c>
      <c r="L19" s="4">
        <v>35988</v>
      </c>
      <c r="M19" s="4">
        <v>36654</v>
      </c>
      <c r="N19" s="4">
        <v>37387</v>
      </c>
      <c r="O19" s="4">
        <v>38168</v>
      </c>
      <c r="P19" s="4">
        <v>39015</v>
      </c>
      <c r="Q19" s="4">
        <v>39822</v>
      </c>
      <c r="R19" s="5">
        <v>40654</v>
      </c>
      <c r="S19" s="4">
        <v>41394</v>
      </c>
      <c r="T19" s="4">
        <v>42060</v>
      </c>
      <c r="U19" s="4">
        <v>42788</v>
      </c>
      <c r="V19" s="4">
        <v>43574</v>
      </c>
      <c r="W19" s="5">
        <v>44408</v>
      </c>
      <c r="X19" s="4">
        <v>45244</v>
      </c>
      <c r="Y19" s="4">
        <v>46076</v>
      </c>
      <c r="Z19" s="4">
        <v>46872</v>
      </c>
      <c r="AA19" s="4">
        <v>47586</v>
      </c>
      <c r="AB19" s="33">
        <v>48246</v>
      </c>
      <c r="AC19" s="4">
        <v>48812</v>
      </c>
      <c r="AD19" s="4">
        <v>49605</v>
      </c>
      <c r="AE19" s="8">
        <v>50402</v>
      </c>
      <c r="AF19" s="8">
        <v>51220</v>
      </c>
      <c r="AG19" s="8">
        <v>52028</v>
      </c>
      <c r="AH19" s="34">
        <v>52719</v>
      </c>
      <c r="AI19" s="34">
        <v>53008</v>
      </c>
      <c r="AJ19" s="7">
        <f t="shared" si="0"/>
        <v>23953</v>
      </c>
    </row>
    <row r="20" spans="1:36" ht="14.25" customHeight="1">
      <c r="A20" s="2"/>
      <c r="B20" s="67"/>
      <c r="C20" s="157" t="s">
        <v>22</v>
      </c>
      <c r="D20" s="154">
        <v>733</v>
      </c>
      <c r="E20" s="4">
        <v>899</v>
      </c>
      <c r="F20" s="5">
        <v>904</v>
      </c>
      <c r="G20" s="5">
        <v>904</v>
      </c>
      <c r="H20" s="5">
        <v>904</v>
      </c>
      <c r="I20" s="5">
        <v>904</v>
      </c>
      <c r="J20" s="5">
        <v>904</v>
      </c>
      <c r="K20" s="5">
        <v>904</v>
      </c>
      <c r="L20" s="5">
        <v>904</v>
      </c>
      <c r="M20" s="5">
        <v>904</v>
      </c>
      <c r="N20" s="5">
        <v>904</v>
      </c>
      <c r="O20" s="5">
        <v>904</v>
      </c>
      <c r="P20" s="5">
        <v>904</v>
      </c>
      <c r="Q20" s="5">
        <v>904</v>
      </c>
      <c r="R20" s="5">
        <v>1018</v>
      </c>
      <c r="S20" s="4">
        <v>1069</v>
      </c>
      <c r="T20" s="4">
        <v>1069</v>
      </c>
      <c r="U20" s="4">
        <v>1069</v>
      </c>
      <c r="V20" s="4">
        <v>1069</v>
      </c>
      <c r="W20" s="4">
        <v>1069</v>
      </c>
      <c r="X20" s="4">
        <v>1069</v>
      </c>
      <c r="Y20" s="4">
        <v>1071</v>
      </c>
      <c r="Z20" s="4">
        <v>1071</v>
      </c>
      <c r="AA20" s="4">
        <v>1071</v>
      </c>
      <c r="AB20" s="4">
        <v>1071</v>
      </c>
      <c r="AC20" s="4">
        <v>1071</v>
      </c>
      <c r="AD20" s="4">
        <v>1071</v>
      </c>
      <c r="AE20" s="4">
        <v>1071</v>
      </c>
      <c r="AF20" s="4">
        <v>1071</v>
      </c>
      <c r="AG20" s="4">
        <v>1071</v>
      </c>
      <c r="AH20" s="34">
        <v>1088</v>
      </c>
      <c r="AI20" s="34">
        <v>1088</v>
      </c>
      <c r="AJ20" s="7">
        <f t="shared" si="0"/>
        <v>355</v>
      </c>
    </row>
    <row r="21" spans="1:36" ht="14.25" customHeight="1">
      <c r="A21" s="81">
        <v>8</v>
      </c>
      <c r="B21" s="153"/>
      <c r="C21" s="54" t="s">
        <v>118</v>
      </c>
      <c r="D21" s="155">
        <v>12402</v>
      </c>
      <c r="E21" s="60">
        <v>12517</v>
      </c>
      <c r="F21" s="60">
        <v>12635</v>
      </c>
      <c r="G21" s="151">
        <v>12703</v>
      </c>
      <c r="H21" s="151">
        <v>12814</v>
      </c>
      <c r="I21" s="60">
        <v>12913</v>
      </c>
      <c r="J21" s="60">
        <v>13033</v>
      </c>
      <c r="K21" s="60">
        <v>13109</v>
      </c>
      <c r="L21" s="60">
        <v>13209</v>
      </c>
      <c r="M21" s="60">
        <v>13286</v>
      </c>
      <c r="N21" s="60">
        <v>13390</v>
      </c>
      <c r="O21" s="60">
        <v>13444</v>
      </c>
      <c r="P21" s="60">
        <v>13578</v>
      </c>
      <c r="Q21" s="60">
        <v>13604</v>
      </c>
      <c r="R21" s="60">
        <v>13679</v>
      </c>
      <c r="S21" s="60">
        <v>13743</v>
      </c>
      <c r="T21" s="60">
        <v>13819</v>
      </c>
      <c r="U21" s="60">
        <v>13866</v>
      </c>
      <c r="V21" s="60">
        <v>13957</v>
      </c>
      <c r="W21" s="60">
        <v>14045</v>
      </c>
      <c r="X21" s="60">
        <v>14134</v>
      </c>
      <c r="Y21" s="60">
        <v>14245</v>
      </c>
      <c r="Z21" s="60">
        <v>14376</v>
      </c>
      <c r="AA21" s="60">
        <v>14488</v>
      </c>
      <c r="AB21" s="60">
        <v>14603</v>
      </c>
      <c r="AC21" s="60">
        <v>14696</v>
      </c>
      <c r="AD21" s="60">
        <v>14849</v>
      </c>
      <c r="AE21" s="33">
        <v>14966</v>
      </c>
      <c r="AF21" s="33">
        <v>15108</v>
      </c>
      <c r="AG21" s="33">
        <v>15239</v>
      </c>
      <c r="AH21" s="152">
        <v>15398</v>
      </c>
      <c r="AI21" s="152">
        <v>15438</v>
      </c>
      <c r="AJ21" s="7">
        <f t="shared" si="0"/>
        <v>3036</v>
      </c>
    </row>
    <row r="22" spans="1:36" ht="20.149999999999999" customHeight="1">
      <c r="A22" s="2"/>
      <c r="B22" s="67"/>
      <c r="C22" s="157" t="s">
        <v>22</v>
      </c>
      <c r="D22" s="156">
        <v>199</v>
      </c>
      <c r="E22" s="4">
        <v>223</v>
      </c>
      <c r="F22" s="4">
        <v>225</v>
      </c>
      <c r="G22" s="4">
        <v>225</v>
      </c>
      <c r="H22" s="4">
        <v>225</v>
      </c>
      <c r="I22" s="4">
        <v>225</v>
      </c>
      <c r="J22" s="4">
        <v>225</v>
      </c>
      <c r="K22" s="4">
        <v>225</v>
      </c>
      <c r="L22" s="4">
        <v>225</v>
      </c>
      <c r="M22" s="4">
        <v>225</v>
      </c>
      <c r="N22" s="4">
        <v>225</v>
      </c>
      <c r="O22" s="4">
        <v>225</v>
      </c>
      <c r="P22" s="4">
        <v>225</v>
      </c>
      <c r="Q22" s="4">
        <v>225</v>
      </c>
      <c r="R22" s="5">
        <v>239</v>
      </c>
      <c r="S22" s="4">
        <v>244</v>
      </c>
      <c r="T22" s="4">
        <v>244</v>
      </c>
      <c r="U22" s="4">
        <v>244</v>
      </c>
      <c r="V22" s="4">
        <v>244</v>
      </c>
      <c r="W22" s="4">
        <v>244</v>
      </c>
      <c r="X22" s="4">
        <v>244</v>
      </c>
      <c r="Y22" s="4">
        <v>244</v>
      </c>
      <c r="Z22" s="4">
        <v>244</v>
      </c>
      <c r="AA22" s="4">
        <v>244</v>
      </c>
      <c r="AB22" s="4">
        <v>244</v>
      </c>
      <c r="AC22" s="4">
        <v>244</v>
      </c>
      <c r="AD22" s="4">
        <v>244</v>
      </c>
      <c r="AE22" s="4">
        <v>244</v>
      </c>
      <c r="AF22" s="4">
        <v>244</v>
      </c>
      <c r="AG22" s="4">
        <v>244</v>
      </c>
      <c r="AH22" s="8">
        <v>248</v>
      </c>
      <c r="AI22" s="8">
        <v>248</v>
      </c>
      <c r="AJ22" s="7">
        <f t="shared" si="0"/>
        <v>49</v>
      </c>
    </row>
    <row r="23" spans="1:36">
      <c r="A23" s="503"/>
      <c r="B23" s="504"/>
      <c r="C23" s="504"/>
      <c r="D23" s="504"/>
      <c r="E23" s="504"/>
      <c r="F23" s="504"/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4"/>
      <c r="AA23" s="504"/>
      <c r="AB23" s="504"/>
      <c r="AC23" s="504"/>
      <c r="AD23" s="504"/>
      <c r="AE23" s="504"/>
      <c r="AF23" s="504"/>
      <c r="AG23" s="504"/>
      <c r="AH23" s="504"/>
      <c r="AI23" s="504"/>
      <c r="AJ23" s="501"/>
    </row>
    <row r="24" spans="1:36" ht="14.25" customHeight="1">
      <c r="A24" s="2">
        <v>1</v>
      </c>
      <c r="B24" s="2"/>
      <c r="C24" s="2" t="s">
        <v>119</v>
      </c>
      <c r="D24" s="3">
        <v>2568</v>
      </c>
      <c r="E24" s="4">
        <v>2760</v>
      </c>
      <c r="F24" s="4">
        <v>2851</v>
      </c>
      <c r="G24" s="4">
        <v>2952</v>
      </c>
      <c r="H24" s="4">
        <v>3098</v>
      </c>
      <c r="I24" s="4">
        <v>3248</v>
      </c>
      <c r="J24" s="4">
        <v>3398</v>
      </c>
      <c r="K24" s="4">
        <v>3546</v>
      </c>
      <c r="L24" s="4">
        <v>3682</v>
      </c>
      <c r="M24" s="4">
        <v>3771</v>
      </c>
      <c r="N24" s="4">
        <v>3807</v>
      </c>
      <c r="O24" s="4">
        <v>3953</v>
      </c>
      <c r="P24" s="4">
        <v>4051</v>
      </c>
      <c r="Q24" s="4">
        <v>4130</v>
      </c>
      <c r="R24" s="4">
        <v>4212</v>
      </c>
      <c r="S24" s="4">
        <v>4274</v>
      </c>
      <c r="T24" s="4">
        <v>4333</v>
      </c>
      <c r="U24" s="4">
        <v>4333</v>
      </c>
      <c r="V24" s="4">
        <v>4423</v>
      </c>
      <c r="W24" s="4">
        <v>4540</v>
      </c>
      <c r="X24" s="4">
        <v>4648</v>
      </c>
      <c r="Y24" s="4">
        <v>4727</v>
      </c>
      <c r="Z24" s="4">
        <v>4809</v>
      </c>
      <c r="AA24" s="4">
        <v>4847</v>
      </c>
      <c r="AB24" s="4">
        <v>4847</v>
      </c>
      <c r="AC24" s="4">
        <v>4867</v>
      </c>
      <c r="AD24" s="4">
        <v>4960</v>
      </c>
      <c r="AE24" s="4">
        <v>5065</v>
      </c>
      <c r="AF24" s="4">
        <v>5165</v>
      </c>
      <c r="AG24" s="4">
        <v>5237</v>
      </c>
      <c r="AH24" s="34">
        <v>5270</v>
      </c>
      <c r="AI24" s="34">
        <v>5270</v>
      </c>
      <c r="AJ24" s="7">
        <f t="shared" ref="AJ24:AJ31" si="1">AI24-D24</f>
        <v>2702</v>
      </c>
    </row>
    <row r="25" spans="1:36" ht="14.25" customHeight="1">
      <c r="A25" s="2"/>
      <c r="B25" s="2"/>
      <c r="C25" s="62" t="s">
        <v>22</v>
      </c>
      <c r="D25" s="3">
        <v>132</v>
      </c>
      <c r="E25" s="4">
        <v>149</v>
      </c>
      <c r="F25" s="4">
        <v>151</v>
      </c>
      <c r="G25" s="4">
        <v>151</v>
      </c>
      <c r="H25" s="4">
        <v>151</v>
      </c>
      <c r="I25" s="4">
        <v>151</v>
      </c>
      <c r="J25" s="4">
        <v>151</v>
      </c>
      <c r="K25" s="4">
        <v>151</v>
      </c>
      <c r="L25" s="4">
        <v>151</v>
      </c>
      <c r="M25" s="4">
        <v>151</v>
      </c>
      <c r="N25" s="4">
        <v>151</v>
      </c>
      <c r="O25" s="4">
        <v>151</v>
      </c>
      <c r="P25" s="4">
        <v>151</v>
      </c>
      <c r="Q25" s="4">
        <v>151</v>
      </c>
      <c r="R25" s="4">
        <v>151</v>
      </c>
      <c r="S25" s="4">
        <v>169</v>
      </c>
      <c r="T25" s="4">
        <v>172</v>
      </c>
      <c r="U25" s="4">
        <v>172</v>
      </c>
      <c r="V25" s="4">
        <v>172</v>
      </c>
      <c r="W25" s="4">
        <v>172</v>
      </c>
      <c r="X25" s="4">
        <v>172</v>
      </c>
      <c r="Y25" s="4">
        <v>172</v>
      </c>
      <c r="Z25" s="4">
        <v>172</v>
      </c>
      <c r="AA25" s="4">
        <v>172</v>
      </c>
      <c r="AB25" s="4">
        <v>172</v>
      </c>
      <c r="AC25" s="4">
        <v>172</v>
      </c>
      <c r="AD25" s="8">
        <v>172</v>
      </c>
      <c r="AE25" s="8">
        <v>172</v>
      </c>
      <c r="AF25" s="8">
        <v>172</v>
      </c>
      <c r="AG25" s="34">
        <v>172</v>
      </c>
      <c r="AH25" s="34">
        <v>173</v>
      </c>
      <c r="AI25" s="34">
        <v>173</v>
      </c>
      <c r="AJ25" s="7">
        <f t="shared" si="1"/>
        <v>41</v>
      </c>
    </row>
    <row r="26" spans="1:36" ht="14.25" customHeight="1">
      <c r="A26" s="2"/>
      <c r="B26" s="2"/>
      <c r="C26" s="2" t="s">
        <v>120</v>
      </c>
      <c r="D26" s="3">
        <v>2698</v>
      </c>
      <c r="E26" s="4">
        <v>2834</v>
      </c>
      <c r="F26" s="4">
        <v>2899</v>
      </c>
      <c r="G26" s="5">
        <v>2974</v>
      </c>
      <c r="H26" s="5">
        <v>3076</v>
      </c>
      <c r="I26" s="4">
        <v>3183</v>
      </c>
      <c r="J26" s="4">
        <v>3289</v>
      </c>
      <c r="K26" s="4">
        <v>3401</v>
      </c>
      <c r="L26" s="4">
        <v>3508</v>
      </c>
      <c r="M26" s="4">
        <v>3571</v>
      </c>
      <c r="N26" s="4">
        <v>3597</v>
      </c>
      <c r="O26" s="4">
        <v>3702</v>
      </c>
      <c r="P26" s="4">
        <v>3787</v>
      </c>
      <c r="Q26" s="4">
        <v>3872</v>
      </c>
      <c r="R26" s="4">
        <v>3956</v>
      </c>
      <c r="S26" s="4">
        <v>4019</v>
      </c>
      <c r="T26" s="4">
        <v>4079</v>
      </c>
      <c r="U26" s="4">
        <v>4079</v>
      </c>
      <c r="V26" s="4">
        <v>4185</v>
      </c>
      <c r="W26" s="4">
        <v>4264</v>
      </c>
      <c r="X26" s="4">
        <v>4351</v>
      </c>
      <c r="Y26" s="4">
        <v>4430</v>
      </c>
      <c r="Z26" s="4">
        <v>4507</v>
      </c>
      <c r="AA26" s="4">
        <v>4548</v>
      </c>
      <c r="AB26" s="4">
        <v>4548</v>
      </c>
      <c r="AC26" s="4">
        <v>4567</v>
      </c>
      <c r="AD26" s="4">
        <v>4700</v>
      </c>
      <c r="AE26" s="8">
        <v>4781</v>
      </c>
      <c r="AF26" s="8">
        <v>4861</v>
      </c>
      <c r="AG26" s="8">
        <v>4972</v>
      </c>
      <c r="AH26" s="34">
        <v>4964</v>
      </c>
      <c r="AI26" s="34">
        <v>4964</v>
      </c>
      <c r="AJ26" s="7">
        <f t="shared" si="1"/>
        <v>2266</v>
      </c>
    </row>
    <row r="27" spans="1:36" ht="14.25" customHeight="1">
      <c r="A27" s="2"/>
      <c r="B27" s="2"/>
      <c r="C27" s="62" t="s">
        <v>22</v>
      </c>
      <c r="D27" s="3">
        <v>146</v>
      </c>
      <c r="E27" s="4">
        <v>155</v>
      </c>
      <c r="F27" s="4">
        <v>157</v>
      </c>
      <c r="G27" s="5">
        <v>157</v>
      </c>
      <c r="H27" s="5">
        <v>157</v>
      </c>
      <c r="I27" s="4">
        <v>157</v>
      </c>
      <c r="J27" s="4">
        <v>157</v>
      </c>
      <c r="K27" s="4">
        <v>157</v>
      </c>
      <c r="L27" s="4">
        <v>157</v>
      </c>
      <c r="M27" s="4">
        <v>157</v>
      </c>
      <c r="N27" s="4">
        <v>157</v>
      </c>
      <c r="O27" s="4">
        <v>157</v>
      </c>
      <c r="P27" s="4">
        <v>157</v>
      </c>
      <c r="Q27" s="4">
        <v>157</v>
      </c>
      <c r="R27" s="4">
        <v>157</v>
      </c>
      <c r="S27" s="4">
        <v>175</v>
      </c>
      <c r="T27" s="4">
        <v>178</v>
      </c>
      <c r="U27" s="4">
        <v>178</v>
      </c>
      <c r="V27" s="4">
        <v>178</v>
      </c>
      <c r="W27" s="4">
        <v>178</v>
      </c>
      <c r="X27" s="4">
        <v>178</v>
      </c>
      <c r="Y27" s="4">
        <v>178</v>
      </c>
      <c r="Z27" s="4">
        <v>178</v>
      </c>
      <c r="AA27" s="4">
        <v>178</v>
      </c>
      <c r="AB27" s="4">
        <v>178</v>
      </c>
      <c r="AC27" s="4">
        <v>178</v>
      </c>
      <c r="AD27" s="4">
        <v>178</v>
      </c>
      <c r="AE27" s="8">
        <v>178</v>
      </c>
      <c r="AF27" s="8">
        <v>178</v>
      </c>
      <c r="AG27" s="8">
        <v>178</v>
      </c>
      <c r="AH27" s="34">
        <v>178</v>
      </c>
      <c r="AI27" s="34">
        <v>178</v>
      </c>
      <c r="AJ27" s="7">
        <f t="shared" si="1"/>
        <v>32</v>
      </c>
    </row>
    <row r="28" spans="1:36" ht="14.25" customHeight="1">
      <c r="A28" s="2">
        <v>3</v>
      </c>
      <c r="B28" s="2"/>
      <c r="C28" s="2" t="s">
        <v>121</v>
      </c>
      <c r="D28" s="3">
        <v>1243</v>
      </c>
      <c r="E28" s="4">
        <v>1356</v>
      </c>
      <c r="F28" s="4">
        <v>1406</v>
      </c>
      <c r="G28" s="4">
        <v>1463</v>
      </c>
      <c r="H28" s="4">
        <v>1542</v>
      </c>
      <c r="I28" s="4">
        <v>1624</v>
      </c>
      <c r="J28" s="4">
        <v>1704</v>
      </c>
      <c r="K28" s="4">
        <v>1791</v>
      </c>
      <c r="L28" s="4">
        <v>1868</v>
      </c>
      <c r="M28" s="4">
        <v>1929</v>
      </c>
      <c r="N28" s="4">
        <v>1947</v>
      </c>
      <c r="O28" s="4">
        <v>2031</v>
      </c>
      <c r="P28" s="4">
        <v>2096</v>
      </c>
      <c r="Q28" s="4">
        <v>2156</v>
      </c>
      <c r="R28" s="4">
        <v>2229</v>
      </c>
      <c r="S28" s="4">
        <v>2279</v>
      </c>
      <c r="T28" s="4">
        <v>2291</v>
      </c>
      <c r="U28" s="4">
        <v>2291</v>
      </c>
      <c r="V28" s="4">
        <v>2332</v>
      </c>
      <c r="W28" s="4">
        <v>2382</v>
      </c>
      <c r="X28" s="4">
        <v>2449</v>
      </c>
      <c r="Y28" s="4">
        <v>2524</v>
      </c>
      <c r="Z28" s="4">
        <v>2568</v>
      </c>
      <c r="AA28" s="4">
        <v>2594</v>
      </c>
      <c r="AB28" s="4">
        <v>2594</v>
      </c>
      <c r="AC28" s="4">
        <v>2603</v>
      </c>
      <c r="AD28" s="4">
        <v>2653</v>
      </c>
      <c r="AE28" s="4">
        <v>2688</v>
      </c>
      <c r="AF28" s="4">
        <v>2759</v>
      </c>
      <c r="AG28" s="4">
        <v>2813</v>
      </c>
      <c r="AH28" s="34">
        <v>2862</v>
      </c>
      <c r="AI28" s="34">
        <v>2862</v>
      </c>
      <c r="AJ28" s="7">
        <f t="shared" si="1"/>
        <v>1619</v>
      </c>
    </row>
    <row r="29" spans="1:36" ht="14.25" customHeight="1">
      <c r="A29" s="2"/>
      <c r="B29" s="2"/>
      <c r="C29" s="62" t="s">
        <v>22</v>
      </c>
      <c r="D29" s="3">
        <v>110</v>
      </c>
      <c r="E29" s="4">
        <v>116</v>
      </c>
      <c r="F29" s="4">
        <v>117</v>
      </c>
      <c r="G29" s="4">
        <v>117</v>
      </c>
      <c r="H29" s="4">
        <v>117</v>
      </c>
      <c r="I29" s="4">
        <v>117</v>
      </c>
      <c r="J29" s="4">
        <v>117</v>
      </c>
      <c r="K29" s="4">
        <v>117</v>
      </c>
      <c r="L29" s="4">
        <v>117</v>
      </c>
      <c r="M29" s="4">
        <v>117</v>
      </c>
      <c r="N29" s="4">
        <v>117</v>
      </c>
      <c r="O29" s="4">
        <v>117</v>
      </c>
      <c r="P29" s="4">
        <v>117</v>
      </c>
      <c r="Q29" s="4">
        <v>117</v>
      </c>
      <c r="R29" s="4">
        <v>117</v>
      </c>
      <c r="S29" s="4">
        <v>129</v>
      </c>
      <c r="T29" s="4">
        <v>129</v>
      </c>
      <c r="U29" s="4">
        <v>129</v>
      </c>
      <c r="V29" s="4">
        <v>129</v>
      </c>
      <c r="W29" s="4">
        <v>129</v>
      </c>
      <c r="X29" s="4">
        <v>129</v>
      </c>
      <c r="Y29" s="4">
        <v>129</v>
      </c>
      <c r="Z29" s="4">
        <v>129</v>
      </c>
      <c r="AA29" s="4">
        <v>129</v>
      </c>
      <c r="AB29" s="4">
        <v>129</v>
      </c>
      <c r="AC29" s="4">
        <v>129</v>
      </c>
      <c r="AD29" s="4">
        <v>129</v>
      </c>
      <c r="AE29" s="4">
        <v>129</v>
      </c>
      <c r="AF29" s="4">
        <v>129</v>
      </c>
      <c r="AG29" s="34">
        <v>129</v>
      </c>
      <c r="AH29" s="34">
        <v>129</v>
      </c>
      <c r="AI29" s="4">
        <v>129</v>
      </c>
      <c r="AJ29" s="7">
        <f t="shared" si="1"/>
        <v>19</v>
      </c>
    </row>
    <row r="30" spans="1:36" ht="14.25" customHeight="1">
      <c r="A30" s="2">
        <v>4</v>
      </c>
      <c r="B30" s="2"/>
      <c r="C30" s="2" t="s">
        <v>122</v>
      </c>
      <c r="D30" s="3">
        <v>1283</v>
      </c>
      <c r="E30" s="4">
        <v>1379</v>
      </c>
      <c r="F30" s="4">
        <v>1447</v>
      </c>
      <c r="G30" s="4">
        <v>1526</v>
      </c>
      <c r="H30" s="4">
        <v>1641</v>
      </c>
      <c r="I30" s="4">
        <v>1763</v>
      </c>
      <c r="J30" s="4">
        <v>1886</v>
      </c>
      <c r="K30" s="4">
        <v>2004</v>
      </c>
      <c r="L30" s="4">
        <v>2125</v>
      </c>
      <c r="M30" s="4">
        <v>2195</v>
      </c>
      <c r="N30" s="4">
        <v>2225</v>
      </c>
      <c r="O30" s="4">
        <v>2345</v>
      </c>
      <c r="P30" s="4">
        <v>2436</v>
      </c>
      <c r="Q30" s="4">
        <v>2506</v>
      </c>
      <c r="R30" s="4">
        <v>2549</v>
      </c>
      <c r="S30" s="4">
        <v>2615</v>
      </c>
      <c r="T30" s="4">
        <v>2666</v>
      </c>
      <c r="U30" s="4">
        <v>2666</v>
      </c>
      <c r="V30" s="4">
        <v>2760</v>
      </c>
      <c r="W30" s="4">
        <v>2900</v>
      </c>
      <c r="X30" s="4">
        <v>2975</v>
      </c>
      <c r="Y30" s="4">
        <v>3047</v>
      </c>
      <c r="Z30" s="4">
        <v>3114</v>
      </c>
      <c r="AA30" s="4">
        <v>3148</v>
      </c>
      <c r="AB30" s="4">
        <v>3148</v>
      </c>
      <c r="AC30" s="4">
        <v>3166</v>
      </c>
      <c r="AD30" s="4">
        <v>3249</v>
      </c>
      <c r="AE30" s="4">
        <v>3346</v>
      </c>
      <c r="AF30" s="4">
        <v>3441</v>
      </c>
      <c r="AG30" s="4">
        <v>3541</v>
      </c>
      <c r="AH30" s="34">
        <v>3541</v>
      </c>
      <c r="AI30" s="34">
        <v>3542</v>
      </c>
      <c r="AJ30" s="7">
        <f t="shared" si="1"/>
        <v>2259</v>
      </c>
    </row>
    <row r="31" spans="1:36" ht="18.5" customHeight="1">
      <c r="A31" s="2"/>
      <c r="B31" s="2"/>
      <c r="C31" s="62" t="s">
        <v>22</v>
      </c>
      <c r="D31" s="45">
        <v>89</v>
      </c>
      <c r="E31" s="4">
        <v>98</v>
      </c>
      <c r="F31" s="4">
        <v>98</v>
      </c>
      <c r="G31" s="4">
        <v>98</v>
      </c>
      <c r="H31" s="4">
        <v>98</v>
      </c>
      <c r="I31" s="4">
        <v>98</v>
      </c>
      <c r="J31" s="4">
        <v>98</v>
      </c>
      <c r="K31" s="4">
        <v>98</v>
      </c>
      <c r="L31" s="4">
        <v>98</v>
      </c>
      <c r="M31" s="4">
        <v>98</v>
      </c>
      <c r="N31" s="4">
        <v>98</v>
      </c>
      <c r="O31" s="4">
        <v>98</v>
      </c>
      <c r="P31" s="4">
        <v>98</v>
      </c>
      <c r="Q31" s="4">
        <v>98</v>
      </c>
      <c r="R31" s="4">
        <v>117</v>
      </c>
      <c r="S31" s="4">
        <v>117</v>
      </c>
      <c r="T31" s="4">
        <v>117</v>
      </c>
      <c r="U31" s="4">
        <v>117</v>
      </c>
      <c r="V31" s="4">
        <v>117</v>
      </c>
      <c r="W31" s="4">
        <v>117</v>
      </c>
      <c r="X31" s="4">
        <v>117</v>
      </c>
      <c r="Y31" s="4">
        <v>117</v>
      </c>
      <c r="Z31" s="4">
        <v>117</v>
      </c>
      <c r="AA31" s="4">
        <v>117</v>
      </c>
      <c r="AB31" s="4">
        <v>117</v>
      </c>
      <c r="AC31" s="4">
        <v>117</v>
      </c>
      <c r="AD31" s="4">
        <v>117</v>
      </c>
      <c r="AE31" s="4">
        <v>117</v>
      </c>
      <c r="AF31" s="4">
        <v>117</v>
      </c>
      <c r="AG31" s="4">
        <v>117</v>
      </c>
      <c r="AH31" s="4">
        <v>117</v>
      </c>
      <c r="AI31" s="4">
        <v>117</v>
      </c>
      <c r="AJ31" s="7">
        <f t="shared" si="1"/>
        <v>28</v>
      </c>
    </row>
    <row r="32" spans="1:36">
      <c r="A32" s="503"/>
      <c r="B32" s="504"/>
      <c r="C32" s="504"/>
      <c r="D32" s="504"/>
      <c r="E32" s="50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  <c r="R32" s="504"/>
      <c r="S32" s="504"/>
      <c r="T32" s="504"/>
      <c r="U32" s="504"/>
      <c r="V32" s="504"/>
      <c r="W32" s="504"/>
      <c r="X32" s="504"/>
      <c r="Y32" s="504"/>
      <c r="Z32" s="504"/>
      <c r="AA32" s="504"/>
      <c r="AB32" s="504"/>
      <c r="AC32" s="504"/>
      <c r="AD32" s="504"/>
      <c r="AE32" s="504"/>
      <c r="AF32" s="504"/>
      <c r="AG32" s="504"/>
      <c r="AH32" s="504"/>
      <c r="AI32" s="504"/>
      <c r="AJ32" s="501"/>
    </row>
    <row r="33" spans="1:36" ht="13.5" customHeight="1">
      <c r="A33" s="2">
        <v>1</v>
      </c>
      <c r="B33" s="2"/>
      <c r="C33" s="2" t="s">
        <v>123</v>
      </c>
      <c r="D33" s="9">
        <v>5741.69</v>
      </c>
      <c r="E33" s="10">
        <v>6562.41</v>
      </c>
      <c r="F33" s="10">
        <v>6890.24</v>
      </c>
      <c r="G33" s="10">
        <v>7282.68</v>
      </c>
      <c r="H33" s="10">
        <v>7893.82</v>
      </c>
      <c r="I33" s="10">
        <v>8306.92</v>
      </c>
      <c r="J33" s="10">
        <v>8908.75</v>
      </c>
      <c r="K33" s="10">
        <v>9501.2800000000007</v>
      </c>
      <c r="L33" s="10">
        <v>10331.83</v>
      </c>
      <c r="M33" s="10">
        <v>10745.79</v>
      </c>
      <c r="N33" s="10">
        <v>10745.79</v>
      </c>
      <c r="O33" s="10">
        <v>11168.93</v>
      </c>
      <c r="P33" s="10">
        <v>11708.3</v>
      </c>
      <c r="Q33" s="10">
        <v>12136.9</v>
      </c>
      <c r="R33" s="11">
        <v>12869.71</v>
      </c>
      <c r="S33" s="11">
        <v>13327.98</v>
      </c>
      <c r="T33" s="11">
        <v>13568.36</v>
      </c>
      <c r="U33" s="11">
        <v>13568.36</v>
      </c>
      <c r="V33" s="11">
        <v>14217.95</v>
      </c>
      <c r="W33" s="11">
        <v>14758.62</v>
      </c>
      <c r="X33" s="11">
        <v>15349.21</v>
      </c>
      <c r="Y33" s="11">
        <v>15938.04</v>
      </c>
      <c r="Z33" s="11">
        <v>16487.560000000001</v>
      </c>
      <c r="AA33" s="11">
        <v>16808.03</v>
      </c>
      <c r="AB33" s="11">
        <v>16808.03</v>
      </c>
      <c r="AC33" s="11">
        <v>16954.400000000001</v>
      </c>
      <c r="AD33" s="11">
        <v>17718.62</v>
      </c>
      <c r="AE33" s="11">
        <v>18500.95</v>
      </c>
      <c r="AF33" s="11">
        <v>19332.580000000002</v>
      </c>
      <c r="AG33" s="11">
        <v>19974.080000000002</v>
      </c>
      <c r="AH33" s="35">
        <v>20397.689999999999</v>
      </c>
      <c r="AI33" s="35">
        <v>20397.689999999999</v>
      </c>
      <c r="AJ33" s="7">
        <f>AI33-D33</f>
        <v>14656</v>
      </c>
    </row>
    <row r="34" spans="1:36" ht="13.5" customHeight="1">
      <c r="A34" s="2">
        <v>2</v>
      </c>
      <c r="B34" s="2"/>
      <c r="C34" s="2" t="s">
        <v>124</v>
      </c>
      <c r="D34" s="9">
        <v>6755.88</v>
      </c>
      <c r="E34" s="10">
        <v>7661.86</v>
      </c>
      <c r="F34" s="10">
        <v>7970.73</v>
      </c>
      <c r="G34" s="10">
        <v>8408.61</v>
      </c>
      <c r="H34" s="10">
        <v>9031.4599999999991</v>
      </c>
      <c r="I34" s="10">
        <v>9433.9500000000007</v>
      </c>
      <c r="J34" s="10">
        <v>10030.26</v>
      </c>
      <c r="K34" s="10">
        <v>10656.22</v>
      </c>
      <c r="L34" s="10">
        <v>11185.27</v>
      </c>
      <c r="M34" s="10">
        <v>11390.86</v>
      </c>
      <c r="N34" s="10">
        <v>11390.86</v>
      </c>
      <c r="O34" s="10">
        <v>12035.86</v>
      </c>
      <c r="P34" s="10">
        <v>12685.61</v>
      </c>
      <c r="Q34" s="10">
        <v>13185.76</v>
      </c>
      <c r="R34" s="11">
        <v>13843.29</v>
      </c>
      <c r="S34" s="11">
        <v>14301.4</v>
      </c>
      <c r="T34" s="11">
        <v>14565.24</v>
      </c>
      <c r="U34" s="11">
        <v>14565.24</v>
      </c>
      <c r="V34" s="11">
        <v>15266.35</v>
      </c>
      <c r="W34" s="11">
        <v>15829.21</v>
      </c>
      <c r="X34" s="11">
        <v>16319.61</v>
      </c>
      <c r="Y34" s="11">
        <v>16865.689999999999</v>
      </c>
      <c r="Z34" s="11">
        <v>17424.86</v>
      </c>
      <c r="AA34" s="11">
        <v>17763.580000000002</v>
      </c>
      <c r="AB34" s="11">
        <v>17763.580000000002</v>
      </c>
      <c r="AC34" s="11">
        <v>17961</v>
      </c>
      <c r="AD34" s="11">
        <v>18768.580000000002</v>
      </c>
      <c r="AE34" s="11">
        <v>19529.060000000001</v>
      </c>
      <c r="AF34" s="11">
        <v>20169.14</v>
      </c>
      <c r="AG34" s="11">
        <v>20744.310000000001</v>
      </c>
      <c r="AH34" s="35">
        <v>21181.85</v>
      </c>
      <c r="AI34" s="35">
        <v>21181.85</v>
      </c>
      <c r="AJ34" s="7">
        <f>AI34-D34</f>
        <v>14425.969999999998</v>
      </c>
    </row>
    <row r="35" spans="1:36" ht="13.5" customHeight="1">
      <c r="A35" s="2">
        <v>3</v>
      </c>
      <c r="B35" s="2"/>
      <c r="C35" s="2" t="s">
        <v>125</v>
      </c>
      <c r="D35" s="9">
        <v>4835</v>
      </c>
      <c r="E35" s="10">
        <v>5667.86</v>
      </c>
      <c r="F35" s="10">
        <v>5917.95</v>
      </c>
      <c r="G35" s="10">
        <v>6264.13</v>
      </c>
      <c r="H35" s="10">
        <v>6574.83</v>
      </c>
      <c r="I35" s="10">
        <v>6724.38</v>
      </c>
      <c r="J35" s="10">
        <v>6951.63</v>
      </c>
      <c r="K35" s="10">
        <v>7380.45</v>
      </c>
      <c r="L35" s="10">
        <v>7862.22</v>
      </c>
      <c r="M35" s="10">
        <v>7978.5</v>
      </c>
      <c r="N35" s="10">
        <v>7978.9</v>
      </c>
      <c r="O35" s="10">
        <v>8330.4</v>
      </c>
      <c r="P35" s="10">
        <v>8737.58</v>
      </c>
      <c r="Q35" s="10">
        <v>9120.9500000000007</v>
      </c>
      <c r="R35" s="11">
        <v>9614.02</v>
      </c>
      <c r="S35" s="11">
        <v>9927.43</v>
      </c>
      <c r="T35" s="11">
        <v>10088.81</v>
      </c>
      <c r="U35" s="11">
        <v>10088.81</v>
      </c>
      <c r="V35" s="11">
        <v>10492.87</v>
      </c>
      <c r="W35" s="11">
        <v>10968.6</v>
      </c>
      <c r="X35" s="11">
        <v>11428.92</v>
      </c>
      <c r="Y35" s="11">
        <v>11964.02</v>
      </c>
      <c r="Z35" s="11">
        <v>12414.02</v>
      </c>
      <c r="AA35" s="11">
        <v>12678.79</v>
      </c>
      <c r="AB35" s="11">
        <v>12678.79</v>
      </c>
      <c r="AC35" s="11">
        <v>12842.42</v>
      </c>
      <c r="AD35" s="11">
        <v>13440.25</v>
      </c>
      <c r="AE35" s="11">
        <v>14006.83</v>
      </c>
      <c r="AF35" s="11">
        <v>14679.97</v>
      </c>
      <c r="AG35" s="11">
        <v>15144.65</v>
      </c>
      <c r="AH35" s="35">
        <v>15520.6</v>
      </c>
      <c r="AI35" s="35">
        <v>15520.6</v>
      </c>
      <c r="AJ35" s="7">
        <f>AI35-D35</f>
        <v>10685.6</v>
      </c>
    </row>
    <row r="36" spans="1:36" ht="13.5" customHeight="1">
      <c r="A36" s="2">
        <v>4</v>
      </c>
      <c r="B36" s="2"/>
      <c r="C36" s="2" t="s">
        <v>126</v>
      </c>
      <c r="D36" s="9">
        <v>7375.29</v>
      </c>
      <c r="E36" s="10">
        <v>8046.26</v>
      </c>
      <c r="F36" s="10">
        <v>8406.2999999999993</v>
      </c>
      <c r="G36" s="10">
        <v>8918.24</v>
      </c>
      <c r="H36" s="10">
        <v>9381.07</v>
      </c>
      <c r="I36" s="10">
        <v>9718.9699999999993</v>
      </c>
      <c r="J36" s="10">
        <v>10254.25</v>
      </c>
      <c r="K36" s="10">
        <v>10874.39</v>
      </c>
      <c r="L36" s="10">
        <v>11696.27</v>
      </c>
      <c r="M36" s="10">
        <v>12671</v>
      </c>
      <c r="N36" s="10">
        <v>12671</v>
      </c>
      <c r="O36" s="10">
        <v>12735.79</v>
      </c>
      <c r="P36" s="10">
        <v>13446.2</v>
      </c>
      <c r="Q36" s="10">
        <v>13979.11</v>
      </c>
      <c r="R36" s="11">
        <v>14862.99</v>
      </c>
      <c r="S36" s="11">
        <v>15297.68</v>
      </c>
      <c r="T36" s="11">
        <v>15611.68</v>
      </c>
      <c r="U36" s="11">
        <v>15611.68</v>
      </c>
      <c r="V36" s="11">
        <v>16410.86</v>
      </c>
      <c r="W36" s="11">
        <v>17079.150000000001</v>
      </c>
      <c r="X36" s="11">
        <v>17746.73</v>
      </c>
      <c r="Y36" s="11">
        <v>18455.13</v>
      </c>
      <c r="Z36" s="11">
        <v>19011.66</v>
      </c>
      <c r="AA36" s="11">
        <v>19435.86</v>
      </c>
      <c r="AB36" s="11">
        <v>19435.86</v>
      </c>
      <c r="AC36" s="11">
        <v>19788.02</v>
      </c>
      <c r="AD36" s="11">
        <v>20748.150000000001</v>
      </c>
      <c r="AE36" s="11">
        <v>21703.67</v>
      </c>
      <c r="AF36" s="11">
        <v>22555.75</v>
      </c>
      <c r="AG36" s="11">
        <v>23394.23</v>
      </c>
      <c r="AH36" s="35">
        <v>24009.78</v>
      </c>
      <c r="AI36" s="35">
        <v>24009.78</v>
      </c>
      <c r="AJ36" s="7">
        <f>AI36-D36</f>
        <v>16634.489999999998</v>
      </c>
    </row>
    <row r="37" spans="1:36">
      <c r="D37" s="13"/>
      <c r="E37" s="13"/>
      <c r="AD37" s="6"/>
    </row>
    <row r="38" spans="1:36" ht="18.5" customHeight="1">
      <c r="A38" s="14"/>
      <c r="B38" s="15"/>
      <c r="C38" s="15"/>
      <c r="D38" s="15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spans="1:36" ht="15.5" customHeight="1">
      <c r="A39" s="16"/>
      <c r="B39" s="522" t="s">
        <v>127</v>
      </c>
      <c r="C39" s="504"/>
      <c r="D39" s="501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</row>
    <row r="40" spans="1:36">
      <c r="A40" s="17"/>
      <c r="B40" s="515" t="s">
        <v>128</v>
      </c>
      <c r="C40" s="504"/>
      <c r="D40" s="501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</row>
    <row r="41" spans="1:36">
      <c r="A41" s="507" t="s">
        <v>99</v>
      </c>
      <c r="B41" s="507" t="s">
        <v>100</v>
      </c>
      <c r="C41" s="507" t="s">
        <v>101</v>
      </c>
      <c r="D41" s="517"/>
      <c r="E41" s="42">
        <f t="shared" ref="E41:AI41" si="2">E3</f>
        <v>45352</v>
      </c>
      <c r="F41" s="42">
        <f t="shared" si="2"/>
        <v>45353</v>
      </c>
      <c r="G41" s="42">
        <f t="shared" si="2"/>
        <v>45354</v>
      </c>
      <c r="H41" s="42">
        <f t="shared" si="2"/>
        <v>45355</v>
      </c>
      <c r="I41" s="42">
        <f t="shared" si="2"/>
        <v>45356</v>
      </c>
      <c r="J41" s="42">
        <f t="shared" si="2"/>
        <v>45357</v>
      </c>
      <c r="K41" s="42">
        <f t="shared" si="2"/>
        <v>45358</v>
      </c>
      <c r="L41" s="42">
        <f t="shared" si="2"/>
        <v>45359</v>
      </c>
      <c r="M41" s="42">
        <f t="shared" si="2"/>
        <v>45360</v>
      </c>
      <c r="N41" s="42">
        <f t="shared" si="2"/>
        <v>45361</v>
      </c>
      <c r="O41" s="42">
        <f t="shared" si="2"/>
        <v>45362</v>
      </c>
      <c r="P41" s="42">
        <f t="shared" si="2"/>
        <v>45363</v>
      </c>
      <c r="Q41" s="42">
        <f t="shared" si="2"/>
        <v>45364</v>
      </c>
      <c r="R41" s="42">
        <f t="shared" si="2"/>
        <v>45365</v>
      </c>
      <c r="S41" s="42">
        <f t="shared" si="2"/>
        <v>45366</v>
      </c>
      <c r="T41" s="42">
        <f t="shared" si="2"/>
        <v>45367</v>
      </c>
      <c r="U41" s="42">
        <f t="shared" si="2"/>
        <v>45368</v>
      </c>
      <c r="V41" s="42">
        <f t="shared" si="2"/>
        <v>45369</v>
      </c>
      <c r="W41" s="42">
        <f t="shared" si="2"/>
        <v>45370</v>
      </c>
      <c r="X41" s="42">
        <f t="shared" si="2"/>
        <v>45371</v>
      </c>
      <c r="Y41" s="42">
        <f t="shared" si="2"/>
        <v>45372</v>
      </c>
      <c r="Z41" s="42">
        <f t="shared" si="2"/>
        <v>45373</v>
      </c>
      <c r="AA41" s="42">
        <f t="shared" si="2"/>
        <v>45374</v>
      </c>
      <c r="AB41" s="42">
        <f t="shared" si="2"/>
        <v>45375</v>
      </c>
      <c r="AC41" s="42">
        <f t="shared" si="2"/>
        <v>45376</v>
      </c>
      <c r="AD41" s="42">
        <f t="shared" si="2"/>
        <v>45377</v>
      </c>
      <c r="AE41" s="42">
        <f t="shared" si="2"/>
        <v>45378</v>
      </c>
      <c r="AF41" s="42">
        <f t="shared" si="2"/>
        <v>45379</v>
      </c>
      <c r="AG41" s="42">
        <f t="shared" si="2"/>
        <v>45380</v>
      </c>
      <c r="AH41" s="42">
        <f t="shared" si="2"/>
        <v>45381</v>
      </c>
      <c r="AI41" s="42">
        <f t="shared" si="2"/>
        <v>45382</v>
      </c>
      <c r="AJ41" s="507" t="s">
        <v>1</v>
      </c>
    </row>
    <row r="42" spans="1:36">
      <c r="A42" s="508"/>
      <c r="B42" s="508"/>
      <c r="C42" s="518"/>
      <c r="D42" s="519"/>
      <c r="E42" s="1" t="str">
        <f t="shared" ref="E42:AI42" si="3">E4</f>
        <v>Fri</v>
      </c>
      <c r="F42" s="1" t="str">
        <f t="shared" si="3"/>
        <v>Sat</v>
      </c>
      <c r="G42" s="1" t="str">
        <f t="shared" si="3"/>
        <v>Sun</v>
      </c>
      <c r="H42" s="1" t="str">
        <f t="shared" si="3"/>
        <v>Mon</v>
      </c>
      <c r="I42" s="1" t="str">
        <f t="shared" si="3"/>
        <v>Tue</v>
      </c>
      <c r="J42" s="1" t="str">
        <f t="shared" si="3"/>
        <v>Wed</v>
      </c>
      <c r="K42" s="1" t="str">
        <f t="shared" si="3"/>
        <v>Thu</v>
      </c>
      <c r="L42" s="1" t="str">
        <f t="shared" si="3"/>
        <v>Fri</v>
      </c>
      <c r="M42" s="1" t="str">
        <f t="shared" si="3"/>
        <v>Sat</v>
      </c>
      <c r="N42" s="1" t="str">
        <f t="shared" si="3"/>
        <v>Sun</v>
      </c>
      <c r="O42" s="1" t="str">
        <f t="shared" si="3"/>
        <v>Mon</v>
      </c>
      <c r="P42" s="1" t="str">
        <f t="shared" si="3"/>
        <v>Tue</v>
      </c>
      <c r="Q42" s="1" t="str">
        <f t="shared" si="3"/>
        <v>Wed</v>
      </c>
      <c r="R42" s="1" t="str">
        <f t="shared" si="3"/>
        <v>Thu</v>
      </c>
      <c r="S42" s="1" t="str">
        <f t="shared" si="3"/>
        <v>Fri</v>
      </c>
      <c r="T42" s="1" t="str">
        <f t="shared" si="3"/>
        <v>Sat</v>
      </c>
      <c r="U42" s="1" t="str">
        <f t="shared" si="3"/>
        <v>Sun</v>
      </c>
      <c r="V42" s="1" t="str">
        <f t="shared" si="3"/>
        <v>Mon</v>
      </c>
      <c r="W42" s="1" t="str">
        <f t="shared" si="3"/>
        <v>Tue</v>
      </c>
      <c r="X42" s="1" t="str">
        <f t="shared" si="3"/>
        <v>Wed</v>
      </c>
      <c r="Y42" s="1" t="str">
        <f t="shared" si="3"/>
        <v>Thu</v>
      </c>
      <c r="Z42" s="1" t="str">
        <f t="shared" si="3"/>
        <v>Fri</v>
      </c>
      <c r="AA42" s="1" t="str">
        <f t="shared" si="3"/>
        <v>Sat</v>
      </c>
      <c r="AB42" s="1" t="str">
        <f t="shared" si="3"/>
        <v>Sun</v>
      </c>
      <c r="AC42" s="1" t="str">
        <f t="shared" si="3"/>
        <v>Mon</v>
      </c>
      <c r="AD42" s="1" t="str">
        <f t="shared" si="3"/>
        <v>Tue</v>
      </c>
      <c r="AE42" s="1" t="str">
        <f t="shared" si="3"/>
        <v>Wed</v>
      </c>
      <c r="AF42" s="1" t="str">
        <f t="shared" si="3"/>
        <v>Thu</v>
      </c>
      <c r="AG42" s="1" t="str">
        <f t="shared" si="3"/>
        <v>Fri</v>
      </c>
      <c r="AH42" s="1" t="str">
        <f t="shared" si="3"/>
        <v>Sat</v>
      </c>
      <c r="AI42" s="1" t="str">
        <f t="shared" si="3"/>
        <v>Sun</v>
      </c>
      <c r="AJ42" s="508"/>
    </row>
    <row r="43" spans="1:36">
      <c r="A43" s="508"/>
      <c r="B43" s="508"/>
      <c r="C43" s="518"/>
      <c r="D43" s="519"/>
      <c r="E43" s="18" t="s">
        <v>110</v>
      </c>
      <c r="F43" s="18" t="s">
        <v>110</v>
      </c>
      <c r="G43" s="18" t="s">
        <v>110</v>
      </c>
      <c r="H43" s="18" t="s">
        <v>110</v>
      </c>
      <c r="I43" s="18" t="s">
        <v>110</v>
      </c>
      <c r="J43" s="18" t="s">
        <v>110</v>
      </c>
      <c r="K43" s="18" t="s">
        <v>110</v>
      </c>
      <c r="L43" s="18" t="s">
        <v>110</v>
      </c>
      <c r="M43" s="18" t="s">
        <v>110</v>
      </c>
      <c r="N43" s="18" t="s">
        <v>110</v>
      </c>
      <c r="O43" s="18" t="s">
        <v>110</v>
      </c>
      <c r="P43" s="18" t="s">
        <v>110</v>
      </c>
      <c r="Q43" s="18" t="s">
        <v>110</v>
      </c>
      <c r="R43" s="18" t="s">
        <v>110</v>
      </c>
      <c r="S43" s="18" t="s">
        <v>110</v>
      </c>
      <c r="T43" s="18" t="s">
        <v>110</v>
      </c>
      <c r="U43" s="18" t="s">
        <v>110</v>
      </c>
      <c r="V43" s="18" t="s">
        <v>110</v>
      </c>
      <c r="W43" s="18" t="s">
        <v>110</v>
      </c>
      <c r="X43" s="18" t="s">
        <v>110</v>
      </c>
      <c r="Y43" s="18" t="s">
        <v>110</v>
      </c>
      <c r="Z43" s="18" t="s">
        <v>110</v>
      </c>
      <c r="AA43" s="18" t="s">
        <v>110</v>
      </c>
      <c r="AB43" s="18" t="s">
        <v>110</v>
      </c>
      <c r="AC43" s="18" t="s">
        <v>110</v>
      </c>
      <c r="AD43" s="18" t="s">
        <v>110</v>
      </c>
      <c r="AE43" s="18" t="s">
        <v>110</v>
      </c>
      <c r="AF43" s="18" t="s">
        <v>110</v>
      </c>
      <c r="AG43" s="18" t="s">
        <v>110</v>
      </c>
      <c r="AH43" s="18" t="s">
        <v>110</v>
      </c>
      <c r="AI43" s="18" t="s">
        <v>110</v>
      </c>
      <c r="AJ43" s="508"/>
    </row>
    <row r="44" spans="1:36">
      <c r="A44" s="509"/>
      <c r="B44" s="509"/>
      <c r="C44" s="520"/>
      <c r="D44" s="521"/>
      <c r="E44" s="19">
        <v>0.33333333333333331</v>
      </c>
      <c r="F44" s="19">
        <v>0.33333333333333331</v>
      </c>
      <c r="G44" s="19">
        <v>0.33333333333333331</v>
      </c>
      <c r="H44" s="19">
        <v>0.33333333333333331</v>
      </c>
      <c r="I44" s="19">
        <v>0.33333333333333331</v>
      </c>
      <c r="J44" s="19">
        <v>0.33333333333333331</v>
      </c>
      <c r="K44" s="19">
        <v>0.33333333333333331</v>
      </c>
      <c r="L44" s="19">
        <v>0.33333333333333331</v>
      </c>
      <c r="M44" s="19">
        <v>0.33333333333333331</v>
      </c>
      <c r="N44" s="19">
        <v>0.33333333333333331</v>
      </c>
      <c r="O44" s="19">
        <v>0.33333333333333331</v>
      </c>
      <c r="P44" s="19">
        <v>0.33333333333333331</v>
      </c>
      <c r="Q44" s="19">
        <v>0.33333333333333331</v>
      </c>
      <c r="R44" s="19">
        <v>0.33333333333333331</v>
      </c>
      <c r="S44" s="19">
        <v>0.33333333333333331</v>
      </c>
      <c r="T44" s="19">
        <v>0.33333333333333331</v>
      </c>
      <c r="U44" s="19">
        <v>0.33333333333333331</v>
      </c>
      <c r="V44" s="19">
        <v>0.33333333333333331</v>
      </c>
      <c r="W44" s="19">
        <v>0.33333333333333331</v>
      </c>
      <c r="X44" s="19">
        <v>0.33333333333333331</v>
      </c>
      <c r="Y44" s="19">
        <v>0.33333333333333331</v>
      </c>
      <c r="Z44" s="19">
        <v>0.33333333333333331</v>
      </c>
      <c r="AA44" s="19">
        <v>0.33333333333333331</v>
      </c>
      <c r="AB44" s="19">
        <v>0.33333333333333331</v>
      </c>
      <c r="AC44" s="19">
        <v>0.33333333333333331</v>
      </c>
      <c r="AD44" s="19">
        <v>0.33333333333333331</v>
      </c>
      <c r="AE44" s="19">
        <v>0.33333333333333331</v>
      </c>
      <c r="AF44" s="19">
        <v>0.33333333333333331</v>
      </c>
      <c r="AG44" s="19">
        <v>0.33333333333333331</v>
      </c>
      <c r="AH44" s="19">
        <v>0.33333333333333331</v>
      </c>
      <c r="AI44" s="19">
        <v>0.33333333333333331</v>
      </c>
      <c r="AJ44" s="509"/>
    </row>
    <row r="45" spans="1:36" ht="15" customHeight="1">
      <c r="A45" s="2">
        <v>1</v>
      </c>
      <c r="B45" s="2" t="s">
        <v>129</v>
      </c>
      <c r="C45" s="503" t="s">
        <v>111</v>
      </c>
      <c r="D45" s="501"/>
      <c r="E45" s="20">
        <f t="shared" ref="E45:AI45" si="4">E7-D7</f>
        <v>286</v>
      </c>
      <c r="F45" s="20">
        <f t="shared" si="4"/>
        <v>187</v>
      </c>
      <c r="G45" s="20">
        <f t="shared" si="4"/>
        <v>187</v>
      </c>
      <c r="H45" s="20">
        <f t="shared" si="4"/>
        <v>237</v>
      </c>
      <c r="I45" s="20">
        <f t="shared" si="4"/>
        <v>239</v>
      </c>
      <c r="J45" s="20">
        <f t="shared" si="4"/>
        <v>276</v>
      </c>
      <c r="K45" s="20">
        <f t="shared" si="4"/>
        <v>244</v>
      </c>
      <c r="L45" s="20">
        <f t="shared" si="4"/>
        <v>243</v>
      </c>
      <c r="M45" s="20">
        <f t="shared" si="4"/>
        <v>218</v>
      </c>
      <c r="N45" s="20">
        <f t="shared" si="4"/>
        <v>217</v>
      </c>
      <c r="O45" s="20">
        <f t="shared" si="4"/>
        <v>228</v>
      </c>
      <c r="P45" s="20">
        <f t="shared" si="4"/>
        <v>266</v>
      </c>
      <c r="Q45" s="20">
        <f t="shared" si="4"/>
        <v>243</v>
      </c>
      <c r="R45" s="20">
        <f t="shared" si="4"/>
        <v>247</v>
      </c>
      <c r="S45" s="20">
        <f t="shared" si="4"/>
        <v>206</v>
      </c>
      <c r="T45" s="20">
        <f t="shared" si="4"/>
        <v>196</v>
      </c>
      <c r="U45" s="20">
        <f t="shared" si="4"/>
        <v>218</v>
      </c>
      <c r="V45" s="20">
        <f t="shared" si="4"/>
        <v>246</v>
      </c>
      <c r="W45" s="20">
        <f t="shared" si="4"/>
        <v>263</v>
      </c>
      <c r="X45" s="20">
        <f t="shared" si="4"/>
        <v>254</v>
      </c>
      <c r="Y45" s="20">
        <f t="shared" si="4"/>
        <v>258</v>
      </c>
      <c r="Z45" s="20">
        <f t="shared" si="4"/>
        <v>221</v>
      </c>
      <c r="AA45" s="20">
        <f t="shared" si="4"/>
        <v>203</v>
      </c>
      <c r="AB45" s="20">
        <f t="shared" si="4"/>
        <v>198</v>
      </c>
      <c r="AC45" s="20">
        <f t="shared" si="4"/>
        <v>207</v>
      </c>
      <c r="AD45" s="20">
        <f t="shared" si="4"/>
        <v>237</v>
      </c>
      <c r="AE45" s="20">
        <f t="shared" si="4"/>
        <v>230</v>
      </c>
      <c r="AF45" s="20">
        <f t="shared" si="4"/>
        <v>234</v>
      </c>
      <c r="AG45" s="20">
        <f t="shared" si="4"/>
        <v>224</v>
      </c>
      <c r="AH45" s="20">
        <f t="shared" si="4"/>
        <v>199</v>
      </c>
      <c r="AI45" s="20">
        <f t="shared" si="4"/>
        <v>97</v>
      </c>
      <c r="AJ45" s="21">
        <f t="shared" ref="AJ45:AJ62" si="5">SUM(E45:AI45)</f>
        <v>7009</v>
      </c>
    </row>
    <row r="46" spans="1:36" ht="18.5" customHeight="1">
      <c r="A46" s="2"/>
      <c r="B46" s="2"/>
      <c r="C46" s="502" t="s">
        <v>22</v>
      </c>
      <c r="D46" s="501"/>
      <c r="E46" s="20">
        <f t="shared" ref="E46:AI46" si="6">E8-D8</f>
        <v>53</v>
      </c>
      <c r="F46" s="20">
        <f t="shared" si="6"/>
        <v>2</v>
      </c>
      <c r="G46" s="20">
        <f t="shared" si="6"/>
        <v>0</v>
      </c>
      <c r="H46" s="20">
        <f t="shared" si="6"/>
        <v>0</v>
      </c>
      <c r="I46" s="20">
        <f t="shared" si="6"/>
        <v>0</v>
      </c>
      <c r="J46" s="20">
        <f t="shared" si="6"/>
        <v>0</v>
      </c>
      <c r="K46" s="20">
        <f t="shared" si="6"/>
        <v>0</v>
      </c>
      <c r="L46" s="20">
        <f t="shared" si="6"/>
        <v>0</v>
      </c>
      <c r="M46" s="20">
        <f t="shared" si="6"/>
        <v>0</v>
      </c>
      <c r="N46" s="20">
        <f t="shared" si="6"/>
        <v>0</v>
      </c>
      <c r="O46" s="20">
        <f t="shared" si="6"/>
        <v>0</v>
      </c>
      <c r="P46" s="20">
        <f t="shared" si="6"/>
        <v>0</v>
      </c>
      <c r="Q46" s="20">
        <f t="shared" si="6"/>
        <v>0</v>
      </c>
      <c r="R46" s="20">
        <f t="shared" si="6"/>
        <v>38</v>
      </c>
      <c r="S46" s="20">
        <f t="shared" si="6"/>
        <v>13</v>
      </c>
      <c r="T46" s="20">
        <f t="shared" si="6"/>
        <v>0</v>
      </c>
      <c r="U46" s="20">
        <f t="shared" si="6"/>
        <v>0</v>
      </c>
      <c r="V46" s="20">
        <f t="shared" si="6"/>
        <v>0</v>
      </c>
      <c r="W46" s="20">
        <f t="shared" si="6"/>
        <v>0</v>
      </c>
      <c r="X46" s="20">
        <f t="shared" si="6"/>
        <v>0</v>
      </c>
      <c r="Y46" s="20">
        <f t="shared" si="6"/>
        <v>1</v>
      </c>
      <c r="Z46" s="20">
        <f t="shared" si="6"/>
        <v>0</v>
      </c>
      <c r="AA46" s="20">
        <f t="shared" si="6"/>
        <v>0</v>
      </c>
      <c r="AB46" s="20">
        <f t="shared" si="6"/>
        <v>0</v>
      </c>
      <c r="AC46" s="20">
        <f t="shared" si="6"/>
        <v>0</v>
      </c>
      <c r="AD46" s="20">
        <f t="shared" si="6"/>
        <v>0</v>
      </c>
      <c r="AE46" s="20">
        <f t="shared" si="6"/>
        <v>0</v>
      </c>
      <c r="AF46" s="20">
        <f t="shared" si="6"/>
        <v>0</v>
      </c>
      <c r="AG46" s="20">
        <f t="shared" si="6"/>
        <v>0</v>
      </c>
      <c r="AH46" s="20">
        <f t="shared" si="6"/>
        <v>6</v>
      </c>
      <c r="AI46" s="20">
        <f t="shared" si="6"/>
        <v>0</v>
      </c>
      <c r="AJ46" s="21">
        <f t="shared" si="5"/>
        <v>113</v>
      </c>
    </row>
    <row r="47" spans="1:36" ht="15" customHeight="1">
      <c r="A47" s="2">
        <v>2</v>
      </c>
      <c r="B47" s="2" t="s">
        <v>129</v>
      </c>
      <c r="C47" s="503" t="s">
        <v>112</v>
      </c>
      <c r="D47" s="501"/>
      <c r="E47" s="20">
        <f t="shared" ref="E47:AI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0">
        <f t="shared" si="7"/>
        <v>0</v>
      </c>
      <c r="AH47" s="20">
        <f t="shared" si="7"/>
        <v>0</v>
      </c>
      <c r="AI47" s="20">
        <f t="shared" si="7"/>
        <v>0</v>
      </c>
      <c r="AJ47" s="21">
        <f t="shared" si="5"/>
        <v>0</v>
      </c>
    </row>
    <row r="48" spans="1:36" ht="18.5" customHeight="1">
      <c r="A48" s="2"/>
      <c r="B48" s="2"/>
      <c r="C48" s="502" t="s">
        <v>22</v>
      </c>
      <c r="D48" s="501"/>
      <c r="E48" s="20">
        <f t="shared" ref="E48:AI48" si="8">E10-D10</f>
        <v>0</v>
      </c>
      <c r="F48" s="20">
        <f t="shared" si="8"/>
        <v>0</v>
      </c>
      <c r="G48" s="20">
        <f t="shared" si="8"/>
        <v>0</v>
      </c>
      <c r="H48" s="20">
        <f t="shared" si="8"/>
        <v>0</v>
      </c>
      <c r="I48" s="20">
        <f t="shared" si="8"/>
        <v>0</v>
      </c>
      <c r="J48" s="20">
        <f t="shared" si="8"/>
        <v>0</v>
      </c>
      <c r="K48" s="20">
        <f t="shared" si="8"/>
        <v>0</v>
      </c>
      <c r="L48" s="20">
        <f t="shared" si="8"/>
        <v>0</v>
      </c>
      <c r="M48" s="20">
        <f t="shared" si="8"/>
        <v>0</v>
      </c>
      <c r="N48" s="20">
        <f t="shared" si="8"/>
        <v>0</v>
      </c>
      <c r="O48" s="20">
        <f t="shared" si="8"/>
        <v>0</v>
      </c>
      <c r="P48" s="20">
        <f t="shared" si="8"/>
        <v>0</v>
      </c>
      <c r="Q48" s="20">
        <f t="shared" si="8"/>
        <v>0</v>
      </c>
      <c r="R48" s="20">
        <f t="shared" si="8"/>
        <v>0</v>
      </c>
      <c r="S48" s="20">
        <f t="shared" si="8"/>
        <v>0</v>
      </c>
      <c r="T48" s="20">
        <f t="shared" si="8"/>
        <v>0</v>
      </c>
      <c r="U48" s="20">
        <f t="shared" si="8"/>
        <v>0</v>
      </c>
      <c r="V48" s="20">
        <f t="shared" si="8"/>
        <v>0</v>
      </c>
      <c r="W48" s="20">
        <f t="shared" si="8"/>
        <v>0</v>
      </c>
      <c r="X48" s="20">
        <f t="shared" si="8"/>
        <v>0</v>
      </c>
      <c r="Y48" s="20">
        <f t="shared" si="8"/>
        <v>0</v>
      </c>
      <c r="Z48" s="20">
        <f t="shared" si="8"/>
        <v>0</v>
      </c>
      <c r="AA48" s="20">
        <f t="shared" si="8"/>
        <v>0</v>
      </c>
      <c r="AB48" s="20">
        <f t="shared" si="8"/>
        <v>0</v>
      </c>
      <c r="AC48" s="20">
        <f t="shared" si="8"/>
        <v>0</v>
      </c>
      <c r="AD48" s="20">
        <f t="shared" si="8"/>
        <v>0</v>
      </c>
      <c r="AE48" s="20">
        <f t="shared" si="8"/>
        <v>0</v>
      </c>
      <c r="AF48" s="20">
        <f t="shared" si="8"/>
        <v>0</v>
      </c>
      <c r="AG48" s="20">
        <f t="shared" si="8"/>
        <v>0</v>
      </c>
      <c r="AH48" s="20">
        <f t="shared" si="8"/>
        <v>0</v>
      </c>
      <c r="AI48" s="20">
        <f t="shared" si="8"/>
        <v>0</v>
      </c>
      <c r="AJ48" s="21">
        <f t="shared" si="5"/>
        <v>0</v>
      </c>
    </row>
    <row r="49" spans="1:38" ht="15" customHeight="1">
      <c r="A49" s="2">
        <v>3</v>
      </c>
      <c r="B49" s="2" t="s">
        <v>129</v>
      </c>
      <c r="C49" s="503" t="s">
        <v>113</v>
      </c>
      <c r="D49" s="501"/>
      <c r="E49" s="20">
        <f t="shared" ref="E49:AI49" si="9">E11-D11</f>
        <v>377</v>
      </c>
      <c r="F49" s="20">
        <f t="shared" si="9"/>
        <v>263</v>
      </c>
      <c r="G49" s="20">
        <f t="shared" si="9"/>
        <v>242</v>
      </c>
      <c r="H49" s="20">
        <f t="shared" si="9"/>
        <v>336</v>
      </c>
      <c r="I49" s="20">
        <f t="shared" si="9"/>
        <v>326</v>
      </c>
      <c r="J49" s="20">
        <f t="shared" si="9"/>
        <v>366</v>
      </c>
      <c r="K49" s="20">
        <f t="shared" si="9"/>
        <v>381</v>
      </c>
      <c r="L49" s="20">
        <f t="shared" si="9"/>
        <v>350</v>
      </c>
      <c r="M49" s="20">
        <f t="shared" si="9"/>
        <v>286</v>
      </c>
      <c r="N49" s="20">
        <f t="shared" si="9"/>
        <v>284</v>
      </c>
      <c r="O49" s="20">
        <f t="shared" si="9"/>
        <v>326</v>
      </c>
      <c r="P49" s="20">
        <f t="shared" si="9"/>
        <v>373</v>
      </c>
      <c r="Q49" s="20">
        <f t="shared" si="9"/>
        <v>342</v>
      </c>
      <c r="R49" s="20">
        <f t="shared" si="9"/>
        <v>352</v>
      </c>
      <c r="S49" s="20">
        <f t="shared" si="9"/>
        <v>280</v>
      </c>
      <c r="T49" s="20">
        <f t="shared" si="9"/>
        <v>259</v>
      </c>
      <c r="U49" s="20">
        <f t="shared" si="9"/>
        <v>284</v>
      </c>
      <c r="V49" s="20">
        <f t="shared" si="9"/>
        <v>352</v>
      </c>
      <c r="W49" s="20">
        <f t="shared" si="9"/>
        <v>380</v>
      </c>
      <c r="X49" s="20">
        <f t="shared" si="9"/>
        <v>356</v>
      </c>
      <c r="Y49" s="20">
        <f t="shared" si="9"/>
        <v>373</v>
      </c>
      <c r="Z49" s="20">
        <f t="shared" si="9"/>
        <v>303</v>
      </c>
      <c r="AA49" s="20">
        <f t="shared" si="9"/>
        <v>259</v>
      </c>
      <c r="AB49" s="20">
        <f t="shared" si="9"/>
        <v>255</v>
      </c>
      <c r="AC49" s="20">
        <f t="shared" si="9"/>
        <v>271</v>
      </c>
      <c r="AD49" s="20">
        <f t="shared" si="9"/>
        <v>323</v>
      </c>
      <c r="AE49" s="20">
        <f t="shared" si="9"/>
        <v>320</v>
      </c>
      <c r="AF49" s="20">
        <f t="shared" si="9"/>
        <v>327</v>
      </c>
      <c r="AG49" s="20">
        <f t="shared" si="9"/>
        <v>295</v>
      </c>
      <c r="AH49" s="20">
        <f t="shared" si="9"/>
        <v>259</v>
      </c>
      <c r="AI49" s="20">
        <f t="shared" si="9"/>
        <v>121</v>
      </c>
      <c r="AJ49" s="21">
        <f t="shared" si="5"/>
        <v>9621</v>
      </c>
    </row>
    <row r="50" spans="1:38" ht="18.5" customHeight="1">
      <c r="A50" s="2"/>
      <c r="B50" s="2"/>
      <c r="C50" s="502" t="s">
        <v>22</v>
      </c>
      <c r="D50" s="501"/>
      <c r="E50" s="20">
        <f t="shared" ref="E50:AI50" si="10">E12-D12</f>
        <v>78</v>
      </c>
      <c r="F50" s="20">
        <f t="shared" si="10"/>
        <v>3</v>
      </c>
      <c r="G50" s="20">
        <f t="shared" si="10"/>
        <v>0</v>
      </c>
      <c r="H50" s="20">
        <f t="shared" si="10"/>
        <v>0</v>
      </c>
      <c r="I50" s="20">
        <f t="shared" si="10"/>
        <v>0</v>
      </c>
      <c r="J50" s="20">
        <f t="shared" si="10"/>
        <v>0</v>
      </c>
      <c r="K50" s="20">
        <f t="shared" si="10"/>
        <v>0</v>
      </c>
      <c r="L50" s="20">
        <f t="shared" si="10"/>
        <v>0</v>
      </c>
      <c r="M50" s="20">
        <f t="shared" si="10"/>
        <v>0</v>
      </c>
      <c r="N50" s="20">
        <f t="shared" si="10"/>
        <v>0</v>
      </c>
      <c r="O50" s="20">
        <f t="shared" si="10"/>
        <v>0</v>
      </c>
      <c r="P50" s="20">
        <f t="shared" si="10"/>
        <v>0</v>
      </c>
      <c r="Q50" s="20">
        <f t="shared" si="10"/>
        <v>0</v>
      </c>
      <c r="R50" s="20">
        <f t="shared" si="10"/>
        <v>58</v>
      </c>
      <c r="S50" s="20">
        <f t="shared" si="10"/>
        <v>17</v>
      </c>
      <c r="T50" s="20">
        <f t="shared" si="10"/>
        <v>0</v>
      </c>
      <c r="U50" s="20">
        <f t="shared" si="10"/>
        <v>0</v>
      </c>
      <c r="V50" s="20">
        <f t="shared" si="10"/>
        <v>0</v>
      </c>
      <c r="W50" s="20">
        <f t="shared" si="10"/>
        <v>0</v>
      </c>
      <c r="X50" s="20">
        <f t="shared" si="10"/>
        <v>0</v>
      </c>
      <c r="Y50" s="20">
        <f t="shared" si="10"/>
        <v>0</v>
      </c>
      <c r="Z50" s="20">
        <f t="shared" si="10"/>
        <v>0</v>
      </c>
      <c r="AA50" s="20">
        <f t="shared" si="10"/>
        <v>0</v>
      </c>
      <c r="AB50" s="20">
        <f t="shared" si="10"/>
        <v>0</v>
      </c>
      <c r="AC50" s="20">
        <f t="shared" si="10"/>
        <v>0</v>
      </c>
      <c r="AD50" s="20">
        <f t="shared" si="10"/>
        <v>0</v>
      </c>
      <c r="AE50" s="20">
        <f t="shared" si="10"/>
        <v>0</v>
      </c>
      <c r="AF50" s="20">
        <f t="shared" si="10"/>
        <v>0</v>
      </c>
      <c r="AG50" s="20">
        <f t="shared" si="10"/>
        <v>0</v>
      </c>
      <c r="AH50" s="20">
        <f t="shared" si="10"/>
        <v>9</v>
      </c>
      <c r="AI50" s="20">
        <f t="shared" si="10"/>
        <v>0</v>
      </c>
      <c r="AJ50" s="21">
        <f t="shared" si="5"/>
        <v>165</v>
      </c>
    </row>
    <row r="51" spans="1:38" ht="15" customHeight="1">
      <c r="A51" s="2">
        <v>4</v>
      </c>
      <c r="B51" s="2" t="s">
        <v>129</v>
      </c>
      <c r="C51" s="503" t="s">
        <v>114</v>
      </c>
      <c r="D51" s="501"/>
      <c r="E51" s="20">
        <f t="shared" ref="E51:AI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0">
        <f t="shared" si="11"/>
        <v>0</v>
      </c>
      <c r="AH51" s="20">
        <f t="shared" si="11"/>
        <v>0</v>
      </c>
      <c r="AI51" s="20">
        <f t="shared" si="11"/>
        <v>0</v>
      </c>
      <c r="AJ51" s="21">
        <f t="shared" si="5"/>
        <v>0</v>
      </c>
    </row>
    <row r="52" spans="1:38" ht="18.5" customHeight="1">
      <c r="A52" s="2"/>
      <c r="B52" s="2"/>
      <c r="C52" s="502" t="s">
        <v>22</v>
      </c>
      <c r="D52" s="501"/>
      <c r="E52" s="20">
        <f t="shared" ref="E52:AI52" si="12">E14-D14</f>
        <v>0</v>
      </c>
      <c r="F52" s="20">
        <f t="shared" si="12"/>
        <v>0</v>
      </c>
      <c r="G52" s="20">
        <f t="shared" si="12"/>
        <v>0</v>
      </c>
      <c r="H52" s="20">
        <f t="shared" si="12"/>
        <v>0</v>
      </c>
      <c r="I52" s="20">
        <f t="shared" si="12"/>
        <v>0</v>
      </c>
      <c r="J52" s="20">
        <f t="shared" si="12"/>
        <v>0</v>
      </c>
      <c r="K52" s="20">
        <f t="shared" si="12"/>
        <v>0</v>
      </c>
      <c r="L52" s="20">
        <f t="shared" si="12"/>
        <v>0</v>
      </c>
      <c r="M52" s="20">
        <f t="shared" si="12"/>
        <v>0</v>
      </c>
      <c r="N52" s="20">
        <f t="shared" si="12"/>
        <v>0</v>
      </c>
      <c r="O52" s="20">
        <f t="shared" si="12"/>
        <v>0</v>
      </c>
      <c r="P52" s="20">
        <f t="shared" si="12"/>
        <v>0</v>
      </c>
      <c r="Q52" s="20">
        <f t="shared" si="12"/>
        <v>0</v>
      </c>
      <c r="R52" s="20">
        <f t="shared" si="12"/>
        <v>0</v>
      </c>
      <c r="S52" s="20">
        <f t="shared" si="12"/>
        <v>0</v>
      </c>
      <c r="T52" s="20">
        <f t="shared" si="12"/>
        <v>0</v>
      </c>
      <c r="U52" s="20">
        <f t="shared" si="12"/>
        <v>0</v>
      </c>
      <c r="V52" s="20">
        <f t="shared" si="12"/>
        <v>0</v>
      </c>
      <c r="W52" s="20">
        <f t="shared" si="12"/>
        <v>0</v>
      </c>
      <c r="X52" s="20">
        <f t="shared" si="12"/>
        <v>0</v>
      </c>
      <c r="Y52" s="20">
        <f t="shared" si="12"/>
        <v>0</v>
      </c>
      <c r="Z52" s="20">
        <f t="shared" si="12"/>
        <v>0</v>
      </c>
      <c r="AA52" s="20">
        <f t="shared" si="12"/>
        <v>0</v>
      </c>
      <c r="AB52" s="20">
        <f t="shared" si="12"/>
        <v>0</v>
      </c>
      <c r="AC52" s="20">
        <f t="shared" si="12"/>
        <v>0</v>
      </c>
      <c r="AD52" s="20">
        <f t="shared" si="12"/>
        <v>0</v>
      </c>
      <c r="AE52" s="20">
        <f t="shared" si="12"/>
        <v>0</v>
      </c>
      <c r="AF52" s="20">
        <f t="shared" si="12"/>
        <v>0</v>
      </c>
      <c r="AG52" s="20">
        <f t="shared" si="12"/>
        <v>0</v>
      </c>
      <c r="AH52" s="20">
        <f t="shared" si="12"/>
        <v>0</v>
      </c>
      <c r="AI52" s="20">
        <f t="shared" si="12"/>
        <v>0</v>
      </c>
      <c r="AJ52" s="21">
        <f t="shared" si="5"/>
        <v>0</v>
      </c>
    </row>
    <row r="53" spans="1:38" ht="15" customHeight="1">
      <c r="A53" s="2">
        <v>5</v>
      </c>
      <c r="B53" s="2" t="s">
        <v>129</v>
      </c>
      <c r="C53" s="503" t="s">
        <v>115</v>
      </c>
      <c r="D53" s="501"/>
      <c r="E53" s="20">
        <f t="shared" ref="E53:AI53" si="13">E15-D15</f>
        <v>198</v>
      </c>
      <c r="F53" s="20">
        <f t="shared" si="13"/>
        <v>105</v>
      </c>
      <c r="G53" s="20">
        <f t="shared" si="13"/>
        <v>104</v>
      </c>
      <c r="H53" s="20">
        <f t="shared" si="13"/>
        <v>158</v>
      </c>
      <c r="I53" s="20">
        <f t="shared" si="13"/>
        <v>169</v>
      </c>
      <c r="J53" s="20">
        <f t="shared" si="13"/>
        <v>198</v>
      </c>
      <c r="K53" s="20">
        <f t="shared" si="13"/>
        <v>180</v>
      </c>
      <c r="L53" s="20">
        <f t="shared" si="13"/>
        <v>162</v>
      </c>
      <c r="M53" s="20">
        <f t="shared" si="13"/>
        <v>109</v>
      </c>
      <c r="N53" s="20">
        <f t="shared" si="13"/>
        <v>110</v>
      </c>
      <c r="O53" s="20">
        <f t="shared" si="13"/>
        <v>156</v>
      </c>
      <c r="P53" s="20">
        <f t="shared" si="13"/>
        <v>174</v>
      </c>
      <c r="Q53" s="20">
        <f t="shared" si="13"/>
        <v>163</v>
      </c>
      <c r="R53" s="20">
        <f t="shared" si="13"/>
        <v>170</v>
      </c>
      <c r="S53" s="20">
        <f t="shared" si="13"/>
        <v>130</v>
      </c>
      <c r="T53" s="20">
        <f t="shared" si="13"/>
        <v>92</v>
      </c>
      <c r="U53" s="20">
        <f t="shared" si="13"/>
        <v>122</v>
      </c>
      <c r="V53" s="20">
        <f t="shared" si="13"/>
        <v>170</v>
      </c>
      <c r="W53" s="20">
        <f t="shared" si="13"/>
        <v>178</v>
      </c>
      <c r="X53" s="20">
        <f t="shared" si="13"/>
        <v>179</v>
      </c>
      <c r="Y53" s="20">
        <f t="shared" si="13"/>
        <v>173</v>
      </c>
      <c r="Z53" s="20">
        <f t="shared" si="13"/>
        <v>154</v>
      </c>
      <c r="AA53" s="20">
        <f t="shared" si="13"/>
        <v>114</v>
      </c>
      <c r="AB53" s="20">
        <f t="shared" si="13"/>
        <v>103</v>
      </c>
      <c r="AC53" s="20">
        <f t="shared" si="13"/>
        <v>118</v>
      </c>
      <c r="AD53" s="20">
        <f t="shared" si="13"/>
        <v>137</v>
      </c>
      <c r="AE53" s="20">
        <f t="shared" si="13"/>
        <v>153</v>
      </c>
      <c r="AF53" s="20">
        <f t="shared" si="13"/>
        <v>162</v>
      </c>
      <c r="AG53" s="20">
        <f t="shared" si="13"/>
        <v>164</v>
      </c>
      <c r="AH53" s="20">
        <f t="shared" si="13"/>
        <v>122</v>
      </c>
      <c r="AI53" s="20">
        <f t="shared" si="13"/>
        <v>53</v>
      </c>
      <c r="AJ53" s="21">
        <f t="shared" si="5"/>
        <v>4480</v>
      </c>
    </row>
    <row r="54" spans="1:38" ht="18.5" customHeight="1">
      <c r="A54" s="2"/>
      <c r="B54" s="2"/>
      <c r="C54" s="502" t="s">
        <v>22</v>
      </c>
      <c r="D54" s="501"/>
      <c r="E54" s="20">
        <f t="shared" ref="E54:AI54" si="14">E16-D16</f>
        <v>44</v>
      </c>
      <c r="F54" s="20">
        <f t="shared" si="14"/>
        <v>1</v>
      </c>
      <c r="G54" s="20">
        <f t="shared" si="14"/>
        <v>0</v>
      </c>
      <c r="H54" s="20">
        <f t="shared" si="14"/>
        <v>0</v>
      </c>
      <c r="I54" s="20">
        <f t="shared" si="14"/>
        <v>0</v>
      </c>
      <c r="J54" s="20">
        <f t="shared" si="14"/>
        <v>0</v>
      </c>
      <c r="K54" s="20">
        <f t="shared" si="14"/>
        <v>0</v>
      </c>
      <c r="L54" s="20">
        <f t="shared" si="14"/>
        <v>0</v>
      </c>
      <c r="M54" s="20">
        <f t="shared" si="14"/>
        <v>0</v>
      </c>
      <c r="N54" s="20">
        <f t="shared" si="14"/>
        <v>0</v>
      </c>
      <c r="O54" s="20">
        <f t="shared" si="14"/>
        <v>0</v>
      </c>
      <c r="P54" s="20">
        <f t="shared" si="14"/>
        <v>0</v>
      </c>
      <c r="Q54" s="20">
        <f t="shared" si="14"/>
        <v>0</v>
      </c>
      <c r="R54" s="20">
        <f t="shared" si="14"/>
        <v>28</v>
      </c>
      <c r="S54" s="20">
        <f t="shared" si="14"/>
        <v>5</v>
      </c>
      <c r="T54" s="20">
        <f t="shared" si="14"/>
        <v>0</v>
      </c>
      <c r="U54" s="20">
        <f t="shared" si="14"/>
        <v>0</v>
      </c>
      <c r="V54" s="20">
        <f t="shared" si="14"/>
        <v>0</v>
      </c>
      <c r="W54" s="20">
        <f t="shared" si="14"/>
        <v>0</v>
      </c>
      <c r="X54" s="20">
        <f t="shared" si="14"/>
        <v>0</v>
      </c>
      <c r="Y54" s="20">
        <f t="shared" si="14"/>
        <v>1</v>
      </c>
      <c r="Z54" s="20">
        <f t="shared" si="14"/>
        <v>0</v>
      </c>
      <c r="AA54" s="20">
        <f t="shared" si="14"/>
        <v>0</v>
      </c>
      <c r="AB54" s="20">
        <f t="shared" si="14"/>
        <v>0</v>
      </c>
      <c r="AC54" s="20">
        <f t="shared" si="14"/>
        <v>0</v>
      </c>
      <c r="AD54" s="20">
        <f t="shared" si="14"/>
        <v>0</v>
      </c>
      <c r="AE54" s="20">
        <f t="shared" si="14"/>
        <v>0</v>
      </c>
      <c r="AF54" s="20">
        <f t="shared" si="14"/>
        <v>0</v>
      </c>
      <c r="AG54" s="20">
        <f t="shared" si="14"/>
        <v>0</v>
      </c>
      <c r="AH54" s="20">
        <f t="shared" si="14"/>
        <v>4</v>
      </c>
      <c r="AI54" s="20">
        <f t="shared" si="14"/>
        <v>0</v>
      </c>
      <c r="AJ54" s="21">
        <f t="shared" si="5"/>
        <v>83</v>
      </c>
    </row>
    <row r="55" spans="1:38" ht="15" customHeight="1">
      <c r="A55" s="2">
        <v>6</v>
      </c>
      <c r="B55" s="2" t="s">
        <v>129</v>
      </c>
      <c r="C55" s="503" t="s">
        <v>116</v>
      </c>
      <c r="D55" s="501"/>
      <c r="E55" s="20">
        <f t="shared" ref="E55:AI55" si="15">E17-D17</f>
        <v>281</v>
      </c>
      <c r="F55" s="20">
        <f t="shared" si="15"/>
        <v>127</v>
      </c>
      <c r="G55" s="20">
        <f t="shared" si="15"/>
        <v>131</v>
      </c>
      <c r="H55" s="20">
        <f t="shared" si="15"/>
        <v>252</v>
      </c>
      <c r="I55" s="20">
        <f t="shared" si="15"/>
        <v>169</v>
      </c>
      <c r="J55" s="20">
        <f t="shared" si="15"/>
        <v>216</v>
      </c>
      <c r="K55" s="20">
        <f t="shared" si="15"/>
        <v>234</v>
      </c>
      <c r="L55" s="20">
        <f t="shared" si="15"/>
        <v>244</v>
      </c>
      <c r="M55" s="20">
        <f t="shared" si="15"/>
        <v>169</v>
      </c>
      <c r="N55" s="20">
        <f t="shared" si="15"/>
        <v>126</v>
      </c>
      <c r="O55" s="20">
        <f t="shared" si="15"/>
        <v>233</v>
      </c>
      <c r="P55" s="20">
        <f t="shared" si="15"/>
        <v>242</v>
      </c>
      <c r="Q55" s="20">
        <f t="shared" si="15"/>
        <v>214</v>
      </c>
      <c r="R55" s="20">
        <f t="shared" si="15"/>
        <v>241</v>
      </c>
      <c r="S55" s="20">
        <f t="shared" si="15"/>
        <v>193</v>
      </c>
      <c r="T55" s="20">
        <f t="shared" si="15"/>
        <v>139</v>
      </c>
      <c r="U55" s="20">
        <f t="shared" si="15"/>
        <v>126</v>
      </c>
      <c r="V55" s="20">
        <f t="shared" si="15"/>
        <v>247</v>
      </c>
      <c r="W55" s="20">
        <f t="shared" si="15"/>
        <v>255</v>
      </c>
      <c r="X55" s="20">
        <f t="shared" si="15"/>
        <v>244</v>
      </c>
      <c r="Y55" s="20">
        <f t="shared" si="15"/>
        <v>236</v>
      </c>
      <c r="Z55" s="20">
        <f t="shared" si="15"/>
        <v>190</v>
      </c>
      <c r="AA55" s="20">
        <f t="shared" si="15"/>
        <v>127</v>
      </c>
      <c r="AB55" s="20">
        <f t="shared" si="15"/>
        <v>86</v>
      </c>
      <c r="AC55" s="20">
        <f t="shared" si="15"/>
        <v>97</v>
      </c>
      <c r="AD55" s="20">
        <f t="shared" si="15"/>
        <v>203</v>
      </c>
      <c r="AE55" s="20">
        <f t="shared" si="15"/>
        <v>219</v>
      </c>
      <c r="AF55" s="20">
        <f t="shared" si="15"/>
        <v>201</v>
      </c>
      <c r="AG55" s="20">
        <f t="shared" si="15"/>
        <v>176</v>
      </c>
      <c r="AH55" s="20">
        <f t="shared" si="15"/>
        <v>121</v>
      </c>
      <c r="AI55" s="20">
        <f t="shared" si="15"/>
        <v>65</v>
      </c>
      <c r="AJ55" s="21">
        <f t="shared" si="5"/>
        <v>5804</v>
      </c>
    </row>
    <row r="56" spans="1:38" ht="18.5" customHeight="1">
      <c r="A56" s="2"/>
      <c r="B56" s="2"/>
      <c r="C56" s="502" t="s">
        <v>22</v>
      </c>
      <c r="D56" s="501"/>
      <c r="E56" s="20">
        <f t="shared" ref="E56:AI56" si="16">E18-D18</f>
        <v>60</v>
      </c>
      <c r="F56" s="20">
        <f t="shared" si="16"/>
        <v>1</v>
      </c>
      <c r="G56" s="20">
        <f t="shared" si="16"/>
        <v>0</v>
      </c>
      <c r="H56" s="20">
        <f t="shared" si="16"/>
        <v>0</v>
      </c>
      <c r="I56" s="20">
        <f t="shared" si="16"/>
        <v>0</v>
      </c>
      <c r="J56" s="20">
        <f t="shared" si="16"/>
        <v>0</v>
      </c>
      <c r="K56" s="20">
        <f t="shared" si="16"/>
        <v>0</v>
      </c>
      <c r="L56" s="20">
        <f t="shared" si="16"/>
        <v>0</v>
      </c>
      <c r="M56" s="20">
        <f t="shared" si="16"/>
        <v>0</v>
      </c>
      <c r="N56" s="20">
        <f t="shared" si="16"/>
        <v>0</v>
      </c>
      <c r="O56" s="20">
        <f t="shared" si="16"/>
        <v>0</v>
      </c>
      <c r="P56" s="20">
        <f t="shared" si="16"/>
        <v>0</v>
      </c>
      <c r="Q56" s="20">
        <f t="shared" si="16"/>
        <v>0</v>
      </c>
      <c r="R56" s="20">
        <f t="shared" si="16"/>
        <v>52</v>
      </c>
      <c r="S56" s="20">
        <f t="shared" si="16"/>
        <v>15</v>
      </c>
      <c r="T56" s="20">
        <f t="shared" si="16"/>
        <v>0</v>
      </c>
      <c r="U56" s="20">
        <f t="shared" si="16"/>
        <v>0</v>
      </c>
      <c r="V56" s="20">
        <f t="shared" si="16"/>
        <v>0</v>
      </c>
      <c r="W56" s="20">
        <f t="shared" si="16"/>
        <v>0</v>
      </c>
      <c r="X56" s="20">
        <f t="shared" si="16"/>
        <v>0</v>
      </c>
      <c r="Y56" s="20">
        <f t="shared" si="16"/>
        <v>1</v>
      </c>
      <c r="Z56" s="20">
        <f t="shared" si="16"/>
        <v>0</v>
      </c>
      <c r="AA56" s="20">
        <f t="shared" si="16"/>
        <v>0</v>
      </c>
      <c r="AB56" s="20">
        <f t="shared" si="16"/>
        <v>0</v>
      </c>
      <c r="AC56" s="20">
        <f t="shared" si="16"/>
        <v>0</v>
      </c>
      <c r="AD56" s="20">
        <f t="shared" si="16"/>
        <v>0</v>
      </c>
      <c r="AE56" s="20">
        <f t="shared" si="16"/>
        <v>0</v>
      </c>
      <c r="AF56" s="20">
        <f t="shared" si="16"/>
        <v>0</v>
      </c>
      <c r="AG56" s="20">
        <f t="shared" si="16"/>
        <v>0</v>
      </c>
      <c r="AH56" s="20">
        <f t="shared" si="16"/>
        <v>0</v>
      </c>
      <c r="AI56" s="20">
        <f t="shared" si="16"/>
        <v>0</v>
      </c>
      <c r="AJ56" s="21">
        <f t="shared" si="5"/>
        <v>129</v>
      </c>
    </row>
    <row r="57" spans="1:38" ht="15" customHeight="1">
      <c r="A57" s="2">
        <v>7</v>
      </c>
      <c r="B57" s="2" t="s">
        <v>129</v>
      </c>
      <c r="C57" s="503" t="s">
        <v>117</v>
      </c>
      <c r="D57" s="501"/>
      <c r="E57" s="20">
        <f t="shared" ref="E57:AI57" si="17">E19-D19</f>
        <v>1085</v>
      </c>
      <c r="F57" s="20">
        <f t="shared" si="17"/>
        <v>760</v>
      </c>
      <c r="G57" s="20">
        <f t="shared" si="17"/>
        <v>789</v>
      </c>
      <c r="H57" s="20">
        <f t="shared" si="17"/>
        <v>837</v>
      </c>
      <c r="I57" s="20">
        <f t="shared" si="17"/>
        <v>898</v>
      </c>
      <c r="J57" s="20">
        <f t="shared" si="17"/>
        <v>956</v>
      </c>
      <c r="K57" s="20">
        <f t="shared" si="17"/>
        <v>785</v>
      </c>
      <c r="L57" s="20">
        <f t="shared" si="17"/>
        <v>823</v>
      </c>
      <c r="M57" s="20">
        <f t="shared" si="17"/>
        <v>666</v>
      </c>
      <c r="N57" s="20">
        <f t="shared" si="17"/>
        <v>733</v>
      </c>
      <c r="O57" s="20">
        <f t="shared" si="17"/>
        <v>781</v>
      </c>
      <c r="P57" s="20">
        <f t="shared" si="17"/>
        <v>847</v>
      </c>
      <c r="Q57" s="20">
        <f t="shared" si="17"/>
        <v>807</v>
      </c>
      <c r="R57" s="20">
        <f t="shared" si="17"/>
        <v>832</v>
      </c>
      <c r="S57" s="20">
        <f t="shared" si="17"/>
        <v>740</v>
      </c>
      <c r="T57" s="20">
        <f t="shared" si="17"/>
        <v>666</v>
      </c>
      <c r="U57" s="20">
        <f t="shared" si="17"/>
        <v>728</v>
      </c>
      <c r="V57" s="20">
        <f t="shared" si="17"/>
        <v>786</v>
      </c>
      <c r="W57" s="20">
        <f t="shared" si="17"/>
        <v>834</v>
      </c>
      <c r="X57" s="20">
        <f t="shared" si="17"/>
        <v>836</v>
      </c>
      <c r="Y57" s="20">
        <f t="shared" si="17"/>
        <v>832</v>
      </c>
      <c r="Z57" s="20">
        <f t="shared" si="17"/>
        <v>796</v>
      </c>
      <c r="AA57" s="20">
        <f t="shared" si="17"/>
        <v>714</v>
      </c>
      <c r="AB57" s="20">
        <f t="shared" si="17"/>
        <v>660</v>
      </c>
      <c r="AC57" s="20">
        <f t="shared" si="17"/>
        <v>566</v>
      </c>
      <c r="AD57" s="20">
        <f t="shared" si="17"/>
        <v>793</v>
      </c>
      <c r="AE57" s="20">
        <f t="shared" si="17"/>
        <v>797</v>
      </c>
      <c r="AF57" s="20">
        <f t="shared" si="17"/>
        <v>818</v>
      </c>
      <c r="AG57" s="20">
        <f t="shared" si="17"/>
        <v>808</v>
      </c>
      <c r="AH57" s="20">
        <f t="shared" si="17"/>
        <v>691</v>
      </c>
      <c r="AI57" s="20">
        <f t="shared" si="17"/>
        <v>289</v>
      </c>
      <c r="AJ57" s="21">
        <f t="shared" si="5"/>
        <v>23953</v>
      </c>
    </row>
    <row r="58" spans="1:38" ht="18.5" customHeight="1">
      <c r="A58" s="2"/>
      <c r="B58" s="2"/>
      <c r="C58" s="502" t="s">
        <v>22</v>
      </c>
      <c r="D58" s="501"/>
      <c r="E58" s="20">
        <f t="shared" ref="E58:AI58" si="18">E20-D20</f>
        <v>166</v>
      </c>
      <c r="F58" s="20">
        <f t="shared" si="18"/>
        <v>5</v>
      </c>
      <c r="G58" s="20">
        <f t="shared" si="18"/>
        <v>0</v>
      </c>
      <c r="H58" s="20">
        <f t="shared" si="18"/>
        <v>0</v>
      </c>
      <c r="I58" s="20">
        <f t="shared" si="18"/>
        <v>0</v>
      </c>
      <c r="J58" s="20">
        <f t="shared" si="18"/>
        <v>0</v>
      </c>
      <c r="K58" s="20">
        <f t="shared" si="18"/>
        <v>0</v>
      </c>
      <c r="L58" s="20">
        <f t="shared" si="18"/>
        <v>0</v>
      </c>
      <c r="M58" s="20">
        <f t="shared" si="18"/>
        <v>0</v>
      </c>
      <c r="N58" s="20">
        <f t="shared" si="18"/>
        <v>0</v>
      </c>
      <c r="O58" s="20">
        <f t="shared" si="18"/>
        <v>0</v>
      </c>
      <c r="P58" s="20">
        <f t="shared" si="18"/>
        <v>0</v>
      </c>
      <c r="Q58" s="20">
        <f t="shared" si="18"/>
        <v>0</v>
      </c>
      <c r="R58" s="20">
        <f t="shared" si="18"/>
        <v>114</v>
      </c>
      <c r="S58" s="20">
        <f t="shared" si="18"/>
        <v>51</v>
      </c>
      <c r="T58" s="20">
        <f t="shared" si="18"/>
        <v>0</v>
      </c>
      <c r="U58" s="20">
        <f t="shared" si="18"/>
        <v>0</v>
      </c>
      <c r="V58" s="20">
        <f t="shared" si="18"/>
        <v>0</v>
      </c>
      <c r="W58" s="20">
        <f t="shared" si="18"/>
        <v>0</v>
      </c>
      <c r="X58" s="20">
        <f t="shared" si="18"/>
        <v>0</v>
      </c>
      <c r="Y58" s="20">
        <f t="shared" si="18"/>
        <v>2</v>
      </c>
      <c r="Z58" s="20">
        <f t="shared" si="18"/>
        <v>0</v>
      </c>
      <c r="AA58" s="20">
        <f t="shared" si="18"/>
        <v>0</v>
      </c>
      <c r="AB58" s="20">
        <f t="shared" si="18"/>
        <v>0</v>
      </c>
      <c r="AC58" s="20">
        <f t="shared" si="18"/>
        <v>0</v>
      </c>
      <c r="AD58" s="20">
        <f t="shared" si="18"/>
        <v>0</v>
      </c>
      <c r="AE58" s="20">
        <f t="shared" si="18"/>
        <v>0</v>
      </c>
      <c r="AF58" s="20">
        <f t="shared" si="18"/>
        <v>0</v>
      </c>
      <c r="AG58" s="20">
        <f t="shared" si="18"/>
        <v>0</v>
      </c>
      <c r="AH58" s="20">
        <f t="shared" si="18"/>
        <v>17</v>
      </c>
      <c r="AI58" s="20">
        <f t="shared" si="18"/>
        <v>0</v>
      </c>
      <c r="AJ58" s="21">
        <f t="shared" si="5"/>
        <v>355</v>
      </c>
    </row>
    <row r="59" spans="1:38" ht="15" customHeight="1">
      <c r="A59" s="2">
        <v>8</v>
      </c>
      <c r="B59" s="2" t="s">
        <v>129</v>
      </c>
      <c r="C59" s="503" t="s">
        <v>118</v>
      </c>
      <c r="D59" s="501"/>
      <c r="E59" s="20">
        <f t="shared" ref="E59:AI59" si="19">E21-D21</f>
        <v>115</v>
      </c>
      <c r="F59" s="20">
        <f t="shared" si="19"/>
        <v>118</v>
      </c>
      <c r="G59" s="20">
        <f t="shared" si="19"/>
        <v>68</v>
      </c>
      <c r="H59" s="20">
        <f t="shared" si="19"/>
        <v>111</v>
      </c>
      <c r="I59" s="20">
        <f t="shared" si="19"/>
        <v>99</v>
      </c>
      <c r="J59" s="20">
        <f t="shared" si="19"/>
        <v>120</v>
      </c>
      <c r="K59" s="20">
        <f t="shared" si="19"/>
        <v>76</v>
      </c>
      <c r="L59" s="20">
        <f t="shared" si="19"/>
        <v>100</v>
      </c>
      <c r="M59" s="20">
        <f t="shared" si="19"/>
        <v>77</v>
      </c>
      <c r="N59" s="20">
        <f t="shared" si="19"/>
        <v>104</v>
      </c>
      <c r="O59" s="20">
        <f t="shared" si="19"/>
        <v>54</v>
      </c>
      <c r="P59" s="20">
        <f t="shared" si="19"/>
        <v>134</v>
      </c>
      <c r="Q59" s="20">
        <f t="shared" si="19"/>
        <v>26</v>
      </c>
      <c r="R59" s="20">
        <f t="shared" si="19"/>
        <v>75</v>
      </c>
      <c r="S59" s="20">
        <f t="shared" si="19"/>
        <v>64</v>
      </c>
      <c r="T59" s="20">
        <f t="shared" si="19"/>
        <v>76</v>
      </c>
      <c r="U59" s="20">
        <f t="shared" si="19"/>
        <v>47</v>
      </c>
      <c r="V59" s="20">
        <f t="shared" si="19"/>
        <v>91</v>
      </c>
      <c r="W59" s="20">
        <f t="shared" si="19"/>
        <v>88</v>
      </c>
      <c r="X59" s="20">
        <f t="shared" si="19"/>
        <v>89</v>
      </c>
      <c r="Y59" s="20">
        <f t="shared" si="19"/>
        <v>111</v>
      </c>
      <c r="Z59" s="20">
        <f t="shared" si="19"/>
        <v>131</v>
      </c>
      <c r="AA59" s="20">
        <f t="shared" si="19"/>
        <v>112</v>
      </c>
      <c r="AB59" s="20">
        <f t="shared" si="19"/>
        <v>115</v>
      </c>
      <c r="AC59" s="20">
        <f t="shared" si="19"/>
        <v>93</v>
      </c>
      <c r="AD59" s="20">
        <f t="shared" si="19"/>
        <v>153</v>
      </c>
      <c r="AE59" s="20">
        <f t="shared" si="19"/>
        <v>117</v>
      </c>
      <c r="AF59" s="20">
        <f t="shared" si="19"/>
        <v>142</v>
      </c>
      <c r="AG59" s="20">
        <f t="shared" si="19"/>
        <v>131</v>
      </c>
      <c r="AH59" s="20">
        <f t="shared" si="19"/>
        <v>159</v>
      </c>
      <c r="AI59" s="20">
        <f t="shared" si="19"/>
        <v>40</v>
      </c>
      <c r="AJ59" s="21">
        <f t="shared" si="5"/>
        <v>3036</v>
      </c>
    </row>
    <row r="60" spans="1:38" ht="18.5" customHeight="1">
      <c r="A60" s="2"/>
      <c r="B60" s="2"/>
      <c r="C60" s="502" t="s">
        <v>22</v>
      </c>
      <c r="D60" s="501"/>
      <c r="E60" s="20">
        <f t="shared" ref="E60:AI60" si="20">E22-D22</f>
        <v>24</v>
      </c>
      <c r="F60" s="20">
        <f t="shared" si="20"/>
        <v>2</v>
      </c>
      <c r="G60" s="20">
        <f t="shared" si="20"/>
        <v>0</v>
      </c>
      <c r="H60" s="20">
        <f t="shared" si="20"/>
        <v>0</v>
      </c>
      <c r="I60" s="20">
        <f t="shared" si="20"/>
        <v>0</v>
      </c>
      <c r="J60" s="20">
        <f t="shared" si="20"/>
        <v>0</v>
      </c>
      <c r="K60" s="20">
        <f t="shared" si="20"/>
        <v>0</v>
      </c>
      <c r="L60" s="20">
        <f t="shared" si="20"/>
        <v>0</v>
      </c>
      <c r="M60" s="20">
        <f t="shared" si="20"/>
        <v>0</v>
      </c>
      <c r="N60" s="20">
        <f t="shared" si="20"/>
        <v>0</v>
      </c>
      <c r="O60" s="20">
        <f t="shared" si="20"/>
        <v>0</v>
      </c>
      <c r="P60" s="20">
        <f t="shared" si="20"/>
        <v>0</v>
      </c>
      <c r="Q60" s="20">
        <f t="shared" si="20"/>
        <v>0</v>
      </c>
      <c r="R60" s="20">
        <f t="shared" si="20"/>
        <v>14</v>
      </c>
      <c r="S60" s="20">
        <f t="shared" si="20"/>
        <v>5</v>
      </c>
      <c r="T60" s="20">
        <f t="shared" si="20"/>
        <v>0</v>
      </c>
      <c r="U60" s="20">
        <f t="shared" si="20"/>
        <v>0</v>
      </c>
      <c r="V60" s="20">
        <f t="shared" si="20"/>
        <v>0</v>
      </c>
      <c r="W60" s="20">
        <f t="shared" si="20"/>
        <v>0</v>
      </c>
      <c r="X60" s="20">
        <f t="shared" si="20"/>
        <v>0</v>
      </c>
      <c r="Y60" s="20">
        <f t="shared" si="20"/>
        <v>0</v>
      </c>
      <c r="Z60" s="20">
        <f t="shared" si="20"/>
        <v>0</v>
      </c>
      <c r="AA60" s="20">
        <f t="shared" si="20"/>
        <v>0</v>
      </c>
      <c r="AB60" s="20">
        <f t="shared" si="20"/>
        <v>0</v>
      </c>
      <c r="AC60" s="20">
        <f t="shared" si="20"/>
        <v>0</v>
      </c>
      <c r="AD60" s="20">
        <f t="shared" si="20"/>
        <v>0</v>
      </c>
      <c r="AE60" s="20">
        <f t="shared" si="20"/>
        <v>0</v>
      </c>
      <c r="AF60" s="20">
        <f t="shared" si="20"/>
        <v>0</v>
      </c>
      <c r="AG60" s="20">
        <f t="shared" si="20"/>
        <v>0</v>
      </c>
      <c r="AH60" s="20">
        <f t="shared" si="20"/>
        <v>4</v>
      </c>
      <c r="AI60" s="20">
        <f t="shared" si="20"/>
        <v>0</v>
      </c>
      <c r="AJ60" s="21">
        <f t="shared" si="5"/>
        <v>49</v>
      </c>
    </row>
    <row r="61" spans="1:38" ht="15" customHeight="1">
      <c r="A61" s="22"/>
      <c r="B61" s="22"/>
      <c r="C61" s="500" t="s">
        <v>130</v>
      </c>
      <c r="D61" s="501"/>
      <c r="E61" s="23">
        <f t="shared" ref="E61:AI61" si="21">SUM(E59,E57,E55,E53,E51,E49,E47,E45)</f>
        <v>2342</v>
      </c>
      <c r="F61" s="23">
        <f t="shared" si="21"/>
        <v>1560</v>
      </c>
      <c r="G61" s="23">
        <f t="shared" si="21"/>
        <v>1521</v>
      </c>
      <c r="H61" s="23">
        <f t="shared" si="21"/>
        <v>1931</v>
      </c>
      <c r="I61" s="23">
        <f t="shared" si="21"/>
        <v>1900</v>
      </c>
      <c r="J61" s="23">
        <f t="shared" si="21"/>
        <v>2132</v>
      </c>
      <c r="K61" s="23">
        <f t="shared" si="21"/>
        <v>1900</v>
      </c>
      <c r="L61" s="23">
        <f t="shared" si="21"/>
        <v>1922</v>
      </c>
      <c r="M61" s="23">
        <f t="shared" si="21"/>
        <v>1525</v>
      </c>
      <c r="N61" s="23">
        <f t="shared" si="21"/>
        <v>1574</v>
      </c>
      <c r="O61" s="23">
        <f t="shared" si="21"/>
        <v>1778</v>
      </c>
      <c r="P61" s="23">
        <f t="shared" si="21"/>
        <v>2036</v>
      </c>
      <c r="Q61" s="23">
        <f t="shared" si="21"/>
        <v>1795</v>
      </c>
      <c r="R61" s="23">
        <f t="shared" si="21"/>
        <v>1917</v>
      </c>
      <c r="S61" s="23">
        <f t="shared" si="21"/>
        <v>1613</v>
      </c>
      <c r="T61" s="23">
        <f t="shared" si="21"/>
        <v>1428</v>
      </c>
      <c r="U61" s="23">
        <f t="shared" si="21"/>
        <v>1525</v>
      </c>
      <c r="V61" s="23">
        <f t="shared" si="21"/>
        <v>1892</v>
      </c>
      <c r="W61" s="23">
        <f t="shared" si="21"/>
        <v>1998</v>
      </c>
      <c r="X61" s="23">
        <f t="shared" si="21"/>
        <v>1958</v>
      </c>
      <c r="Y61" s="23">
        <f t="shared" si="21"/>
        <v>1983</v>
      </c>
      <c r="Z61" s="23">
        <f t="shared" si="21"/>
        <v>1795</v>
      </c>
      <c r="AA61" s="23">
        <f t="shared" si="21"/>
        <v>1529</v>
      </c>
      <c r="AB61" s="23">
        <f t="shared" si="21"/>
        <v>1417</v>
      </c>
      <c r="AC61" s="23">
        <f t="shared" si="21"/>
        <v>1352</v>
      </c>
      <c r="AD61" s="23">
        <f t="shared" si="21"/>
        <v>1846</v>
      </c>
      <c r="AE61" s="23">
        <f t="shared" si="21"/>
        <v>1836</v>
      </c>
      <c r="AF61" s="23">
        <f t="shared" si="21"/>
        <v>1884</v>
      </c>
      <c r="AG61" s="23">
        <f t="shared" si="21"/>
        <v>1798</v>
      </c>
      <c r="AH61" s="23">
        <f t="shared" si="21"/>
        <v>1551</v>
      </c>
      <c r="AI61" s="23">
        <f t="shared" si="21"/>
        <v>665</v>
      </c>
      <c r="AJ61" s="111">
        <f t="shared" si="5"/>
        <v>53903</v>
      </c>
      <c r="AK61" s="121" t="s">
        <v>20</v>
      </c>
      <c r="AL61" s="122">
        <f>AJ61</f>
        <v>53903</v>
      </c>
    </row>
    <row r="62" spans="1:38" ht="15" customHeight="1">
      <c r="A62" s="22"/>
      <c r="B62" s="22"/>
      <c r="C62" s="513" t="s">
        <v>131</v>
      </c>
      <c r="D62" s="501"/>
      <c r="E62" s="23">
        <f t="shared" ref="E62:AI62" si="22">SUM(E46,E48,E50,E52,E54,E56,E58,E60)</f>
        <v>425</v>
      </c>
      <c r="F62" s="23">
        <f t="shared" si="22"/>
        <v>14</v>
      </c>
      <c r="G62" s="23">
        <f t="shared" si="22"/>
        <v>0</v>
      </c>
      <c r="H62" s="23">
        <f t="shared" si="22"/>
        <v>0</v>
      </c>
      <c r="I62" s="23">
        <f t="shared" si="22"/>
        <v>0</v>
      </c>
      <c r="J62" s="23">
        <f t="shared" si="22"/>
        <v>0</v>
      </c>
      <c r="K62" s="23">
        <f t="shared" si="22"/>
        <v>0</v>
      </c>
      <c r="L62" s="23">
        <f t="shared" si="22"/>
        <v>0</v>
      </c>
      <c r="M62" s="23">
        <f t="shared" si="22"/>
        <v>0</v>
      </c>
      <c r="N62" s="23">
        <f t="shared" si="22"/>
        <v>0</v>
      </c>
      <c r="O62" s="23">
        <f t="shared" si="22"/>
        <v>0</v>
      </c>
      <c r="P62" s="23">
        <f t="shared" si="22"/>
        <v>0</v>
      </c>
      <c r="Q62" s="23">
        <f t="shared" si="22"/>
        <v>0</v>
      </c>
      <c r="R62" s="23">
        <f t="shared" si="22"/>
        <v>304</v>
      </c>
      <c r="S62" s="23">
        <f t="shared" si="22"/>
        <v>106</v>
      </c>
      <c r="T62" s="23">
        <f t="shared" si="22"/>
        <v>0</v>
      </c>
      <c r="U62" s="23">
        <f t="shared" si="22"/>
        <v>0</v>
      </c>
      <c r="V62" s="23">
        <f t="shared" si="22"/>
        <v>0</v>
      </c>
      <c r="W62" s="23">
        <f t="shared" si="22"/>
        <v>0</v>
      </c>
      <c r="X62" s="23">
        <f t="shared" si="22"/>
        <v>0</v>
      </c>
      <c r="Y62" s="23">
        <f t="shared" si="22"/>
        <v>5</v>
      </c>
      <c r="Z62" s="23">
        <f t="shared" si="22"/>
        <v>0</v>
      </c>
      <c r="AA62" s="23">
        <f t="shared" si="22"/>
        <v>0</v>
      </c>
      <c r="AB62" s="23">
        <f t="shared" si="22"/>
        <v>0</v>
      </c>
      <c r="AC62" s="23">
        <f t="shared" si="22"/>
        <v>0</v>
      </c>
      <c r="AD62" s="23">
        <f t="shared" si="22"/>
        <v>0</v>
      </c>
      <c r="AE62" s="23">
        <f t="shared" si="22"/>
        <v>0</v>
      </c>
      <c r="AF62" s="23">
        <f t="shared" si="22"/>
        <v>0</v>
      </c>
      <c r="AG62" s="23">
        <f t="shared" si="22"/>
        <v>0</v>
      </c>
      <c r="AH62" s="23">
        <f t="shared" si="22"/>
        <v>40</v>
      </c>
      <c r="AI62" s="23">
        <f t="shared" si="22"/>
        <v>0</v>
      </c>
      <c r="AJ62" s="111">
        <f t="shared" si="5"/>
        <v>894</v>
      </c>
      <c r="AK62" s="123" t="s">
        <v>21</v>
      </c>
      <c r="AL62" s="122">
        <f>AJ74</f>
        <v>8846</v>
      </c>
    </row>
    <row r="63" spans="1:38">
      <c r="A63" s="25"/>
      <c r="B63" s="25"/>
      <c r="C63" s="524" t="s">
        <v>132</v>
      </c>
      <c r="D63" s="501"/>
      <c r="E63" s="26">
        <f>E61</f>
        <v>2342</v>
      </c>
      <c r="F63" s="26">
        <f t="shared" ref="F63:AI63" si="23">E63+F61</f>
        <v>3902</v>
      </c>
      <c r="G63" s="26">
        <f t="shared" si="23"/>
        <v>5423</v>
      </c>
      <c r="H63" s="26">
        <f t="shared" si="23"/>
        <v>7354</v>
      </c>
      <c r="I63" s="26">
        <f t="shared" si="23"/>
        <v>9254</v>
      </c>
      <c r="J63" s="26">
        <f t="shared" si="23"/>
        <v>11386</v>
      </c>
      <c r="K63" s="26">
        <f t="shared" si="23"/>
        <v>13286</v>
      </c>
      <c r="L63" s="26">
        <f t="shared" si="23"/>
        <v>15208</v>
      </c>
      <c r="M63" s="26">
        <f t="shared" si="23"/>
        <v>16733</v>
      </c>
      <c r="N63" s="26">
        <f t="shared" si="23"/>
        <v>18307</v>
      </c>
      <c r="O63" s="26">
        <f t="shared" si="23"/>
        <v>20085</v>
      </c>
      <c r="P63" s="26">
        <f t="shared" si="23"/>
        <v>22121</v>
      </c>
      <c r="Q63" s="26">
        <f t="shared" si="23"/>
        <v>23916</v>
      </c>
      <c r="R63" s="26">
        <f t="shared" si="23"/>
        <v>25833</v>
      </c>
      <c r="S63" s="26">
        <f t="shared" si="23"/>
        <v>27446</v>
      </c>
      <c r="T63" s="26">
        <f t="shared" si="23"/>
        <v>28874</v>
      </c>
      <c r="U63" s="26">
        <f t="shared" si="23"/>
        <v>30399</v>
      </c>
      <c r="V63" s="26">
        <f t="shared" si="23"/>
        <v>32291</v>
      </c>
      <c r="W63" s="26">
        <f t="shared" si="23"/>
        <v>34289</v>
      </c>
      <c r="X63" s="26">
        <f t="shared" si="23"/>
        <v>36247</v>
      </c>
      <c r="Y63" s="26">
        <f t="shared" si="23"/>
        <v>38230</v>
      </c>
      <c r="Z63" s="26">
        <f t="shared" si="23"/>
        <v>40025</v>
      </c>
      <c r="AA63" s="26">
        <f t="shared" si="23"/>
        <v>41554</v>
      </c>
      <c r="AB63" s="26">
        <f t="shared" si="23"/>
        <v>42971</v>
      </c>
      <c r="AC63" s="26">
        <f t="shared" si="23"/>
        <v>44323</v>
      </c>
      <c r="AD63" s="26">
        <f t="shared" si="23"/>
        <v>46169</v>
      </c>
      <c r="AE63" s="26">
        <f t="shared" si="23"/>
        <v>48005</v>
      </c>
      <c r="AF63" s="26">
        <f t="shared" si="23"/>
        <v>49889</v>
      </c>
      <c r="AG63" s="26">
        <f t="shared" si="23"/>
        <v>51687</v>
      </c>
      <c r="AH63" s="26">
        <f t="shared" si="23"/>
        <v>53238</v>
      </c>
      <c r="AI63" s="26">
        <f t="shared" si="23"/>
        <v>53903</v>
      </c>
      <c r="AJ63" s="119">
        <f>AG63+AJ61</f>
        <v>105590</v>
      </c>
      <c r="AK63" s="123" t="s">
        <v>23</v>
      </c>
      <c r="AL63" s="124">
        <f>AJ80*40%</f>
        <v>22560.824000000001</v>
      </c>
    </row>
    <row r="64" spans="1:38">
      <c r="A64" s="17"/>
      <c r="B64" s="27"/>
      <c r="C64" s="2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20"/>
      <c r="AK64" s="123" t="s">
        <v>22</v>
      </c>
      <c r="AL64" s="122">
        <f>AJ62+AJ75</f>
        <v>1014</v>
      </c>
    </row>
    <row r="65" spans="1:40" ht="15" customHeight="1">
      <c r="A65" s="28" t="s">
        <v>133</v>
      </c>
      <c r="B65" s="28" t="s">
        <v>100</v>
      </c>
      <c r="C65" s="523" t="s">
        <v>101</v>
      </c>
      <c r="D65" s="50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9"/>
      <c r="AN65" s="66"/>
    </row>
    <row r="66" spans="1:40">
      <c r="A66" s="2">
        <v>1</v>
      </c>
      <c r="B66" s="2" t="s">
        <v>129</v>
      </c>
      <c r="C66" s="506" t="s">
        <v>119</v>
      </c>
      <c r="D66" s="501"/>
      <c r="E66" s="30">
        <f t="shared" ref="E66:AI66" si="24">E24-D24</f>
        <v>192</v>
      </c>
      <c r="F66" s="30">
        <f t="shared" si="24"/>
        <v>91</v>
      </c>
      <c r="G66" s="30">
        <f t="shared" si="24"/>
        <v>101</v>
      </c>
      <c r="H66" s="30">
        <f t="shared" si="24"/>
        <v>146</v>
      </c>
      <c r="I66" s="30">
        <f t="shared" si="24"/>
        <v>150</v>
      </c>
      <c r="J66" s="30">
        <f t="shared" si="24"/>
        <v>150</v>
      </c>
      <c r="K66" s="30">
        <f t="shared" si="24"/>
        <v>148</v>
      </c>
      <c r="L66" s="30">
        <f t="shared" si="24"/>
        <v>136</v>
      </c>
      <c r="M66" s="30">
        <f t="shared" si="24"/>
        <v>89</v>
      </c>
      <c r="N66" s="30">
        <f t="shared" si="24"/>
        <v>36</v>
      </c>
      <c r="O66" s="30">
        <f t="shared" si="24"/>
        <v>146</v>
      </c>
      <c r="P66" s="30">
        <f t="shared" si="24"/>
        <v>98</v>
      </c>
      <c r="Q66" s="30">
        <f t="shared" si="24"/>
        <v>79</v>
      </c>
      <c r="R66" s="30">
        <f t="shared" si="24"/>
        <v>82</v>
      </c>
      <c r="S66" s="30">
        <f t="shared" si="24"/>
        <v>62</v>
      </c>
      <c r="T66" s="30">
        <f t="shared" si="24"/>
        <v>59</v>
      </c>
      <c r="U66" s="30">
        <f t="shared" si="24"/>
        <v>0</v>
      </c>
      <c r="V66" s="30">
        <f t="shared" si="24"/>
        <v>90</v>
      </c>
      <c r="W66" s="30">
        <f t="shared" si="24"/>
        <v>117</v>
      </c>
      <c r="X66" s="30">
        <f t="shared" si="24"/>
        <v>108</v>
      </c>
      <c r="Y66" s="30">
        <f t="shared" si="24"/>
        <v>79</v>
      </c>
      <c r="Z66" s="30">
        <f t="shared" si="24"/>
        <v>82</v>
      </c>
      <c r="AA66" s="30">
        <f t="shared" si="24"/>
        <v>38</v>
      </c>
      <c r="AB66" s="30">
        <f t="shared" si="24"/>
        <v>0</v>
      </c>
      <c r="AC66" s="30">
        <f t="shared" si="24"/>
        <v>20</v>
      </c>
      <c r="AD66" s="30">
        <f t="shared" si="24"/>
        <v>93</v>
      </c>
      <c r="AE66" s="30">
        <f t="shared" si="24"/>
        <v>105</v>
      </c>
      <c r="AF66" s="30">
        <f t="shared" si="24"/>
        <v>100</v>
      </c>
      <c r="AG66" s="30">
        <f t="shared" si="24"/>
        <v>72</v>
      </c>
      <c r="AH66" s="30">
        <f t="shared" si="24"/>
        <v>33</v>
      </c>
      <c r="AI66" s="30">
        <f t="shared" si="24"/>
        <v>0</v>
      </c>
      <c r="AJ66" s="30">
        <f t="shared" ref="AJ66:AJ79" si="25">SUM(E66:AI66)</f>
        <v>2702</v>
      </c>
    </row>
    <row r="67" spans="1:40" ht="18.5" customHeight="1">
      <c r="A67" s="2"/>
      <c r="B67" s="2"/>
      <c r="C67" s="505" t="s">
        <v>22</v>
      </c>
      <c r="D67" s="501"/>
      <c r="E67" s="30">
        <f t="shared" ref="E67:AI67" si="26">E25-D25</f>
        <v>17</v>
      </c>
      <c r="F67" s="30">
        <f t="shared" si="26"/>
        <v>2</v>
      </c>
      <c r="G67" s="30">
        <f t="shared" si="26"/>
        <v>0</v>
      </c>
      <c r="H67" s="30">
        <f t="shared" si="26"/>
        <v>0</v>
      </c>
      <c r="I67" s="30">
        <f t="shared" si="26"/>
        <v>0</v>
      </c>
      <c r="J67" s="30">
        <f t="shared" si="26"/>
        <v>0</v>
      </c>
      <c r="K67" s="30">
        <f t="shared" si="26"/>
        <v>0</v>
      </c>
      <c r="L67" s="30">
        <f t="shared" si="26"/>
        <v>0</v>
      </c>
      <c r="M67" s="30">
        <f t="shared" si="26"/>
        <v>0</v>
      </c>
      <c r="N67" s="30">
        <f t="shared" si="26"/>
        <v>0</v>
      </c>
      <c r="O67" s="30">
        <f t="shared" si="26"/>
        <v>0</v>
      </c>
      <c r="P67" s="30">
        <f t="shared" si="26"/>
        <v>0</v>
      </c>
      <c r="Q67" s="30">
        <f t="shared" si="26"/>
        <v>0</v>
      </c>
      <c r="R67" s="30">
        <f t="shared" si="26"/>
        <v>0</v>
      </c>
      <c r="S67" s="30">
        <f t="shared" si="26"/>
        <v>18</v>
      </c>
      <c r="T67" s="30">
        <f t="shared" si="26"/>
        <v>3</v>
      </c>
      <c r="U67" s="30">
        <f t="shared" si="26"/>
        <v>0</v>
      </c>
      <c r="V67" s="30">
        <f t="shared" si="26"/>
        <v>0</v>
      </c>
      <c r="W67" s="30">
        <f t="shared" si="26"/>
        <v>0</v>
      </c>
      <c r="X67" s="30">
        <f t="shared" si="26"/>
        <v>0</v>
      </c>
      <c r="Y67" s="30">
        <f t="shared" si="26"/>
        <v>0</v>
      </c>
      <c r="Z67" s="30">
        <f t="shared" si="26"/>
        <v>0</v>
      </c>
      <c r="AA67" s="30">
        <f t="shared" si="26"/>
        <v>0</v>
      </c>
      <c r="AB67" s="30">
        <f t="shared" si="26"/>
        <v>0</v>
      </c>
      <c r="AC67" s="30">
        <f t="shared" si="26"/>
        <v>0</v>
      </c>
      <c r="AD67" s="30">
        <f t="shared" si="26"/>
        <v>0</v>
      </c>
      <c r="AE67" s="30">
        <f t="shared" si="26"/>
        <v>0</v>
      </c>
      <c r="AF67" s="30">
        <f t="shared" si="26"/>
        <v>0</v>
      </c>
      <c r="AG67" s="30">
        <f t="shared" si="26"/>
        <v>0</v>
      </c>
      <c r="AH67" s="30">
        <f t="shared" si="26"/>
        <v>1</v>
      </c>
      <c r="AI67" s="30">
        <f t="shared" si="26"/>
        <v>0</v>
      </c>
      <c r="AJ67" s="30">
        <f t="shared" si="25"/>
        <v>41</v>
      </c>
    </row>
    <row r="68" spans="1:40">
      <c r="A68" s="2">
        <v>2</v>
      </c>
      <c r="B68" s="2" t="s">
        <v>129</v>
      </c>
      <c r="C68" s="506" t="s">
        <v>120</v>
      </c>
      <c r="D68" s="501"/>
      <c r="E68" s="30">
        <f t="shared" ref="E68:AI68" si="27">E26-D26</f>
        <v>136</v>
      </c>
      <c r="F68" s="30">
        <f t="shared" si="27"/>
        <v>65</v>
      </c>
      <c r="G68" s="30">
        <f t="shared" si="27"/>
        <v>75</v>
      </c>
      <c r="H68" s="30">
        <f t="shared" si="27"/>
        <v>102</v>
      </c>
      <c r="I68" s="30">
        <f t="shared" si="27"/>
        <v>107</v>
      </c>
      <c r="J68" s="30">
        <f t="shared" si="27"/>
        <v>106</v>
      </c>
      <c r="K68" s="30">
        <f t="shared" si="27"/>
        <v>112</v>
      </c>
      <c r="L68" s="30">
        <f t="shared" si="27"/>
        <v>107</v>
      </c>
      <c r="M68" s="30">
        <f t="shared" si="27"/>
        <v>63</v>
      </c>
      <c r="N68" s="30">
        <f t="shared" si="27"/>
        <v>26</v>
      </c>
      <c r="O68" s="30">
        <f t="shared" si="27"/>
        <v>105</v>
      </c>
      <c r="P68" s="30">
        <f t="shared" si="27"/>
        <v>85</v>
      </c>
      <c r="Q68" s="30">
        <f t="shared" si="27"/>
        <v>85</v>
      </c>
      <c r="R68" s="30">
        <f t="shared" si="27"/>
        <v>84</v>
      </c>
      <c r="S68" s="30">
        <f t="shared" si="27"/>
        <v>63</v>
      </c>
      <c r="T68" s="30">
        <f t="shared" si="27"/>
        <v>60</v>
      </c>
      <c r="U68" s="30">
        <f t="shared" si="27"/>
        <v>0</v>
      </c>
      <c r="V68" s="30">
        <f t="shared" si="27"/>
        <v>106</v>
      </c>
      <c r="W68" s="30">
        <f t="shared" si="27"/>
        <v>79</v>
      </c>
      <c r="X68" s="30">
        <f t="shared" si="27"/>
        <v>87</v>
      </c>
      <c r="Y68" s="30">
        <f t="shared" si="27"/>
        <v>79</v>
      </c>
      <c r="Z68" s="30">
        <f t="shared" si="27"/>
        <v>77</v>
      </c>
      <c r="AA68" s="30">
        <f t="shared" si="27"/>
        <v>41</v>
      </c>
      <c r="AB68" s="30">
        <f t="shared" si="27"/>
        <v>0</v>
      </c>
      <c r="AC68" s="30">
        <f t="shared" si="27"/>
        <v>19</v>
      </c>
      <c r="AD68" s="30">
        <f t="shared" si="27"/>
        <v>133</v>
      </c>
      <c r="AE68" s="30">
        <f t="shared" si="27"/>
        <v>81</v>
      </c>
      <c r="AF68" s="30">
        <f t="shared" si="27"/>
        <v>80</v>
      </c>
      <c r="AG68" s="30">
        <f t="shared" si="27"/>
        <v>111</v>
      </c>
      <c r="AH68" s="30">
        <f t="shared" si="27"/>
        <v>-8</v>
      </c>
      <c r="AI68" s="30">
        <f t="shared" si="27"/>
        <v>0</v>
      </c>
      <c r="AJ68" s="30">
        <f t="shared" si="25"/>
        <v>2266</v>
      </c>
    </row>
    <row r="69" spans="1:40" ht="18.5" customHeight="1">
      <c r="A69" s="2"/>
      <c r="B69" s="2"/>
      <c r="C69" s="505" t="s">
        <v>22</v>
      </c>
      <c r="D69" s="501"/>
      <c r="E69" s="30">
        <f t="shared" ref="E69:AI69" si="28">E27-D27</f>
        <v>9</v>
      </c>
      <c r="F69" s="30">
        <f t="shared" si="28"/>
        <v>2</v>
      </c>
      <c r="G69" s="30">
        <f t="shared" si="28"/>
        <v>0</v>
      </c>
      <c r="H69" s="30">
        <f t="shared" si="28"/>
        <v>0</v>
      </c>
      <c r="I69" s="30">
        <f t="shared" si="28"/>
        <v>0</v>
      </c>
      <c r="J69" s="30">
        <f t="shared" si="28"/>
        <v>0</v>
      </c>
      <c r="K69" s="30">
        <f t="shared" si="28"/>
        <v>0</v>
      </c>
      <c r="L69" s="30">
        <f t="shared" si="28"/>
        <v>0</v>
      </c>
      <c r="M69" s="30">
        <f t="shared" si="28"/>
        <v>0</v>
      </c>
      <c r="N69" s="30">
        <f t="shared" si="28"/>
        <v>0</v>
      </c>
      <c r="O69" s="30">
        <f t="shared" si="28"/>
        <v>0</v>
      </c>
      <c r="P69" s="30">
        <f t="shared" si="28"/>
        <v>0</v>
      </c>
      <c r="Q69" s="30">
        <f t="shared" si="28"/>
        <v>0</v>
      </c>
      <c r="R69" s="30">
        <f t="shared" si="28"/>
        <v>0</v>
      </c>
      <c r="S69" s="30">
        <f t="shared" si="28"/>
        <v>18</v>
      </c>
      <c r="T69" s="30">
        <f t="shared" si="28"/>
        <v>3</v>
      </c>
      <c r="U69" s="30">
        <f t="shared" si="28"/>
        <v>0</v>
      </c>
      <c r="V69" s="30">
        <f t="shared" si="28"/>
        <v>0</v>
      </c>
      <c r="W69" s="30">
        <f t="shared" si="28"/>
        <v>0</v>
      </c>
      <c r="X69" s="30">
        <f t="shared" si="28"/>
        <v>0</v>
      </c>
      <c r="Y69" s="30">
        <f t="shared" si="28"/>
        <v>0</v>
      </c>
      <c r="Z69" s="30">
        <f t="shared" si="28"/>
        <v>0</v>
      </c>
      <c r="AA69" s="30">
        <f t="shared" si="28"/>
        <v>0</v>
      </c>
      <c r="AB69" s="30">
        <f t="shared" si="28"/>
        <v>0</v>
      </c>
      <c r="AC69" s="30">
        <f t="shared" si="28"/>
        <v>0</v>
      </c>
      <c r="AD69" s="30">
        <f t="shared" si="28"/>
        <v>0</v>
      </c>
      <c r="AE69" s="30">
        <f t="shared" si="28"/>
        <v>0</v>
      </c>
      <c r="AF69" s="30">
        <f t="shared" si="28"/>
        <v>0</v>
      </c>
      <c r="AG69" s="30">
        <f t="shared" si="28"/>
        <v>0</v>
      </c>
      <c r="AH69" s="30">
        <f t="shared" si="28"/>
        <v>0</v>
      </c>
      <c r="AI69" s="30">
        <f t="shared" si="28"/>
        <v>0</v>
      </c>
      <c r="AJ69" s="30">
        <f t="shared" si="25"/>
        <v>32</v>
      </c>
    </row>
    <row r="70" spans="1:40">
      <c r="A70" s="2">
        <v>3</v>
      </c>
      <c r="B70" s="2" t="s">
        <v>129</v>
      </c>
      <c r="C70" s="506" t="s">
        <v>121</v>
      </c>
      <c r="D70" s="501"/>
      <c r="E70" s="30">
        <f t="shared" ref="E70:AI70" si="29">E28-D28</f>
        <v>113</v>
      </c>
      <c r="F70" s="30">
        <f t="shared" si="29"/>
        <v>50</v>
      </c>
      <c r="G70" s="30">
        <f t="shared" si="29"/>
        <v>57</v>
      </c>
      <c r="H70" s="30">
        <f t="shared" si="29"/>
        <v>79</v>
      </c>
      <c r="I70" s="30">
        <f t="shared" si="29"/>
        <v>82</v>
      </c>
      <c r="J70" s="30">
        <f t="shared" si="29"/>
        <v>80</v>
      </c>
      <c r="K70" s="30">
        <f t="shared" si="29"/>
        <v>87</v>
      </c>
      <c r="L70" s="30">
        <f t="shared" si="29"/>
        <v>77</v>
      </c>
      <c r="M70" s="30">
        <f t="shared" si="29"/>
        <v>61</v>
      </c>
      <c r="N70" s="30">
        <f t="shared" si="29"/>
        <v>18</v>
      </c>
      <c r="O70" s="30">
        <f t="shared" si="29"/>
        <v>84</v>
      </c>
      <c r="P70" s="30">
        <f t="shared" si="29"/>
        <v>65</v>
      </c>
      <c r="Q70" s="30">
        <f t="shared" si="29"/>
        <v>60</v>
      </c>
      <c r="R70" s="30">
        <f t="shared" si="29"/>
        <v>73</v>
      </c>
      <c r="S70" s="30">
        <f t="shared" si="29"/>
        <v>50</v>
      </c>
      <c r="T70" s="30">
        <f t="shared" si="29"/>
        <v>12</v>
      </c>
      <c r="U70" s="30">
        <f t="shared" si="29"/>
        <v>0</v>
      </c>
      <c r="V70" s="30">
        <f t="shared" si="29"/>
        <v>41</v>
      </c>
      <c r="W70" s="30">
        <f t="shared" si="29"/>
        <v>50</v>
      </c>
      <c r="X70" s="30">
        <f t="shared" si="29"/>
        <v>67</v>
      </c>
      <c r="Y70" s="30">
        <f t="shared" si="29"/>
        <v>75</v>
      </c>
      <c r="Z70" s="30">
        <f t="shared" si="29"/>
        <v>44</v>
      </c>
      <c r="AA70" s="30">
        <f t="shared" si="29"/>
        <v>26</v>
      </c>
      <c r="AB70" s="30">
        <f t="shared" si="29"/>
        <v>0</v>
      </c>
      <c r="AC70" s="30">
        <f t="shared" si="29"/>
        <v>9</v>
      </c>
      <c r="AD70" s="30">
        <f t="shared" si="29"/>
        <v>50</v>
      </c>
      <c r="AE70" s="30">
        <f t="shared" si="29"/>
        <v>35</v>
      </c>
      <c r="AF70" s="30">
        <f t="shared" si="29"/>
        <v>71</v>
      </c>
      <c r="AG70" s="30">
        <f t="shared" si="29"/>
        <v>54</v>
      </c>
      <c r="AH70" s="30">
        <f t="shared" si="29"/>
        <v>49</v>
      </c>
      <c r="AI70" s="30">
        <f t="shared" si="29"/>
        <v>0</v>
      </c>
      <c r="AJ70" s="30">
        <f t="shared" si="25"/>
        <v>1619</v>
      </c>
    </row>
    <row r="71" spans="1:40" ht="18.5" customHeight="1">
      <c r="A71" s="2"/>
      <c r="B71" s="2"/>
      <c r="C71" s="505" t="s">
        <v>22</v>
      </c>
      <c r="D71" s="501"/>
      <c r="E71" s="30">
        <f t="shared" ref="E71:AI71" si="30">E29-D29</f>
        <v>6</v>
      </c>
      <c r="F71" s="30">
        <f t="shared" si="30"/>
        <v>1</v>
      </c>
      <c r="G71" s="30">
        <f t="shared" si="30"/>
        <v>0</v>
      </c>
      <c r="H71" s="30">
        <f t="shared" si="30"/>
        <v>0</v>
      </c>
      <c r="I71" s="30">
        <f t="shared" si="30"/>
        <v>0</v>
      </c>
      <c r="J71" s="30">
        <f t="shared" si="30"/>
        <v>0</v>
      </c>
      <c r="K71" s="30">
        <f t="shared" si="30"/>
        <v>0</v>
      </c>
      <c r="L71" s="30">
        <f t="shared" si="30"/>
        <v>0</v>
      </c>
      <c r="M71" s="30">
        <f t="shared" si="30"/>
        <v>0</v>
      </c>
      <c r="N71" s="30">
        <f t="shared" si="30"/>
        <v>0</v>
      </c>
      <c r="O71" s="30">
        <f t="shared" si="30"/>
        <v>0</v>
      </c>
      <c r="P71" s="30">
        <f t="shared" si="30"/>
        <v>0</v>
      </c>
      <c r="Q71" s="30">
        <f t="shared" si="30"/>
        <v>0</v>
      </c>
      <c r="R71" s="30">
        <f t="shared" si="30"/>
        <v>0</v>
      </c>
      <c r="S71" s="30">
        <f t="shared" si="30"/>
        <v>12</v>
      </c>
      <c r="T71" s="30">
        <f t="shared" si="30"/>
        <v>0</v>
      </c>
      <c r="U71" s="30">
        <f t="shared" si="30"/>
        <v>0</v>
      </c>
      <c r="V71" s="30">
        <f t="shared" si="30"/>
        <v>0</v>
      </c>
      <c r="W71" s="30">
        <f t="shared" si="30"/>
        <v>0</v>
      </c>
      <c r="X71" s="30">
        <f t="shared" si="30"/>
        <v>0</v>
      </c>
      <c r="Y71" s="30">
        <f t="shared" si="30"/>
        <v>0</v>
      </c>
      <c r="Z71" s="30">
        <f t="shared" si="30"/>
        <v>0</v>
      </c>
      <c r="AA71" s="30">
        <f t="shared" si="30"/>
        <v>0</v>
      </c>
      <c r="AB71" s="30">
        <f t="shared" si="30"/>
        <v>0</v>
      </c>
      <c r="AC71" s="30">
        <f t="shared" si="30"/>
        <v>0</v>
      </c>
      <c r="AD71" s="30">
        <f t="shared" si="30"/>
        <v>0</v>
      </c>
      <c r="AE71" s="30">
        <f t="shared" si="30"/>
        <v>0</v>
      </c>
      <c r="AF71" s="30">
        <f t="shared" si="30"/>
        <v>0</v>
      </c>
      <c r="AG71" s="30">
        <f t="shared" si="30"/>
        <v>0</v>
      </c>
      <c r="AH71" s="30">
        <f t="shared" si="30"/>
        <v>0</v>
      </c>
      <c r="AI71" s="30">
        <f t="shared" si="30"/>
        <v>0</v>
      </c>
      <c r="AJ71" s="30">
        <f t="shared" si="25"/>
        <v>19</v>
      </c>
    </row>
    <row r="72" spans="1:40">
      <c r="A72" s="2">
        <v>4</v>
      </c>
      <c r="B72" s="2" t="s">
        <v>129</v>
      </c>
      <c r="C72" s="506" t="s">
        <v>122</v>
      </c>
      <c r="D72" s="501"/>
      <c r="E72" s="30">
        <f t="shared" ref="E72:AI72" si="31">E30-D30</f>
        <v>96</v>
      </c>
      <c r="F72" s="30">
        <f t="shared" si="31"/>
        <v>68</v>
      </c>
      <c r="G72" s="30">
        <f t="shared" si="31"/>
        <v>79</v>
      </c>
      <c r="H72" s="30">
        <f t="shared" si="31"/>
        <v>115</v>
      </c>
      <c r="I72" s="30">
        <f t="shared" si="31"/>
        <v>122</v>
      </c>
      <c r="J72" s="30">
        <f t="shared" si="31"/>
        <v>123</v>
      </c>
      <c r="K72" s="30">
        <f t="shared" si="31"/>
        <v>118</v>
      </c>
      <c r="L72" s="30">
        <f t="shared" si="31"/>
        <v>121</v>
      </c>
      <c r="M72" s="30">
        <f t="shared" si="31"/>
        <v>70</v>
      </c>
      <c r="N72" s="30">
        <f t="shared" si="31"/>
        <v>30</v>
      </c>
      <c r="O72" s="30">
        <f t="shared" si="31"/>
        <v>120</v>
      </c>
      <c r="P72" s="30">
        <f t="shared" si="31"/>
        <v>91</v>
      </c>
      <c r="Q72" s="30">
        <f t="shared" si="31"/>
        <v>70</v>
      </c>
      <c r="R72" s="30">
        <f t="shared" si="31"/>
        <v>43</v>
      </c>
      <c r="S72" s="30">
        <f t="shared" si="31"/>
        <v>66</v>
      </c>
      <c r="T72" s="30">
        <f t="shared" si="31"/>
        <v>51</v>
      </c>
      <c r="U72" s="30">
        <f t="shared" si="31"/>
        <v>0</v>
      </c>
      <c r="V72" s="30">
        <f t="shared" si="31"/>
        <v>94</v>
      </c>
      <c r="W72" s="30">
        <f t="shared" si="31"/>
        <v>140</v>
      </c>
      <c r="X72" s="30">
        <f t="shared" si="31"/>
        <v>75</v>
      </c>
      <c r="Y72" s="30">
        <f t="shared" si="31"/>
        <v>72</v>
      </c>
      <c r="Z72" s="30">
        <f t="shared" si="31"/>
        <v>67</v>
      </c>
      <c r="AA72" s="30">
        <f t="shared" si="31"/>
        <v>34</v>
      </c>
      <c r="AB72" s="30">
        <f t="shared" si="31"/>
        <v>0</v>
      </c>
      <c r="AC72" s="30">
        <f t="shared" si="31"/>
        <v>18</v>
      </c>
      <c r="AD72" s="30">
        <f t="shared" si="31"/>
        <v>83</v>
      </c>
      <c r="AE72" s="30">
        <f t="shared" si="31"/>
        <v>97</v>
      </c>
      <c r="AF72" s="30">
        <f t="shared" si="31"/>
        <v>95</v>
      </c>
      <c r="AG72" s="30">
        <f t="shared" si="31"/>
        <v>100</v>
      </c>
      <c r="AH72" s="30">
        <f t="shared" si="31"/>
        <v>0</v>
      </c>
      <c r="AI72" s="30">
        <f t="shared" si="31"/>
        <v>1</v>
      </c>
      <c r="AJ72" s="30">
        <f t="shared" si="25"/>
        <v>2259</v>
      </c>
    </row>
    <row r="73" spans="1:40" ht="18.5" customHeight="1">
      <c r="A73" s="2"/>
      <c r="B73" s="2"/>
      <c r="C73" s="505" t="s">
        <v>22</v>
      </c>
      <c r="D73" s="501"/>
      <c r="E73" s="30">
        <f t="shared" ref="E73:AI73" si="32">E31-D31</f>
        <v>9</v>
      </c>
      <c r="F73" s="30">
        <f t="shared" si="32"/>
        <v>0</v>
      </c>
      <c r="G73" s="30">
        <f t="shared" si="32"/>
        <v>0</v>
      </c>
      <c r="H73" s="30">
        <f t="shared" si="32"/>
        <v>0</v>
      </c>
      <c r="I73" s="30">
        <f t="shared" si="32"/>
        <v>0</v>
      </c>
      <c r="J73" s="30">
        <f t="shared" si="32"/>
        <v>0</v>
      </c>
      <c r="K73" s="30">
        <f t="shared" si="32"/>
        <v>0</v>
      </c>
      <c r="L73" s="30">
        <f t="shared" si="32"/>
        <v>0</v>
      </c>
      <c r="M73" s="30">
        <f t="shared" si="32"/>
        <v>0</v>
      </c>
      <c r="N73" s="30">
        <f t="shared" si="32"/>
        <v>0</v>
      </c>
      <c r="O73" s="30">
        <f t="shared" si="32"/>
        <v>0</v>
      </c>
      <c r="P73" s="30">
        <f t="shared" si="32"/>
        <v>0</v>
      </c>
      <c r="Q73" s="30">
        <f t="shared" si="32"/>
        <v>0</v>
      </c>
      <c r="R73" s="30">
        <f t="shared" si="32"/>
        <v>19</v>
      </c>
      <c r="S73" s="30">
        <f t="shared" si="32"/>
        <v>0</v>
      </c>
      <c r="T73" s="30">
        <f t="shared" si="32"/>
        <v>0</v>
      </c>
      <c r="U73" s="30">
        <f t="shared" si="32"/>
        <v>0</v>
      </c>
      <c r="V73" s="30">
        <f t="shared" si="32"/>
        <v>0</v>
      </c>
      <c r="W73" s="30">
        <f t="shared" si="32"/>
        <v>0</v>
      </c>
      <c r="X73" s="30">
        <f t="shared" si="32"/>
        <v>0</v>
      </c>
      <c r="Y73" s="30">
        <f t="shared" si="32"/>
        <v>0</v>
      </c>
      <c r="Z73" s="30">
        <f t="shared" si="32"/>
        <v>0</v>
      </c>
      <c r="AA73" s="30">
        <f t="shared" si="32"/>
        <v>0</v>
      </c>
      <c r="AB73" s="30">
        <f t="shared" si="32"/>
        <v>0</v>
      </c>
      <c r="AC73" s="30">
        <f t="shared" si="32"/>
        <v>0</v>
      </c>
      <c r="AD73" s="30">
        <f t="shared" si="32"/>
        <v>0</v>
      </c>
      <c r="AE73" s="30">
        <f t="shared" si="32"/>
        <v>0</v>
      </c>
      <c r="AF73" s="30">
        <f t="shared" si="32"/>
        <v>0</v>
      </c>
      <c r="AG73" s="30">
        <f t="shared" si="32"/>
        <v>0</v>
      </c>
      <c r="AH73" s="30">
        <f t="shared" si="32"/>
        <v>0</v>
      </c>
      <c r="AI73" s="30">
        <f t="shared" si="32"/>
        <v>0</v>
      </c>
      <c r="AJ73" s="30">
        <f t="shared" si="25"/>
        <v>28</v>
      </c>
    </row>
    <row r="74" spans="1:40" ht="25.5" customHeight="1">
      <c r="A74" s="22"/>
      <c r="B74" s="22"/>
      <c r="C74" s="500" t="s">
        <v>134</v>
      </c>
      <c r="D74" s="501"/>
      <c r="E74" s="23">
        <f t="shared" ref="E74:AI74" si="33">SUM(E66,E68,E70,E72)</f>
        <v>537</v>
      </c>
      <c r="F74" s="23">
        <f t="shared" si="33"/>
        <v>274</v>
      </c>
      <c r="G74" s="23">
        <f t="shared" si="33"/>
        <v>312</v>
      </c>
      <c r="H74" s="23">
        <f t="shared" si="33"/>
        <v>442</v>
      </c>
      <c r="I74" s="23">
        <f t="shared" si="33"/>
        <v>461</v>
      </c>
      <c r="J74" s="23">
        <f t="shared" si="33"/>
        <v>459</v>
      </c>
      <c r="K74" s="23">
        <f t="shared" si="33"/>
        <v>465</v>
      </c>
      <c r="L74" s="23">
        <f t="shared" si="33"/>
        <v>441</v>
      </c>
      <c r="M74" s="23">
        <f t="shared" si="33"/>
        <v>283</v>
      </c>
      <c r="N74" s="23">
        <f t="shared" si="33"/>
        <v>110</v>
      </c>
      <c r="O74" s="23">
        <f t="shared" si="33"/>
        <v>455</v>
      </c>
      <c r="P74" s="23">
        <f t="shared" si="33"/>
        <v>339</v>
      </c>
      <c r="Q74" s="23">
        <f t="shared" si="33"/>
        <v>294</v>
      </c>
      <c r="R74" s="23">
        <f t="shared" si="33"/>
        <v>282</v>
      </c>
      <c r="S74" s="23">
        <f t="shared" si="33"/>
        <v>241</v>
      </c>
      <c r="T74" s="23">
        <f t="shared" si="33"/>
        <v>182</v>
      </c>
      <c r="U74" s="23">
        <f t="shared" si="33"/>
        <v>0</v>
      </c>
      <c r="V74" s="23">
        <f t="shared" si="33"/>
        <v>331</v>
      </c>
      <c r="W74" s="23">
        <f t="shared" si="33"/>
        <v>386</v>
      </c>
      <c r="X74" s="23">
        <f t="shared" si="33"/>
        <v>337</v>
      </c>
      <c r="Y74" s="23">
        <f t="shared" si="33"/>
        <v>305</v>
      </c>
      <c r="Z74" s="23">
        <f t="shared" si="33"/>
        <v>270</v>
      </c>
      <c r="AA74" s="23">
        <f t="shared" si="33"/>
        <v>139</v>
      </c>
      <c r="AB74" s="23">
        <f t="shared" si="33"/>
        <v>0</v>
      </c>
      <c r="AC74" s="23">
        <f t="shared" si="33"/>
        <v>66</v>
      </c>
      <c r="AD74" s="23">
        <f t="shared" si="33"/>
        <v>359</v>
      </c>
      <c r="AE74" s="23">
        <f t="shared" si="33"/>
        <v>318</v>
      </c>
      <c r="AF74" s="23">
        <f t="shared" si="33"/>
        <v>346</v>
      </c>
      <c r="AG74" s="23">
        <f t="shared" si="33"/>
        <v>337</v>
      </c>
      <c r="AH74" s="23">
        <f t="shared" si="33"/>
        <v>74</v>
      </c>
      <c r="AI74" s="23">
        <f t="shared" si="33"/>
        <v>1</v>
      </c>
      <c r="AJ74" s="24">
        <f t="shared" si="25"/>
        <v>8846</v>
      </c>
      <c r="AK74" s="64"/>
      <c r="AL74" s="64"/>
    </row>
    <row r="75" spans="1:40" ht="25.5" customHeight="1">
      <c r="A75" s="22"/>
      <c r="B75" s="22"/>
      <c r="C75" s="513" t="s">
        <v>135</v>
      </c>
      <c r="D75" s="501"/>
      <c r="E75" s="23">
        <f t="shared" ref="E75:AI75" si="34">SUM(E67,E69,E71,E73)</f>
        <v>41</v>
      </c>
      <c r="F75" s="23">
        <f t="shared" si="34"/>
        <v>5</v>
      </c>
      <c r="G75" s="23">
        <f t="shared" si="34"/>
        <v>0</v>
      </c>
      <c r="H75" s="23">
        <f t="shared" si="34"/>
        <v>0</v>
      </c>
      <c r="I75" s="23">
        <f t="shared" si="34"/>
        <v>0</v>
      </c>
      <c r="J75" s="23">
        <f t="shared" si="34"/>
        <v>0</v>
      </c>
      <c r="K75" s="23">
        <f t="shared" si="34"/>
        <v>0</v>
      </c>
      <c r="L75" s="23">
        <f t="shared" si="34"/>
        <v>0</v>
      </c>
      <c r="M75" s="23">
        <f t="shared" si="34"/>
        <v>0</v>
      </c>
      <c r="N75" s="23">
        <f t="shared" si="34"/>
        <v>0</v>
      </c>
      <c r="O75" s="23">
        <f t="shared" si="34"/>
        <v>0</v>
      </c>
      <c r="P75" s="23">
        <f t="shared" si="34"/>
        <v>0</v>
      </c>
      <c r="Q75" s="23">
        <f t="shared" si="34"/>
        <v>0</v>
      </c>
      <c r="R75" s="23">
        <f t="shared" si="34"/>
        <v>19</v>
      </c>
      <c r="S75" s="23">
        <f t="shared" si="34"/>
        <v>48</v>
      </c>
      <c r="T75" s="23">
        <f t="shared" si="34"/>
        <v>6</v>
      </c>
      <c r="U75" s="23">
        <f t="shared" si="34"/>
        <v>0</v>
      </c>
      <c r="V75" s="23">
        <f t="shared" si="34"/>
        <v>0</v>
      </c>
      <c r="W75" s="23">
        <f t="shared" si="34"/>
        <v>0</v>
      </c>
      <c r="X75" s="23">
        <f t="shared" si="34"/>
        <v>0</v>
      </c>
      <c r="Y75" s="23">
        <f t="shared" si="34"/>
        <v>0</v>
      </c>
      <c r="Z75" s="23">
        <f t="shared" si="34"/>
        <v>0</v>
      </c>
      <c r="AA75" s="23">
        <f t="shared" si="34"/>
        <v>0</v>
      </c>
      <c r="AB75" s="23">
        <f t="shared" si="34"/>
        <v>0</v>
      </c>
      <c r="AC75" s="23">
        <f t="shared" si="34"/>
        <v>0</v>
      </c>
      <c r="AD75" s="23">
        <f t="shared" si="34"/>
        <v>0</v>
      </c>
      <c r="AE75" s="23">
        <f t="shared" si="34"/>
        <v>0</v>
      </c>
      <c r="AF75" s="23">
        <f t="shared" si="34"/>
        <v>0</v>
      </c>
      <c r="AG75" s="23">
        <f t="shared" si="34"/>
        <v>0</v>
      </c>
      <c r="AH75" s="23">
        <f t="shared" si="34"/>
        <v>1</v>
      </c>
      <c r="AI75" s="23">
        <f t="shared" si="34"/>
        <v>0</v>
      </c>
      <c r="AJ75" s="24">
        <f t="shared" si="25"/>
        <v>120</v>
      </c>
      <c r="AK75" s="64"/>
      <c r="AL75" s="64"/>
    </row>
    <row r="76" spans="1:40">
      <c r="A76" s="2">
        <v>1</v>
      </c>
      <c r="B76" s="2" t="s">
        <v>129</v>
      </c>
      <c r="C76" s="503" t="s">
        <v>123</v>
      </c>
      <c r="D76" s="501"/>
      <c r="E76" s="30">
        <f t="shared" ref="E76:AI76" si="35">E33-D33</f>
        <v>820.72000000000025</v>
      </c>
      <c r="F76" s="30">
        <f t="shared" si="35"/>
        <v>327.82999999999993</v>
      </c>
      <c r="G76" s="30">
        <f t="shared" si="35"/>
        <v>392.44000000000051</v>
      </c>
      <c r="H76" s="30">
        <f t="shared" si="35"/>
        <v>611.13999999999942</v>
      </c>
      <c r="I76" s="30">
        <f t="shared" si="35"/>
        <v>413.10000000000036</v>
      </c>
      <c r="J76" s="30">
        <f t="shared" si="35"/>
        <v>601.82999999999993</v>
      </c>
      <c r="K76" s="30">
        <f t="shared" si="35"/>
        <v>592.53000000000065</v>
      </c>
      <c r="L76" s="30">
        <f t="shared" si="35"/>
        <v>830.54999999999927</v>
      </c>
      <c r="M76" s="30">
        <f t="shared" si="35"/>
        <v>413.96000000000095</v>
      </c>
      <c r="N76" s="30">
        <f t="shared" si="35"/>
        <v>0</v>
      </c>
      <c r="O76" s="30">
        <f t="shared" si="35"/>
        <v>423.13999999999942</v>
      </c>
      <c r="P76" s="30">
        <f t="shared" si="35"/>
        <v>539.36999999999898</v>
      </c>
      <c r="Q76" s="30">
        <f t="shared" si="35"/>
        <v>428.60000000000036</v>
      </c>
      <c r="R76" s="30">
        <f t="shared" si="35"/>
        <v>732.80999999999949</v>
      </c>
      <c r="S76" s="30">
        <f t="shared" si="35"/>
        <v>458.27000000000044</v>
      </c>
      <c r="T76" s="30">
        <f t="shared" si="35"/>
        <v>240.38000000000102</v>
      </c>
      <c r="U76" s="30">
        <f t="shared" si="35"/>
        <v>0</v>
      </c>
      <c r="V76" s="30">
        <f t="shared" si="35"/>
        <v>649.59000000000015</v>
      </c>
      <c r="W76" s="30">
        <f t="shared" si="35"/>
        <v>540.67000000000007</v>
      </c>
      <c r="X76" s="30">
        <f t="shared" si="35"/>
        <v>590.58999999999833</v>
      </c>
      <c r="Y76" s="30">
        <f t="shared" si="35"/>
        <v>588.83000000000175</v>
      </c>
      <c r="Z76" s="30">
        <f t="shared" si="35"/>
        <v>549.52000000000044</v>
      </c>
      <c r="AA76" s="30">
        <f t="shared" si="35"/>
        <v>320.46999999999753</v>
      </c>
      <c r="AB76" s="30">
        <f t="shared" si="35"/>
        <v>0</v>
      </c>
      <c r="AC76" s="30">
        <f t="shared" si="35"/>
        <v>146.37000000000262</v>
      </c>
      <c r="AD76" s="30">
        <f t="shared" si="35"/>
        <v>764.21999999999753</v>
      </c>
      <c r="AE76" s="30">
        <f t="shared" si="35"/>
        <v>782.33000000000175</v>
      </c>
      <c r="AF76" s="30">
        <f t="shared" si="35"/>
        <v>831.63000000000102</v>
      </c>
      <c r="AG76" s="30">
        <f t="shared" si="35"/>
        <v>641.5</v>
      </c>
      <c r="AH76" s="30">
        <f t="shared" si="35"/>
        <v>423.60999999999694</v>
      </c>
      <c r="AI76" s="30">
        <f t="shared" si="35"/>
        <v>0</v>
      </c>
      <c r="AJ76" s="30">
        <f t="shared" si="25"/>
        <v>14656</v>
      </c>
    </row>
    <row r="77" spans="1:40">
      <c r="A77" s="2">
        <v>2</v>
      </c>
      <c r="B77" s="2" t="s">
        <v>129</v>
      </c>
      <c r="C77" s="503" t="s">
        <v>124</v>
      </c>
      <c r="D77" s="501"/>
      <c r="E77" s="30">
        <f t="shared" ref="E77:AI77" si="36">E34-D34</f>
        <v>905.97999999999956</v>
      </c>
      <c r="F77" s="30">
        <f t="shared" si="36"/>
        <v>308.86999999999989</v>
      </c>
      <c r="G77" s="30">
        <f t="shared" si="36"/>
        <v>437.88000000000102</v>
      </c>
      <c r="H77" s="30">
        <f t="shared" si="36"/>
        <v>622.84999999999854</v>
      </c>
      <c r="I77" s="30">
        <f t="shared" si="36"/>
        <v>402.4900000000016</v>
      </c>
      <c r="J77" s="30">
        <f t="shared" si="36"/>
        <v>596.30999999999949</v>
      </c>
      <c r="K77" s="30">
        <f t="shared" si="36"/>
        <v>625.95999999999913</v>
      </c>
      <c r="L77" s="30">
        <f t="shared" si="36"/>
        <v>529.05000000000109</v>
      </c>
      <c r="M77" s="30">
        <f t="shared" si="36"/>
        <v>205.59000000000015</v>
      </c>
      <c r="N77" s="30">
        <f t="shared" si="36"/>
        <v>0</v>
      </c>
      <c r="O77" s="30">
        <f t="shared" si="36"/>
        <v>645</v>
      </c>
      <c r="P77" s="30">
        <f t="shared" si="36"/>
        <v>649.75</v>
      </c>
      <c r="Q77" s="30">
        <f t="shared" si="36"/>
        <v>500.14999999999964</v>
      </c>
      <c r="R77" s="30">
        <f t="shared" si="36"/>
        <v>657.53000000000065</v>
      </c>
      <c r="S77" s="30">
        <f t="shared" si="36"/>
        <v>458.10999999999876</v>
      </c>
      <c r="T77" s="30">
        <f t="shared" si="36"/>
        <v>263.84000000000015</v>
      </c>
      <c r="U77" s="30">
        <f t="shared" si="36"/>
        <v>0</v>
      </c>
      <c r="V77" s="30">
        <f t="shared" si="36"/>
        <v>701.11000000000058</v>
      </c>
      <c r="W77" s="30">
        <f t="shared" si="36"/>
        <v>562.85999999999876</v>
      </c>
      <c r="X77" s="30">
        <f t="shared" si="36"/>
        <v>490.40000000000146</v>
      </c>
      <c r="Y77" s="30">
        <f t="shared" si="36"/>
        <v>546.07999999999811</v>
      </c>
      <c r="Z77" s="30">
        <f t="shared" si="36"/>
        <v>559.17000000000189</v>
      </c>
      <c r="AA77" s="30">
        <f t="shared" si="36"/>
        <v>338.72000000000116</v>
      </c>
      <c r="AB77" s="30">
        <f t="shared" si="36"/>
        <v>0</v>
      </c>
      <c r="AC77" s="30">
        <f t="shared" si="36"/>
        <v>197.41999999999825</v>
      </c>
      <c r="AD77" s="30">
        <f t="shared" si="36"/>
        <v>807.58000000000175</v>
      </c>
      <c r="AE77" s="30">
        <f t="shared" si="36"/>
        <v>760.47999999999956</v>
      </c>
      <c r="AF77" s="30">
        <f t="shared" si="36"/>
        <v>640.07999999999811</v>
      </c>
      <c r="AG77" s="30">
        <f t="shared" si="36"/>
        <v>575.17000000000189</v>
      </c>
      <c r="AH77" s="30">
        <f t="shared" si="36"/>
        <v>437.53999999999724</v>
      </c>
      <c r="AI77" s="30">
        <f t="shared" si="36"/>
        <v>0</v>
      </c>
      <c r="AJ77" s="30">
        <f t="shared" si="25"/>
        <v>14425.97</v>
      </c>
    </row>
    <row r="78" spans="1:40">
      <c r="A78" s="2">
        <v>3</v>
      </c>
      <c r="B78" s="2" t="s">
        <v>129</v>
      </c>
      <c r="C78" s="503" t="s">
        <v>125</v>
      </c>
      <c r="D78" s="501"/>
      <c r="E78" s="30">
        <f t="shared" ref="E78:AI78" si="37">E35-D35</f>
        <v>832.85999999999967</v>
      </c>
      <c r="F78" s="30">
        <f t="shared" si="37"/>
        <v>250.09000000000015</v>
      </c>
      <c r="G78" s="30">
        <f t="shared" si="37"/>
        <v>346.18000000000029</v>
      </c>
      <c r="H78" s="30">
        <f t="shared" si="37"/>
        <v>310.69999999999982</v>
      </c>
      <c r="I78" s="30">
        <f t="shared" si="37"/>
        <v>149.55000000000018</v>
      </c>
      <c r="J78" s="30">
        <f t="shared" si="37"/>
        <v>227.25</v>
      </c>
      <c r="K78" s="30">
        <f t="shared" si="37"/>
        <v>428.81999999999971</v>
      </c>
      <c r="L78" s="30">
        <f t="shared" si="37"/>
        <v>481.77000000000044</v>
      </c>
      <c r="M78" s="30">
        <f t="shared" si="37"/>
        <v>116.27999999999975</v>
      </c>
      <c r="N78" s="30">
        <f t="shared" si="37"/>
        <v>0.3999999999996362</v>
      </c>
      <c r="O78" s="30">
        <f t="shared" si="37"/>
        <v>351.5</v>
      </c>
      <c r="P78" s="30">
        <f t="shared" si="37"/>
        <v>407.18000000000029</v>
      </c>
      <c r="Q78" s="30">
        <f t="shared" si="37"/>
        <v>383.3700000000008</v>
      </c>
      <c r="R78" s="30">
        <f t="shared" si="37"/>
        <v>493.06999999999971</v>
      </c>
      <c r="S78" s="30">
        <f t="shared" si="37"/>
        <v>313.40999999999985</v>
      </c>
      <c r="T78" s="30">
        <f t="shared" si="37"/>
        <v>161.3799999999992</v>
      </c>
      <c r="U78" s="30">
        <f t="shared" si="37"/>
        <v>0</v>
      </c>
      <c r="V78" s="30">
        <f t="shared" si="37"/>
        <v>404.06000000000131</v>
      </c>
      <c r="W78" s="30">
        <f t="shared" si="37"/>
        <v>475.72999999999956</v>
      </c>
      <c r="X78" s="30">
        <f t="shared" si="37"/>
        <v>460.31999999999971</v>
      </c>
      <c r="Y78" s="30">
        <f t="shared" si="37"/>
        <v>535.10000000000036</v>
      </c>
      <c r="Z78" s="30">
        <f t="shared" si="37"/>
        <v>450</v>
      </c>
      <c r="AA78" s="30">
        <f t="shared" si="37"/>
        <v>264.77000000000044</v>
      </c>
      <c r="AB78" s="30">
        <f t="shared" si="37"/>
        <v>0</v>
      </c>
      <c r="AC78" s="30">
        <f t="shared" si="37"/>
        <v>163.6299999999992</v>
      </c>
      <c r="AD78" s="30">
        <f t="shared" si="37"/>
        <v>597.82999999999993</v>
      </c>
      <c r="AE78" s="30">
        <f t="shared" si="37"/>
        <v>566.57999999999993</v>
      </c>
      <c r="AF78" s="30">
        <f t="shared" si="37"/>
        <v>673.13999999999942</v>
      </c>
      <c r="AG78" s="30">
        <f t="shared" si="37"/>
        <v>464.68000000000029</v>
      </c>
      <c r="AH78" s="30">
        <f t="shared" si="37"/>
        <v>375.95000000000073</v>
      </c>
      <c r="AI78" s="30">
        <f t="shared" si="37"/>
        <v>0</v>
      </c>
      <c r="AJ78" s="30">
        <f t="shared" si="25"/>
        <v>10685.6</v>
      </c>
    </row>
    <row r="79" spans="1:40">
      <c r="A79" s="2">
        <v>4</v>
      </c>
      <c r="B79" s="2" t="s">
        <v>129</v>
      </c>
      <c r="C79" s="503" t="s">
        <v>126</v>
      </c>
      <c r="D79" s="501"/>
      <c r="E79" s="30">
        <f t="shared" ref="E79:AI79" si="38">E36-D36</f>
        <v>670.97000000000025</v>
      </c>
      <c r="F79" s="30">
        <f t="shared" si="38"/>
        <v>360.03999999999905</v>
      </c>
      <c r="G79" s="30">
        <f t="shared" si="38"/>
        <v>511.94000000000051</v>
      </c>
      <c r="H79" s="30">
        <f t="shared" si="38"/>
        <v>462.82999999999993</v>
      </c>
      <c r="I79" s="30">
        <f t="shared" si="38"/>
        <v>337.89999999999964</v>
      </c>
      <c r="J79" s="30">
        <f t="shared" si="38"/>
        <v>535.28000000000065</v>
      </c>
      <c r="K79" s="30">
        <f t="shared" si="38"/>
        <v>620.13999999999942</v>
      </c>
      <c r="L79" s="30">
        <f t="shared" si="38"/>
        <v>821.88000000000102</v>
      </c>
      <c r="M79" s="30">
        <f t="shared" si="38"/>
        <v>974.72999999999956</v>
      </c>
      <c r="N79" s="30">
        <f t="shared" si="38"/>
        <v>0</v>
      </c>
      <c r="O79" s="30">
        <f t="shared" si="38"/>
        <v>64.790000000000873</v>
      </c>
      <c r="P79" s="30">
        <f t="shared" si="38"/>
        <v>710.40999999999985</v>
      </c>
      <c r="Q79" s="30">
        <f t="shared" si="38"/>
        <v>532.90999999999985</v>
      </c>
      <c r="R79" s="30">
        <f t="shared" si="38"/>
        <v>883.8799999999992</v>
      </c>
      <c r="S79" s="30">
        <f t="shared" si="38"/>
        <v>434.69000000000051</v>
      </c>
      <c r="T79" s="30">
        <f t="shared" si="38"/>
        <v>314</v>
      </c>
      <c r="U79" s="30">
        <f t="shared" si="38"/>
        <v>0</v>
      </c>
      <c r="V79" s="30">
        <f t="shared" si="38"/>
        <v>799.18000000000029</v>
      </c>
      <c r="W79" s="30">
        <f t="shared" si="38"/>
        <v>668.29000000000087</v>
      </c>
      <c r="X79" s="30">
        <f t="shared" si="38"/>
        <v>667.57999999999811</v>
      </c>
      <c r="Y79" s="30">
        <f t="shared" si="38"/>
        <v>708.40000000000146</v>
      </c>
      <c r="Z79" s="30">
        <f t="shared" si="38"/>
        <v>556.52999999999884</v>
      </c>
      <c r="AA79" s="30">
        <f t="shared" si="38"/>
        <v>424.20000000000073</v>
      </c>
      <c r="AB79" s="30">
        <f t="shared" si="38"/>
        <v>0</v>
      </c>
      <c r="AC79" s="30">
        <f t="shared" si="38"/>
        <v>352.15999999999985</v>
      </c>
      <c r="AD79" s="30">
        <f t="shared" si="38"/>
        <v>960.13000000000102</v>
      </c>
      <c r="AE79" s="30">
        <f t="shared" si="38"/>
        <v>955.5199999999968</v>
      </c>
      <c r="AF79" s="30">
        <f t="shared" si="38"/>
        <v>852.08000000000175</v>
      </c>
      <c r="AG79" s="30">
        <f t="shared" si="38"/>
        <v>838.47999999999956</v>
      </c>
      <c r="AH79" s="30">
        <f t="shared" si="38"/>
        <v>615.54999999999927</v>
      </c>
      <c r="AI79" s="30">
        <f t="shared" si="38"/>
        <v>0</v>
      </c>
      <c r="AJ79" s="30">
        <f t="shared" si="25"/>
        <v>16634.489999999998</v>
      </c>
    </row>
    <row r="80" spans="1:40" ht="15" customHeight="1">
      <c r="A80" s="22"/>
      <c r="B80" s="22"/>
      <c r="C80" s="500" t="s">
        <v>136</v>
      </c>
      <c r="D80" s="501"/>
      <c r="E80" s="23">
        <f t="shared" ref="E80:AJ80" si="39">SUM(E76:E79)</f>
        <v>3230.5299999999997</v>
      </c>
      <c r="F80" s="23">
        <f t="shared" si="39"/>
        <v>1246.829999999999</v>
      </c>
      <c r="G80" s="23">
        <f t="shared" si="39"/>
        <v>1688.4400000000023</v>
      </c>
      <c r="H80" s="23">
        <f t="shared" si="39"/>
        <v>2007.5199999999977</v>
      </c>
      <c r="I80" s="23">
        <f t="shared" si="39"/>
        <v>1303.0400000000018</v>
      </c>
      <c r="J80" s="23">
        <f t="shared" si="39"/>
        <v>1960.67</v>
      </c>
      <c r="K80" s="23">
        <f t="shared" si="39"/>
        <v>2267.4499999999989</v>
      </c>
      <c r="L80" s="23">
        <f t="shared" si="39"/>
        <v>2663.2500000000018</v>
      </c>
      <c r="M80" s="23">
        <f t="shared" si="39"/>
        <v>1710.5600000000004</v>
      </c>
      <c r="N80" s="23">
        <f t="shared" si="39"/>
        <v>0.3999999999996362</v>
      </c>
      <c r="O80" s="23">
        <f t="shared" si="39"/>
        <v>1484.4300000000003</v>
      </c>
      <c r="P80" s="23">
        <f t="shared" si="39"/>
        <v>2306.7099999999991</v>
      </c>
      <c r="Q80" s="23">
        <f t="shared" si="39"/>
        <v>1845.0300000000007</v>
      </c>
      <c r="R80" s="23">
        <f t="shared" si="39"/>
        <v>2767.2899999999991</v>
      </c>
      <c r="S80" s="23">
        <f t="shared" si="39"/>
        <v>1664.4799999999996</v>
      </c>
      <c r="T80" s="23">
        <f t="shared" si="39"/>
        <v>979.60000000000036</v>
      </c>
      <c r="U80" s="23">
        <f t="shared" si="39"/>
        <v>0</v>
      </c>
      <c r="V80" s="23">
        <f t="shared" si="39"/>
        <v>2553.9400000000023</v>
      </c>
      <c r="W80" s="23">
        <f t="shared" si="39"/>
        <v>2247.5499999999993</v>
      </c>
      <c r="X80" s="23">
        <f t="shared" si="39"/>
        <v>2208.8899999999976</v>
      </c>
      <c r="Y80" s="23">
        <f t="shared" si="39"/>
        <v>2378.4100000000017</v>
      </c>
      <c r="Z80" s="23">
        <f t="shared" si="39"/>
        <v>2115.2200000000012</v>
      </c>
      <c r="AA80" s="23">
        <f t="shared" si="39"/>
        <v>1348.1599999999999</v>
      </c>
      <c r="AB80" s="23">
        <f t="shared" si="39"/>
        <v>0</v>
      </c>
      <c r="AC80" s="23">
        <f t="shared" si="39"/>
        <v>859.57999999999993</v>
      </c>
      <c r="AD80" s="23">
        <f t="shared" si="39"/>
        <v>3129.76</v>
      </c>
      <c r="AE80" s="23">
        <f t="shared" si="39"/>
        <v>3064.909999999998</v>
      </c>
      <c r="AF80" s="23">
        <f t="shared" si="39"/>
        <v>2996.9300000000003</v>
      </c>
      <c r="AG80" s="23">
        <f t="shared" si="39"/>
        <v>2519.8300000000017</v>
      </c>
      <c r="AH80" s="23">
        <f t="shared" si="39"/>
        <v>1852.6499999999942</v>
      </c>
      <c r="AI80" s="23">
        <f t="shared" si="39"/>
        <v>0</v>
      </c>
      <c r="AJ80" s="24">
        <f t="shared" si="39"/>
        <v>56402.06</v>
      </c>
      <c r="AK80" s="64"/>
    </row>
  </sheetData>
  <mergeCells count="50">
    <mergeCell ref="E2:AI2"/>
    <mergeCell ref="C58:D58"/>
    <mergeCell ref="A2:D2"/>
    <mergeCell ref="B3:B6"/>
    <mergeCell ref="C45:D45"/>
    <mergeCell ref="C74:D74"/>
    <mergeCell ref="C79:D79"/>
    <mergeCell ref="C73:D73"/>
    <mergeCell ref="C47:D47"/>
    <mergeCell ref="C54:D54"/>
    <mergeCell ref="C65:D65"/>
    <mergeCell ref="C63:D63"/>
    <mergeCell ref="C55:D55"/>
    <mergeCell ref="C78:D78"/>
    <mergeCell ref="C49:D49"/>
    <mergeCell ref="C77:D77"/>
    <mergeCell ref="C62:D62"/>
    <mergeCell ref="C68:D68"/>
    <mergeCell ref="A41:A44"/>
    <mergeCell ref="A3:A6"/>
    <mergeCell ref="C75:D75"/>
    <mergeCell ref="AJ3:AJ6"/>
    <mergeCell ref="C50:D50"/>
    <mergeCell ref="B40:D40"/>
    <mergeCell ref="C53:D53"/>
    <mergeCell ref="D3:D6"/>
    <mergeCell ref="C67:D67"/>
    <mergeCell ref="C57:D57"/>
    <mergeCell ref="C3:C6"/>
    <mergeCell ref="C66:D66"/>
    <mergeCell ref="C41:D44"/>
    <mergeCell ref="AJ41:AJ44"/>
    <mergeCell ref="B39:D39"/>
    <mergeCell ref="C69:D69"/>
    <mergeCell ref="C80:D80"/>
    <mergeCell ref="C56:D56"/>
    <mergeCell ref="C59:D59"/>
    <mergeCell ref="A23:AJ23"/>
    <mergeCell ref="A32:AJ32"/>
    <mergeCell ref="C46:D46"/>
    <mergeCell ref="C60:D60"/>
    <mergeCell ref="C51:D51"/>
    <mergeCell ref="C76:D76"/>
    <mergeCell ref="C71:D71"/>
    <mergeCell ref="C61:D61"/>
    <mergeCell ref="C52:D52"/>
    <mergeCell ref="C70:D70"/>
    <mergeCell ref="C48:D48"/>
    <mergeCell ref="B41:B44"/>
    <mergeCell ref="C72:D7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K80"/>
  <sheetViews>
    <sheetView workbookViewId="0">
      <selection activeCell="A22" sqref="A22:AJ22"/>
    </sheetView>
  </sheetViews>
  <sheetFormatPr defaultColWidth="18" defaultRowHeight="14.5"/>
  <cols>
    <col min="1" max="1" width="14" style="70" bestFit="1" customWidth="1"/>
    <col min="2" max="2" width="27" style="70" bestFit="1" customWidth="1"/>
    <col min="3" max="3" width="32" style="89" bestFit="1" customWidth="1"/>
    <col min="4" max="4" width="20" style="110" bestFit="1" customWidth="1"/>
    <col min="5" max="5" width="23" style="70" bestFit="1" customWidth="1"/>
    <col min="6" max="32" width="23" customWidth="1"/>
    <col min="33" max="34" width="23" style="70" bestFit="1" customWidth="1"/>
    <col min="35" max="35" width="18" style="70" bestFit="1" customWidth="1"/>
    <col min="36" max="36" width="14" style="70" customWidth="1"/>
    <col min="37" max="38" width="18" style="70" customWidth="1"/>
    <col min="39" max="16384" width="18" style="70"/>
  </cols>
  <sheetData>
    <row r="2" spans="1:35" ht="16.5" customHeight="1">
      <c r="A2" s="537"/>
      <c r="B2" s="526"/>
      <c r="C2" s="526"/>
      <c r="D2" s="527"/>
      <c r="E2" s="535" t="s">
        <v>137</v>
      </c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7"/>
      <c r="AI2" s="69"/>
    </row>
    <row r="3" spans="1:35" ht="13" customHeight="1">
      <c r="A3" s="533" t="s">
        <v>99</v>
      </c>
      <c r="B3" s="533" t="s">
        <v>100</v>
      </c>
      <c r="C3" s="533" t="s">
        <v>101</v>
      </c>
      <c r="D3" s="536" t="s">
        <v>102</v>
      </c>
      <c r="E3" s="71">
        <v>45383</v>
      </c>
      <c r="F3" s="71">
        <v>45384</v>
      </c>
      <c r="G3" s="71">
        <v>45385</v>
      </c>
      <c r="H3" s="71">
        <v>45386</v>
      </c>
      <c r="I3" s="71">
        <v>45387</v>
      </c>
      <c r="J3" s="71">
        <v>45388</v>
      </c>
      <c r="K3" s="71">
        <v>45389</v>
      </c>
      <c r="L3" s="71">
        <v>45390</v>
      </c>
      <c r="M3" s="71">
        <v>45391</v>
      </c>
      <c r="N3" s="71">
        <v>45392</v>
      </c>
      <c r="O3" s="71">
        <v>45393</v>
      </c>
      <c r="P3" s="71">
        <v>45394</v>
      </c>
      <c r="Q3" s="71">
        <v>45395</v>
      </c>
      <c r="R3" s="71">
        <v>45396</v>
      </c>
      <c r="S3" s="71">
        <v>45397</v>
      </c>
      <c r="T3" s="71">
        <v>45398</v>
      </c>
      <c r="U3" s="71">
        <v>45399</v>
      </c>
      <c r="V3" s="71">
        <v>45400</v>
      </c>
      <c r="W3" s="71">
        <v>45401</v>
      </c>
      <c r="X3" s="71">
        <v>45402</v>
      </c>
      <c r="Y3" s="71">
        <v>45403</v>
      </c>
      <c r="Z3" s="71">
        <v>45404</v>
      </c>
      <c r="AA3" s="71">
        <v>45405</v>
      </c>
      <c r="AB3" s="71">
        <v>45406</v>
      </c>
      <c r="AC3" s="71">
        <v>45407</v>
      </c>
      <c r="AD3" s="71">
        <v>45408</v>
      </c>
      <c r="AE3" s="71">
        <v>45409</v>
      </c>
      <c r="AF3" s="71">
        <v>45410</v>
      </c>
      <c r="AG3" s="71">
        <v>45411</v>
      </c>
      <c r="AH3" s="71">
        <v>45412</v>
      </c>
      <c r="AI3" s="530" t="s">
        <v>1</v>
      </c>
    </row>
    <row r="4" spans="1:35" ht="13" customHeight="1">
      <c r="A4" s="511"/>
      <c r="B4" s="511"/>
      <c r="C4" s="511"/>
      <c r="D4" s="511"/>
      <c r="E4" s="72" t="s">
        <v>106</v>
      </c>
      <c r="F4" s="72" t="s">
        <v>107</v>
      </c>
      <c r="G4" s="72" t="s">
        <v>108</v>
      </c>
      <c r="H4" s="72" t="s">
        <v>109</v>
      </c>
      <c r="I4" s="72" t="s">
        <v>103</v>
      </c>
      <c r="J4" s="72" t="s">
        <v>104</v>
      </c>
      <c r="K4" s="72" t="s">
        <v>105</v>
      </c>
      <c r="L4" s="72" t="s">
        <v>106</v>
      </c>
      <c r="M4" s="72" t="s">
        <v>107</v>
      </c>
      <c r="N4" s="72" t="s">
        <v>108</v>
      </c>
      <c r="O4" s="72" t="s">
        <v>109</v>
      </c>
      <c r="P4" s="72" t="s">
        <v>103</v>
      </c>
      <c r="Q4" s="72" t="s">
        <v>104</v>
      </c>
      <c r="R4" s="72" t="s">
        <v>105</v>
      </c>
      <c r="S4" s="72" t="s">
        <v>106</v>
      </c>
      <c r="T4" s="72" t="s">
        <v>107</v>
      </c>
      <c r="U4" s="72" t="s">
        <v>108</v>
      </c>
      <c r="V4" s="72" t="s">
        <v>109</v>
      </c>
      <c r="W4" s="72" t="s">
        <v>103</v>
      </c>
      <c r="X4" s="72" t="s">
        <v>104</v>
      </c>
      <c r="Y4" s="72" t="s">
        <v>105</v>
      </c>
      <c r="Z4" s="72" t="s">
        <v>106</v>
      </c>
      <c r="AA4" s="72" t="s">
        <v>107</v>
      </c>
      <c r="AB4" s="72" t="s">
        <v>108</v>
      </c>
      <c r="AC4" s="72" t="s">
        <v>109</v>
      </c>
      <c r="AD4" s="72" t="s">
        <v>103</v>
      </c>
      <c r="AE4" s="72" t="s">
        <v>104</v>
      </c>
      <c r="AF4" s="72" t="s">
        <v>105</v>
      </c>
      <c r="AG4" s="72" t="s">
        <v>106</v>
      </c>
      <c r="AH4" s="72" t="s">
        <v>107</v>
      </c>
      <c r="AI4" s="511"/>
    </row>
    <row r="5" spans="1:35" ht="13" customHeight="1">
      <c r="A5" s="511"/>
      <c r="B5" s="511"/>
      <c r="C5" s="511"/>
      <c r="D5" s="511"/>
      <c r="E5" s="72" t="s">
        <v>110</v>
      </c>
      <c r="F5" s="72" t="s">
        <v>110</v>
      </c>
      <c r="G5" s="72" t="s">
        <v>110</v>
      </c>
      <c r="H5" s="72" t="s">
        <v>110</v>
      </c>
      <c r="I5" s="72" t="s">
        <v>110</v>
      </c>
      <c r="J5" s="72" t="s">
        <v>110</v>
      </c>
      <c r="K5" s="72" t="s">
        <v>110</v>
      </c>
      <c r="L5" s="72" t="s">
        <v>110</v>
      </c>
      <c r="M5" s="72" t="s">
        <v>110</v>
      </c>
      <c r="N5" s="72" t="s">
        <v>110</v>
      </c>
      <c r="O5" s="72" t="s">
        <v>110</v>
      </c>
      <c r="P5" s="72" t="s">
        <v>110</v>
      </c>
      <c r="Q5" s="72" t="s">
        <v>110</v>
      </c>
      <c r="R5" s="72" t="s">
        <v>110</v>
      </c>
      <c r="S5" s="72" t="s">
        <v>110</v>
      </c>
      <c r="T5" s="72" t="s">
        <v>110</v>
      </c>
      <c r="U5" s="72" t="s">
        <v>110</v>
      </c>
      <c r="V5" s="72" t="s">
        <v>110</v>
      </c>
      <c r="W5" s="72" t="s">
        <v>110</v>
      </c>
      <c r="X5" s="72" t="s">
        <v>110</v>
      </c>
      <c r="Y5" s="72" t="s">
        <v>110</v>
      </c>
      <c r="Z5" s="72" t="s">
        <v>110</v>
      </c>
      <c r="AA5" s="72" t="s">
        <v>110</v>
      </c>
      <c r="AB5" s="72" t="s">
        <v>110</v>
      </c>
      <c r="AC5" s="72" t="s">
        <v>110</v>
      </c>
      <c r="AD5" s="72" t="s">
        <v>110</v>
      </c>
      <c r="AE5" s="72" t="s">
        <v>110</v>
      </c>
      <c r="AF5" s="72" t="s">
        <v>110</v>
      </c>
      <c r="AG5" s="72" t="s">
        <v>110</v>
      </c>
      <c r="AH5" s="72" t="s">
        <v>110</v>
      </c>
      <c r="AI5" s="511"/>
    </row>
    <row r="6" spans="1:35" ht="13" customHeight="1">
      <c r="A6" s="512"/>
      <c r="B6" s="512"/>
      <c r="C6" s="512"/>
      <c r="D6" s="512"/>
      <c r="E6" s="73">
        <v>0.33333333333333331</v>
      </c>
      <c r="F6" s="73">
        <v>0.33333333333333331</v>
      </c>
      <c r="G6" s="73">
        <v>0.33333333333333331</v>
      </c>
      <c r="H6" s="73">
        <v>0.33333333333333331</v>
      </c>
      <c r="I6" s="73">
        <v>0.33333333333333331</v>
      </c>
      <c r="J6" s="73">
        <v>0.33333333333333331</v>
      </c>
      <c r="K6" s="73">
        <v>0.33333333333333331</v>
      </c>
      <c r="L6" s="73">
        <v>0.33333333333333331</v>
      </c>
      <c r="M6" s="73">
        <v>0.33333333333333331</v>
      </c>
      <c r="N6" s="73">
        <v>0.33333333333333331</v>
      </c>
      <c r="O6" s="73">
        <v>0.33333333333333331</v>
      </c>
      <c r="P6" s="73">
        <v>0.33333333333333331</v>
      </c>
      <c r="Q6" s="73">
        <v>0.33333333333333331</v>
      </c>
      <c r="R6" s="73">
        <v>0.33333333333333331</v>
      </c>
      <c r="S6" s="73">
        <v>0.33333333333333331</v>
      </c>
      <c r="T6" s="73">
        <v>0.33333333333333331</v>
      </c>
      <c r="U6" s="73">
        <v>0.33333333333333331</v>
      </c>
      <c r="V6" s="73">
        <v>0.33333333333333331</v>
      </c>
      <c r="W6" s="73">
        <v>0.33333333333333331</v>
      </c>
      <c r="X6" s="73">
        <v>0.33333333333333331</v>
      </c>
      <c r="Y6" s="73">
        <v>0.33333333333333331</v>
      </c>
      <c r="Z6" s="73">
        <v>0.33333333333333331</v>
      </c>
      <c r="AA6" s="73">
        <v>0.33333333333333331</v>
      </c>
      <c r="AB6" s="73">
        <v>0.33333333333333331</v>
      </c>
      <c r="AC6" s="73">
        <v>0.33333333333333331</v>
      </c>
      <c r="AD6" s="73">
        <v>0.33333333333333331</v>
      </c>
      <c r="AE6" s="73">
        <v>0.33333333333333331</v>
      </c>
      <c r="AF6" s="73">
        <v>0.33333333333333331</v>
      </c>
      <c r="AG6" s="73">
        <v>0.33333333333333331</v>
      </c>
      <c r="AH6" s="73">
        <v>0.33333333333333331</v>
      </c>
      <c r="AI6" s="512"/>
    </row>
    <row r="7" spans="1:35" ht="14.25" customHeight="1">
      <c r="A7" s="2">
        <v>1</v>
      </c>
      <c r="B7" s="2"/>
      <c r="C7" s="2" t="s">
        <v>111</v>
      </c>
      <c r="D7" s="31">
        <f>'Mar-24'!AI7</f>
        <v>13613</v>
      </c>
      <c r="E7" s="4">
        <v>13954</v>
      </c>
      <c r="F7" s="4">
        <v>14192</v>
      </c>
      <c r="G7" s="5">
        <v>14447</v>
      </c>
      <c r="H7" s="5">
        <v>14695</v>
      </c>
      <c r="I7" s="4">
        <v>14934</v>
      </c>
      <c r="J7" s="4">
        <v>15140</v>
      </c>
      <c r="K7" s="4">
        <v>15340</v>
      </c>
      <c r="L7" s="4">
        <v>15616</v>
      </c>
      <c r="M7" s="6">
        <v>15857</v>
      </c>
      <c r="N7" s="4">
        <v>16102</v>
      </c>
      <c r="O7" s="4">
        <v>16352</v>
      </c>
      <c r="P7" s="4">
        <v>16577</v>
      </c>
      <c r="Q7" s="6">
        <v>16833</v>
      </c>
      <c r="R7" s="4">
        <v>17031</v>
      </c>
      <c r="S7" s="4">
        <v>17277</v>
      </c>
      <c r="T7" s="4">
        <v>17515</v>
      </c>
      <c r="U7" s="4">
        <v>17761</v>
      </c>
      <c r="V7" s="6">
        <v>18010</v>
      </c>
      <c r="W7" s="4">
        <v>18263</v>
      </c>
      <c r="X7" s="4">
        <v>18443</v>
      </c>
      <c r="Y7" s="4">
        <v>18647</v>
      </c>
      <c r="Z7" s="4">
        <v>18895</v>
      </c>
      <c r="AA7" s="4">
        <v>19148</v>
      </c>
      <c r="AB7" s="4">
        <v>19397</v>
      </c>
      <c r="AC7" s="4">
        <v>19626</v>
      </c>
      <c r="AD7" s="4">
        <v>19862</v>
      </c>
      <c r="AE7" s="4">
        <v>20081</v>
      </c>
      <c r="AF7" s="4">
        <v>20271</v>
      </c>
      <c r="AG7" s="4">
        <v>20513</v>
      </c>
      <c r="AH7" s="44">
        <v>20652</v>
      </c>
      <c r="AI7" s="7">
        <f t="shared" ref="AI7:AI22" si="0">AH7-D7</f>
        <v>7039</v>
      </c>
    </row>
    <row r="8" spans="1:35" ht="14.25" customHeight="1">
      <c r="A8" s="2"/>
      <c r="B8" s="2"/>
      <c r="C8" s="79" t="s">
        <v>22</v>
      </c>
      <c r="D8" s="31">
        <f>'Mar-24'!AI8</f>
        <v>278</v>
      </c>
      <c r="E8" s="4">
        <v>278</v>
      </c>
      <c r="F8" s="4">
        <v>278</v>
      </c>
      <c r="G8" s="5">
        <v>284</v>
      </c>
      <c r="H8" s="5">
        <v>284</v>
      </c>
      <c r="I8" s="5">
        <v>284</v>
      </c>
      <c r="J8" s="5">
        <v>284</v>
      </c>
      <c r="K8" s="5">
        <v>284</v>
      </c>
      <c r="L8" s="5">
        <v>284</v>
      </c>
      <c r="M8" s="6">
        <v>286</v>
      </c>
      <c r="N8" s="4">
        <v>296</v>
      </c>
      <c r="O8" s="4">
        <v>296</v>
      </c>
      <c r="P8" s="4">
        <v>296</v>
      </c>
      <c r="Q8" s="4">
        <v>296</v>
      </c>
      <c r="R8" s="4">
        <v>301</v>
      </c>
      <c r="S8" s="4">
        <v>304</v>
      </c>
      <c r="T8" s="4">
        <v>304</v>
      </c>
      <c r="U8" s="4">
        <v>304</v>
      </c>
      <c r="V8" s="4">
        <v>304</v>
      </c>
      <c r="W8" s="4">
        <v>304</v>
      </c>
      <c r="X8" s="4">
        <v>304</v>
      </c>
      <c r="Y8" s="4">
        <v>304</v>
      </c>
      <c r="Z8" s="4">
        <v>304</v>
      </c>
      <c r="AA8" s="4">
        <v>306</v>
      </c>
      <c r="AB8" s="4">
        <v>306</v>
      </c>
      <c r="AC8" s="4">
        <v>308</v>
      </c>
      <c r="AD8" s="4">
        <v>319</v>
      </c>
      <c r="AE8" s="4">
        <v>323</v>
      </c>
      <c r="AF8" s="4">
        <v>323</v>
      </c>
      <c r="AG8" s="4">
        <v>323</v>
      </c>
      <c r="AH8" s="44">
        <v>328</v>
      </c>
      <c r="AI8" s="7">
        <f t="shared" si="0"/>
        <v>50</v>
      </c>
    </row>
    <row r="9" spans="1:35" ht="14.25" customHeight="1">
      <c r="A9" s="2">
        <v>2</v>
      </c>
      <c r="B9" s="2"/>
      <c r="C9" s="2" t="s">
        <v>112</v>
      </c>
      <c r="D9" s="31">
        <f>'Mar-24'!AI9</f>
        <v>1956</v>
      </c>
      <c r="E9" s="4">
        <v>1956</v>
      </c>
      <c r="F9" s="4">
        <v>1956</v>
      </c>
      <c r="G9" s="4">
        <v>1956</v>
      </c>
      <c r="H9" s="4">
        <v>1956</v>
      </c>
      <c r="I9" s="4">
        <v>1956</v>
      </c>
      <c r="J9" s="4">
        <v>1956</v>
      </c>
      <c r="K9" s="4">
        <v>1956</v>
      </c>
      <c r="L9" s="4">
        <v>1956</v>
      </c>
      <c r="M9" s="4">
        <v>1956</v>
      </c>
      <c r="N9" s="4">
        <v>1956</v>
      </c>
      <c r="O9" s="4">
        <v>1956</v>
      </c>
      <c r="P9" s="4">
        <v>1956</v>
      </c>
      <c r="Q9" s="4">
        <v>1956</v>
      </c>
      <c r="R9" s="4">
        <v>1956</v>
      </c>
      <c r="S9" s="4">
        <v>1956</v>
      </c>
      <c r="T9" s="4">
        <v>1956</v>
      </c>
      <c r="U9" s="4">
        <v>1956</v>
      </c>
      <c r="V9" s="4">
        <v>1956</v>
      </c>
      <c r="W9" s="4">
        <v>1956</v>
      </c>
      <c r="X9" s="4">
        <v>1956</v>
      </c>
      <c r="Y9" s="4">
        <v>1956</v>
      </c>
      <c r="Z9" s="4">
        <v>1956</v>
      </c>
      <c r="AA9" s="4">
        <v>1956</v>
      </c>
      <c r="AB9" s="4">
        <v>1956</v>
      </c>
      <c r="AC9" s="4">
        <v>1956</v>
      </c>
      <c r="AD9" s="4">
        <v>1956</v>
      </c>
      <c r="AE9" s="4">
        <v>1956</v>
      </c>
      <c r="AF9" s="4">
        <v>1956</v>
      </c>
      <c r="AG9" s="4">
        <v>1956</v>
      </c>
      <c r="AH9" s="4">
        <v>1956</v>
      </c>
      <c r="AI9" s="7">
        <f t="shared" si="0"/>
        <v>0</v>
      </c>
    </row>
    <row r="10" spans="1:35" ht="14.25" customHeight="1">
      <c r="A10" s="2"/>
      <c r="B10" s="2"/>
      <c r="C10" s="79" t="s">
        <v>22</v>
      </c>
      <c r="D10" s="31">
        <f>'Mar-24'!AI10</f>
        <v>28</v>
      </c>
      <c r="E10" s="4">
        <v>28</v>
      </c>
      <c r="F10" s="4">
        <v>28</v>
      </c>
      <c r="G10" s="4">
        <v>28</v>
      </c>
      <c r="H10" s="4">
        <v>28</v>
      </c>
      <c r="I10" s="4">
        <v>28</v>
      </c>
      <c r="J10" s="4">
        <v>28</v>
      </c>
      <c r="K10" s="4">
        <v>28</v>
      </c>
      <c r="L10" s="4">
        <v>28</v>
      </c>
      <c r="M10" s="4">
        <v>28</v>
      </c>
      <c r="N10" s="4">
        <v>28</v>
      </c>
      <c r="O10" s="4">
        <v>28</v>
      </c>
      <c r="P10" s="4">
        <v>28</v>
      </c>
      <c r="Q10" s="4">
        <v>28</v>
      </c>
      <c r="R10" s="4">
        <v>28</v>
      </c>
      <c r="S10" s="4">
        <v>28</v>
      </c>
      <c r="T10" s="4">
        <v>28</v>
      </c>
      <c r="U10" s="4">
        <v>28</v>
      </c>
      <c r="V10" s="4">
        <v>28</v>
      </c>
      <c r="W10" s="4">
        <v>28</v>
      </c>
      <c r="X10" s="4">
        <v>28</v>
      </c>
      <c r="Y10" s="4">
        <v>28</v>
      </c>
      <c r="Z10" s="4">
        <v>28</v>
      </c>
      <c r="AA10" s="4">
        <v>28</v>
      </c>
      <c r="AB10" s="4">
        <v>28</v>
      </c>
      <c r="AC10" s="4">
        <v>28</v>
      </c>
      <c r="AD10" s="4">
        <v>28</v>
      </c>
      <c r="AE10" s="4">
        <v>28</v>
      </c>
      <c r="AF10" s="4">
        <v>28</v>
      </c>
      <c r="AG10" s="4">
        <v>28</v>
      </c>
      <c r="AH10" s="4">
        <v>28</v>
      </c>
      <c r="AI10" s="7">
        <f t="shared" si="0"/>
        <v>0</v>
      </c>
    </row>
    <row r="11" spans="1:35" ht="14.25" customHeight="1">
      <c r="A11" s="2">
        <v>3</v>
      </c>
      <c r="B11" s="2"/>
      <c r="C11" s="2" t="s">
        <v>113</v>
      </c>
      <c r="D11" s="31">
        <f>'Mar-24'!AI11</f>
        <v>26440</v>
      </c>
      <c r="E11" s="4">
        <v>26903</v>
      </c>
      <c r="F11" s="4">
        <v>27234</v>
      </c>
      <c r="G11" s="4">
        <v>27600</v>
      </c>
      <c r="H11" s="4">
        <v>27954</v>
      </c>
      <c r="I11" s="4">
        <v>28285</v>
      </c>
      <c r="J11" s="4">
        <v>28564</v>
      </c>
      <c r="K11" s="4">
        <v>28848</v>
      </c>
      <c r="L11" s="4">
        <v>29211</v>
      </c>
      <c r="M11" s="4">
        <v>29553</v>
      </c>
      <c r="N11" s="4">
        <v>29896</v>
      </c>
      <c r="O11" s="4">
        <v>30245</v>
      </c>
      <c r="P11" s="4">
        <v>30561</v>
      </c>
      <c r="Q11" s="4">
        <v>30813</v>
      </c>
      <c r="R11" s="4">
        <v>31065</v>
      </c>
      <c r="S11" s="4">
        <v>31409</v>
      </c>
      <c r="T11" s="4">
        <v>31746</v>
      </c>
      <c r="U11" s="4">
        <v>32095</v>
      </c>
      <c r="V11" s="4">
        <v>32436</v>
      </c>
      <c r="W11" s="4">
        <v>32782</v>
      </c>
      <c r="X11" s="4">
        <v>33017</v>
      </c>
      <c r="Y11" s="4">
        <v>33274</v>
      </c>
      <c r="Z11" s="4">
        <v>33623</v>
      </c>
      <c r="AA11" s="4">
        <v>33981</v>
      </c>
      <c r="AB11" s="4">
        <v>34335</v>
      </c>
      <c r="AC11" s="4">
        <v>34646</v>
      </c>
      <c r="AD11" s="4">
        <v>34977</v>
      </c>
      <c r="AE11" s="8">
        <v>35264</v>
      </c>
      <c r="AF11" s="8">
        <v>35509</v>
      </c>
      <c r="AG11" s="8">
        <v>35851</v>
      </c>
      <c r="AH11" s="44">
        <v>36049</v>
      </c>
      <c r="AI11" s="7">
        <f t="shared" si="0"/>
        <v>9609</v>
      </c>
    </row>
    <row r="12" spans="1:35" ht="14.25" customHeight="1">
      <c r="A12" s="2"/>
      <c r="B12" s="2"/>
      <c r="C12" s="79" t="s">
        <v>22</v>
      </c>
      <c r="D12" s="31">
        <f>'Mar-24'!AI12</f>
        <v>517</v>
      </c>
      <c r="E12" s="4">
        <v>517</v>
      </c>
      <c r="F12" s="4">
        <v>517</v>
      </c>
      <c r="G12" s="4">
        <v>526</v>
      </c>
      <c r="H12" s="4">
        <v>526</v>
      </c>
      <c r="I12" s="4">
        <v>526</v>
      </c>
      <c r="J12" s="4">
        <v>526</v>
      </c>
      <c r="K12" s="4">
        <v>526</v>
      </c>
      <c r="L12" s="4">
        <v>526</v>
      </c>
      <c r="M12" s="4">
        <v>528</v>
      </c>
      <c r="N12" s="4">
        <v>544</v>
      </c>
      <c r="O12" s="4">
        <v>544</v>
      </c>
      <c r="P12" s="4">
        <v>544</v>
      </c>
      <c r="Q12" s="4">
        <v>544</v>
      </c>
      <c r="R12" s="4">
        <v>550</v>
      </c>
      <c r="S12" s="4">
        <v>555</v>
      </c>
      <c r="T12" s="4">
        <v>555</v>
      </c>
      <c r="U12" s="4">
        <v>555</v>
      </c>
      <c r="V12" s="4">
        <v>555</v>
      </c>
      <c r="W12" s="4">
        <v>555</v>
      </c>
      <c r="X12" s="4">
        <v>555</v>
      </c>
      <c r="Y12" s="4">
        <v>555</v>
      </c>
      <c r="Z12" s="4">
        <v>555</v>
      </c>
      <c r="AA12" s="4">
        <v>557</v>
      </c>
      <c r="AB12" s="4">
        <v>557</v>
      </c>
      <c r="AC12" s="4">
        <v>560</v>
      </c>
      <c r="AD12" s="4">
        <v>576</v>
      </c>
      <c r="AE12" s="8">
        <v>581</v>
      </c>
      <c r="AF12" s="8">
        <v>581</v>
      </c>
      <c r="AG12" s="8">
        <v>581</v>
      </c>
      <c r="AH12" s="44">
        <v>588</v>
      </c>
      <c r="AI12" s="7">
        <f t="shared" si="0"/>
        <v>71</v>
      </c>
    </row>
    <row r="13" spans="1:35" ht="14.25" customHeight="1">
      <c r="A13" s="2">
        <v>4</v>
      </c>
      <c r="B13" s="2"/>
      <c r="C13" s="2" t="s">
        <v>114</v>
      </c>
      <c r="D13" s="31">
        <f>'Mar-24'!AI13</f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7">
        <f t="shared" si="0"/>
        <v>0</v>
      </c>
    </row>
    <row r="14" spans="1:35" ht="14.25" customHeight="1">
      <c r="A14" s="2"/>
      <c r="B14" s="2"/>
      <c r="C14" s="79" t="s">
        <v>22</v>
      </c>
      <c r="D14" s="31">
        <f>'Mar-24'!AI14</f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7">
        <f t="shared" si="0"/>
        <v>0</v>
      </c>
    </row>
    <row r="15" spans="1:35" ht="14.25" customHeight="1">
      <c r="A15" s="2">
        <v>5</v>
      </c>
      <c r="B15" s="2"/>
      <c r="C15" s="2" t="s">
        <v>115</v>
      </c>
      <c r="D15" s="31">
        <f>'Mar-24'!AI15</f>
        <v>7150</v>
      </c>
      <c r="E15" s="4">
        <v>7390</v>
      </c>
      <c r="F15" s="4">
        <v>7565</v>
      </c>
      <c r="G15" s="5">
        <v>7733</v>
      </c>
      <c r="H15" s="5">
        <v>7902</v>
      </c>
      <c r="I15" s="4">
        <v>8061</v>
      </c>
      <c r="J15" s="4">
        <v>8178</v>
      </c>
      <c r="K15" s="4">
        <v>8290</v>
      </c>
      <c r="L15" s="4">
        <v>8458</v>
      </c>
      <c r="M15" s="4">
        <v>8615</v>
      </c>
      <c r="N15" s="4">
        <v>8778</v>
      </c>
      <c r="O15" s="4">
        <v>8941</v>
      </c>
      <c r="P15" s="4">
        <v>9098</v>
      </c>
      <c r="Q15" s="4">
        <v>9203</v>
      </c>
      <c r="R15" s="4">
        <v>9314</v>
      </c>
      <c r="S15" s="4">
        <v>9484</v>
      </c>
      <c r="T15" s="4">
        <v>9651</v>
      </c>
      <c r="U15" s="4">
        <v>9822</v>
      </c>
      <c r="V15" s="4">
        <v>9981</v>
      </c>
      <c r="W15" s="4">
        <v>10131</v>
      </c>
      <c r="X15" s="4">
        <v>10221</v>
      </c>
      <c r="Y15" s="33">
        <v>10330</v>
      </c>
      <c r="Z15" s="4">
        <v>10496</v>
      </c>
      <c r="AA15" s="4">
        <v>10645</v>
      </c>
      <c r="AB15" s="4">
        <v>10818</v>
      </c>
      <c r="AC15" s="4">
        <v>10970</v>
      </c>
      <c r="AD15" s="4">
        <v>11120</v>
      </c>
      <c r="AE15" s="8">
        <v>11234</v>
      </c>
      <c r="AF15" s="8">
        <v>11348</v>
      </c>
      <c r="AG15" s="8">
        <v>11505</v>
      </c>
      <c r="AH15" s="44">
        <v>11588</v>
      </c>
      <c r="AI15" s="7">
        <f t="shared" si="0"/>
        <v>4438</v>
      </c>
    </row>
    <row r="16" spans="1:35" ht="14.25" customHeight="1">
      <c r="A16" s="2"/>
      <c r="B16" s="2"/>
      <c r="C16" s="79" t="s">
        <v>22</v>
      </c>
      <c r="D16" s="31">
        <f>'Mar-24'!AI16</f>
        <v>159</v>
      </c>
      <c r="E16" s="4">
        <v>159</v>
      </c>
      <c r="F16" s="4">
        <v>159</v>
      </c>
      <c r="G16" s="5">
        <v>163</v>
      </c>
      <c r="H16" s="5">
        <v>163</v>
      </c>
      <c r="I16" s="5">
        <v>163</v>
      </c>
      <c r="J16" s="5">
        <v>163</v>
      </c>
      <c r="K16" s="5">
        <v>163</v>
      </c>
      <c r="L16" s="5">
        <v>163</v>
      </c>
      <c r="M16" s="4">
        <v>164</v>
      </c>
      <c r="N16" s="4">
        <v>174</v>
      </c>
      <c r="O16" s="4">
        <v>174</v>
      </c>
      <c r="P16" s="4">
        <v>174</v>
      </c>
      <c r="Q16" s="4">
        <v>174</v>
      </c>
      <c r="R16" s="4">
        <v>177</v>
      </c>
      <c r="S16" s="4">
        <v>180</v>
      </c>
      <c r="T16" s="4">
        <v>180</v>
      </c>
      <c r="U16" s="4">
        <v>180</v>
      </c>
      <c r="V16" s="4">
        <v>180</v>
      </c>
      <c r="W16" s="4">
        <v>180</v>
      </c>
      <c r="X16" s="4">
        <v>180</v>
      </c>
      <c r="Y16" s="4">
        <v>180</v>
      </c>
      <c r="Z16" s="4">
        <v>180</v>
      </c>
      <c r="AA16" s="4">
        <v>181</v>
      </c>
      <c r="AB16" s="4">
        <v>181</v>
      </c>
      <c r="AC16" s="4">
        <v>183</v>
      </c>
      <c r="AD16" s="4">
        <v>191</v>
      </c>
      <c r="AE16" s="8">
        <v>193</v>
      </c>
      <c r="AF16" s="8">
        <v>193</v>
      </c>
      <c r="AG16" s="8">
        <v>193</v>
      </c>
      <c r="AH16" s="44">
        <v>196</v>
      </c>
      <c r="AI16" s="7">
        <f t="shared" si="0"/>
        <v>37</v>
      </c>
    </row>
    <row r="17" spans="1:35" ht="14.25" customHeight="1">
      <c r="A17" s="2">
        <v>6</v>
      </c>
      <c r="B17" s="2"/>
      <c r="C17" s="2" t="s">
        <v>116</v>
      </c>
      <c r="D17" s="31">
        <f>'Mar-24'!AI17</f>
        <v>13012</v>
      </c>
      <c r="E17" s="4">
        <v>13245</v>
      </c>
      <c r="F17" s="4">
        <v>13458</v>
      </c>
      <c r="G17" s="4">
        <v>13668</v>
      </c>
      <c r="H17" s="4">
        <v>13921</v>
      </c>
      <c r="I17" s="4">
        <v>14166</v>
      </c>
      <c r="J17" s="4">
        <v>14326</v>
      </c>
      <c r="K17" s="4">
        <v>14459</v>
      </c>
      <c r="L17" s="4">
        <v>14714</v>
      </c>
      <c r="M17" s="4">
        <v>14957</v>
      </c>
      <c r="N17" s="4">
        <v>15185</v>
      </c>
      <c r="O17" s="4">
        <v>15437</v>
      </c>
      <c r="P17" s="4">
        <v>15699</v>
      </c>
      <c r="Q17" s="4">
        <v>15835</v>
      </c>
      <c r="R17" s="4">
        <v>15970</v>
      </c>
      <c r="S17" s="4">
        <v>16209</v>
      </c>
      <c r="T17" s="4">
        <v>16435</v>
      </c>
      <c r="U17" s="4">
        <v>16658</v>
      </c>
      <c r="V17" s="4">
        <v>16892</v>
      </c>
      <c r="W17" s="4">
        <v>17148</v>
      </c>
      <c r="X17" s="4">
        <v>17274</v>
      </c>
      <c r="Y17" s="4">
        <v>17415</v>
      </c>
      <c r="Z17" s="4">
        <v>17674</v>
      </c>
      <c r="AA17" s="4">
        <v>17939</v>
      </c>
      <c r="AB17" s="4">
        <v>18217</v>
      </c>
      <c r="AC17" s="4">
        <v>18491</v>
      </c>
      <c r="AD17" s="4">
        <v>18754</v>
      </c>
      <c r="AE17" s="4">
        <v>18932</v>
      </c>
      <c r="AF17" s="8">
        <v>19098</v>
      </c>
      <c r="AG17" s="4">
        <v>19384</v>
      </c>
      <c r="AH17" s="44">
        <v>19531</v>
      </c>
      <c r="AI17" s="7">
        <f t="shared" si="0"/>
        <v>6519</v>
      </c>
    </row>
    <row r="18" spans="1:35" ht="14.25" customHeight="1">
      <c r="A18" s="2"/>
      <c r="B18" s="2"/>
      <c r="C18" s="79" t="s">
        <v>22</v>
      </c>
      <c r="D18" s="31">
        <f>'Mar-24'!AI18</f>
        <v>300</v>
      </c>
      <c r="E18" s="4">
        <v>300</v>
      </c>
      <c r="F18" s="4">
        <v>300</v>
      </c>
      <c r="G18" s="4">
        <v>305</v>
      </c>
      <c r="H18" s="4">
        <v>305</v>
      </c>
      <c r="I18" s="4">
        <v>305</v>
      </c>
      <c r="J18" s="4">
        <v>305</v>
      </c>
      <c r="K18" s="4">
        <v>305</v>
      </c>
      <c r="L18" s="4">
        <v>305</v>
      </c>
      <c r="M18" s="4">
        <v>305</v>
      </c>
      <c r="N18" s="4">
        <v>321</v>
      </c>
      <c r="O18" s="4">
        <v>321</v>
      </c>
      <c r="P18" s="4">
        <v>321</v>
      </c>
      <c r="Q18" s="4">
        <v>321</v>
      </c>
      <c r="R18" s="4">
        <v>326</v>
      </c>
      <c r="S18" s="4">
        <v>329</v>
      </c>
      <c r="T18" s="4">
        <v>329</v>
      </c>
      <c r="U18" s="4">
        <v>329</v>
      </c>
      <c r="V18" s="4">
        <v>329</v>
      </c>
      <c r="W18" s="4">
        <v>329</v>
      </c>
      <c r="X18" s="4">
        <v>329</v>
      </c>
      <c r="Y18" s="4">
        <v>329</v>
      </c>
      <c r="Z18" s="4">
        <v>329</v>
      </c>
      <c r="AA18" s="4">
        <v>331</v>
      </c>
      <c r="AB18" s="33">
        <v>331</v>
      </c>
      <c r="AC18" s="4">
        <v>332</v>
      </c>
      <c r="AD18" s="4">
        <v>345</v>
      </c>
      <c r="AE18" s="8">
        <v>347</v>
      </c>
      <c r="AF18" s="8">
        <v>347</v>
      </c>
      <c r="AG18" s="8">
        <v>347</v>
      </c>
      <c r="AH18" s="44">
        <v>353</v>
      </c>
      <c r="AI18" s="7">
        <f t="shared" si="0"/>
        <v>53</v>
      </c>
    </row>
    <row r="19" spans="1:35" ht="14.25" customHeight="1">
      <c r="A19" s="2">
        <v>7</v>
      </c>
      <c r="B19" s="2"/>
      <c r="C19" s="2" t="s">
        <v>117</v>
      </c>
      <c r="D19" s="31">
        <f>'Mar-24'!AI19</f>
        <v>53008</v>
      </c>
      <c r="E19" s="4">
        <v>54181</v>
      </c>
      <c r="F19" s="4">
        <v>54950</v>
      </c>
      <c r="G19" s="5">
        <v>55754</v>
      </c>
      <c r="H19" s="5">
        <v>56487</v>
      </c>
      <c r="I19" s="4">
        <v>57283</v>
      </c>
      <c r="J19" s="4">
        <v>57971</v>
      </c>
      <c r="K19" s="4">
        <v>58639</v>
      </c>
      <c r="L19" s="4">
        <v>59399</v>
      </c>
      <c r="M19" s="4">
        <v>60160</v>
      </c>
      <c r="N19" s="4">
        <v>60923</v>
      </c>
      <c r="O19" s="4">
        <v>61715</v>
      </c>
      <c r="P19" s="4">
        <v>62483</v>
      </c>
      <c r="Q19" s="4">
        <v>63168</v>
      </c>
      <c r="R19" s="5">
        <v>63819</v>
      </c>
      <c r="S19" s="4">
        <v>64541</v>
      </c>
      <c r="T19" s="4">
        <v>65298</v>
      </c>
      <c r="U19" s="4">
        <v>66081</v>
      </c>
      <c r="V19" s="4">
        <v>66869</v>
      </c>
      <c r="W19" s="5">
        <v>67698</v>
      </c>
      <c r="X19" s="4">
        <v>68306</v>
      </c>
      <c r="Y19" s="4">
        <v>68961</v>
      </c>
      <c r="Z19" s="4">
        <v>69739</v>
      </c>
      <c r="AA19" s="4">
        <v>70532</v>
      </c>
      <c r="AB19" s="33">
        <v>71312</v>
      </c>
      <c r="AC19" s="4">
        <v>72055</v>
      </c>
      <c r="AD19" s="4">
        <v>72822</v>
      </c>
      <c r="AE19" s="8">
        <v>73539</v>
      </c>
      <c r="AF19" s="8">
        <v>74244</v>
      </c>
      <c r="AG19" s="8">
        <v>74950</v>
      </c>
      <c r="AH19" s="44">
        <v>75336</v>
      </c>
      <c r="AI19" s="7">
        <f t="shared" si="0"/>
        <v>22328</v>
      </c>
    </row>
    <row r="20" spans="1:35" ht="14.25" customHeight="1">
      <c r="A20" s="2"/>
      <c r="B20" s="2"/>
      <c r="C20" s="79" t="s">
        <v>22</v>
      </c>
      <c r="D20" s="31">
        <f>'Mar-24'!AI20</f>
        <v>1088</v>
      </c>
      <c r="E20" s="31">
        <v>1088</v>
      </c>
      <c r="F20" s="31">
        <v>1088</v>
      </c>
      <c r="G20" s="5">
        <v>1101</v>
      </c>
      <c r="H20" s="5">
        <v>1101</v>
      </c>
      <c r="I20" s="5">
        <v>1101</v>
      </c>
      <c r="J20" s="5">
        <v>1101</v>
      </c>
      <c r="K20" s="5">
        <v>1101</v>
      </c>
      <c r="L20" s="5">
        <v>1101</v>
      </c>
      <c r="M20" s="4">
        <v>1104</v>
      </c>
      <c r="N20" s="4">
        <v>1134</v>
      </c>
      <c r="O20" s="4">
        <v>1134</v>
      </c>
      <c r="P20" s="4">
        <v>1134</v>
      </c>
      <c r="Q20" s="4">
        <v>1134</v>
      </c>
      <c r="R20" s="5">
        <v>1152</v>
      </c>
      <c r="S20" s="4">
        <v>1159</v>
      </c>
      <c r="T20" s="4">
        <v>1159</v>
      </c>
      <c r="U20" s="4">
        <v>1159</v>
      </c>
      <c r="V20" s="4">
        <v>1159</v>
      </c>
      <c r="W20" s="4">
        <v>1159</v>
      </c>
      <c r="X20" s="4">
        <v>1159</v>
      </c>
      <c r="Y20" s="4">
        <v>1159</v>
      </c>
      <c r="Z20" s="4">
        <v>1159</v>
      </c>
      <c r="AA20" s="4">
        <v>1166</v>
      </c>
      <c r="AB20" s="33">
        <v>1166</v>
      </c>
      <c r="AC20" s="4">
        <v>1170</v>
      </c>
      <c r="AD20" s="4">
        <v>1203</v>
      </c>
      <c r="AE20" s="8">
        <v>1212</v>
      </c>
      <c r="AF20" s="8">
        <v>1212</v>
      </c>
      <c r="AG20" s="8">
        <v>1212</v>
      </c>
      <c r="AH20" s="44">
        <v>1226</v>
      </c>
      <c r="AI20" s="7">
        <f t="shared" si="0"/>
        <v>138</v>
      </c>
    </row>
    <row r="21" spans="1:35" ht="14.25" customHeight="1">
      <c r="A21" s="2">
        <v>8</v>
      </c>
      <c r="B21" s="2"/>
      <c r="C21" s="2" t="s">
        <v>118</v>
      </c>
      <c r="D21" s="31">
        <f>'Mar-24'!AI21</f>
        <v>15438</v>
      </c>
      <c r="E21" s="4">
        <v>15690</v>
      </c>
      <c r="F21" s="4">
        <v>15807</v>
      </c>
      <c r="G21" s="5">
        <v>15919</v>
      </c>
      <c r="H21" s="5">
        <v>15996</v>
      </c>
      <c r="I21" s="4">
        <v>16074</v>
      </c>
      <c r="J21" s="4">
        <v>16153</v>
      </c>
      <c r="K21" s="4">
        <v>16225</v>
      </c>
      <c r="L21" s="4">
        <v>16309</v>
      </c>
      <c r="M21" s="4">
        <v>16399</v>
      </c>
      <c r="N21" s="4">
        <v>16485</v>
      </c>
      <c r="O21" s="4">
        <v>16570</v>
      </c>
      <c r="P21" s="4">
        <v>16653</v>
      </c>
      <c r="Q21" s="4">
        <v>16722</v>
      </c>
      <c r="R21" s="4">
        <v>16789</v>
      </c>
      <c r="S21" s="4">
        <v>16899</v>
      </c>
      <c r="T21" s="4">
        <v>17020</v>
      </c>
      <c r="U21" s="4">
        <v>17152</v>
      </c>
      <c r="V21" s="4">
        <v>17244</v>
      </c>
      <c r="W21" s="4">
        <v>17333</v>
      </c>
      <c r="X21" s="4">
        <v>17390</v>
      </c>
      <c r="Y21" s="4">
        <v>17459</v>
      </c>
      <c r="Z21" s="4">
        <v>17536</v>
      </c>
      <c r="AA21" s="4">
        <v>17595</v>
      </c>
      <c r="AB21" s="4">
        <v>17658</v>
      </c>
      <c r="AC21" s="4">
        <v>17719</v>
      </c>
      <c r="AD21" s="4">
        <v>17782</v>
      </c>
      <c r="AE21" s="8">
        <v>17836</v>
      </c>
      <c r="AF21" s="8">
        <v>17874</v>
      </c>
      <c r="AG21" s="8">
        <v>17935</v>
      </c>
      <c r="AH21" s="44">
        <v>17963</v>
      </c>
      <c r="AI21" s="7">
        <f t="shared" si="0"/>
        <v>2525</v>
      </c>
    </row>
    <row r="22" spans="1:35" ht="20.149999999999999" customHeight="1">
      <c r="A22" s="2"/>
      <c r="B22" s="2"/>
      <c r="C22" s="79" t="s">
        <v>22</v>
      </c>
      <c r="D22" s="31">
        <f>'Mar-24'!AI22</f>
        <v>248</v>
      </c>
      <c r="E22" s="2">
        <v>248</v>
      </c>
      <c r="F22" s="2">
        <v>248</v>
      </c>
      <c r="G22" s="2">
        <v>250</v>
      </c>
      <c r="H22" s="2">
        <v>250</v>
      </c>
      <c r="I22" s="2">
        <v>250</v>
      </c>
      <c r="J22" s="2">
        <v>250</v>
      </c>
      <c r="K22" s="2">
        <v>250</v>
      </c>
      <c r="L22" s="2">
        <v>250</v>
      </c>
      <c r="M22" s="2">
        <v>251</v>
      </c>
      <c r="N22" s="2">
        <v>255</v>
      </c>
      <c r="O22" s="2">
        <v>255</v>
      </c>
      <c r="P22" s="2">
        <v>255</v>
      </c>
      <c r="Q22" s="2">
        <v>255</v>
      </c>
      <c r="R22" s="2">
        <v>257</v>
      </c>
      <c r="S22" s="2">
        <v>259</v>
      </c>
      <c r="T22" s="2">
        <v>259</v>
      </c>
      <c r="U22" s="2">
        <v>259</v>
      </c>
      <c r="V22" s="2">
        <v>259</v>
      </c>
      <c r="W22" s="2">
        <v>259</v>
      </c>
      <c r="X22" s="2">
        <v>259</v>
      </c>
      <c r="Y22" s="2">
        <v>259</v>
      </c>
      <c r="Z22" s="2">
        <v>259</v>
      </c>
      <c r="AA22" s="2">
        <v>260</v>
      </c>
      <c r="AB22" s="2">
        <v>260</v>
      </c>
      <c r="AC22" s="2">
        <v>261</v>
      </c>
      <c r="AD22" s="2">
        <v>265</v>
      </c>
      <c r="AE22" s="2">
        <v>268</v>
      </c>
      <c r="AF22" s="2">
        <v>268</v>
      </c>
      <c r="AG22" s="2">
        <v>268</v>
      </c>
      <c r="AH22" s="2">
        <v>269</v>
      </c>
      <c r="AI22" s="7">
        <f t="shared" si="0"/>
        <v>21</v>
      </c>
    </row>
    <row r="23" spans="1:35" ht="14.5" customHeight="1">
      <c r="A23" s="503"/>
      <c r="B23" s="504"/>
      <c r="C23" s="504"/>
      <c r="D23" s="504"/>
      <c r="E23" s="504"/>
      <c r="F23" s="504"/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4"/>
      <c r="AA23" s="504"/>
      <c r="AB23" s="504"/>
      <c r="AC23" s="504"/>
      <c r="AD23" s="504"/>
      <c r="AE23" s="504"/>
      <c r="AF23" s="504"/>
      <c r="AG23" s="504"/>
      <c r="AH23" s="504"/>
      <c r="AI23" s="501"/>
    </row>
    <row r="24" spans="1:35" ht="14.25" customHeight="1">
      <c r="A24" s="2">
        <v>1</v>
      </c>
      <c r="B24" s="2"/>
      <c r="C24" s="2" t="s">
        <v>119</v>
      </c>
      <c r="D24" s="31">
        <f>'Mar-24'!AI24</f>
        <v>5270</v>
      </c>
      <c r="E24" s="4">
        <v>5326</v>
      </c>
      <c r="F24" s="4">
        <v>5383</v>
      </c>
      <c r="G24" s="4">
        <v>5441</v>
      </c>
      <c r="H24" s="4">
        <v>5502</v>
      </c>
      <c r="I24" s="4">
        <v>5558</v>
      </c>
      <c r="J24" s="4">
        <v>5596</v>
      </c>
      <c r="K24" s="4">
        <v>5596</v>
      </c>
      <c r="L24" s="4">
        <v>5660</v>
      </c>
      <c r="M24" s="4">
        <v>5719</v>
      </c>
      <c r="N24" s="4">
        <v>5814</v>
      </c>
      <c r="O24" s="4">
        <v>5921</v>
      </c>
      <c r="P24" s="4">
        <v>6026</v>
      </c>
      <c r="Q24" s="4">
        <v>6086</v>
      </c>
      <c r="R24" s="4">
        <v>6086</v>
      </c>
      <c r="S24" s="4">
        <v>6197</v>
      </c>
      <c r="T24" s="4">
        <v>6304</v>
      </c>
      <c r="U24" s="4">
        <v>6413</v>
      </c>
      <c r="V24" s="4">
        <v>6519</v>
      </c>
      <c r="W24" s="4">
        <v>6620</v>
      </c>
      <c r="X24" s="4">
        <v>6680</v>
      </c>
      <c r="Y24" s="4">
        <v>6680</v>
      </c>
      <c r="Z24" s="4">
        <v>6800</v>
      </c>
      <c r="AA24" s="4">
        <v>6913</v>
      </c>
      <c r="AB24" s="4">
        <v>7010</v>
      </c>
      <c r="AC24" s="4">
        <v>7078</v>
      </c>
      <c r="AD24" s="4">
        <v>7142</v>
      </c>
      <c r="AE24" s="4">
        <v>7161</v>
      </c>
      <c r="AF24" s="4">
        <v>7162</v>
      </c>
      <c r="AG24" s="4">
        <v>7229</v>
      </c>
      <c r="AH24" s="44">
        <v>7266</v>
      </c>
      <c r="AI24" s="7">
        <f t="shared" ref="AI24:AI31" si="1">AH24-D24</f>
        <v>1996</v>
      </c>
    </row>
    <row r="25" spans="1:35" ht="14.25" customHeight="1">
      <c r="A25" s="2"/>
      <c r="B25" s="2"/>
      <c r="C25" s="79" t="s">
        <v>22</v>
      </c>
      <c r="D25" s="31">
        <f>'Mar-24'!AH25</f>
        <v>173</v>
      </c>
      <c r="E25" s="4">
        <v>173</v>
      </c>
      <c r="F25" s="4">
        <v>173</v>
      </c>
      <c r="G25" s="4">
        <v>174</v>
      </c>
      <c r="H25" s="4">
        <v>174</v>
      </c>
      <c r="I25" s="4">
        <v>174</v>
      </c>
      <c r="J25" s="4">
        <v>174</v>
      </c>
      <c r="K25" s="4">
        <v>174</v>
      </c>
      <c r="L25" s="4">
        <v>174</v>
      </c>
      <c r="M25" s="4">
        <v>175</v>
      </c>
      <c r="N25" s="4">
        <v>178</v>
      </c>
      <c r="O25" s="4">
        <v>178</v>
      </c>
      <c r="P25" s="4">
        <v>178</v>
      </c>
      <c r="Q25" s="4">
        <v>178</v>
      </c>
      <c r="R25" s="4">
        <v>178</v>
      </c>
      <c r="S25" s="4">
        <v>179</v>
      </c>
      <c r="T25" s="4">
        <v>179</v>
      </c>
      <c r="U25" s="4">
        <v>179</v>
      </c>
      <c r="V25" s="4">
        <v>179</v>
      </c>
      <c r="W25" s="4">
        <v>179</v>
      </c>
      <c r="X25" s="4">
        <v>179</v>
      </c>
      <c r="Y25" s="4">
        <v>179</v>
      </c>
      <c r="Z25" s="4">
        <v>179</v>
      </c>
      <c r="AA25" s="4">
        <v>181</v>
      </c>
      <c r="AB25" s="4">
        <v>181</v>
      </c>
      <c r="AC25" s="4">
        <v>181</v>
      </c>
      <c r="AD25" s="4">
        <v>182</v>
      </c>
      <c r="AE25" s="4">
        <v>182</v>
      </c>
      <c r="AF25" s="4">
        <v>182</v>
      </c>
      <c r="AG25" s="4">
        <v>182</v>
      </c>
      <c r="AH25" s="8">
        <v>184</v>
      </c>
      <c r="AI25" s="7">
        <f t="shared" si="1"/>
        <v>11</v>
      </c>
    </row>
    <row r="26" spans="1:35" ht="14.25" customHeight="1">
      <c r="A26" s="2">
        <v>2</v>
      </c>
      <c r="B26" s="2"/>
      <c r="C26" s="2" t="s">
        <v>120</v>
      </c>
      <c r="D26" s="31">
        <f>'Mar-24'!AI26</f>
        <v>4964</v>
      </c>
      <c r="E26" s="4">
        <v>5045</v>
      </c>
      <c r="F26" s="4">
        <v>5128</v>
      </c>
      <c r="G26" s="5">
        <v>5216</v>
      </c>
      <c r="H26" s="5">
        <v>5303</v>
      </c>
      <c r="I26" s="4">
        <v>5366</v>
      </c>
      <c r="J26" s="4">
        <v>5407</v>
      </c>
      <c r="K26" s="4">
        <v>5407</v>
      </c>
      <c r="L26" s="4">
        <v>5482</v>
      </c>
      <c r="M26" s="4">
        <v>5585</v>
      </c>
      <c r="N26" s="4">
        <v>5634</v>
      </c>
      <c r="O26" s="4">
        <v>5684</v>
      </c>
      <c r="P26" s="4">
        <v>5739</v>
      </c>
      <c r="Q26" s="4">
        <v>5769</v>
      </c>
      <c r="R26" s="4">
        <v>5769</v>
      </c>
      <c r="S26" s="4">
        <v>5853</v>
      </c>
      <c r="T26" s="4">
        <v>5927</v>
      </c>
      <c r="U26" s="4">
        <v>6001</v>
      </c>
      <c r="V26" s="4">
        <v>6073</v>
      </c>
      <c r="W26" s="4">
        <v>6134</v>
      </c>
      <c r="X26" s="4">
        <v>6161</v>
      </c>
      <c r="Y26" s="4">
        <v>6161</v>
      </c>
      <c r="Z26" s="4">
        <v>6215</v>
      </c>
      <c r="AA26" s="4">
        <v>6266</v>
      </c>
      <c r="AB26" s="4">
        <v>6328</v>
      </c>
      <c r="AC26" s="4">
        <v>6395</v>
      </c>
      <c r="AD26" s="4">
        <v>6453</v>
      </c>
      <c r="AE26" s="8">
        <v>6480</v>
      </c>
      <c r="AF26" s="8">
        <v>6480</v>
      </c>
      <c r="AG26" s="8">
        <v>6548</v>
      </c>
      <c r="AH26" s="44">
        <v>6581</v>
      </c>
      <c r="AI26" s="7">
        <f t="shared" si="1"/>
        <v>1617</v>
      </c>
    </row>
    <row r="27" spans="1:35" ht="14.25" customHeight="1">
      <c r="A27" s="2"/>
      <c r="B27" s="2"/>
      <c r="C27" s="79" t="s">
        <v>22</v>
      </c>
      <c r="D27" s="31">
        <f>'Mar-24'!AI27</f>
        <v>178</v>
      </c>
      <c r="E27" s="4">
        <v>178</v>
      </c>
      <c r="F27" s="4">
        <v>117</v>
      </c>
      <c r="G27" s="5">
        <v>180</v>
      </c>
      <c r="H27" s="5">
        <v>180</v>
      </c>
      <c r="I27" s="5">
        <v>180</v>
      </c>
      <c r="J27" s="5">
        <v>180</v>
      </c>
      <c r="K27" s="5">
        <v>180</v>
      </c>
      <c r="L27" s="5">
        <v>180</v>
      </c>
      <c r="M27" s="5">
        <v>180</v>
      </c>
      <c r="N27" s="4">
        <v>188</v>
      </c>
      <c r="O27" s="4">
        <v>188</v>
      </c>
      <c r="P27" s="4">
        <v>188</v>
      </c>
      <c r="Q27" s="4">
        <v>188</v>
      </c>
      <c r="R27" s="4">
        <v>188</v>
      </c>
      <c r="S27" s="4">
        <v>189</v>
      </c>
      <c r="T27" s="4">
        <v>189</v>
      </c>
      <c r="U27" s="4">
        <v>189</v>
      </c>
      <c r="V27" s="4">
        <v>189</v>
      </c>
      <c r="W27" s="4">
        <v>189</v>
      </c>
      <c r="X27" s="4">
        <v>189</v>
      </c>
      <c r="Y27" s="4">
        <v>189</v>
      </c>
      <c r="Z27" s="4">
        <v>189</v>
      </c>
      <c r="AA27" s="4">
        <v>190</v>
      </c>
      <c r="AB27" s="4">
        <v>190</v>
      </c>
      <c r="AC27" s="4">
        <v>190</v>
      </c>
      <c r="AD27" s="4">
        <v>192</v>
      </c>
      <c r="AE27" s="4">
        <v>192</v>
      </c>
      <c r="AF27" s="4">
        <v>192</v>
      </c>
      <c r="AG27" s="4">
        <v>192</v>
      </c>
      <c r="AH27" s="44">
        <v>194</v>
      </c>
      <c r="AI27" s="7">
        <f t="shared" si="1"/>
        <v>16</v>
      </c>
    </row>
    <row r="28" spans="1:35" ht="14.25" customHeight="1">
      <c r="A28" s="2">
        <v>3</v>
      </c>
      <c r="B28" s="2"/>
      <c r="C28" s="2" t="s">
        <v>121</v>
      </c>
      <c r="D28" s="31">
        <f>'Mar-24'!AI28</f>
        <v>2862</v>
      </c>
      <c r="E28" s="4">
        <v>2937</v>
      </c>
      <c r="F28" s="4">
        <v>3007</v>
      </c>
      <c r="G28" s="4">
        <v>3081</v>
      </c>
      <c r="H28" s="4">
        <v>3157</v>
      </c>
      <c r="I28" s="4">
        <v>3223</v>
      </c>
      <c r="J28" s="4">
        <v>3277</v>
      </c>
      <c r="K28" s="4">
        <v>3277</v>
      </c>
      <c r="L28" s="4">
        <v>3323</v>
      </c>
      <c r="M28" s="4">
        <v>3418</v>
      </c>
      <c r="N28" s="4">
        <v>3505</v>
      </c>
      <c r="O28" s="4">
        <v>3568</v>
      </c>
      <c r="P28" s="4">
        <v>3633</v>
      </c>
      <c r="Q28" s="4">
        <v>3691</v>
      </c>
      <c r="R28" s="4">
        <v>3691</v>
      </c>
      <c r="S28" s="4">
        <v>3773</v>
      </c>
      <c r="T28" s="4">
        <v>3882</v>
      </c>
      <c r="U28" s="4">
        <v>3923</v>
      </c>
      <c r="V28" s="4">
        <v>4000</v>
      </c>
      <c r="W28" s="4">
        <v>4073</v>
      </c>
      <c r="X28" s="4">
        <v>4114</v>
      </c>
      <c r="Y28" s="4">
        <v>4114</v>
      </c>
      <c r="Z28" s="4">
        <v>4203</v>
      </c>
      <c r="AA28" s="4">
        <v>4280</v>
      </c>
      <c r="AB28" s="4">
        <v>4359</v>
      </c>
      <c r="AC28" s="4">
        <v>4425</v>
      </c>
      <c r="AD28" s="4">
        <v>4485</v>
      </c>
      <c r="AE28" s="4">
        <v>4505</v>
      </c>
      <c r="AF28" s="4">
        <v>4505</v>
      </c>
      <c r="AG28" s="4">
        <v>4567</v>
      </c>
      <c r="AH28" s="44">
        <v>4607</v>
      </c>
      <c r="AI28" s="7">
        <f t="shared" si="1"/>
        <v>1745</v>
      </c>
    </row>
    <row r="29" spans="1:35" ht="14.25" customHeight="1">
      <c r="A29" s="2"/>
      <c r="B29" s="2"/>
      <c r="C29" s="79" t="s">
        <v>22</v>
      </c>
      <c r="D29" s="31">
        <f>'Mar-24'!AI29</f>
        <v>129</v>
      </c>
      <c r="E29" s="4">
        <v>129</v>
      </c>
      <c r="F29" s="4">
        <v>129</v>
      </c>
      <c r="G29" s="4">
        <v>131</v>
      </c>
      <c r="H29" s="4">
        <v>131</v>
      </c>
      <c r="I29" s="4">
        <v>131</v>
      </c>
      <c r="J29" s="4">
        <v>131</v>
      </c>
      <c r="K29" s="4">
        <v>131</v>
      </c>
      <c r="L29" s="4">
        <v>131</v>
      </c>
      <c r="M29" s="4">
        <v>131</v>
      </c>
      <c r="N29" s="4">
        <v>135</v>
      </c>
      <c r="O29" s="4">
        <v>135</v>
      </c>
      <c r="P29" s="4">
        <v>135</v>
      </c>
      <c r="Q29" s="4">
        <v>135</v>
      </c>
      <c r="R29" s="4">
        <v>135</v>
      </c>
      <c r="S29" s="4">
        <v>136</v>
      </c>
      <c r="T29" s="4">
        <v>136</v>
      </c>
      <c r="U29" s="4">
        <v>136</v>
      </c>
      <c r="V29" s="4">
        <v>136</v>
      </c>
      <c r="W29" s="4">
        <v>136</v>
      </c>
      <c r="X29" s="4">
        <v>136</v>
      </c>
      <c r="Y29" s="4">
        <v>136</v>
      </c>
      <c r="Z29" s="4">
        <v>136</v>
      </c>
      <c r="AA29" s="4">
        <v>137</v>
      </c>
      <c r="AB29" s="4">
        <v>137</v>
      </c>
      <c r="AC29" s="4">
        <v>137</v>
      </c>
      <c r="AD29" s="4">
        <v>139</v>
      </c>
      <c r="AE29" s="4">
        <v>139</v>
      </c>
      <c r="AF29" s="4">
        <v>139</v>
      </c>
      <c r="AG29" s="4">
        <v>139</v>
      </c>
      <c r="AH29" s="44">
        <v>140</v>
      </c>
      <c r="AI29" s="7">
        <f t="shared" si="1"/>
        <v>11</v>
      </c>
    </row>
    <row r="30" spans="1:35" ht="14.25" customHeight="1">
      <c r="A30" s="2">
        <v>4</v>
      </c>
      <c r="B30" s="2"/>
      <c r="C30" s="2" t="s">
        <v>122</v>
      </c>
      <c r="D30" s="31">
        <f>'Mar-24'!AI30</f>
        <v>3542</v>
      </c>
      <c r="E30" s="4">
        <v>3629</v>
      </c>
      <c r="F30" s="4">
        <v>3722</v>
      </c>
      <c r="G30" s="4">
        <v>3802</v>
      </c>
      <c r="H30" s="4">
        <v>3880</v>
      </c>
      <c r="I30" s="4">
        <v>3942</v>
      </c>
      <c r="J30" s="4">
        <v>3976</v>
      </c>
      <c r="K30" s="4">
        <v>3976</v>
      </c>
      <c r="L30" s="4">
        <v>4026</v>
      </c>
      <c r="M30" s="4">
        <v>4070</v>
      </c>
      <c r="N30" s="4">
        <v>4101</v>
      </c>
      <c r="O30" s="4">
        <v>4131</v>
      </c>
      <c r="P30" s="4">
        <v>4177</v>
      </c>
      <c r="Q30" s="4">
        <v>4195</v>
      </c>
      <c r="R30" s="4">
        <v>4195</v>
      </c>
      <c r="S30" s="4">
        <v>4246</v>
      </c>
      <c r="T30" s="4">
        <v>4278</v>
      </c>
      <c r="U30" s="4">
        <v>4311</v>
      </c>
      <c r="V30" s="4">
        <v>4344</v>
      </c>
      <c r="W30" s="4">
        <v>4385</v>
      </c>
      <c r="X30" s="4">
        <v>4422</v>
      </c>
      <c r="Y30" s="4">
        <v>4422</v>
      </c>
      <c r="Z30" s="4">
        <v>4503</v>
      </c>
      <c r="AA30" s="4">
        <v>4581</v>
      </c>
      <c r="AB30" s="4">
        <v>4660</v>
      </c>
      <c r="AC30" s="4">
        <v>4725</v>
      </c>
      <c r="AD30" s="4">
        <v>4786</v>
      </c>
      <c r="AE30" s="4">
        <v>4806</v>
      </c>
      <c r="AF30" s="4">
        <v>4806</v>
      </c>
      <c r="AG30" s="4">
        <v>4889</v>
      </c>
      <c r="AH30" s="44">
        <v>4928</v>
      </c>
      <c r="AI30" s="7">
        <f t="shared" si="1"/>
        <v>1386</v>
      </c>
    </row>
    <row r="31" spans="1:35" ht="14.5" customHeight="1">
      <c r="A31" s="2"/>
      <c r="B31" s="2"/>
      <c r="C31" s="80" t="s">
        <v>22</v>
      </c>
      <c r="D31" s="31">
        <f>'Mar-24'!AI31</f>
        <v>117</v>
      </c>
      <c r="E31" s="2">
        <v>117</v>
      </c>
      <c r="F31" s="2">
        <v>117</v>
      </c>
      <c r="G31" s="2">
        <v>119</v>
      </c>
      <c r="H31" s="2">
        <v>119</v>
      </c>
      <c r="I31" s="2">
        <v>119</v>
      </c>
      <c r="J31" s="2">
        <v>119</v>
      </c>
      <c r="K31" s="2">
        <v>119</v>
      </c>
      <c r="L31" s="2">
        <v>119</v>
      </c>
      <c r="M31" s="2">
        <v>119</v>
      </c>
      <c r="N31" s="2">
        <v>121</v>
      </c>
      <c r="O31" s="2">
        <v>121</v>
      </c>
      <c r="P31" s="2">
        <v>121</v>
      </c>
      <c r="Q31" s="2">
        <v>121</v>
      </c>
      <c r="R31" s="2">
        <v>121</v>
      </c>
      <c r="S31" s="2">
        <v>122</v>
      </c>
      <c r="T31" s="2">
        <v>122</v>
      </c>
      <c r="U31" s="2">
        <v>122</v>
      </c>
      <c r="V31" s="2">
        <v>122</v>
      </c>
      <c r="W31" s="2">
        <v>122</v>
      </c>
      <c r="X31" s="2">
        <v>122</v>
      </c>
      <c r="Y31" s="2">
        <v>122</v>
      </c>
      <c r="Z31" s="2">
        <v>122</v>
      </c>
      <c r="AA31" s="2">
        <v>123</v>
      </c>
      <c r="AB31" s="2">
        <v>123</v>
      </c>
      <c r="AC31" s="2">
        <v>123</v>
      </c>
      <c r="AD31" s="2">
        <v>125</v>
      </c>
      <c r="AE31" s="2">
        <v>125</v>
      </c>
      <c r="AF31" s="2">
        <v>125</v>
      </c>
      <c r="AG31" s="2">
        <v>125</v>
      </c>
      <c r="AH31" s="2">
        <v>127</v>
      </c>
      <c r="AI31" s="7">
        <f t="shared" si="1"/>
        <v>10</v>
      </c>
    </row>
    <row r="32" spans="1:35" ht="14.5" customHeight="1">
      <c r="A32" s="503"/>
      <c r="B32" s="504"/>
      <c r="C32" s="504"/>
      <c r="D32" s="504"/>
      <c r="E32" s="50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  <c r="R32" s="504"/>
      <c r="S32" s="504"/>
      <c r="T32" s="504"/>
      <c r="U32" s="504"/>
      <c r="V32" s="504"/>
      <c r="W32" s="504"/>
      <c r="X32" s="504"/>
      <c r="Y32" s="504"/>
      <c r="Z32" s="504"/>
      <c r="AA32" s="504"/>
      <c r="AB32" s="504"/>
      <c r="AC32" s="504"/>
      <c r="AD32" s="504"/>
      <c r="AE32" s="504"/>
      <c r="AF32" s="504"/>
      <c r="AG32" s="504"/>
      <c r="AH32" s="504"/>
      <c r="AI32" s="501"/>
    </row>
    <row r="33" spans="1:35" ht="13.5" customHeight="1">
      <c r="A33" s="2">
        <v>1</v>
      </c>
      <c r="B33" s="2"/>
      <c r="C33" s="2" t="s">
        <v>123</v>
      </c>
      <c r="D33" s="32">
        <f>'Mar-24'!AI33</f>
        <v>20397.689999999999</v>
      </c>
      <c r="E33" s="10">
        <v>21409.599999999999</v>
      </c>
      <c r="F33" s="38">
        <v>22161.77</v>
      </c>
      <c r="G33" s="10">
        <v>22850.5</v>
      </c>
      <c r="H33" s="10">
        <v>23503.279999999999</v>
      </c>
      <c r="I33" s="10">
        <v>24067.02</v>
      </c>
      <c r="J33" s="10">
        <v>24424.25</v>
      </c>
      <c r="K33" s="10">
        <v>24424.25</v>
      </c>
      <c r="L33" s="10">
        <v>25188.51</v>
      </c>
      <c r="M33" s="10">
        <v>25950.06</v>
      </c>
      <c r="N33" s="10">
        <v>26827.08</v>
      </c>
      <c r="O33" s="10">
        <v>27672.48</v>
      </c>
      <c r="P33" s="10">
        <v>28403.37</v>
      </c>
      <c r="Q33" s="10">
        <v>28668.95</v>
      </c>
      <c r="R33" s="11">
        <v>28668.95</v>
      </c>
      <c r="S33" s="11">
        <v>29756.55</v>
      </c>
      <c r="T33" s="11">
        <v>30722.75</v>
      </c>
      <c r="U33" s="11">
        <v>31506.400000000001</v>
      </c>
      <c r="V33" s="11">
        <v>32311.93</v>
      </c>
      <c r="W33" s="11">
        <v>32993.25</v>
      </c>
      <c r="X33" s="11">
        <v>33324.879999999997</v>
      </c>
      <c r="Y33" s="11">
        <v>33324.879999999997</v>
      </c>
      <c r="Z33" s="11">
        <v>34423.33</v>
      </c>
      <c r="AA33" s="11">
        <v>35423.46</v>
      </c>
      <c r="AB33" s="11">
        <v>36245.629999999997</v>
      </c>
      <c r="AC33" s="11">
        <v>37031.83</v>
      </c>
      <c r="AD33" s="11">
        <v>37699.550000000003</v>
      </c>
      <c r="AE33" s="11">
        <v>38117.54</v>
      </c>
      <c r="AF33" s="11">
        <v>38117.54</v>
      </c>
      <c r="AG33" s="11">
        <v>39198.410000000003</v>
      </c>
      <c r="AH33" s="12">
        <v>39808.33</v>
      </c>
      <c r="AI33" s="7">
        <f>AH33-D33</f>
        <v>19410.640000000003</v>
      </c>
    </row>
    <row r="34" spans="1:35" ht="13.5" customHeight="1">
      <c r="A34" s="2">
        <v>2</v>
      </c>
      <c r="B34" s="2"/>
      <c r="C34" s="2" t="s">
        <v>124</v>
      </c>
      <c r="D34" s="32">
        <f>'Mar-24'!AI34</f>
        <v>21181.85</v>
      </c>
      <c r="E34" s="36">
        <v>21945.98</v>
      </c>
      <c r="F34" s="39">
        <v>22720.54</v>
      </c>
      <c r="G34" s="37">
        <v>23411.95</v>
      </c>
      <c r="H34" s="10">
        <v>24120.47</v>
      </c>
      <c r="I34" s="10">
        <v>24773.43</v>
      </c>
      <c r="J34" s="10">
        <v>25081.65</v>
      </c>
      <c r="K34" s="10">
        <v>25081.65</v>
      </c>
      <c r="L34" s="10">
        <v>26091.01</v>
      </c>
      <c r="M34" s="10">
        <v>26746.39</v>
      </c>
      <c r="N34" s="10">
        <v>27447.98</v>
      </c>
      <c r="O34" s="10">
        <v>28122.32</v>
      </c>
      <c r="P34" s="10">
        <v>28720.23</v>
      </c>
      <c r="Q34" s="10">
        <v>29040.22</v>
      </c>
      <c r="R34" s="11">
        <v>29040.22</v>
      </c>
      <c r="S34" s="11">
        <v>29905.93</v>
      </c>
      <c r="T34" s="11">
        <v>30619.39</v>
      </c>
      <c r="U34" s="11">
        <v>31315.45</v>
      </c>
      <c r="V34" s="11">
        <v>32035.07</v>
      </c>
      <c r="W34" s="11">
        <v>32730.58</v>
      </c>
      <c r="X34" s="11">
        <v>33108.49</v>
      </c>
      <c r="Y34" s="11">
        <v>33108.49</v>
      </c>
      <c r="Z34" s="11">
        <v>34097.47</v>
      </c>
      <c r="AA34" s="11">
        <v>34888.69</v>
      </c>
      <c r="AB34" s="11">
        <v>35580.019999999997</v>
      </c>
      <c r="AC34" s="11">
        <v>36264.120000000003</v>
      </c>
      <c r="AD34" s="11">
        <v>36972.639999999999</v>
      </c>
      <c r="AE34" s="11">
        <v>37406.699999999997</v>
      </c>
      <c r="AF34" s="11">
        <v>37406.699999999997</v>
      </c>
      <c r="AG34" s="11">
        <v>38410.78</v>
      </c>
      <c r="AH34" s="12">
        <v>39039.43</v>
      </c>
      <c r="AI34" s="7">
        <f>AH34-D34</f>
        <v>17857.580000000002</v>
      </c>
    </row>
    <row r="35" spans="1:35" ht="13.5" customHeight="1">
      <c r="A35" s="2">
        <v>3</v>
      </c>
      <c r="B35" s="2"/>
      <c r="C35" s="2" t="s">
        <v>125</v>
      </c>
      <c r="D35" s="32">
        <f>'Mar-24'!AI35</f>
        <v>15520.6</v>
      </c>
      <c r="E35" s="10">
        <v>16330.66</v>
      </c>
      <c r="F35">
        <v>16953.07</v>
      </c>
      <c r="G35" s="10">
        <v>17517.78</v>
      </c>
      <c r="H35" s="10">
        <v>18145.78</v>
      </c>
      <c r="I35" s="10">
        <v>18720.580000000002</v>
      </c>
      <c r="J35" s="10">
        <v>19061.88</v>
      </c>
      <c r="K35" s="10">
        <v>19061.88</v>
      </c>
      <c r="L35" s="10">
        <v>19705</v>
      </c>
      <c r="M35" s="10">
        <v>20386.96</v>
      </c>
      <c r="N35" s="10">
        <v>21064.880000000001</v>
      </c>
      <c r="O35" s="10">
        <v>21798.73</v>
      </c>
      <c r="P35" s="10">
        <v>22392.31</v>
      </c>
      <c r="Q35" s="10">
        <v>22683.07</v>
      </c>
      <c r="R35" s="10">
        <v>22683.07</v>
      </c>
      <c r="S35" s="11">
        <v>23805.99</v>
      </c>
      <c r="T35" s="11">
        <v>24672.94</v>
      </c>
      <c r="U35" s="11">
        <v>25738.12</v>
      </c>
      <c r="V35" s="11">
        <v>26399.51</v>
      </c>
      <c r="W35" s="11">
        <v>27163.83</v>
      </c>
      <c r="X35" s="11">
        <v>27621.63</v>
      </c>
      <c r="Y35" s="11">
        <v>27621.63</v>
      </c>
      <c r="Z35" s="11">
        <v>28699.69</v>
      </c>
      <c r="AA35" s="11">
        <v>29733.84</v>
      </c>
      <c r="AB35" s="11">
        <v>30553.78</v>
      </c>
      <c r="AC35" s="11">
        <v>31401.06</v>
      </c>
      <c r="AD35" s="11">
        <v>32233.52</v>
      </c>
      <c r="AE35" s="11">
        <v>32758.82</v>
      </c>
      <c r="AF35" s="11">
        <v>32758.82</v>
      </c>
      <c r="AG35" s="11">
        <v>33732.589999999997</v>
      </c>
      <c r="AH35" s="12">
        <v>34466.31</v>
      </c>
      <c r="AI35" s="7">
        <f>AH35-D35</f>
        <v>18945.71</v>
      </c>
    </row>
    <row r="36" spans="1:35" ht="13.5" customHeight="1">
      <c r="A36" s="2">
        <v>4</v>
      </c>
      <c r="B36" s="2"/>
      <c r="C36" s="2" t="s">
        <v>126</v>
      </c>
      <c r="D36" s="32">
        <f>'Mar-24'!AI36</f>
        <v>24009.78</v>
      </c>
      <c r="E36" s="10">
        <v>25419.59</v>
      </c>
      <c r="F36" s="10">
        <v>26370.92</v>
      </c>
      <c r="G36" s="10">
        <v>27234.14</v>
      </c>
      <c r="H36" s="10">
        <v>28024.3</v>
      </c>
      <c r="I36" s="10">
        <v>28788.29</v>
      </c>
      <c r="J36" s="10">
        <v>29255.67</v>
      </c>
      <c r="K36" s="10">
        <v>29255.67</v>
      </c>
      <c r="L36" s="10">
        <v>30254.33</v>
      </c>
      <c r="M36" s="10">
        <v>31229.200000000001</v>
      </c>
      <c r="N36" s="10">
        <v>32263.49</v>
      </c>
      <c r="O36" s="10">
        <v>33125.050000000003</v>
      </c>
      <c r="P36" s="10">
        <v>33971.68</v>
      </c>
      <c r="Q36" s="10">
        <v>34364.35</v>
      </c>
      <c r="R36" s="11">
        <v>34364.35</v>
      </c>
      <c r="S36" s="11">
        <v>35632.68</v>
      </c>
      <c r="T36" s="11">
        <v>36573.120000000003</v>
      </c>
      <c r="U36" s="11">
        <v>37463.449999999997</v>
      </c>
      <c r="V36" s="11">
        <v>38302.71</v>
      </c>
      <c r="W36" s="11">
        <v>39055.22</v>
      </c>
      <c r="X36" s="11">
        <v>39535.629999999997</v>
      </c>
      <c r="Y36" s="11">
        <v>39535.629999999997</v>
      </c>
      <c r="Z36" s="11">
        <v>41006.370000000003</v>
      </c>
      <c r="AA36" s="11">
        <v>42325.41</v>
      </c>
      <c r="AB36" s="11">
        <v>43455.98</v>
      </c>
      <c r="AC36" s="11">
        <v>44476.59</v>
      </c>
      <c r="AD36" s="11">
        <v>45418.41</v>
      </c>
      <c r="AE36" s="11">
        <v>46087.97</v>
      </c>
      <c r="AF36" s="11">
        <v>46087.97</v>
      </c>
      <c r="AG36" s="11">
        <v>47630.79</v>
      </c>
      <c r="AH36" s="12">
        <v>48593.120000000003</v>
      </c>
      <c r="AI36" s="7">
        <f>AH36-D36</f>
        <v>24583.340000000004</v>
      </c>
    </row>
    <row r="37" spans="1:35">
      <c r="D37" s="106"/>
      <c r="E37" s="90"/>
      <c r="AD37" s="76"/>
    </row>
    <row r="38" spans="1:35" ht="13" customHeight="1">
      <c r="A38" s="91"/>
      <c r="B38" s="92"/>
      <c r="C38" s="92"/>
      <c r="D38" s="107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</row>
    <row r="39" spans="1:35" ht="14.5" customHeight="1">
      <c r="A39" s="93"/>
      <c r="B39" s="534" t="s">
        <v>127</v>
      </c>
      <c r="C39" s="504"/>
      <c r="D39" s="501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</row>
    <row r="40" spans="1:35" ht="14.5" customHeight="1">
      <c r="A40" s="94"/>
      <c r="B40" s="538" t="s">
        <v>128</v>
      </c>
      <c r="C40" s="504"/>
      <c r="D40" s="501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</row>
    <row r="41" spans="1:35" ht="13" customHeight="1">
      <c r="A41" s="529" t="s">
        <v>99</v>
      </c>
      <c r="B41" s="529" t="s">
        <v>100</v>
      </c>
      <c r="C41" s="529" t="s">
        <v>101</v>
      </c>
      <c r="D41" s="517"/>
      <c r="E41" s="95">
        <f t="shared" ref="E41:AH41" si="2">E3</f>
        <v>45383</v>
      </c>
      <c r="F41" s="95">
        <f t="shared" si="2"/>
        <v>45384</v>
      </c>
      <c r="G41" s="95">
        <f t="shared" si="2"/>
        <v>45385</v>
      </c>
      <c r="H41" s="95">
        <f t="shared" si="2"/>
        <v>45386</v>
      </c>
      <c r="I41" s="95">
        <f t="shared" si="2"/>
        <v>45387</v>
      </c>
      <c r="J41" s="95">
        <f t="shared" si="2"/>
        <v>45388</v>
      </c>
      <c r="K41" s="95">
        <f t="shared" si="2"/>
        <v>45389</v>
      </c>
      <c r="L41" s="95">
        <f t="shared" si="2"/>
        <v>45390</v>
      </c>
      <c r="M41" s="95">
        <f t="shared" si="2"/>
        <v>45391</v>
      </c>
      <c r="N41" s="95">
        <f t="shared" si="2"/>
        <v>45392</v>
      </c>
      <c r="O41" s="95">
        <f t="shared" si="2"/>
        <v>45393</v>
      </c>
      <c r="P41" s="95">
        <f t="shared" si="2"/>
        <v>45394</v>
      </c>
      <c r="Q41" s="95">
        <f t="shared" si="2"/>
        <v>45395</v>
      </c>
      <c r="R41" s="95">
        <f t="shared" si="2"/>
        <v>45396</v>
      </c>
      <c r="S41" s="95">
        <f t="shared" si="2"/>
        <v>45397</v>
      </c>
      <c r="T41" s="95">
        <f t="shared" si="2"/>
        <v>45398</v>
      </c>
      <c r="U41" s="95">
        <f t="shared" si="2"/>
        <v>45399</v>
      </c>
      <c r="V41" s="95">
        <f t="shared" si="2"/>
        <v>45400</v>
      </c>
      <c r="W41" s="95">
        <f t="shared" si="2"/>
        <v>45401</v>
      </c>
      <c r="X41" s="95">
        <f t="shared" si="2"/>
        <v>45402</v>
      </c>
      <c r="Y41" s="95">
        <f t="shared" si="2"/>
        <v>45403</v>
      </c>
      <c r="Z41" s="95">
        <f t="shared" si="2"/>
        <v>45404</v>
      </c>
      <c r="AA41" s="95">
        <f t="shared" si="2"/>
        <v>45405</v>
      </c>
      <c r="AB41" s="95">
        <f t="shared" si="2"/>
        <v>45406</v>
      </c>
      <c r="AC41" s="95">
        <f t="shared" si="2"/>
        <v>45407</v>
      </c>
      <c r="AD41" s="95">
        <f t="shared" si="2"/>
        <v>45408</v>
      </c>
      <c r="AE41" s="95">
        <f t="shared" si="2"/>
        <v>45409</v>
      </c>
      <c r="AF41" s="95">
        <f t="shared" si="2"/>
        <v>45410</v>
      </c>
      <c r="AG41" s="95">
        <f t="shared" si="2"/>
        <v>45411</v>
      </c>
      <c r="AH41" s="95">
        <f t="shared" si="2"/>
        <v>45412</v>
      </c>
      <c r="AI41" s="529" t="s">
        <v>1</v>
      </c>
    </row>
    <row r="42" spans="1:35" ht="13" customHeight="1">
      <c r="A42" s="508"/>
      <c r="B42" s="508"/>
      <c r="C42" s="518"/>
      <c r="D42" s="519"/>
      <c r="E42" s="96" t="str">
        <f t="shared" ref="E42:AH42" si="3">E4</f>
        <v>Mon</v>
      </c>
      <c r="F42" s="96" t="str">
        <f t="shared" si="3"/>
        <v>Tue</v>
      </c>
      <c r="G42" s="96" t="str">
        <f t="shared" si="3"/>
        <v>Wed</v>
      </c>
      <c r="H42" s="96" t="str">
        <f t="shared" si="3"/>
        <v>Thu</v>
      </c>
      <c r="I42" s="96" t="str">
        <f t="shared" si="3"/>
        <v>Fri</v>
      </c>
      <c r="J42" s="96" t="str">
        <f t="shared" si="3"/>
        <v>Sat</v>
      </c>
      <c r="K42" s="96" t="str">
        <f t="shared" si="3"/>
        <v>Sun</v>
      </c>
      <c r="L42" s="96" t="str">
        <f t="shared" si="3"/>
        <v>Mon</v>
      </c>
      <c r="M42" s="96" t="str">
        <f t="shared" si="3"/>
        <v>Tue</v>
      </c>
      <c r="N42" s="96" t="str">
        <f t="shared" si="3"/>
        <v>Wed</v>
      </c>
      <c r="O42" s="96" t="str">
        <f t="shared" si="3"/>
        <v>Thu</v>
      </c>
      <c r="P42" s="96" t="str">
        <f t="shared" si="3"/>
        <v>Fri</v>
      </c>
      <c r="Q42" s="96" t="str">
        <f t="shared" si="3"/>
        <v>Sat</v>
      </c>
      <c r="R42" s="96" t="str">
        <f t="shared" si="3"/>
        <v>Sun</v>
      </c>
      <c r="S42" s="96" t="str">
        <f t="shared" si="3"/>
        <v>Mon</v>
      </c>
      <c r="T42" s="96" t="str">
        <f t="shared" si="3"/>
        <v>Tue</v>
      </c>
      <c r="U42" s="96" t="str">
        <f t="shared" si="3"/>
        <v>Wed</v>
      </c>
      <c r="V42" s="96" t="str">
        <f t="shared" si="3"/>
        <v>Thu</v>
      </c>
      <c r="W42" s="96" t="str">
        <f t="shared" si="3"/>
        <v>Fri</v>
      </c>
      <c r="X42" s="96" t="str">
        <f t="shared" si="3"/>
        <v>Sat</v>
      </c>
      <c r="Y42" s="96" t="str">
        <f t="shared" si="3"/>
        <v>Sun</v>
      </c>
      <c r="Z42" s="96" t="str">
        <f t="shared" si="3"/>
        <v>Mon</v>
      </c>
      <c r="AA42" s="96" t="str">
        <f t="shared" si="3"/>
        <v>Tue</v>
      </c>
      <c r="AB42" s="96" t="str">
        <f t="shared" si="3"/>
        <v>Wed</v>
      </c>
      <c r="AC42" s="96" t="str">
        <f t="shared" si="3"/>
        <v>Thu</v>
      </c>
      <c r="AD42" s="96" t="str">
        <f t="shared" si="3"/>
        <v>Fri</v>
      </c>
      <c r="AE42" s="96" t="str">
        <f t="shared" si="3"/>
        <v>Sat</v>
      </c>
      <c r="AF42" s="96" t="str">
        <f t="shared" si="3"/>
        <v>Sun</v>
      </c>
      <c r="AG42" s="96" t="str">
        <f t="shared" si="3"/>
        <v>Mon</v>
      </c>
      <c r="AH42" s="96" t="str">
        <f t="shared" si="3"/>
        <v>Tue</v>
      </c>
      <c r="AI42" s="508"/>
    </row>
    <row r="43" spans="1:35" ht="13" customHeight="1">
      <c r="A43" s="508"/>
      <c r="B43" s="508"/>
      <c r="C43" s="518"/>
      <c r="D43" s="519"/>
      <c r="E43" s="97" t="s">
        <v>110</v>
      </c>
      <c r="F43" s="97" t="s">
        <v>110</v>
      </c>
      <c r="G43" s="97" t="s">
        <v>110</v>
      </c>
      <c r="H43" s="97" t="s">
        <v>110</v>
      </c>
      <c r="I43" s="97" t="s">
        <v>110</v>
      </c>
      <c r="J43" s="97" t="s">
        <v>110</v>
      </c>
      <c r="K43" s="97" t="s">
        <v>110</v>
      </c>
      <c r="L43" s="97" t="s">
        <v>110</v>
      </c>
      <c r="M43" s="97" t="s">
        <v>110</v>
      </c>
      <c r="N43" s="97" t="s">
        <v>110</v>
      </c>
      <c r="O43" s="97" t="s">
        <v>110</v>
      </c>
      <c r="P43" s="97" t="s">
        <v>110</v>
      </c>
      <c r="Q43" s="97" t="s">
        <v>110</v>
      </c>
      <c r="R43" s="97" t="s">
        <v>110</v>
      </c>
      <c r="S43" s="97" t="s">
        <v>110</v>
      </c>
      <c r="T43" s="97" t="s">
        <v>110</v>
      </c>
      <c r="U43" s="97" t="s">
        <v>110</v>
      </c>
      <c r="V43" s="97" t="s">
        <v>110</v>
      </c>
      <c r="W43" s="97" t="s">
        <v>110</v>
      </c>
      <c r="X43" s="97" t="s">
        <v>110</v>
      </c>
      <c r="Y43" s="97" t="s">
        <v>110</v>
      </c>
      <c r="Z43" s="97" t="s">
        <v>110</v>
      </c>
      <c r="AA43" s="97" t="s">
        <v>110</v>
      </c>
      <c r="AB43" s="97" t="s">
        <v>110</v>
      </c>
      <c r="AC43" s="97" t="s">
        <v>110</v>
      </c>
      <c r="AD43" s="97" t="s">
        <v>110</v>
      </c>
      <c r="AE43" s="97" t="s">
        <v>110</v>
      </c>
      <c r="AF43" s="97" t="s">
        <v>110</v>
      </c>
      <c r="AG43" s="97" t="s">
        <v>110</v>
      </c>
      <c r="AH43" s="97" t="s">
        <v>110</v>
      </c>
      <c r="AI43" s="508"/>
    </row>
    <row r="44" spans="1:35" ht="13" customHeight="1">
      <c r="A44" s="509"/>
      <c r="B44" s="509"/>
      <c r="C44" s="520"/>
      <c r="D44" s="521"/>
      <c r="E44" s="98">
        <v>0.33333333333333331</v>
      </c>
      <c r="F44" s="98">
        <v>0.33333333333333331</v>
      </c>
      <c r="G44" s="98">
        <v>0.33333333333333331</v>
      </c>
      <c r="H44" s="98">
        <v>0.33333333333333331</v>
      </c>
      <c r="I44" s="98">
        <v>0.33333333333333331</v>
      </c>
      <c r="J44" s="98">
        <v>0.33333333333333331</v>
      </c>
      <c r="K44" s="98">
        <v>0.33333333333333331</v>
      </c>
      <c r="L44" s="98">
        <v>0.33333333333333331</v>
      </c>
      <c r="M44" s="98">
        <v>0.33333333333333331</v>
      </c>
      <c r="N44" s="98">
        <v>0.33333333333333331</v>
      </c>
      <c r="O44" s="98">
        <v>0.33333333333333331</v>
      </c>
      <c r="P44" s="98">
        <v>0.33333333333333331</v>
      </c>
      <c r="Q44" s="98">
        <v>0.33333333333333331</v>
      </c>
      <c r="R44" s="98">
        <v>0.33333333333333331</v>
      </c>
      <c r="S44" s="98">
        <v>0.33333333333333331</v>
      </c>
      <c r="T44" s="98">
        <v>0.33333333333333331</v>
      </c>
      <c r="U44" s="98">
        <v>0.33333333333333331</v>
      </c>
      <c r="V44" s="98">
        <v>0.33333333333333331</v>
      </c>
      <c r="W44" s="98">
        <v>0.33333333333333331</v>
      </c>
      <c r="X44" s="98">
        <v>0.33333333333333331</v>
      </c>
      <c r="Y44" s="98">
        <v>0.33333333333333331</v>
      </c>
      <c r="Z44" s="98">
        <v>0.33333333333333331</v>
      </c>
      <c r="AA44" s="98">
        <v>0.33333333333333331</v>
      </c>
      <c r="AB44" s="98">
        <v>0.33333333333333331</v>
      </c>
      <c r="AC44" s="98">
        <v>0.33333333333333331</v>
      </c>
      <c r="AD44" s="98">
        <v>0.33333333333333331</v>
      </c>
      <c r="AE44" s="98">
        <v>0.33333333333333331</v>
      </c>
      <c r="AF44" s="98">
        <v>0.33333333333333331</v>
      </c>
      <c r="AG44" s="98">
        <v>0.33333333333333331</v>
      </c>
      <c r="AH44" s="98">
        <v>0.33333333333333331</v>
      </c>
      <c r="AI44" s="509"/>
    </row>
    <row r="45" spans="1:35" ht="15" customHeight="1">
      <c r="A45" s="2">
        <v>1</v>
      </c>
      <c r="B45" s="2" t="s">
        <v>129</v>
      </c>
      <c r="C45" s="503" t="s">
        <v>111</v>
      </c>
      <c r="D45" s="501"/>
      <c r="E45" s="20">
        <f t="shared" ref="E45:AH45" si="4">E7-D7</f>
        <v>341</v>
      </c>
      <c r="F45" s="20">
        <f t="shared" si="4"/>
        <v>238</v>
      </c>
      <c r="G45" s="20">
        <f t="shared" si="4"/>
        <v>255</v>
      </c>
      <c r="H45" s="20">
        <f t="shared" si="4"/>
        <v>248</v>
      </c>
      <c r="I45" s="20">
        <f t="shared" si="4"/>
        <v>239</v>
      </c>
      <c r="J45" s="20">
        <f t="shared" si="4"/>
        <v>206</v>
      </c>
      <c r="K45" s="20">
        <f t="shared" si="4"/>
        <v>200</v>
      </c>
      <c r="L45" s="20">
        <f t="shared" si="4"/>
        <v>276</v>
      </c>
      <c r="M45" s="20">
        <f t="shared" si="4"/>
        <v>241</v>
      </c>
      <c r="N45" s="20">
        <f t="shared" si="4"/>
        <v>245</v>
      </c>
      <c r="O45" s="20">
        <f t="shared" si="4"/>
        <v>250</v>
      </c>
      <c r="P45" s="20">
        <f t="shared" si="4"/>
        <v>225</v>
      </c>
      <c r="Q45" s="20">
        <f t="shared" si="4"/>
        <v>256</v>
      </c>
      <c r="R45" s="20">
        <f t="shared" si="4"/>
        <v>198</v>
      </c>
      <c r="S45" s="20">
        <f t="shared" si="4"/>
        <v>246</v>
      </c>
      <c r="T45" s="20">
        <f t="shared" si="4"/>
        <v>238</v>
      </c>
      <c r="U45" s="20">
        <f t="shared" si="4"/>
        <v>246</v>
      </c>
      <c r="V45" s="20">
        <f t="shared" si="4"/>
        <v>249</v>
      </c>
      <c r="W45" s="20">
        <f t="shared" si="4"/>
        <v>253</v>
      </c>
      <c r="X45" s="20">
        <f t="shared" si="4"/>
        <v>180</v>
      </c>
      <c r="Y45" s="20">
        <f t="shared" si="4"/>
        <v>204</v>
      </c>
      <c r="Z45" s="20">
        <f t="shared" si="4"/>
        <v>248</v>
      </c>
      <c r="AA45" s="20">
        <f t="shared" si="4"/>
        <v>253</v>
      </c>
      <c r="AB45" s="20">
        <f t="shared" si="4"/>
        <v>249</v>
      </c>
      <c r="AC45" s="20">
        <f t="shared" si="4"/>
        <v>229</v>
      </c>
      <c r="AD45" s="20">
        <f t="shared" si="4"/>
        <v>236</v>
      </c>
      <c r="AE45" s="20">
        <f t="shared" si="4"/>
        <v>219</v>
      </c>
      <c r="AF45" s="20">
        <f t="shared" si="4"/>
        <v>190</v>
      </c>
      <c r="AG45" s="20">
        <f t="shared" si="4"/>
        <v>242</v>
      </c>
      <c r="AH45" s="20">
        <f t="shared" si="4"/>
        <v>139</v>
      </c>
      <c r="AI45" s="21">
        <f t="shared" ref="AI45:AI62" si="5">SUM(E45:AH45)</f>
        <v>7039</v>
      </c>
    </row>
    <row r="46" spans="1:35" ht="15" customHeight="1">
      <c r="A46" s="2"/>
      <c r="B46" s="2"/>
      <c r="C46" s="531" t="s">
        <v>22</v>
      </c>
      <c r="D46" s="501"/>
      <c r="E46" s="20">
        <f t="shared" ref="E46:AH46" si="6">E8-D8</f>
        <v>0</v>
      </c>
      <c r="F46" s="20">
        <f t="shared" si="6"/>
        <v>0</v>
      </c>
      <c r="G46" s="20">
        <f t="shared" si="6"/>
        <v>6</v>
      </c>
      <c r="H46" s="20">
        <f t="shared" si="6"/>
        <v>0</v>
      </c>
      <c r="I46" s="20">
        <f t="shared" si="6"/>
        <v>0</v>
      </c>
      <c r="J46" s="20">
        <f t="shared" si="6"/>
        <v>0</v>
      </c>
      <c r="K46" s="20">
        <f t="shared" si="6"/>
        <v>0</v>
      </c>
      <c r="L46" s="20">
        <f t="shared" si="6"/>
        <v>0</v>
      </c>
      <c r="M46" s="20">
        <f t="shared" si="6"/>
        <v>2</v>
      </c>
      <c r="N46" s="20">
        <f t="shared" si="6"/>
        <v>10</v>
      </c>
      <c r="O46" s="20">
        <f t="shared" si="6"/>
        <v>0</v>
      </c>
      <c r="P46" s="20">
        <f t="shared" si="6"/>
        <v>0</v>
      </c>
      <c r="Q46" s="20">
        <f t="shared" si="6"/>
        <v>0</v>
      </c>
      <c r="R46" s="20">
        <f t="shared" si="6"/>
        <v>5</v>
      </c>
      <c r="S46" s="20">
        <f t="shared" si="6"/>
        <v>3</v>
      </c>
      <c r="T46" s="20">
        <f t="shared" si="6"/>
        <v>0</v>
      </c>
      <c r="U46" s="20">
        <f t="shared" si="6"/>
        <v>0</v>
      </c>
      <c r="V46" s="20">
        <f t="shared" si="6"/>
        <v>0</v>
      </c>
      <c r="W46" s="20">
        <f t="shared" si="6"/>
        <v>0</v>
      </c>
      <c r="X46" s="20">
        <f t="shared" si="6"/>
        <v>0</v>
      </c>
      <c r="Y46" s="20">
        <f t="shared" si="6"/>
        <v>0</v>
      </c>
      <c r="Z46" s="20">
        <f t="shared" si="6"/>
        <v>0</v>
      </c>
      <c r="AA46" s="20">
        <f t="shared" si="6"/>
        <v>2</v>
      </c>
      <c r="AB46" s="20">
        <f t="shared" si="6"/>
        <v>0</v>
      </c>
      <c r="AC46" s="20">
        <f t="shared" si="6"/>
        <v>2</v>
      </c>
      <c r="AD46" s="20">
        <f t="shared" si="6"/>
        <v>11</v>
      </c>
      <c r="AE46" s="20">
        <f t="shared" si="6"/>
        <v>4</v>
      </c>
      <c r="AF46" s="20">
        <f t="shared" si="6"/>
        <v>0</v>
      </c>
      <c r="AG46" s="20">
        <f t="shared" si="6"/>
        <v>0</v>
      </c>
      <c r="AH46" s="20">
        <f t="shared" si="6"/>
        <v>5</v>
      </c>
      <c r="AI46" s="21">
        <f t="shared" si="5"/>
        <v>50</v>
      </c>
    </row>
    <row r="47" spans="1:35" ht="15" customHeight="1">
      <c r="A47" s="2">
        <v>2</v>
      </c>
      <c r="B47" s="2" t="s">
        <v>129</v>
      </c>
      <c r="C47" s="503" t="s">
        <v>112</v>
      </c>
      <c r="D47" s="501"/>
      <c r="E47" s="20">
        <f t="shared" ref="E47:AH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0">
        <f t="shared" si="7"/>
        <v>0</v>
      </c>
      <c r="AH47" s="20">
        <f t="shared" si="7"/>
        <v>0</v>
      </c>
      <c r="AI47" s="21">
        <f t="shared" si="5"/>
        <v>0</v>
      </c>
    </row>
    <row r="48" spans="1:35" ht="15" customHeight="1">
      <c r="A48" s="2"/>
      <c r="B48" s="2"/>
      <c r="C48" s="531" t="s">
        <v>22</v>
      </c>
      <c r="D48" s="501"/>
      <c r="E48" s="20">
        <f t="shared" ref="E48:AH48" si="8">E10-D10</f>
        <v>0</v>
      </c>
      <c r="F48" s="20">
        <f t="shared" si="8"/>
        <v>0</v>
      </c>
      <c r="G48" s="20">
        <f t="shared" si="8"/>
        <v>0</v>
      </c>
      <c r="H48" s="20">
        <f t="shared" si="8"/>
        <v>0</v>
      </c>
      <c r="I48" s="20">
        <f t="shared" si="8"/>
        <v>0</v>
      </c>
      <c r="J48" s="20">
        <f t="shared" si="8"/>
        <v>0</v>
      </c>
      <c r="K48" s="20">
        <f t="shared" si="8"/>
        <v>0</v>
      </c>
      <c r="L48" s="20">
        <f t="shared" si="8"/>
        <v>0</v>
      </c>
      <c r="M48" s="20">
        <f t="shared" si="8"/>
        <v>0</v>
      </c>
      <c r="N48" s="20">
        <f t="shared" si="8"/>
        <v>0</v>
      </c>
      <c r="O48" s="20">
        <f t="shared" si="8"/>
        <v>0</v>
      </c>
      <c r="P48" s="20">
        <f t="shared" si="8"/>
        <v>0</v>
      </c>
      <c r="Q48" s="20">
        <f t="shared" si="8"/>
        <v>0</v>
      </c>
      <c r="R48" s="20">
        <f t="shared" si="8"/>
        <v>0</v>
      </c>
      <c r="S48" s="20">
        <f t="shared" si="8"/>
        <v>0</v>
      </c>
      <c r="T48" s="20">
        <f t="shared" si="8"/>
        <v>0</v>
      </c>
      <c r="U48" s="20">
        <f t="shared" si="8"/>
        <v>0</v>
      </c>
      <c r="V48" s="20">
        <f t="shared" si="8"/>
        <v>0</v>
      </c>
      <c r="W48" s="20">
        <f t="shared" si="8"/>
        <v>0</v>
      </c>
      <c r="X48" s="20">
        <f t="shared" si="8"/>
        <v>0</v>
      </c>
      <c r="Y48" s="20">
        <f t="shared" si="8"/>
        <v>0</v>
      </c>
      <c r="Z48" s="20">
        <f t="shared" si="8"/>
        <v>0</v>
      </c>
      <c r="AA48" s="20">
        <f t="shared" si="8"/>
        <v>0</v>
      </c>
      <c r="AB48" s="20">
        <f t="shared" si="8"/>
        <v>0</v>
      </c>
      <c r="AC48" s="20">
        <f t="shared" si="8"/>
        <v>0</v>
      </c>
      <c r="AD48" s="20">
        <f t="shared" si="8"/>
        <v>0</v>
      </c>
      <c r="AE48" s="20">
        <f t="shared" si="8"/>
        <v>0</v>
      </c>
      <c r="AF48" s="20">
        <f t="shared" si="8"/>
        <v>0</v>
      </c>
      <c r="AG48" s="20">
        <f t="shared" si="8"/>
        <v>0</v>
      </c>
      <c r="AH48" s="20">
        <f t="shared" si="8"/>
        <v>0</v>
      </c>
      <c r="AI48" s="21">
        <f t="shared" si="5"/>
        <v>0</v>
      </c>
    </row>
    <row r="49" spans="1:37" ht="15" customHeight="1">
      <c r="A49" s="2">
        <v>3</v>
      </c>
      <c r="B49" s="2" t="s">
        <v>129</v>
      </c>
      <c r="C49" s="503" t="s">
        <v>113</v>
      </c>
      <c r="D49" s="501"/>
      <c r="E49" s="20">
        <f t="shared" ref="E49:AH49" si="9">E11-D11</f>
        <v>463</v>
      </c>
      <c r="F49" s="20">
        <f t="shared" si="9"/>
        <v>331</v>
      </c>
      <c r="G49" s="20">
        <f t="shared" si="9"/>
        <v>366</v>
      </c>
      <c r="H49" s="20">
        <f t="shared" si="9"/>
        <v>354</v>
      </c>
      <c r="I49" s="20">
        <f t="shared" si="9"/>
        <v>331</v>
      </c>
      <c r="J49" s="20">
        <f t="shared" si="9"/>
        <v>279</v>
      </c>
      <c r="K49" s="20">
        <f t="shared" si="9"/>
        <v>284</v>
      </c>
      <c r="L49" s="20">
        <f t="shared" si="9"/>
        <v>363</v>
      </c>
      <c r="M49" s="20">
        <f t="shared" si="9"/>
        <v>342</v>
      </c>
      <c r="N49" s="20">
        <f t="shared" si="9"/>
        <v>343</v>
      </c>
      <c r="O49" s="20">
        <f t="shared" si="9"/>
        <v>349</v>
      </c>
      <c r="P49" s="20">
        <f t="shared" si="9"/>
        <v>316</v>
      </c>
      <c r="Q49" s="20">
        <f t="shared" si="9"/>
        <v>252</v>
      </c>
      <c r="R49" s="20">
        <f t="shared" si="9"/>
        <v>252</v>
      </c>
      <c r="S49" s="20">
        <f t="shared" si="9"/>
        <v>344</v>
      </c>
      <c r="T49" s="20">
        <f t="shared" si="9"/>
        <v>337</v>
      </c>
      <c r="U49" s="20">
        <f t="shared" si="9"/>
        <v>349</v>
      </c>
      <c r="V49" s="20">
        <f t="shared" si="9"/>
        <v>341</v>
      </c>
      <c r="W49" s="20">
        <f t="shared" si="9"/>
        <v>346</v>
      </c>
      <c r="X49" s="20">
        <f t="shared" si="9"/>
        <v>235</v>
      </c>
      <c r="Y49" s="20">
        <f t="shared" si="9"/>
        <v>257</v>
      </c>
      <c r="Z49" s="20">
        <f t="shared" si="9"/>
        <v>349</v>
      </c>
      <c r="AA49" s="20">
        <f t="shared" si="9"/>
        <v>358</v>
      </c>
      <c r="AB49" s="20">
        <f t="shared" si="9"/>
        <v>354</v>
      </c>
      <c r="AC49" s="20">
        <f t="shared" si="9"/>
        <v>311</v>
      </c>
      <c r="AD49" s="20">
        <f t="shared" si="9"/>
        <v>331</v>
      </c>
      <c r="AE49" s="20">
        <f t="shared" si="9"/>
        <v>287</v>
      </c>
      <c r="AF49" s="20">
        <f t="shared" si="9"/>
        <v>245</v>
      </c>
      <c r="AG49" s="20">
        <f t="shared" si="9"/>
        <v>342</v>
      </c>
      <c r="AH49" s="20">
        <f t="shared" si="9"/>
        <v>198</v>
      </c>
      <c r="AI49" s="21">
        <f t="shared" si="5"/>
        <v>9609</v>
      </c>
    </row>
    <row r="50" spans="1:37" ht="15" customHeight="1">
      <c r="A50" s="2"/>
      <c r="B50" s="2"/>
      <c r="C50" s="531" t="s">
        <v>22</v>
      </c>
      <c r="D50" s="501"/>
      <c r="E50" s="20">
        <f t="shared" ref="E50:AH50" si="10">E12-D12</f>
        <v>0</v>
      </c>
      <c r="F50" s="20">
        <f t="shared" si="10"/>
        <v>0</v>
      </c>
      <c r="G50" s="20">
        <f t="shared" si="10"/>
        <v>9</v>
      </c>
      <c r="H50" s="20">
        <f t="shared" si="10"/>
        <v>0</v>
      </c>
      <c r="I50" s="20">
        <f t="shared" si="10"/>
        <v>0</v>
      </c>
      <c r="J50" s="20">
        <f t="shared" si="10"/>
        <v>0</v>
      </c>
      <c r="K50" s="20">
        <f t="shared" si="10"/>
        <v>0</v>
      </c>
      <c r="L50" s="20">
        <f t="shared" si="10"/>
        <v>0</v>
      </c>
      <c r="M50" s="20">
        <f t="shared" si="10"/>
        <v>2</v>
      </c>
      <c r="N50" s="20">
        <f t="shared" si="10"/>
        <v>16</v>
      </c>
      <c r="O50" s="20">
        <f t="shared" si="10"/>
        <v>0</v>
      </c>
      <c r="P50" s="20">
        <f t="shared" si="10"/>
        <v>0</v>
      </c>
      <c r="Q50" s="20">
        <f t="shared" si="10"/>
        <v>0</v>
      </c>
      <c r="R50" s="20">
        <f t="shared" si="10"/>
        <v>6</v>
      </c>
      <c r="S50" s="20">
        <f t="shared" si="10"/>
        <v>5</v>
      </c>
      <c r="T50" s="20">
        <f t="shared" si="10"/>
        <v>0</v>
      </c>
      <c r="U50" s="20">
        <f t="shared" si="10"/>
        <v>0</v>
      </c>
      <c r="V50" s="20">
        <f t="shared" si="10"/>
        <v>0</v>
      </c>
      <c r="W50" s="20">
        <f t="shared" si="10"/>
        <v>0</v>
      </c>
      <c r="X50" s="20">
        <f t="shared" si="10"/>
        <v>0</v>
      </c>
      <c r="Y50" s="20">
        <f t="shared" si="10"/>
        <v>0</v>
      </c>
      <c r="Z50" s="20">
        <f t="shared" si="10"/>
        <v>0</v>
      </c>
      <c r="AA50" s="20">
        <f t="shared" si="10"/>
        <v>2</v>
      </c>
      <c r="AB50" s="20">
        <f t="shared" si="10"/>
        <v>0</v>
      </c>
      <c r="AC50" s="20">
        <f t="shared" si="10"/>
        <v>3</v>
      </c>
      <c r="AD50" s="20">
        <f t="shared" si="10"/>
        <v>16</v>
      </c>
      <c r="AE50" s="20">
        <f t="shared" si="10"/>
        <v>5</v>
      </c>
      <c r="AF50" s="20">
        <f t="shared" si="10"/>
        <v>0</v>
      </c>
      <c r="AG50" s="20">
        <f t="shared" si="10"/>
        <v>0</v>
      </c>
      <c r="AH50" s="20">
        <f t="shared" si="10"/>
        <v>7</v>
      </c>
      <c r="AI50" s="21">
        <f t="shared" si="5"/>
        <v>71</v>
      </c>
    </row>
    <row r="51" spans="1:37" ht="15" customHeight="1">
      <c r="A51" s="2">
        <v>4</v>
      </c>
      <c r="B51" s="2" t="s">
        <v>129</v>
      </c>
      <c r="C51" s="503" t="s">
        <v>114</v>
      </c>
      <c r="D51" s="501"/>
      <c r="E51" s="20">
        <f t="shared" ref="E51:AH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0">
        <f t="shared" si="11"/>
        <v>0</v>
      </c>
      <c r="AH51" s="20">
        <f t="shared" si="11"/>
        <v>0</v>
      </c>
      <c r="AI51" s="21">
        <f t="shared" si="5"/>
        <v>0</v>
      </c>
    </row>
    <row r="52" spans="1:37" ht="15" customHeight="1">
      <c r="A52" s="2"/>
      <c r="B52" s="2"/>
      <c r="C52" s="531" t="s">
        <v>22</v>
      </c>
      <c r="D52" s="501"/>
      <c r="E52" s="20">
        <f t="shared" ref="E52:AH52" si="12">E14-D14</f>
        <v>0</v>
      </c>
      <c r="F52" s="20">
        <f t="shared" si="12"/>
        <v>0</v>
      </c>
      <c r="G52" s="20">
        <f t="shared" si="12"/>
        <v>0</v>
      </c>
      <c r="H52" s="20">
        <f t="shared" si="12"/>
        <v>0</v>
      </c>
      <c r="I52" s="20">
        <f t="shared" si="12"/>
        <v>0</v>
      </c>
      <c r="J52" s="20">
        <f t="shared" si="12"/>
        <v>0</v>
      </c>
      <c r="K52" s="20">
        <f t="shared" si="12"/>
        <v>0</v>
      </c>
      <c r="L52" s="20">
        <f t="shared" si="12"/>
        <v>0</v>
      </c>
      <c r="M52" s="20">
        <f t="shared" si="12"/>
        <v>0</v>
      </c>
      <c r="N52" s="20">
        <f t="shared" si="12"/>
        <v>0</v>
      </c>
      <c r="O52" s="20">
        <f t="shared" si="12"/>
        <v>0</v>
      </c>
      <c r="P52" s="20">
        <f t="shared" si="12"/>
        <v>0</v>
      </c>
      <c r="Q52" s="20">
        <f t="shared" si="12"/>
        <v>0</v>
      </c>
      <c r="R52" s="20">
        <f t="shared" si="12"/>
        <v>0</v>
      </c>
      <c r="S52" s="20">
        <f t="shared" si="12"/>
        <v>0</v>
      </c>
      <c r="T52" s="20">
        <f t="shared" si="12"/>
        <v>0</v>
      </c>
      <c r="U52" s="20">
        <f t="shared" si="12"/>
        <v>0</v>
      </c>
      <c r="V52" s="20">
        <f t="shared" si="12"/>
        <v>0</v>
      </c>
      <c r="W52" s="20">
        <f t="shared" si="12"/>
        <v>0</v>
      </c>
      <c r="X52" s="20">
        <f t="shared" si="12"/>
        <v>0</v>
      </c>
      <c r="Y52" s="20">
        <f t="shared" si="12"/>
        <v>0</v>
      </c>
      <c r="Z52" s="20">
        <f t="shared" si="12"/>
        <v>0</v>
      </c>
      <c r="AA52" s="20">
        <f t="shared" si="12"/>
        <v>0</v>
      </c>
      <c r="AB52" s="20">
        <f t="shared" si="12"/>
        <v>0</v>
      </c>
      <c r="AC52" s="20">
        <f t="shared" si="12"/>
        <v>0</v>
      </c>
      <c r="AD52" s="20">
        <f t="shared" si="12"/>
        <v>0</v>
      </c>
      <c r="AE52" s="20">
        <f t="shared" si="12"/>
        <v>0</v>
      </c>
      <c r="AF52" s="20">
        <f t="shared" si="12"/>
        <v>0</v>
      </c>
      <c r="AG52" s="20">
        <f t="shared" si="12"/>
        <v>0</v>
      </c>
      <c r="AH52" s="20">
        <f t="shared" si="12"/>
        <v>0</v>
      </c>
      <c r="AI52" s="21">
        <f t="shared" si="5"/>
        <v>0</v>
      </c>
    </row>
    <row r="53" spans="1:37" ht="15" customHeight="1">
      <c r="A53" s="2">
        <v>5</v>
      </c>
      <c r="B53" s="2" t="s">
        <v>129</v>
      </c>
      <c r="C53" s="503" t="s">
        <v>115</v>
      </c>
      <c r="D53" s="501"/>
      <c r="E53" s="20">
        <f t="shared" ref="E53:AH53" si="13">E15-D15</f>
        <v>240</v>
      </c>
      <c r="F53" s="20">
        <f t="shared" si="13"/>
        <v>175</v>
      </c>
      <c r="G53" s="20">
        <f t="shared" si="13"/>
        <v>168</v>
      </c>
      <c r="H53" s="20">
        <f t="shared" si="13"/>
        <v>169</v>
      </c>
      <c r="I53" s="20">
        <f t="shared" si="13"/>
        <v>159</v>
      </c>
      <c r="J53" s="20">
        <f t="shared" si="13"/>
        <v>117</v>
      </c>
      <c r="K53" s="20">
        <f t="shared" si="13"/>
        <v>112</v>
      </c>
      <c r="L53" s="20">
        <f t="shared" si="13"/>
        <v>168</v>
      </c>
      <c r="M53" s="20">
        <f t="shared" si="13"/>
        <v>157</v>
      </c>
      <c r="N53" s="20">
        <f t="shared" si="13"/>
        <v>163</v>
      </c>
      <c r="O53" s="20">
        <f t="shared" si="13"/>
        <v>163</v>
      </c>
      <c r="P53" s="20">
        <f t="shared" si="13"/>
        <v>157</v>
      </c>
      <c r="Q53" s="20">
        <f t="shared" si="13"/>
        <v>105</v>
      </c>
      <c r="R53" s="20">
        <f t="shared" si="13"/>
        <v>111</v>
      </c>
      <c r="S53" s="20">
        <f t="shared" si="13"/>
        <v>170</v>
      </c>
      <c r="T53" s="20">
        <f t="shared" si="13"/>
        <v>167</v>
      </c>
      <c r="U53" s="20">
        <f t="shared" si="13"/>
        <v>171</v>
      </c>
      <c r="V53" s="20">
        <f t="shared" si="13"/>
        <v>159</v>
      </c>
      <c r="W53" s="20">
        <f t="shared" si="13"/>
        <v>150</v>
      </c>
      <c r="X53" s="20">
        <f t="shared" si="13"/>
        <v>90</v>
      </c>
      <c r="Y53" s="20">
        <f t="shared" si="13"/>
        <v>109</v>
      </c>
      <c r="Z53" s="20">
        <f t="shared" si="13"/>
        <v>166</v>
      </c>
      <c r="AA53" s="20">
        <f t="shared" si="13"/>
        <v>149</v>
      </c>
      <c r="AB53" s="20">
        <f t="shared" si="13"/>
        <v>173</v>
      </c>
      <c r="AC53" s="20">
        <f t="shared" si="13"/>
        <v>152</v>
      </c>
      <c r="AD53" s="20">
        <f t="shared" si="13"/>
        <v>150</v>
      </c>
      <c r="AE53" s="20">
        <f t="shared" si="13"/>
        <v>114</v>
      </c>
      <c r="AF53" s="20">
        <f t="shared" si="13"/>
        <v>114</v>
      </c>
      <c r="AG53" s="20">
        <f t="shared" si="13"/>
        <v>157</v>
      </c>
      <c r="AH53" s="20">
        <f t="shared" si="13"/>
        <v>83</v>
      </c>
      <c r="AI53" s="21">
        <f t="shared" si="5"/>
        <v>4438</v>
      </c>
    </row>
    <row r="54" spans="1:37" ht="15" customHeight="1">
      <c r="A54" s="2"/>
      <c r="B54" s="2"/>
      <c r="C54" s="531" t="s">
        <v>22</v>
      </c>
      <c r="D54" s="501"/>
      <c r="E54" s="20">
        <f t="shared" ref="E54:AH54" si="14">E16-D16</f>
        <v>0</v>
      </c>
      <c r="F54" s="20">
        <f t="shared" si="14"/>
        <v>0</v>
      </c>
      <c r="G54" s="20">
        <f t="shared" si="14"/>
        <v>4</v>
      </c>
      <c r="H54" s="20">
        <f t="shared" si="14"/>
        <v>0</v>
      </c>
      <c r="I54" s="20">
        <f t="shared" si="14"/>
        <v>0</v>
      </c>
      <c r="J54" s="20">
        <f t="shared" si="14"/>
        <v>0</v>
      </c>
      <c r="K54" s="20">
        <f t="shared" si="14"/>
        <v>0</v>
      </c>
      <c r="L54" s="20">
        <f t="shared" si="14"/>
        <v>0</v>
      </c>
      <c r="M54" s="20">
        <f t="shared" si="14"/>
        <v>1</v>
      </c>
      <c r="N54" s="20">
        <f t="shared" si="14"/>
        <v>10</v>
      </c>
      <c r="O54" s="20">
        <f t="shared" si="14"/>
        <v>0</v>
      </c>
      <c r="P54" s="20">
        <f t="shared" si="14"/>
        <v>0</v>
      </c>
      <c r="Q54" s="20">
        <f t="shared" si="14"/>
        <v>0</v>
      </c>
      <c r="R54" s="20">
        <f t="shared" si="14"/>
        <v>3</v>
      </c>
      <c r="S54" s="20">
        <f t="shared" si="14"/>
        <v>3</v>
      </c>
      <c r="T54" s="20">
        <f t="shared" si="14"/>
        <v>0</v>
      </c>
      <c r="U54" s="20">
        <f t="shared" si="14"/>
        <v>0</v>
      </c>
      <c r="V54" s="20">
        <f t="shared" si="14"/>
        <v>0</v>
      </c>
      <c r="W54" s="20">
        <f t="shared" si="14"/>
        <v>0</v>
      </c>
      <c r="X54" s="20">
        <f t="shared" si="14"/>
        <v>0</v>
      </c>
      <c r="Y54" s="20">
        <f t="shared" si="14"/>
        <v>0</v>
      </c>
      <c r="Z54" s="20">
        <f t="shared" si="14"/>
        <v>0</v>
      </c>
      <c r="AA54" s="20">
        <f t="shared" si="14"/>
        <v>1</v>
      </c>
      <c r="AB54" s="20">
        <f t="shared" si="14"/>
        <v>0</v>
      </c>
      <c r="AC54" s="20">
        <f t="shared" si="14"/>
        <v>2</v>
      </c>
      <c r="AD54" s="20">
        <f t="shared" si="14"/>
        <v>8</v>
      </c>
      <c r="AE54" s="20">
        <f t="shared" si="14"/>
        <v>2</v>
      </c>
      <c r="AF54" s="20">
        <f t="shared" si="14"/>
        <v>0</v>
      </c>
      <c r="AG54" s="20">
        <f t="shared" si="14"/>
        <v>0</v>
      </c>
      <c r="AH54" s="20">
        <f t="shared" si="14"/>
        <v>3</v>
      </c>
      <c r="AI54" s="105">
        <f t="shared" si="5"/>
        <v>37</v>
      </c>
    </row>
    <row r="55" spans="1:37" ht="15" customHeight="1">
      <c r="A55" s="2">
        <v>6</v>
      </c>
      <c r="B55" s="2" t="s">
        <v>129</v>
      </c>
      <c r="C55" s="503" t="s">
        <v>116</v>
      </c>
      <c r="D55" s="501"/>
      <c r="E55" s="20">
        <f t="shared" ref="E55:AH55" si="15">E17-D17</f>
        <v>233</v>
      </c>
      <c r="F55" s="20">
        <f t="shared" si="15"/>
        <v>213</v>
      </c>
      <c r="G55" s="20">
        <f t="shared" si="15"/>
        <v>210</v>
      </c>
      <c r="H55" s="20">
        <f t="shared" si="15"/>
        <v>253</v>
      </c>
      <c r="I55" s="20">
        <f t="shared" si="15"/>
        <v>245</v>
      </c>
      <c r="J55" s="20">
        <f t="shared" si="15"/>
        <v>160</v>
      </c>
      <c r="K55" s="20">
        <f t="shared" si="15"/>
        <v>133</v>
      </c>
      <c r="L55" s="20">
        <f t="shared" si="15"/>
        <v>255</v>
      </c>
      <c r="M55" s="20">
        <f t="shared" si="15"/>
        <v>243</v>
      </c>
      <c r="N55" s="20">
        <f t="shared" si="15"/>
        <v>228</v>
      </c>
      <c r="O55" s="20">
        <f t="shared" si="15"/>
        <v>252</v>
      </c>
      <c r="P55" s="20">
        <f t="shared" si="15"/>
        <v>262</v>
      </c>
      <c r="Q55" s="20">
        <f t="shared" si="15"/>
        <v>136</v>
      </c>
      <c r="R55" s="20">
        <f t="shared" si="15"/>
        <v>135</v>
      </c>
      <c r="S55" s="20">
        <f t="shared" si="15"/>
        <v>239</v>
      </c>
      <c r="T55" s="20">
        <f t="shared" si="15"/>
        <v>226</v>
      </c>
      <c r="U55" s="20">
        <f t="shared" si="15"/>
        <v>223</v>
      </c>
      <c r="V55" s="20">
        <f t="shared" si="15"/>
        <v>234</v>
      </c>
      <c r="W55" s="20">
        <f t="shared" si="15"/>
        <v>256</v>
      </c>
      <c r="X55" s="20">
        <f t="shared" si="15"/>
        <v>126</v>
      </c>
      <c r="Y55" s="20">
        <f t="shared" si="15"/>
        <v>141</v>
      </c>
      <c r="Z55" s="20">
        <f t="shared" si="15"/>
        <v>259</v>
      </c>
      <c r="AA55" s="20">
        <f t="shared" si="15"/>
        <v>265</v>
      </c>
      <c r="AB55" s="20">
        <f t="shared" si="15"/>
        <v>278</v>
      </c>
      <c r="AC55" s="20">
        <f t="shared" si="15"/>
        <v>274</v>
      </c>
      <c r="AD55" s="20">
        <f t="shared" si="15"/>
        <v>263</v>
      </c>
      <c r="AE55" s="20">
        <f t="shared" si="15"/>
        <v>178</v>
      </c>
      <c r="AF55" s="20">
        <f t="shared" si="15"/>
        <v>166</v>
      </c>
      <c r="AG55" s="20">
        <f t="shared" si="15"/>
        <v>286</v>
      </c>
      <c r="AH55" s="20">
        <f t="shared" si="15"/>
        <v>147</v>
      </c>
      <c r="AI55" s="105">
        <f t="shared" si="5"/>
        <v>6519</v>
      </c>
      <c r="AJ55" s="115" t="s">
        <v>20</v>
      </c>
      <c r="AK55" s="116">
        <f>AI61</f>
        <v>52458</v>
      </c>
    </row>
    <row r="56" spans="1:37" ht="15" customHeight="1">
      <c r="A56" s="2"/>
      <c r="B56" s="2"/>
      <c r="C56" s="531" t="s">
        <v>22</v>
      </c>
      <c r="D56" s="501"/>
      <c r="E56" s="20">
        <f t="shared" ref="E56:AH56" si="16">E18-D18</f>
        <v>0</v>
      </c>
      <c r="F56" s="20">
        <f t="shared" si="16"/>
        <v>0</v>
      </c>
      <c r="G56" s="20">
        <f t="shared" si="16"/>
        <v>5</v>
      </c>
      <c r="H56" s="20">
        <f t="shared" si="16"/>
        <v>0</v>
      </c>
      <c r="I56" s="20">
        <f t="shared" si="16"/>
        <v>0</v>
      </c>
      <c r="J56" s="20">
        <f t="shared" si="16"/>
        <v>0</v>
      </c>
      <c r="K56" s="20">
        <f t="shared" si="16"/>
        <v>0</v>
      </c>
      <c r="L56" s="20">
        <f t="shared" si="16"/>
        <v>0</v>
      </c>
      <c r="M56" s="20">
        <f t="shared" si="16"/>
        <v>0</v>
      </c>
      <c r="N56" s="20">
        <f t="shared" si="16"/>
        <v>16</v>
      </c>
      <c r="O56" s="20">
        <f t="shared" si="16"/>
        <v>0</v>
      </c>
      <c r="P56" s="20">
        <f t="shared" si="16"/>
        <v>0</v>
      </c>
      <c r="Q56" s="20">
        <f t="shared" si="16"/>
        <v>0</v>
      </c>
      <c r="R56" s="20">
        <f t="shared" si="16"/>
        <v>5</v>
      </c>
      <c r="S56" s="20">
        <f t="shared" si="16"/>
        <v>3</v>
      </c>
      <c r="T56" s="20">
        <f t="shared" si="16"/>
        <v>0</v>
      </c>
      <c r="U56" s="20">
        <f t="shared" si="16"/>
        <v>0</v>
      </c>
      <c r="V56" s="20">
        <f t="shared" si="16"/>
        <v>0</v>
      </c>
      <c r="W56" s="20">
        <f t="shared" si="16"/>
        <v>0</v>
      </c>
      <c r="X56" s="20">
        <f t="shared" si="16"/>
        <v>0</v>
      </c>
      <c r="Y56" s="20">
        <f t="shared" si="16"/>
        <v>0</v>
      </c>
      <c r="Z56" s="20">
        <f t="shared" si="16"/>
        <v>0</v>
      </c>
      <c r="AA56" s="20">
        <f t="shared" si="16"/>
        <v>2</v>
      </c>
      <c r="AB56" s="20">
        <f t="shared" si="16"/>
        <v>0</v>
      </c>
      <c r="AC56" s="20">
        <f t="shared" si="16"/>
        <v>1</v>
      </c>
      <c r="AD56" s="20">
        <f t="shared" si="16"/>
        <v>13</v>
      </c>
      <c r="AE56" s="20">
        <f t="shared" si="16"/>
        <v>2</v>
      </c>
      <c r="AF56" s="20">
        <f t="shared" si="16"/>
        <v>0</v>
      </c>
      <c r="AG56" s="20">
        <f t="shared" si="16"/>
        <v>0</v>
      </c>
      <c r="AH56" s="20">
        <f t="shared" si="16"/>
        <v>6</v>
      </c>
      <c r="AI56" s="105">
        <f t="shared" si="5"/>
        <v>53</v>
      </c>
      <c r="AJ56" s="115" t="s">
        <v>21</v>
      </c>
      <c r="AK56" s="116">
        <f>AI74</f>
        <v>6744</v>
      </c>
    </row>
    <row r="57" spans="1:37" ht="15" customHeight="1">
      <c r="A57" s="2">
        <v>7</v>
      </c>
      <c r="B57" s="2" t="s">
        <v>129</v>
      </c>
      <c r="C57" s="503" t="s">
        <v>117</v>
      </c>
      <c r="D57" s="501"/>
      <c r="E57" s="20">
        <f t="shared" ref="E57:AH57" si="17">E19-D19</f>
        <v>1173</v>
      </c>
      <c r="F57" s="20">
        <f t="shared" si="17"/>
        <v>769</v>
      </c>
      <c r="G57" s="20">
        <f t="shared" si="17"/>
        <v>804</v>
      </c>
      <c r="H57" s="20">
        <f t="shared" si="17"/>
        <v>733</v>
      </c>
      <c r="I57" s="20">
        <f t="shared" si="17"/>
        <v>796</v>
      </c>
      <c r="J57" s="20">
        <f t="shared" si="17"/>
        <v>688</v>
      </c>
      <c r="K57" s="20">
        <f t="shared" si="17"/>
        <v>668</v>
      </c>
      <c r="L57" s="20">
        <f t="shared" si="17"/>
        <v>760</v>
      </c>
      <c r="M57" s="20">
        <f t="shared" si="17"/>
        <v>761</v>
      </c>
      <c r="N57" s="20">
        <f t="shared" si="17"/>
        <v>763</v>
      </c>
      <c r="O57" s="20">
        <f t="shared" si="17"/>
        <v>792</v>
      </c>
      <c r="P57" s="20">
        <f t="shared" si="17"/>
        <v>768</v>
      </c>
      <c r="Q57" s="20">
        <f t="shared" si="17"/>
        <v>685</v>
      </c>
      <c r="R57" s="20">
        <f t="shared" si="17"/>
        <v>651</v>
      </c>
      <c r="S57" s="20">
        <f t="shared" si="17"/>
        <v>722</v>
      </c>
      <c r="T57" s="20">
        <f t="shared" si="17"/>
        <v>757</v>
      </c>
      <c r="U57" s="20">
        <f t="shared" si="17"/>
        <v>783</v>
      </c>
      <c r="V57" s="20">
        <f t="shared" si="17"/>
        <v>788</v>
      </c>
      <c r="W57" s="20">
        <f t="shared" si="17"/>
        <v>829</v>
      </c>
      <c r="X57" s="20">
        <f t="shared" si="17"/>
        <v>608</v>
      </c>
      <c r="Y57" s="20">
        <f t="shared" si="17"/>
        <v>655</v>
      </c>
      <c r="Z57" s="20">
        <f t="shared" si="17"/>
        <v>778</v>
      </c>
      <c r="AA57" s="20">
        <f t="shared" si="17"/>
        <v>793</v>
      </c>
      <c r="AB57" s="20">
        <f t="shared" si="17"/>
        <v>780</v>
      </c>
      <c r="AC57" s="20">
        <f t="shared" si="17"/>
        <v>743</v>
      </c>
      <c r="AD57" s="20">
        <f t="shared" si="17"/>
        <v>767</v>
      </c>
      <c r="AE57" s="20">
        <f t="shared" si="17"/>
        <v>717</v>
      </c>
      <c r="AF57" s="20">
        <f t="shared" si="17"/>
        <v>705</v>
      </c>
      <c r="AG57" s="20">
        <f t="shared" si="17"/>
        <v>706</v>
      </c>
      <c r="AH57" s="20">
        <f t="shared" si="17"/>
        <v>386</v>
      </c>
      <c r="AI57" s="21">
        <f t="shared" si="5"/>
        <v>22328</v>
      </c>
      <c r="AJ57" s="116" t="s">
        <v>23</v>
      </c>
      <c r="AK57" s="115">
        <f>AI80/2</f>
        <v>40398.634999999995</v>
      </c>
    </row>
    <row r="58" spans="1:37" ht="15" customHeight="1">
      <c r="A58" s="2"/>
      <c r="B58" s="2"/>
      <c r="C58" s="531" t="s">
        <v>22</v>
      </c>
      <c r="D58" s="501"/>
      <c r="E58" s="20">
        <f t="shared" ref="E58:AH58" si="18">E20-D20</f>
        <v>0</v>
      </c>
      <c r="F58" s="20">
        <f t="shared" si="18"/>
        <v>0</v>
      </c>
      <c r="G58" s="20">
        <f t="shared" si="18"/>
        <v>13</v>
      </c>
      <c r="H58" s="20">
        <f t="shared" si="18"/>
        <v>0</v>
      </c>
      <c r="I58" s="20">
        <f t="shared" si="18"/>
        <v>0</v>
      </c>
      <c r="J58" s="20">
        <f t="shared" si="18"/>
        <v>0</v>
      </c>
      <c r="K58" s="20">
        <f t="shared" si="18"/>
        <v>0</v>
      </c>
      <c r="L58" s="20">
        <f t="shared" si="18"/>
        <v>0</v>
      </c>
      <c r="M58" s="20">
        <f t="shared" si="18"/>
        <v>3</v>
      </c>
      <c r="N58" s="20">
        <f t="shared" si="18"/>
        <v>30</v>
      </c>
      <c r="O58" s="20">
        <f t="shared" si="18"/>
        <v>0</v>
      </c>
      <c r="P58" s="20">
        <f t="shared" si="18"/>
        <v>0</v>
      </c>
      <c r="Q58" s="20">
        <f t="shared" si="18"/>
        <v>0</v>
      </c>
      <c r="R58" s="20">
        <f t="shared" si="18"/>
        <v>18</v>
      </c>
      <c r="S58" s="20">
        <f t="shared" si="18"/>
        <v>7</v>
      </c>
      <c r="T58" s="20">
        <f t="shared" si="18"/>
        <v>0</v>
      </c>
      <c r="U58" s="20">
        <f t="shared" si="18"/>
        <v>0</v>
      </c>
      <c r="V58" s="20">
        <f t="shared" si="18"/>
        <v>0</v>
      </c>
      <c r="W58" s="20">
        <f t="shared" si="18"/>
        <v>0</v>
      </c>
      <c r="X58" s="20">
        <f t="shared" si="18"/>
        <v>0</v>
      </c>
      <c r="Y58" s="20">
        <f t="shared" si="18"/>
        <v>0</v>
      </c>
      <c r="Z58" s="20">
        <f t="shared" si="18"/>
        <v>0</v>
      </c>
      <c r="AA58" s="20">
        <f t="shared" si="18"/>
        <v>7</v>
      </c>
      <c r="AB58" s="20">
        <f t="shared" si="18"/>
        <v>0</v>
      </c>
      <c r="AC58" s="20">
        <f t="shared" si="18"/>
        <v>4</v>
      </c>
      <c r="AD58" s="20">
        <f t="shared" si="18"/>
        <v>33</v>
      </c>
      <c r="AE58" s="20">
        <f t="shared" si="18"/>
        <v>9</v>
      </c>
      <c r="AF58" s="20">
        <f t="shared" si="18"/>
        <v>0</v>
      </c>
      <c r="AG58" s="20">
        <f t="shared" si="18"/>
        <v>0</v>
      </c>
      <c r="AH58" s="20">
        <f t="shared" si="18"/>
        <v>14</v>
      </c>
      <c r="AI58" s="21">
        <f t="shared" si="5"/>
        <v>138</v>
      </c>
      <c r="AJ58" s="115" t="s">
        <v>22</v>
      </c>
      <c r="AK58" s="116">
        <f>AI62+AI75</f>
        <v>418</v>
      </c>
    </row>
    <row r="59" spans="1:37" ht="15" customHeight="1">
      <c r="A59" s="2">
        <v>8</v>
      </c>
      <c r="B59" s="2" t="s">
        <v>129</v>
      </c>
      <c r="C59" s="503" t="s">
        <v>118</v>
      </c>
      <c r="D59" s="501"/>
      <c r="E59" s="20">
        <f t="shared" ref="E59:AH59" si="19">E21-D21</f>
        <v>252</v>
      </c>
      <c r="F59" s="20">
        <f t="shared" si="19"/>
        <v>117</v>
      </c>
      <c r="G59" s="20">
        <f t="shared" si="19"/>
        <v>112</v>
      </c>
      <c r="H59" s="20">
        <f t="shared" si="19"/>
        <v>77</v>
      </c>
      <c r="I59" s="20">
        <f t="shared" si="19"/>
        <v>78</v>
      </c>
      <c r="J59" s="20">
        <f t="shared" si="19"/>
        <v>79</v>
      </c>
      <c r="K59" s="20">
        <f t="shared" si="19"/>
        <v>72</v>
      </c>
      <c r="L59" s="20">
        <f t="shared" si="19"/>
        <v>84</v>
      </c>
      <c r="M59" s="20">
        <f t="shared" si="19"/>
        <v>90</v>
      </c>
      <c r="N59" s="20">
        <f t="shared" si="19"/>
        <v>86</v>
      </c>
      <c r="O59" s="20">
        <f t="shared" si="19"/>
        <v>85</v>
      </c>
      <c r="P59" s="20">
        <f t="shared" si="19"/>
        <v>83</v>
      </c>
      <c r="Q59" s="20">
        <f t="shared" si="19"/>
        <v>69</v>
      </c>
      <c r="R59" s="20">
        <f t="shared" si="19"/>
        <v>67</v>
      </c>
      <c r="S59" s="20">
        <f t="shared" si="19"/>
        <v>110</v>
      </c>
      <c r="T59" s="20">
        <f t="shared" si="19"/>
        <v>121</v>
      </c>
      <c r="U59" s="20">
        <f t="shared" si="19"/>
        <v>132</v>
      </c>
      <c r="V59" s="20">
        <f t="shared" si="19"/>
        <v>92</v>
      </c>
      <c r="W59" s="20">
        <f t="shared" si="19"/>
        <v>89</v>
      </c>
      <c r="X59" s="20">
        <f t="shared" si="19"/>
        <v>57</v>
      </c>
      <c r="Y59" s="20">
        <f t="shared" si="19"/>
        <v>69</v>
      </c>
      <c r="Z59" s="20">
        <f t="shared" si="19"/>
        <v>77</v>
      </c>
      <c r="AA59" s="20">
        <f t="shared" si="19"/>
        <v>59</v>
      </c>
      <c r="AB59" s="20">
        <f t="shared" si="19"/>
        <v>63</v>
      </c>
      <c r="AC59" s="20">
        <f t="shared" si="19"/>
        <v>61</v>
      </c>
      <c r="AD59" s="20">
        <f t="shared" si="19"/>
        <v>63</v>
      </c>
      <c r="AE59" s="20">
        <f t="shared" si="19"/>
        <v>54</v>
      </c>
      <c r="AF59" s="20">
        <f t="shared" si="19"/>
        <v>38</v>
      </c>
      <c r="AG59" s="20">
        <f t="shared" si="19"/>
        <v>61</v>
      </c>
      <c r="AH59" s="20">
        <f t="shared" si="19"/>
        <v>28</v>
      </c>
      <c r="AI59" s="105">
        <f t="shared" si="5"/>
        <v>2525</v>
      </c>
    </row>
    <row r="60" spans="1:37" ht="15" customHeight="1">
      <c r="A60" s="2"/>
      <c r="B60" s="2"/>
      <c r="C60" s="531" t="s">
        <v>22</v>
      </c>
      <c r="D60" s="501"/>
      <c r="E60" s="20">
        <f t="shared" ref="E60:AH60" si="20">E22-D22</f>
        <v>0</v>
      </c>
      <c r="F60" s="20">
        <f t="shared" si="20"/>
        <v>0</v>
      </c>
      <c r="G60" s="20">
        <f t="shared" si="20"/>
        <v>2</v>
      </c>
      <c r="H60" s="20">
        <f t="shared" si="20"/>
        <v>0</v>
      </c>
      <c r="I60" s="20">
        <f t="shared" si="20"/>
        <v>0</v>
      </c>
      <c r="J60" s="20">
        <f t="shared" si="20"/>
        <v>0</v>
      </c>
      <c r="K60" s="20">
        <f t="shared" si="20"/>
        <v>0</v>
      </c>
      <c r="L60" s="20">
        <f t="shared" si="20"/>
        <v>0</v>
      </c>
      <c r="M60" s="20">
        <f t="shared" si="20"/>
        <v>1</v>
      </c>
      <c r="N60" s="20">
        <f t="shared" si="20"/>
        <v>4</v>
      </c>
      <c r="O60" s="20">
        <f t="shared" si="20"/>
        <v>0</v>
      </c>
      <c r="P60" s="20">
        <f t="shared" si="20"/>
        <v>0</v>
      </c>
      <c r="Q60" s="20">
        <f t="shared" si="20"/>
        <v>0</v>
      </c>
      <c r="R60" s="20">
        <f t="shared" si="20"/>
        <v>2</v>
      </c>
      <c r="S60" s="20">
        <f t="shared" si="20"/>
        <v>2</v>
      </c>
      <c r="T60" s="20">
        <f t="shared" si="20"/>
        <v>0</v>
      </c>
      <c r="U60" s="20">
        <f t="shared" si="20"/>
        <v>0</v>
      </c>
      <c r="V60" s="20">
        <f t="shared" si="20"/>
        <v>0</v>
      </c>
      <c r="W60" s="20">
        <f t="shared" si="20"/>
        <v>0</v>
      </c>
      <c r="X60" s="20">
        <f t="shared" si="20"/>
        <v>0</v>
      </c>
      <c r="Y60" s="20">
        <f t="shared" si="20"/>
        <v>0</v>
      </c>
      <c r="Z60" s="20">
        <f t="shared" si="20"/>
        <v>0</v>
      </c>
      <c r="AA60" s="20">
        <f t="shared" si="20"/>
        <v>1</v>
      </c>
      <c r="AB60" s="20">
        <f t="shared" si="20"/>
        <v>0</v>
      </c>
      <c r="AC60" s="20">
        <f t="shared" si="20"/>
        <v>1</v>
      </c>
      <c r="AD60" s="20">
        <f t="shared" si="20"/>
        <v>4</v>
      </c>
      <c r="AE60" s="20">
        <f t="shared" si="20"/>
        <v>3</v>
      </c>
      <c r="AF60" s="20">
        <f t="shared" si="20"/>
        <v>0</v>
      </c>
      <c r="AG60" s="20">
        <f t="shared" si="20"/>
        <v>0</v>
      </c>
      <c r="AH60" s="20">
        <f t="shared" si="20"/>
        <v>1</v>
      </c>
      <c r="AI60" s="105">
        <f t="shared" si="5"/>
        <v>21</v>
      </c>
    </row>
    <row r="61" spans="1:37" ht="15" customHeight="1">
      <c r="A61" s="99"/>
      <c r="B61" s="99"/>
      <c r="C61" s="500" t="s">
        <v>130</v>
      </c>
      <c r="D61" s="501"/>
      <c r="E61" s="23">
        <f t="shared" ref="E61:AH61" si="21">SUM(E59,E57,E55,E53,E51,E49,E47,E45)</f>
        <v>2702</v>
      </c>
      <c r="F61" s="23">
        <f t="shared" si="21"/>
        <v>1843</v>
      </c>
      <c r="G61" s="23">
        <f t="shared" si="21"/>
        <v>1915</v>
      </c>
      <c r="H61" s="23">
        <f t="shared" si="21"/>
        <v>1834</v>
      </c>
      <c r="I61" s="23">
        <f t="shared" si="21"/>
        <v>1848</v>
      </c>
      <c r="J61" s="23">
        <f t="shared" si="21"/>
        <v>1529</v>
      </c>
      <c r="K61" s="23">
        <f t="shared" si="21"/>
        <v>1469</v>
      </c>
      <c r="L61" s="23">
        <f t="shared" si="21"/>
        <v>1906</v>
      </c>
      <c r="M61" s="23">
        <f t="shared" si="21"/>
        <v>1834</v>
      </c>
      <c r="N61" s="23">
        <f t="shared" si="21"/>
        <v>1828</v>
      </c>
      <c r="O61" s="23">
        <f t="shared" si="21"/>
        <v>1891</v>
      </c>
      <c r="P61" s="23">
        <f t="shared" si="21"/>
        <v>1811</v>
      </c>
      <c r="Q61" s="23">
        <f t="shared" si="21"/>
        <v>1503</v>
      </c>
      <c r="R61" s="23">
        <f t="shared" si="21"/>
        <v>1414</v>
      </c>
      <c r="S61" s="23">
        <f t="shared" si="21"/>
        <v>1831</v>
      </c>
      <c r="T61" s="23">
        <f t="shared" si="21"/>
        <v>1846</v>
      </c>
      <c r="U61" s="23">
        <f t="shared" si="21"/>
        <v>1904</v>
      </c>
      <c r="V61" s="23">
        <f t="shared" si="21"/>
        <v>1863</v>
      </c>
      <c r="W61" s="23">
        <f t="shared" si="21"/>
        <v>1923</v>
      </c>
      <c r="X61" s="23">
        <f t="shared" si="21"/>
        <v>1296</v>
      </c>
      <c r="Y61" s="23">
        <f t="shared" si="21"/>
        <v>1435</v>
      </c>
      <c r="Z61" s="23">
        <f t="shared" si="21"/>
        <v>1877</v>
      </c>
      <c r="AA61" s="23">
        <f t="shared" si="21"/>
        <v>1877</v>
      </c>
      <c r="AB61" s="23">
        <f t="shared" si="21"/>
        <v>1897</v>
      </c>
      <c r="AC61" s="23">
        <f t="shared" si="21"/>
        <v>1770</v>
      </c>
      <c r="AD61" s="23">
        <f t="shared" si="21"/>
        <v>1810</v>
      </c>
      <c r="AE61" s="23">
        <f t="shared" si="21"/>
        <v>1569</v>
      </c>
      <c r="AF61" s="23">
        <f t="shared" si="21"/>
        <v>1458</v>
      </c>
      <c r="AG61" s="23">
        <f t="shared" si="21"/>
        <v>1794</v>
      </c>
      <c r="AH61" s="23">
        <f t="shared" si="21"/>
        <v>981</v>
      </c>
      <c r="AI61" s="111">
        <f t="shared" si="5"/>
        <v>52458</v>
      </c>
    </row>
    <row r="62" spans="1:37" ht="15" customHeight="1">
      <c r="A62" s="99"/>
      <c r="B62" s="99"/>
      <c r="C62" s="63" t="s">
        <v>131</v>
      </c>
      <c r="D62" s="158"/>
      <c r="E62" s="23">
        <f t="shared" ref="E62:AH62" si="22">SUM(E46,E48,E50,E52,E54,E56,E58,E60)</f>
        <v>0</v>
      </c>
      <c r="F62" s="23">
        <f t="shared" si="22"/>
        <v>0</v>
      </c>
      <c r="G62" s="23">
        <f t="shared" si="22"/>
        <v>39</v>
      </c>
      <c r="H62" s="23">
        <f t="shared" si="22"/>
        <v>0</v>
      </c>
      <c r="I62" s="23">
        <f t="shared" si="22"/>
        <v>0</v>
      </c>
      <c r="J62" s="23">
        <f t="shared" si="22"/>
        <v>0</v>
      </c>
      <c r="K62" s="23">
        <f t="shared" si="22"/>
        <v>0</v>
      </c>
      <c r="L62" s="23">
        <f t="shared" si="22"/>
        <v>0</v>
      </c>
      <c r="M62" s="23">
        <f t="shared" si="22"/>
        <v>9</v>
      </c>
      <c r="N62" s="23">
        <f t="shared" si="22"/>
        <v>86</v>
      </c>
      <c r="O62" s="23">
        <f t="shared" si="22"/>
        <v>0</v>
      </c>
      <c r="P62" s="23">
        <f t="shared" si="22"/>
        <v>0</v>
      </c>
      <c r="Q62" s="23">
        <f t="shared" si="22"/>
        <v>0</v>
      </c>
      <c r="R62" s="23">
        <f t="shared" si="22"/>
        <v>39</v>
      </c>
      <c r="S62" s="23">
        <f t="shared" si="22"/>
        <v>23</v>
      </c>
      <c r="T62" s="23">
        <f t="shared" si="22"/>
        <v>0</v>
      </c>
      <c r="U62" s="23">
        <f t="shared" si="22"/>
        <v>0</v>
      </c>
      <c r="V62" s="23">
        <f t="shared" si="22"/>
        <v>0</v>
      </c>
      <c r="W62" s="23">
        <f t="shared" si="22"/>
        <v>0</v>
      </c>
      <c r="X62" s="23">
        <f t="shared" si="22"/>
        <v>0</v>
      </c>
      <c r="Y62" s="23">
        <f t="shared" si="22"/>
        <v>0</v>
      </c>
      <c r="Z62" s="23">
        <f t="shared" si="22"/>
        <v>0</v>
      </c>
      <c r="AA62" s="23">
        <f t="shared" si="22"/>
        <v>15</v>
      </c>
      <c r="AB62" s="23">
        <f t="shared" si="22"/>
        <v>0</v>
      </c>
      <c r="AC62" s="23">
        <f t="shared" si="22"/>
        <v>13</v>
      </c>
      <c r="AD62" s="23">
        <f t="shared" si="22"/>
        <v>85</v>
      </c>
      <c r="AE62" s="23">
        <f t="shared" si="22"/>
        <v>25</v>
      </c>
      <c r="AF62" s="23">
        <f t="shared" si="22"/>
        <v>0</v>
      </c>
      <c r="AG62" s="23">
        <f t="shared" si="22"/>
        <v>0</v>
      </c>
      <c r="AH62" s="23">
        <f t="shared" si="22"/>
        <v>36</v>
      </c>
      <c r="AI62" s="111">
        <f t="shared" si="5"/>
        <v>370</v>
      </c>
      <c r="AK62" s="78"/>
    </row>
    <row r="63" spans="1:37" ht="14.5" customHeight="1">
      <c r="A63" s="101"/>
      <c r="B63" s="101"/>
      <c r="C63" s="539" t="s">
        <v>132</v>
      </c>
      <c r="D63" s="501"/>
      <c r="E63" s="102">
        <f>E61</f>
        <v>2702</v>
      </c>
      <c r="F63" s="102">
        <f t="shared" ref="F63:AH63" si="23">E63+F61</f>
        <v>4545</v>
      </c>
      <c r="G63" s="102">
        <f t="shared" si="23"/>
        <v>6460</v>
      </c>
      <c r="H63" s="102">
        <f t="shared" si="23"/>
        <v>8294</v>
      </c>
      <c r="I63" s="102">
        <f t="shared" si="23"/>
        <v>10142</v>
      </c>
      <c r="J63" s="102">
        <f t="shared" si="23"/>
        <v>11671</v>
      </c>
      <c r="K63" s="102">
        <f t="shared" si="23"/>
        <v>13140</v>
      </c>
      <c r="L63" s="102">
        <f t="shared" si="23"/>
        <v>15046</v>
      </c>
      <c r="M63" s="102">
        <f t="shared" si="23"/>
        <v>16880</v>
      </c>
      <c r="N63" s="102">
        <f t="shared" si="23"/>
        <v>18708</v>
      </c>
      <c r="O63" s="102">
        <f t="shared" si="23"/>
        <v>20599</v>
      </c>
      <c r="P63" s="102">
        <f t="shared" si="23"/>
        <v>22410</v>
      </c>
      <c r="Q63" s="102">
        <f t="shared" si="23"/>
        <v>23913</v>
      </c>
      <c r="R63" s="102">
        <f t="shared" si="23"/>
        <v>25327</v>
      </c>
      <c r="S63" s="102">
        <f t="shared" si="23"/>
        <v>27158</v>
      </c>
      <c r="T63" s="102">
        <f t="shared" si="23"/>
        <v>29004</v>
      </c>
      <c r="U63" s="102">
        <f t="shared" si="23"/>
        <v>30908</v>
      </c>
      <c r="V63" s="102">
        <f t="shared" si="23"/>
        <v>32771</v>
      </c>
      <c r="W63" s="102">
        <f t="shared" si="23"/>
        <v>34694</v>
      </c>
      <c r="X63" s="102">
        <f t="shared" si="23"/>
        <v>35990</v>
      </c>
      <c r="Y63" s="102">
        <f t="shared" si="23"/>
        <v>37425</v>
      </c>
      <c r="Z63" s="102">
        <f t="shared" si="23"/>
        <v>39302</v>
      </c>
      <c r="AA63" s="102">
        <f t="shared" si="23"/>
        <v>41179</v>
      </c>
      <c r="AB63" s="102">
        <f t="shared" si="23"/>
        <v>43076</v>
      </c>
      <c r="AC63" s="102">
        <f t="shared" si="23"/>
        <v>44846</v>
      </c>
      <c r="AD63" s="102">
        <f t="shared" si="23"/>
        <v>46656</v>
      </c>
      <c r="AE63" s="102">
        <f t="shared" si="23"/>
        <v>48225</v>
      </c>
      <c r="AF63" s="102">
        <f t="shared" si="23"/>
        <v>49683</v>
      </c>
      <c r="AG63" s="102">
        <f t="shared" si="23"/>
        <v>51477</v>
      </c>
      <c r="AH63" s="102">
        <f t="shared" si="23"/>
        <v>52458</v>
      </c>
      <c r="AI63" s="102">
        <f>AG63+AI61</f>
        <v>103935</v>
      </c>
    </row>
    <row r="64" spans="1:37" ht="13" customHeight="1">
      <c r="A64" s="94"/>
      <c r="B64" s="27"/>
      <c r="C64" s="27"/>
      <c r="D64" s="10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</row>
    <row r="65" spans="1:37" ht="14.5" customHeight="1">
      <c r="A65" s="28" t="s">
        <v>133</v>
      </c>
      <c r="B65" s="28" t="s">
        <v>100</v>
      </c>
      <c r="C65" s="523" t="s">
        <v>101</v>
      </c>
      <c r="D65" s="50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103"/>
    </row>
    <row r="66" spans="1:37" ht="14.5" customHeight="1">
      <c r="A66" s="2">
        <v>1</v>
      </c>
      <c r="B66" s="2" t="s">
        <v>129</v>
      </c>
      <c r="C66" s="506" t="s">
        <v>119</v>
      </c>
      <c r="D66" s="501"/>
      <c r="E66" s="30">
        <f t="shared" ref="E66:AH66" si="24">E24-D24</f>
        <v>56</v>
      </c>
      <c r="F66" s="30">
        <f t="shared" si="24"/>
        <v>57</v>
      </c>
      <c r="G66" s="30">
        <f t="shared" si="24"/>
        <v>58</v>
      </c>
      <c r="H66" s="30">
        <f t="shared" si="24"/>
        <v>61</v>
      </c>
      <c r="I66" s="30">
        <f t="shared" si="24"/>
        <v>56</v>
      </c>
      <c r="J66" s="30">
        <f t="shared" si="24"/>
        <v>38</v>
      </c>
      <c r="K66" s="30">
        <f t="shared" si="24"/>
        <v>0</v>
      </c>
      <c r="L66" s="30">
        <f t="shared" si="24"/>
        <v>64</v>
      </c>
      <c r="M66" s="30">
        <f t="shared" si="24"/>
        <v>59</v>
      </c>
      <c r="N66" s="30">
        <f t="shared" si="24"/>
        <v>95</v>
      </c>
      <c r="O66" s="30">
        <f t="shared" si="24"/>
        <v>107</v>
      </c>
      <c r="P66" s="30">
        <f t="shared" si="24"/>
        <v>105</v>
      </c>
      <c r="Q66" s="30">
        <f t="shared" si="24"/>
        <v>60</v>
      </c>
      <c r="R66" s="30">
        <f t="shared" si="24"/>
        <v>0</v>
      </c>
      <c r="S66" s="30">
        <f t="shared" si="24"/>
        <v>111</v>
      </c>
      <c r="T66" s="30">
        <f t="shared" si="24"/>
        <v>107</v>
      </c>
      <c r="U66" s="30">
        <f t="shared" si="24"/>
        <v>109</v>
      </c>
      <c r="V66" s="30">
        <f t="shared" si="24"/>
        <v>106</v>
      </c>
      <c r="W66" s="30">
        <f t="shared" si="24"/>
        <v>101</v>
      </c>
      <c r="X66" s="30">
        <f t="shared" si="24"/>
        <v>60</v>
      </c>
      <c r="Y66" s="30">
        <f t="shared" si="24"/>
        <v>0</v>
      </c>
      <c r="Z66" s="30">
        <f t="shared" si="24"/>
        <v>120</v>
      </c>
      <c r="AA66" s="30">
        <f t="shared" si="24"/>
        <v>113</v>
      </c>
      <c r="AB66" s="30">
        <f t="shared" si="24"/>
        <v>97</v>
      </c>
      <c r="AC66" s="30">
        <f t="shared" si="24"/>
        <v>68</v>
      </c>
      <c r="AD66" s="30">
        <f t="shared" si="24"/>
        <v>64</v>
      </c>
      <c r="AE66" s="30">
        <f t="shared" si="24"/>
        <v>19</v>
      </c>
      <c r="AF66" s="30">
        <f t="shared" si="24"/>
        <v>1</v>
      </c>
      <c r="AG66" s="30">
        <f t="shared" si="24"/>
        <v>67</v>
      </c>
      <c r="AH66" s="30">
        <f t="shared" si="24"/>
        <v>37</v>
      </c>
      <c r="AI66" s="30">
        <f t="shared" ref="AI66:AI79" si="25">SUM(E66:AH66)</f>
        <v>1996</v>
      </c>
    </row>
    <row r="67" spans="1:37" ht="14.5" customHeight="1">
      <c r="A67" s="2"/>
      <c r="B67" s="2"/>
      <c r="C67" s="532" t="s">
        <v>22</v>
      </c>
      <c r="D67" s="501"/>
      <c r="E67" s="30">
        <f t="shared" ref="E67:AH67" si="26">E25-D25</f>
        <v>0</v>
      </c>
      <c r="F67" s="30">
        <f t="shared" si="26"/>
        <v>0</v>
      </c>
      <c r="G67" s="30">
        <f t="shared" si="26"/>
        <v>1</v>
      </c>
      <c r="H67" s="30">
        <f t="shared" si="26"/>
        <v>0</v>
      </c>
      <c r="I67" s="30">
        <f t="shared" si="26"/>
        <v>0</v>
      </c>
      <c r="J67" s="30">
        <f t="shared" si="26"/>
        <v>0</v>
      </c>
      <c r="K67" s="30">
        <f t="shared" si="26"/>
        <v>0</v>
      </c>
      <c r="L67" s="30">
        <f t="shared" si="26"/>
        <v>0</v>
      </c>
      <c r="M67" s="30">
        <f t="shared" si="26"/>
        <v>1</v>
      </c>
      <c r="N67" s="30">
        <f t="shared" si="26"/>
        <v>3</v>
      </c>
      <c r="O67" s="30">
        <f t="shared" si="26"/>
        <v>0</v>
      </c>
      <c r="P67" s="30">
        <f t="shared" si="26"/>
        <v>0</v>
      </c>
      <c r="Q67" s="30">
        <f t="shared" si="26"/>
        <v>0</v>
      </c>
      <c r="R67" s="30">
        <f t="shared" si="26"/>
        <v>0</v>
      </c>
      <c r="S67" s="30">
        <f t="shared" si="26"/>
        <v>1</v>
      </c>
      <c r="T67" s="30">
        <f t="shared" si="26"/>
        <v>0</v>
      </c>
      <c r="U67" s="30">
        <f t="shared" si="26"/>
        <v>0</v>
      </c>
      <c r="V67" s="30">
        <f t="shared" si="26"/>
        <v>0</v>
      </c>
      <c r="W67" s="30">
        <f t="shared" si="26"/>
        <v>0</v>
      </c>
      <c r="X67" s="30">
        <f t="shared" si="26"/>
        <v>0</v>
      </c>
      <c r="Y67" s="30">
        <f t="shared" si="26"/>
        <v>0</v>
      </c>
      <c r="Z67" s="30">
        <f t="shared" si="26"/>
        <v>0</v>
      </c>
      <c r="AA67" s="30">
        <f t="shared" si="26"/>
        <v>2</v>
      </c>
      <c r="AB67" s="30">
        <f t="shared" si="26"/>
        <v>0</v>
      </c>
      <c r="AC67" s="30">
        <f t="shared" si="26"/>
        <v>0</v>
      </c>
      <c r="AD67" s="30">
        <f t="shared" si="26"/>
        <v>1</v>
      </c>
      <c r="AE67" s="30">
        <f t="shared" si="26"/>
        <v>0</v>
      </c>
      <c r="AF67" s="30">
        <f t="shared" si="26"/>
        <v>0</v>
      </c>
      <c r="AG67" s="30">
        <f t="shared" si="26"/>
        <v>0</v>
      </c>
      <c r="AH67" s="30">
        <f t="shared" si="26"/>
        <v>2</v>
      </c>
      <c r="AI67" s="30">
        <f t="shared" si="25"/>
        <v>11</v>
      </c>
    </row>
    <row r="68" spans="1:37" ht="14.5" customHeight="1">
      <c r="A68" s="2">
        <v>2</v>
      </c>
      <c r="B68" s="2" t="s">
        <v>129</v>
      </c>
      <c r="C68" s="506" t="s">
        <v>120</v>
      </c>
      <c r="D68" s="501"/>
      <c r="E68" s="30">
        <f t="shared" ref="E68:AH68" si="27">E26-D26</f>
        <v>81</v>
      </c>
      <c r="F68" s="30">
        <f t="shared" si="27"/>
        <v>83</v>
      </c>
      <c r="G68" s="30">
        <f t="shared" si="27"/>
        <v>88</v>
      </c>
      <c r="H68" s="30">
        <f t="shared" si="27"/>
        <v>87</v>
      </c>
      <c r="I68" s="30">
        <f t="shared" si="27"/>
        <v>63</v>
      </c>
      <c r="J68" s="30">
        <f t="shared" si="27"/>
        <v>41</v>
      </c>
      <c r="K68" s="30">
        <f t="shared" si="27"/>
        <v>0</v>
      </c>
      <c r="L68" s="30">
        <f t="shared" si="27"/>
        <v>75</v>
      </c>
      <c r="M68" s="30">
        <f t="shared" si="27"/>
        <v>103</v>
      </c>
      <c r="N68" s="30">
        <f t="shared" si="27"/>
        <v>49</v>
      </c>
      <c r="O68" s="30">
        <f t="shared" si="27"/>
        <v>50</v>
      </c>
      <c r="P68" s="30">
        <f t="shared" si="27"/>
        <v>55</v>
      </c>
      <c r="Q68" s="30">
        <f t="shared" si="27"/>
        <v>30</v>
      </c>
      <c r="R68" s="30">
        <f t="shared" si="27"/>
        <v>0</v>
      </c>
      <c r="S68" s="30">
        <f t="shared" si="27"/>
        <v>84</v>
      </c>
      <c r="T68" s="30">
        <f t="shared" si="27"/>
        <v>74</v>
      </c>
      <c r="U68" s="30">
        <f t="shared" si="27"/>
        <v>74</v>
      </c>
      <c r="V68" s="30">
        <f t="shared" si="27"/>
        <v>72</v>
      </c>
      <c r="W68" s="30">
        <f t="shared" si="27"/>
        <v>61</v>
      </c>
      <c r="X68" s="30">
        <f t="shared" si="27"/>
        <v>27</v>
      </c>
      <c r="Y68" s="30">
        <f t="shared" si="27"/>
        <v>0</v>
      </c>
      <c r="Z68" s="30">
        <f t="shared" si="27"/>
        <v>54</v>
      </c>
      <c r="AA68" s="30">
        <f t="shared" si="27"/>
        <v>51</v>
      </c>
      <c r="AB68" s="30">
        <f t="shared" si="27"/>
        <v>62</v>
      </c>
      <c r="AC68" s="30">
        <f t="shared" si="27"/>
        <v>67</v>
      </c>
      <c r="AD68" s="30">
        <f t="shared" si="27"/>
        <v>58</v>
      </c>
      <c r="AE68" s="30">
        <f t="shared" si="27"/>
        <v>27</v>
      </c>
      <c r="AF68" s="30">
        <f t="shared" si="27"/>
        <v>0</v>
      </c>
      <c r="AG68" s="30">
        <f t="shared" si="27"/>
        <v>68</v>
      </c>
      <c r="AH68" s="30">
        <f t="shared" si="27"/>
        <v>33</v>
      </c>
      <c r="AI68" s="30">
        <f t="shared" si="25"/>
        <v>1617</v>
      </c>
    </row>
    <row r="69" spans="1:37" ht="14.5" customHeight="1">
      <c r="A69" s="2"/>
      <c r="B69" s="2"/>
      <c r="C69" s="532" t="s">
        <v>22</v>
      </c>
      <c r="D69" s="501"/>
      <c r="E69" s="30">
        <f t="shared" ref="E69:AH69" si="28">E27-D27</f>
        <v>0</v>
      </c>
      <c r="F69" s="30">
        <f t="shared" si="28"/>
        <v>-61</v>
      </c>
      <c r="G69" s="30">
        <f t="shared" si="28"/>
        <v>63</v>
      </c>
      <c r="H69" s="30">
        <f t="shared" si="28"/>
        <v>0</v>
      </c>
      <c r="I69" s="30">
        <f t="shared" si="28"/>
        <v>0</v>
      </c>
      <c r="J69" s="30">
        <f t="shared" si="28"/>
        <v>0</v>
      </c>
      <c r="K69" s="30">
        <f t="shared" si="28"/>
        <v>0</v>
      </c>
      <c r="L69" s="30">
        <f t="shared" si="28"/>
        <v>0</v>
      </c>
      <c r="M69" s="30">
        <f t="shared" si="28"/>
        <v>0</v>
      </c>
      <c r="N69" s="30">
        <f t="shared" si="28"/>
        <v>8</v>
      </c>
      <c r="O69" s="30">
        <f t="shared" si="28"/>
        <v>0</v>
      </c>
      <c r="P69" s="30">
        <f t="shared" si="28"/>
        <v>0</v>
      </c>
      <c r="Q69" s="30">
        <f t="shared" si="28"/>
        <v>0</v>
      </c>
      <c r="R69" s="30">
        <f t="shared" si="28"/>
        <v>0</v>
      </c>
      <c r="S69" s="30">
        <f t="shared" si="28"/>
        <v>1</v>
      </c>
      <c r="T69" s="30">
        <f t="shared" si="28"/>
        <v>0</v>
      </c>
      <c r="U69" s="30">
        <f t="shared" si="28"/>
        <v>0</v>
      </c>
      <c r="V69" s="30">
        <f t="shared" si="28"/>
        <v>0</v>
      </c>
      <c r="W69" s="30">
        <f t="shared" si="28"/>
        <v>0</v>
      </c>
      <c r="X69" s="30">
        <f t="shared" si="28"/>
        <v>0</v>
      </c>
      <c r="Y69" s="30">
        <f t="shared" si="28"/>
        <v>0</v>
      </c>
      <c r="Z69" s="30">
        <f t="shared" si="28"/>
        <v>0</v>
      </c>
      <c r="AA69" s="30">
        <f t="shared" si="28"/>
        <v>1</v>
      </c>
      <c r="AB69" s="30">
        <f t="shared" si="28"/>
        <v>0</v>
      </c>
      <c r="AC69" s="30">
        <f t="shared" si="28"/>
        <v>0</v>
      </c>
      <c r="AD69" s="30">
        <f t="shared" si="28"/>
        <v>2</v>
      </c>
      <c r="AE69" s="30">
        <f t="shared" si="28"/>
        <v>0</v>
      </c>
      <c r="AF69" s="30">
        <f t="shared" si="28"/>
        <v>0</v>
      </c>
      <c r="AG69" s="30">
        <f t="shared" si="28"/>
        <v>0</v>
      </c>
      <c r="AH69" s="30">
        <f t="shared" si="28"/>
        <v>2</v>
      </c>
      <c r="AI69" s="30">
        <f t="shared" si="25"/>
        <v>16</v>
      </c>
    </row>
    <row r="70" spans="1:37" ht="14.5" customHeight="1">
      <c r="A70" s="2">
        <v>3</v>
      </c>
      <c r="B70" s="2" t="s">
        <v>129</v>
      </c>
      <c r="C70" s="506" t="s">
        <v>121</v>
      </c>
      <c r="D70" s="501"/>
      <c r="E70" s="30">
        <f t="shared" ref="E70:AH70" si="29">E28-D28</f>
        <v>75</v>
      </c>
      <c r="F70" s="30">
        <f t="shared" si="29"/>
        <v>70</v>
      </c>
      <c r="G70" s="30">
        <f t="shared" si="29"/>
        <v>74</v>
      </c>
      <c r="H70" s="30">
        <f t="shared" si="29"/>
        <v>76</v>
      </c>
      <c r="I70" s="30">
        <f t="shared" si="29"/>
        <v>66</v>
      </c>
      <c r="J70" s="30">
        <f t="shared" si="29"/>
        <v>54</v>
      </c>
      <c r="K70" s="30">
        <f t="shared" si="29"/>
        <v>0</v>
      </c>
      <c r="L70" s="30">
        <f t="shared" si="29"/>
        <v>46</v>
      </c>
      <c r="M70" s="30">
        <f t="shared" si="29"/>
        <v>95</v>
      </c>
      <c r="N70" s="30">
        <f t="shared" si="29"/>
        <v>87</v>
      </c>
      <c r="O70" s="30">
        <f t="shared" si="29"/>
        <v>63</v>
      </c>
      <c r="P70" s="30">
        <f t="shared" si="29"/>
        <v>65</v>
      </c>
      <c r="Q70" s="30">
        <f t="shared" si="29"/>
        <v>58</v>
      </c>
      <c r="R70" s="30">
        <f t="shared" si="29"/>
        <v>0</v>
      </c>
      <c r="S70" s="30">
        <f t="shared" si="29"/>
        <v>82</v>
      </c>
      <c r="T70" s="30">
        <f t="shared" si="29"/>
        <v>109</v>
      </c>
      <c r="U70" s="30">
        <f t="shared" si="29"/>
        <v>41</v>
      </c>
      <c r="V70" s="30">
        <f t="shared" si="29"/>
        <v>77</v>
      </c>
      <c r="W70" s="30">
        <f t="shared" si="29"/>
        <v>73</v>
      </c>
      <c r="X70" s="30">
        <f t="shared" si="29"/>
        <v>41</v>
      </c>
      <c r="Y70" s="30">
        <f t="shared" si="29"/>
        <v>0</v>
      </c>
      <c r="Z70" s="30">
        <f t="shared" si="29"/>
        <v>89</v>
      </c>
      <c r="AA70" s="30">
        <f t="shared" si="29"/>
        <v>77</v>
      </c>
      <c r="AB70" s="30">
        <f t="shared" si="29"/>
        <v>79</v>
      </c>
      <c r="AC70" s="30">
        <f t="shared" si="29"/>
        <v>66</v>
      </c>
      <c r="AD70" s="30">
        <f t="shared" si="29"/>
        <v>60</v>
      </c>
      <c r="AE70" s="30">
        <f t="shared" si="29"/>
        <v>20</v>
      </c>
      <c r="AF70" s="30">
        <f t="shared" si="29"/>
        <v>0</v>
      </c>
      <c r="AG70" s="30">
        <f t="shared" si="29"/>
        <v>62</v>
      </c>
      <c r="AH70" s="30">
        <f t="shared" si="29"/>
        <v>40</v>
      </c>
      <c r="AI70" s="30">
        <f t="shared" si="25"/>
        <v>1745</v>
      </c>
      <c r="AJ70" s="78"/>
      <c r="AK70" s="78"/>
    </row>
    <row r="71" spans="1:37" ht="14.5" customHeight="1">
      <c r="A71" s="2"/>
      <c r="B71" s="2"/>
      <c r="C71" s="532" t="s">
        <v>22</v>
      </c>
      <c r="D71" s="501"/>
      <c r="E71" s="30">
        <f t="shared" ref="E71:AH71" si="30">E29-D29</f>
        <v>0</v>
      </c>
      <c r="F71" s="30">
        <f t="shared" si="30"/>
        <v>0</v>
      </c>
      <c r="G71" s="30">
        <f t="shared" si="30"/>
        <v>2</v>
      </c>
      <c r="H71" s="30">
        <f t="shared" si="30"/>
        <v>0</v>
      </c>
      <c r="I71" s="30">
        <f t="shared" si="30"/>
        <v>0</v>
      </c>
      <c r="J71" s="30">
        <f t="shared" si="30"/>
        <v>0</v>
      </c>
      <c r="K71" s="30">
        <f t="shared" si="30"/>
        <v>0</v>
      </c>
      <c r="L71" s="30">
        <f t="shared" si="30"/>
        <v>0</v>
      </c>
      <c r="M71" s="30">
        <f t="shared" si="30"/>
        <v>0</v>
      </c>
      <c r="N71" s="30">
        <f t="shared" si="30"/>
        <v>4</v>
      </c>
      <c r="O71" s="30">
        <f t="shared" si="30"/>
        <v>0</v>
      </c>
      <c r="P71" s="30">
        <f t="shared" si="30"/>
        <v>0</v>
      </c>
      <c r="Q71" s="30">
        <f t="shared" si="30"/>
        <v>0</v>
      </c>
      <c r="R71" s="30">
        <f t="shared" si="30"/>
        <v>0</v>
      </c>
      <c r="S71" s="30">
        <f t="shared" si="30"/>
        <v>1</v>
      </c>
      <c r="T71" s="30">
        <f t="shared" si="30"/>
        <v>0</v>
      </c>
      <c r="U71" s="30">
        <f t="shared" si="30"/>
        <v>0</v>
      </c>
      <c r="V71" s="30">
        <f t="shared" si="30"/>
        <v>0</v>
      </c>
      <c r="W71" s="30">
        <f t="shared" si="30"/>
        <v>0</v>
      </c>
      <c r="X71" s="30">
        <f t="shared" si="30"/>
        <v>0</v>
      </c>
      <c r="Y71" s="30">
        <f t="shared" si="30"/>
        <v>0</v>
      </c>
      <c r="Z71" s="30">
        <f t="shared" si="30"/>
        <v>0</v>
      </c>
      <c r="AA71" s="30">
        <f t="shared" si="30"/>
        <v>1</v>
      </c>
      <c r="AB71" s="30">
        <f t="shared" si="30"/>
        <v>0</v>
      </c>
      <c r="AC71" s="30">
        <f t="shared" si="30"/>
        <v>0</v>
      </c>
      <c r="AD71" s="30">
        <f t="shared" si="30"/>
        <v>2</v>
      </c>
      <c r="AE71" s="30">
        <f t="shared" si="30"/>
        <v>0</v>
      </c>
      <c r="AF71" s="30">
        <f t="shared" si="30"/>
        <v>0</v>
      </c>
      <c r="AG71" s="30">
        <f t="shared" si="30"/>
        <v>0</v>
      </c>
      <c r="AH71" s="30">
        <f t="shared" si="30"/>
        <v>1</v>
      </c>
      <c r="AI71" s="30">
        <f t="shared" si="25"/>
        <v>11</v>
      </c>
      <c r="AJ71" s="78"/>
      <c r="AK71" s="78"/>
    </row>
    <row r="72" spans="1:37" ht="14.5" customHeight="1">
      <c r="A72" s="2">
        <v>4</v>
      </c>
      <c r="B72" s="2" t="s">
        <v>129</v>
      </c>
      <c r="C72" s="506" t="s">
        <v>122</v>
      </c>
      <c r="D72" s="501"/>
      <c r="E72" s="30">
        <f t="shared" ref="E72:AH72" si="31">E30-D30</f>
        <v>87</v>
      </c>
      <c r="F72" s="30">
        <f t="shared" si="31"/>
        <v>93</v>
      </c>
      <c r="G72" s="30">
        <f t="shared" si="31"/>
        <v>80</v>
      </c>
      <c r="H72" s="30">
        <f t="shared" si="31"/>
        <v>78</v>
      </c>
      <c r="I72" s="30">
        <f t="shared" si="31"/>
        <v>62</v>
      </c>
      <c r="J72" s="30">
        <f t="shared" si="31"/>
        <v>34</v>
      </c>
      <c r="K72" s="30">
        <f t="shared" si="31"/>
        <v>0</v>
      </c>
      <c r="L72" s="30">
        <f t="shared" si="31"/>
        <v>50</v>
      </c>
      <c r="M72" s="30">
        <f t="shared" si="31"/>
        <v>44</v>
      </c>
      <c r="N72" s="30">
        <f t="shared" si="31"/>
        <v>31</v>
      </c>
      <c r="O72" s="30">
        <f t="shared" si="31"/>
        <v>30</v>
      </c>
      <c r="P72" s="30">
        <f t="shared" si="31"/>
        <v>46</v>
      </c>
      <c r="Q72" s="30">
        <f t="shared" si="31"/>
        <v>18</v>
      </c>
      <c r="R72" s="30">
        <f t="shared" si="31"/>
        <v>0</v>
      </c>
      <c r="S72" s="30">
        <f t="shared" si="31"/>
        <v>51</v>
      </c>
      <c r="T72" s="30">
        <f t="shared" si="31"/>
        <v>32</v>
      </c>
      <c r="U72" s="30">
        <f t="shared" si="31"/>
        <v>33</v>
      </c>
      <c r="V72" s="30">
        <f t="shared" si="31"/>
        <v>33</v>
      </c>
      <c r="W72" s="30">
        <f t="shared" si="31"/>
        <v>41</v>
      </c>
      <c r="X72" s="30">
        <f t="shared" si="31"/>
        <v>37</v>
      </c>
      <c r="Y72" s="30">
        <f t="shared" si="31"/>
        <v>0</v>
      </c>
      <c r="Z72" s="30">
        <f t="shared" si="31"/>
        <v>81</v>
      </c>
      <c r="AA72" s="30">
        <f t="shared" si="31"/>
        <v>78</v>
      </c>
      <c r="AB72" s="30">
        <f t="shared" si="31"/>
        <v>79</v>
      </c>
      <c r="AC72" s="30">
        <f t="shared" si="31"/>
        <v>65</v>
      </c>
      <c r="AD72" s="30">
        <f t="shared" si="31"/>
        <v>61</v>
      </c>
      <c r="AE72" s="30">
        <f t="shared" si="31"/>
        <v>20</v>
      </c>
      <c r="AF72" s="30">
        <f t="shared" si="31"/>
        <v>0</v>
      </c>
      <c r="AG72" s="30">
        <f t="shared" si="31"/>
        <v>83</v>
      </c>
      <c r="AH72" s="30">
        <f t="shared" si="31"/>
        <v>39</v>
      </c>
      <c r="AI72" s="30">
        <f t="shared" si="25"/>
        <v>1386</v>
      </c>
      <c r="AK72" s="78"/>
    </row>
    <row r="73" spans="1:37" ht="14.5" customHeight="1">
      <c r="A73" s="2"/>
      <c r="B73" s="2"/>
      <c r="C73" s="532" t="s">
        <v>22</v>
      </c>
      <c r="D73" s="501"/>
      <c r="E73" s="30">
        <f t="shared" ref="E73:AH73" si="32">E31-D31</f>
        <v>0</v>
      </c>
      <c r="F73" s="30">
        <f t="shared" si="32"/>
        <v>0</v>
      </c>
      <c r="G73" s="30">
        <f t="shared" si="32"/>
        <v>2</v>
      </c>
      <c r="H73" s="30">
        <f t="shared" si="32"/>
        <v>0</v>
      </c>
      <c r="I73" s="30">
        <f t="shared" si="32"/>
        <v>0</v>
      </c>
      <c r="J73" s="30">
        <f t="shared" si="32"/>
        <v>0</v>
      </c>
      <c r="K73" s="30">
        <f t="shared" si="32"/>
        <v>0</v>
      </c>
      <c r="L73" s="30">
        <f t="shared" si="32"/>
        <v>0</v>
      </c>
      <c r="M73" s="30">
        <f t="shared" si="32"/>
        <v>0</v>
      </c>
      <c r="N73" s="30">
        <f t="shared" si="32"/>
        <v>2</v>
      </c>
      <c r="O73" s="30">
        <f t="shared" si="32"/>
        <v>0</v>
      </c>
      <c r="P73" s="30">
        <f t="shared" si="32"/>
        <v>0</v>
      </c>
      <c r="Q73" s="30">
        <f t="shared" si="32"/>
        <v>0</v>
      </c>
      <c r="R73" s="30">
        <f t="shared" si="32"/>
        <v>0</v>
      </c>
      <c r="S73" s="30">
        <f t="shared" si="32"/>
        <v>1</v>
      </c>
      <c r="T73" s="30">
        <f t="shared" si="32"/>
        <v>0</v>
      </c>
      <c r="U73" s="30">
        <f t="shared" si="32"/>
        <v>0</v>
      </c>
      <c r="V73" s="30">
        <f t="shared" si="32"/>
        <v>0</v>
      </c>
      <c r="W73" s="30">
        <f t="shared" si="32"/>
        <v>0</v>
      </c>
      <c r="X73" s="30">
        <f t="shared" si="32"/>
        <v>0</v>
      </c>
      <c r="Y73" s="30">
        <f t="shared" si="32"/>
        <v>0</v>
      </c>
      <c r="Z73" s="30">
        <f t="shared" si="32"/>
        <v>0</v>
      </c>
      <c r="AA73" s="30">
        <f t="shared" si="32"/>
        <v>1</v>
      </c>
      <c r="AB73" s="30">
        <f t="shared" si="32"/>
        <v>0</v>
      </c>
      <c r="AC73" s="30">
        <f t="shared" si="32"/>
        <v>0</v>
      </c>
      <c r="AD73" s="30">
        <f t="shared" si="32"/>
        <v>2</v>
      </c>
      <c r="AE73" s="30">
        <f t="shared" si="32"/>
        <v>0</v>
      </c>
      <c r="AF73" s="30">
        <f t="shared" si="32"/>
        <v>0</v>
      </c>
      <c r="AG73" s="30">
        <f t="shared" si="32"/>
        <v>0</v>
      </c>
      <c r="AH73" s="30">
        <f t="shared" si="32"/>
        <v>2</v>
      </c>
      <c r="AI73" s="30">
        <f t="shared" si="25"/>
        <v>10</v>
      </c>
    </row>
    <row r="74" spans="1:37" ht="25.5" customHeight="1">
      <c r="A74" s="99"/>
      <c r="B74" s="99"/>
      <c r="C74" s="500" t="s">
        <v>134</v>
      </c>
      <c r="D74" s="501"/>
      <c r="E74" s="23">
        <f t="shared" ref="E74:AH74" si="33">SUM(E66,E68,E70,E72)</f>
        <v>299</v>
      </c>
      <c r="F74" s="23">
        <f t="shared" si="33"/>
        <v>303</v>
      </c>
      <c r="G74" s="23">
        <f t="shared" si="33"/>
        <v>300</v>
      </c>
      <c r="H74" s="23">
        <f t="shared" si="33"/>
        <v>302</v>
      </c>
      <c r="I74" s="23">
        <f t="shared" si="33"/>
        <v>247</v>
      </c>
      <c r="J74" s="23">
        <f t="shared" si="33"/>
        <v>167</v>
      </c>
      <c r="K74" s="23">
        <f t="shared" si="33"/>
        <v>0</v>
      </c>
      <c r="L74" s="23">
        <f t="shared" si="33"/>
        <v>235</v>
      </c>
      <c r="M74" s="23">
        <f t="shared" si="33"/>
        <v>301</v>
      </c>
      <c r="N74" s="23">
        <f t="shared" si="33"/>
        <v>262</v>
      </c>
      <c r="O74" s="23">
        <f t="shared" si="33"/>
        <v>250</v>
      </c>
      <c r="P74" s="23">
        <f t="shared" si="33"/>
        <v>271</v>
      </c>
      <c r="Q74" s="23">
        <f t="shared" si="33"/>
        <v>166</v>
      </c>
      <c r="R74" s="23">
        <f t="shared" si="33"/>
        <v>0</v>
      </c>
      <c r="S74" s="23">
        <f t="shared" si="33"/>
        <v>328</v>
      </c>
      <c r="T74" s="23">
        <f t="shared" si="33"/>
        <v>322</v>
      </c>
      <c r="U74" s="23">
        <f t="shared" si="33"/>
        <v>257</v>
      </c>
      <c r="V74" s="23">
        <f t="shared" si="33"/>
        <v>288</v>
      </c>
      <c r="W74" s="23">
        <f t="shared" si="33"/>
        <v>276</v>
      </c>
      <c r="X74" s="23">
        <f t="shared" si="33"/>
        <v>165</v>
      </c>
      <c r="Y74" s="23">
        <f t="shared" si="33"/>
        <v>0</v>
      </c>
      <c r="Z74" s="23">
        <f t="shared" si="33"/>
        <v>344</v>
      </c>
      <c r="AA74" s="23">
        <f t="shared" si="33"/>
        <v>319</v>
      </c>
      <c r="AB74" s="23">
        <f t="shared" si="33"/>
        <v>317</v>
      </c>
      <c r="AC74" s="23">
        <f t="shared" si="33"/>
        <v>266</v>
      </c>
      <c r="AD74" s="23">
        <f t="shared" si="33"/>
        <v>243</v>
      </c>
      <c r="AE74" s="23">
        <f t="shared" si="33"/>
        <v>86</v>
      </c>
      <c r="AF74" s="23">
        <f t="shared" si="33"/>
        <v>1</v>
      </c>
      <c r="AG74" s="23">
        <f t="shared" si="33"/>
        <v>280</v>
      </c>
      <c r="AH74" s="23">
        <f t="shared" si="33"/>
        <v>149</v>
      </c>
      <c r="AI74" s="24">
        <f t="shared" si="25"/>
        <v>6744</v>
      </c>
    </row>
    <row r="75" spans="1:37" ht="25.5" customHeight="1">
      <c r="A75" s="99"/>
      <c r="B75" s="99"/>
      <c r="C75" s="513" t="s">
        <v>135</v>
      </c>
      <c r="D75" s="501"/>
      <c r="E75" s="23">
        <f t="shared" ref="E75:AH75" si="34">SUM(E67,E69,E71,E73)</f>
        <v>0</v>
      </c>
      <c r="F75" s="23">
        <f t="shared" si="34"/>
        <v>-61</v>
      </c>
      <c r="G75" s="23">
        <f t="shared" si="34"/>
        <v>68</v>
      </c>
      <c r="H75" s="23">
        <f t="shared" si="34"/>
        <v>0</v>
      </c>
      <c r="I75" s="23">
        <f t="shared" si="34"/>
        <v>0</v>
      </c>
      <c r="J75" s="23">
        <f t="shared" si="34"/>
        <v>0</v>
      </c>
      <c r="K75" s="23">
        <f t="shared" si="34"/>
        <v>0</v>
      </c>
      <c r="L75" s="23">
        <f t="shared" si="34"/>
        <v>0</v>
      </c>
      <c r="M75" s="23">
        <f t="shared" si="34"/>
        <v>1</v>
      </c>
      <c r="N75" s="23">
        <f t="shared" si="34"/>
        <v>17</v>
      </c>
      <c r="O75" s="23">
        <f t="shared" si="34"/>
        <v>0</v>
      </c>
      <c r="P75" s="23">
        <f t="shared" si="34"/>
        <v>0</v>
      </c>
      <c r="Q75" s="23">
        <f t="shared" si="34"/>
        <v>0</v>
      </c>
      <c r="R75" s="23">
        <f t="shared" si="34"/>
        <v>0</v>
      </c>
      <c r="S75" s="23">
        <f t="shared" si="34"/>
        <v>4</v>
      </c>
      <c r="T75" s="23">
        <f t="shared" si="34"/>
        <v>0</v>
      </c>
      <c r="U75" s="23">
        <f t="shared" si="34"/>
        <v>0</v>
      </c>
      <c r="V75" s="23">
        <f t="shared" si="34"/>
        <v>0</v>
      </c>
      <c r="W75" s="23">
        <f t="shared" si="34"/>
        <v>0</v>
      </c>
      <c r="X75" s="23">
        <f t="shared" si="34"/>
        <v>0</v>
      </c>
      <c r="Y75" s="23">
        <f t="shared" si="34"/>
        <v>0</v>
      </c>
      <c r="Z75" s="23">
        <f t="shared" si="34"/>
        <v>0</v>
      </c>
      <c r="AA75" s="23">
        <f t="shared" si="34"/>
        <v>5</v>
      </c>
      <c r="AB75" s="23">
        <f t="shared" si="34"/>
        <v>0</v>
      </c>
      <c r="AC75" s="23">
        <f t="shared" si="34"/>
        <v>0</v>
      </c>
      <c r="AD75" s="23">
        <f t="shared" si="34"/>
        <v>7</v>
      </c>
      <c r="AE75" s="23">
        <f t="shared" si="34"/>
        <v>0</v>
      </c>
      <c r="AF75" s="23">
        <f t="shared" si="34"/>
        <v>0</v>
      </c>
      <c r="AG75" s="23">
        <f t="shared" si="34"/>
        <v>0</v>
      </c>
      <c r="AH75" s="23">
        <f t="shared" si="34"/>
        <v>7</v>
      </c>
      <c r="AI75" s="24">
        <f t="shared" si="25"/>
        <v>48</v>
      </c>
    </row>
    <row r="76" spans="1:37" ht="14.5" customHeight="1">
      <c r="A76" s="2">
        <v>1</v>
      </c>
      <c r="B76" s="2" t="s">
        <v>129</v>
      </c>
      <c r="C76" s="503" t="s">
        <v>123</v>
      </c>
      <c r="D76" s="501"/>
      <c r="E76" s="30">
        <f t="shared" ref="E76:AH76" si="35">E33-D33</f>
        <v>1011.9099999999999</v>
      </c>
      <c r="F76" s="30">
        <f t="shared" si="35"/>
        <v>752.17000000000189</v>
      </c>
      <c r="G76" s="30">
        <f t="shared" si="35"/>
        <v>688.72999999999956</v>
      </c>
      <c r="H76" s="30">
        <f t="shared" si="35"/>
        <v>652.77999999999884</v>
      </c>
      <c r="I76" s="30">
        <f t="shared" si="35"/>
        <v>563.7400000000016</v>
      </c>
      <c r="J76" s="30">
        <f t="shared" si="35"/>
        <v>357.22999999999956</v>
      </c>
      <c r="K76" s="30">
        <f t="shared" si="35"/>
        <v>0</v>
      </c>
      <c r="L76" s="30">
        <f t="shared" si="35"/>
        <v>764.2599999999984</v>
      </c>
      <c r="M76" s="30">
        <f t="shared" si="35"/>
        <v>761.55000000000291</v>
      </c>
      <c r="N76" s="30">
        <f t="shared" si="35"/>
        <v>877.02000000000044</v>
      </c>
      <c r="O76" s="30">
        <f t="shared" si="35"/>
        <v>845.39999999999782</v>
      </c>
      <c r="P76" s="30">
        <f t="shared" si="35"/>
        <v>730.88999999999942</v>
      </c>
      <c r="Q76" s="30">
        <f t="shared" si="35"/>
        <v>265.58000000000175</v>
      </c>
      <c r="R76" s="30">
        <f t="shared" si="35"/>
        <v>0</v>
      </c>
      <c r="S76" s="30">
        <f t="shared" si="35"/>
        <v>1087.5999999999985</v>
      </c>
      <c r="T76" s="30">
        <f t="shared" si="35"/>
        <v>966.20000000000073</v>
      </c>
      <c r="U76" s="30">
        <f t="shared" si="35"/>
        <v>783.65000000000146</v>
      </c>
      <c r="V76" s="30">
        <f t="shared" si="35"/>
        <v>805.52999999999884</v>
      </c>
      <c r="W76" s="30">
        <f t="shared" si="35"/>
        <v>681.31999999999971</v>
      </c>
      <c r="X76" s="30">
        <f t="shared" si="35"/>
        <v>331.62999999999738</v>
      </c>
      <c r="Y76" s="30">
        <f t="shared" si="35"/>
        <v>0</v>
      </c>
      <c r="Z76" s="30">
        <f t="shared" si="35"/>
        <v>1098.4500000000044</v>
      </c>
      <c r="AA76" s="30">
        <f t="shared" si="35"/>
        <v>1000.1299999999974</v>
      </c>
      <c r="AB76" s="30">
        <f t="shared" si="35"/>
        <v>822.16999999999825</v>
      </c>
      <c r="AC76" s="30">
        <f t="shared" si="35"/>
        <v>786.20000000000437</v>
      </c>
      <c r="AD76" s="30">
        <f t="shared" si="35"/>
        <v>667.72000000000116</v>
      </c>
      <c r="AE76" s="30">
        <f t="shared" si="35"/>
        <v>417.98999999999796</v>
      </c>
      <c r="AF76" s="30">
        <f t="shared" si="35"/>
        <v>0</v>
      </c>
      <c r="AG76" s="30">
        <f t="shared" si="35"/>
        <v>1080.8700000000026</v>
      </c>
      <c r="AH76" s="30">
        <f t="shared" si="35"/>
        <v>609.91999999999825</v>
      </c>
      <c r="AI76" s="30">
        <f t="shared" si="25"/>
        <v>19410.640000000003</v>
      </c>
      <c r="AJ76" s="78"/>
    </row>
    <row r="77" spans="1:37" ht="14.5" customHeight="1">
      <c r="A77" s="2">
        <v>2</v>
      </c>
      <c r="B77" s="2" t="s">
        <v>129</v>
      </c>
      <c r="C77" s="503" t="s">
        <v>124</v>
      </c>
      <c r="D77" s="501"/>
      <c r="E77" s="30">
        <f t="shared" ref="E77:AH77" si="36">E34-D34</f>
        <v>764.13000000000102</v>
      </c>
      <c r="F77" s="30">
        <f t="shared" si="36"/>
        <v>774.56000000000131</v>
      </c>
      <c r="G77" s="30">
        <f t="shared" si="36"/>
        <v>691.40999999999985</v>
      </c>
      <c r="H77" s="30">
        <f t="shared" si="36"/>
        <v>708.52000000000044</v>
      </c>
      <c r="I77" s="30">
        <f t="shared" si="36"/>
        <v>652.95999999999913</v>
      </c>
      <c r="J77" s="30">
        <f t="shared" si="36"/>
        <v>308.22000000000116</v>
      </c>
      <c r="K77" s="30">
        <f t="shared" si="36"/>
        <v>0</v>
      </c>
      <c r="L77" s="30">
        <f t="shared" si="36"/>
        <v>1009.3599999999969</v>
      </c>
      <c r="M77" s="30">
        <f t="shared" si="36"/>
        <v>655.38000000000102</v>
      </c>
      <c r="N77" s="30">
        <f t="shared" si="36"/>
        <v>701.59000000000015</v>
      </c>
      <c r="O77" s="30">
        <f t="shared" si="36"/>
        <v>674.34000000000015</v>
      </c>
      <c r="P77" s="30">
        <f t="shared" si="36"/>
        <v>597.90999999999985</v>
      </c>
      <c r="Q77" s="30">
        <f t="shared" si="36"/>
        <v>319.9900000000016</v>
      </c>
      <c r="R77" s="30">
        <f t="shared" si="36"/>
        <v>0</v>
      </c>
      <c r="S77" s="30">
        <f t="shared" si="36"/>
        <v>865.70999999999913</v>
      </c>
      <c r="T77" s="30">
        <f t="shared" si="36"/>
        <v>713.45999999999913</v>
      </c>
      <c r="U77" s="30">
        <f t="shared" si="36"/>
        <v>696.06000000000131</v>
      </c>
      <c r="V77" s="30">
        <f t="shared" si="36"/>
        <v>719.61999999999898</v>
      </c>
      <c r="W77" s="30">
        <f t="shared" si="36"/>
        <v>695.51000000000204</v>
      </c>
      <c r="X77" s="30">
        <f t="shared" si="36"/>
        <v>377.90999999999622</v>
      </c>
      <c r="Y77" s="30">
        <f t="shared" si="36"/>
        <v>0</v>
      </c>
      <c r="Z77" s="30">
        <f t="shared" si="36"/>
        <v>988.9800000000032</v>
      </c>
      <c r="AA77" s="30">
        <f t="shared" si="36"/>
        <v>791.22000000000116</v>
      </c>
      <c r="AB77" s="30">
        <f t="shared" si="36"/>
        <v>691.32999999999447</v>
      </c>
      <c r="AC77" s="30">
        <f t="shared" si="36"/>
        <v>684.10000000000582</v>
      </c>
      <c r="AD77" s="30">
        <f t="shared" si="36"/>
        <v>708.5199999999968</v>
      </c>
      <c r="AE77" s="30">
        <f t="shared" si="36"/>
        <v>434.05999999999767</v>
      </c>
      <c r="AF77" s="30">
        <f t="shared" si="36"/>
        <v>0</v>
      </c>
      <c r="AG77" s="30">
        <f t="shared" si="36"/>
        <v>1004.0800000000017</v>
      </c>
      <c r="AH77" s="30">
        <f t="shared" si="36"/>
        <v>628.65000000000146</v>
      </c>
      <c r="AI77" s="30">
        <f t="shared" si="25"/>
        <v>17857.580000000002</v>
      </c>
    </row>
    <row r="78" spans="1:37" ht="14.5" customHeight="1">
      <c r="A78" s="2">
        <v>3</v>
      </c>
      <c r="B78" s="2" t="s">
        <v>129</v>
      </c>
      <c r="C78" s="503" t="s">
        <v>125</v>
      </c>
      <c r="D78" s="501"/>
      <c r="E78" s="30">
        <f t="shared" ref="E78:AH78" si="37">E35-D35</f>
        <v>810.05999999999949</v>
      </c>
      <c r="F78" s="30">
        <f t="shared" si="37"/>
        <v>622.40999999999985</v>
      </c>
      <c r="G78" s="30">
        <f t="shared" si="37"/>
        <v>564.70999999999913</v>
      </c>
      <c r="H78" s="30">
        <f t="shared" si="37"/>
        <v>628</v>
      </c>
      <c r="I78" s="30">
        <f t="shared" si="37"/>
        <v>574.80000000000291</v>
      </c>
      <c r="J78" s="30">
        <f t="shared" si="37"/>
        <v>341.29999999999927</v>
      </c>
      <c r="K78" s="30">
        <f t="shared" si="37"/>
        <v>0</v>
      </c>
      <c r="L78" s="30">
        <f t="shared" si="37"/>
        <v>643.11999999999898</v>
      </c>
      <c r="M78" s="30">
        <f t="shared" si="37"/>
        <v>681.95999999999913</v>
      </c>
      <c r="N78" s="30">
        <f t="shared" si="37"/>
        <v>677.92000000000189</v>
      </c>
      <c r="O78" s="30">
        <f t="shared" si="37"/>
        <v>733.84999999999854</v>
      </c>
      <c r="P78" s="30">
        <f t="shared" si="37"/>
        <v>593.58000000000175</v>
      </c>
      <c r="Q78" s="30">
        <f t="shared" si="37"/>
        <v>290.7599999999984</v>
      </c>
      <c r="R78" s="30">
        <f t="shared" si="37"/>
        <v>0</v>
      </c>
      <c r="S78" s="30">
        <f t="shared" si="37"/>
        <v>1122.9200000000019</v>
      </c>
      <c r="T78" s="30">
        <f t="shared" si="37"/>
        <v>866.94999999999709</v>
      </c>
      <c r="U78" s="30">
        <f t="shared" si="37"/>
        <v>1065.1800000000003</v>
      </c>
      <c r="V78" s="30">
        <f t="shared" si="37"/>
        <v>661.38999999999942</v>
      </c>
      <c r="W78" s="30">
        <f t="shared" si="37"/>
        <v>764.32000000000335</v>
      </c>
      <c r="X78" s="30">
        <f t="shared" si="37"/>
        <v>457.79999999999927</v>
      </c>
      <c r="Y78" s="30">
        <f t="shared" si="37"/>
        <v>0</v>
      </c>
      <c r="Z78" s="30">
        <f t="shared" si="37"/>
        <v>1078.0599999999977</v>
      </c>
      <c r="AA78" s="30">
        <f t="shared" si="37"/>
        <v>1034.1500000000015</v>
      </c>
      <c r="AB78" s="30">
        <f t="shared" si="37"/>
        <v>819.93999999999869</v>
      </c>
      <c r="AC78" s="30">
        <f t="shared" si="37"/>
        <v>847.28000000000247</v>
      </c>
      <c r="AD78" s="30">
        <f t="shared" si="37"/>
        <v>832.45999999999913</v>
      </c>
      <c r="AE78" s="30">
        <f t="shared" si="37"/>
        <v>525.29999999999927</v>
      </c>
      <c r="AF78" s="30">
        <f t="shared" si="37"/>
        <v>0</v>
      </c>
      <c r="AG78" s="30">
        <f t="shared" si="37"/>
        <v>973.7699999999968</v>
      </c>
      <c r="AH78" s="30">
        <f t="shared" si="37"/>
        <v>733.72000000000116</v>
      </c>
      <c r="AI78" s="30">
        <f t="shared" si="25"/>
        <v>18945.709999999995</v>
      </c>
    </row>
    <row r="79" spans="1:37" ht="14.5" customHeight="1">
      <c r="A79" s="2">
        <v>4</v>
      </c>
      <c r="B79" s="2" t="s">
        <v>129</v>
      </c>
      <c r="C79" s="503" t="s">
        <v>126</v>
      </c>
      <c r="D79" s="501"/>
      <c r="E79" s="30">
        <f t="shared" ref="E79:AH79" si="38">E36-D36</f>
        <v>1409.8100000000013</v>
      </c>
      <c r="F79" s="30">
        <f t="shared" si="38"/>
        <v>951.32999999999811</v>
      </c>
      <c r="G79" s="30">
        <f t="shared" si="38"/>
        <v>863.22000000000116</v>
      </c>
      <c r="H79" s="30">
        <f t="shared" si="38"/>
        <v>790.15999999999985</v>
      </c>
      <c r="I79" s="30">
        <f t="shared" si="38"/>
        <v>763.9900000000016</v>
      </c>
      <c r="J79" s="30">
        <f t="shared" si="38"/>
        <v>467.37999999999738</v>
      </c>
      <c r="K79" s="30">
        <f t="shared" si="38"/>
        <v>0</v>
      </c>
      <c r="L79" s="30">
        <f t="shared" si="38"/>
        <v>998.66000000000349</v>
      </c>
      <c r="M79" s="30">
        <f t="shared" si="38"/>
        <v>974.86999999999898</v>
      </c>
      <c r="N79" s="30">
        <f t="shared" si="38"/>
        <v>1034.2900000000009</v>
      </c>
      <c r="O79" s="30">
        <f t="shared" si="38"/>
        <v>861.56000000000131</v>
      </c>
      <c r="P79" s="30">
        <f t="shared" si="38"/>
        <v>846.62999999999738</v>
      </c>
      <c r="Q79" s="30">
        <f t="shared" si="38"/>
        <v>392.66999999999825</v>
      </c>
      <c r="R79" s="30">
        <f t="shared" si="38"/>
        <v>0</v>
      </c>
      <c r="S79" s="30">
        <f t="shared" si="38"/>
        <v>1268.3300000000017</v>
      </c>
      <c r="T79" s="30">
        <f t="shared" si="38"/>
        <v>940.44000000000233</v>
      </c>
      <c r="U79" s="30">
        <f t="shared" si="38"/>
        <v>890.32999999999447</v>
      </c>
      <c r="V79" s="30">
        <f t="shared" si="38"/>
        <v>839.26000000000204</v>
      </c>
      <c r="W79" s="30">
        <f t="shared" si="38"/>
        <v>752.51000000000204</v>
      </c>
      <c r="X79" s="30">
        <f t="shared" si="38"/>
        <v>480.40999999999622</v>
      </c>
      <c r="Y79" s="30">
        <f t="shared" si="38"/>
        <v>0</v>
      </c>
      <c r="Z79" s="30">
        <f t="shared" si="38"/>
        <v>1470.7400000000052</v>
      </c>
      <c r="AA79" s="30">
        <f t="shared" si="38"/>
        <v>1319.0400000000009</v>
      </c>
      <c r="AB79" s="30">
        <f t="shared" si="38"/>
        <v>1130.5699999999997</v>
      </c>
      <c r="AC79" s="30">
        <f t="shared" si="38"/>
        <v>1020.6099999999933</v>
      </c>
      <c r="AD79" s="30">
        <f t="shared" si="38"/>
        <v>941.82000000000698</v>
      </c>
      <c r="AE79" s="30">
        <f t="shared" si="38"/>
        <v>669.55999999999767</v>
      </c>
      <c r="AF79" s="30">
        <f t="shared" si="38"/>
        <v>0</v>
      </c>
      <c r="AG79" s="30">
        <f t="shared" si="38"/>
        <v>1542.8199999999997</v>
      </c>
      <c r="AH79" s="30">
        <f t="shared" si="38"/>
        <v>962.33000000000175</v>
      </c>
      <c r="AI79" s="30">
        <f t="shared" si="25"/>
        <v>24583.340000000004</v>
      </c>
    </row>
    <row r="80" spans="1:37" ht="15" customHeight="1">
      <c r="A80" s="99"/>
      <c r="B80" s="99"/>
      <c r="C80" s="500" t="s">
        <v>136</v>
      </c>
      <c r="D80" s="501"/>
      <c r="E80" s="23">
        <f t="shared" ref="E80:AI80" si="39">SUM(E76:E79)</f>
        <v>3995.9100000000017</v>
      </c>
      <c r="F80" s="23">
        <f t="shared" si="39"/>
        <v>3100.4700000000012</v>
      </c>
      <c r="G80" s="23">
        <f t="shared" si="39"/>
        <v>2808.0699999999997</v>
      </c>
      <c r="H80" s="23">
        <f t="shared" si="39"/>
        <v>2779.4599999999991</v>
      </c>
      <c r="I80" s="23">
        <f t="shared" si="39"/>
        <v>2555.4900000000052</v>
      </c>
      <c r="J80" s="23">
        <f t="shared" si="39"/>
        <v>1474.1299999999974</v>
      </c>
      <c r="K80" s="23">
        <f t="shared" si="39"/>
        <v>0</v>
      </c>
      <c r="L80" s="23">
        <f t="shared" si="39"/>
        <v>3415.3999999999978</v>
      </c>
      <c r="M80" s="23">
        <f t="shared" si="39"/>
        <v>3073.760000000002</v>
      </c>
      <c r="N80" s="23">
        <f t="shared" si="39"/>
        <v>3290.8200000000033</v>
      </c>
      <c r="O80" s="23">
        <f t="shared" si="39"/>
        <v>3115.1499999999978</v>
      </c>
      <c r="P80" s="23">
        <f t="shared" si="39"/>
        <v>2769.0099999999984</v>
      </c>
      <c r="Q80" s="23">
        <f t="shared" si="39"/>
        <v>1269</v>
      </c>
      <c r="R80" s="23">
        <f t="shared" si="39"/>
        <v>0</v>
      </c>
      <c r="S80" s="23">
        <f t="shared" si="39"/>
        <v>4344.5600000000013</v>
      </c>
      <c r="T80" s="23">
        <f t="shared" si="39"/>
        <v>3487.0499999999993</v>
      </c>
      <c r="U80" s="23">
        <f t="shared" si="39"/>
        <v>3435.2199999999975</v>
      </c>
      <c r="V80" s="23">
        <f t="shared" si="39"/>
        <v>3025.7999999999993</v>
      </c>
      <c r="W80" s="23">
        <f t="shared" si="39"/>
        <v>2893.6600000000071</v>
      </c>
      <c r="X80" s="23">
        <f t="shared" si="39"/>
        <v>1647.7499999999891</v>
      </c>
      <c r="Y80" s="23">
        <f t="shared" si="39"/>
        <v>0</v>
      </c>
      <c r="Z80" s="23">
        <f t="shared" si="39"/>
        <v>4636.2300000000105</v>
      </c>
      <c r="AA80" s="23">
        <f t="shared" si="39"/>
        <v>4144.5400000000009</v>
      </c>
      <c r="AB80" s="23">
        <f t="shared" si="39"/>
        <v>3464.0099999999911</v>
      </c>
      <c r="AC80" s="23">
        <f t="shared" si="39"/>
        <v>3338.190000000006</v>
      </c>
      <c r="AD80" s="23">
        <f t="shared" si="39"/>
        <v>3150.5200000000041</v>
      </c>
      <c r="AE80" s="23">
        <f t="shared" si="39"/>
        <v>2046.9099999999926</v>
      </c>
      <c r="AF80" s="23">
        <f t="shared" si="39"/>
        <v>0</v>
      </c>
      <c r="AG80" s="23">
        <f t="shared" si="39"/>
        <v>4601.5400000000009</v>
      </c>
      <c r="AH80" s="23">
        <f t="shared" si="39"/>
        <v>2934.6200000000026</v>
      </c>
      <c r="AI80" s="24">
        <f t="shared" si="39"/>
        <v>80797.26999999999</v>
      </c>
    </row>
  </sheetData>
  <mergeCells count="49">
    <mergeCell ref="B3:B6"/>
    <mergeCell ref="C45:D45"/>
    <mergeCell ref="C74:D74"/>
    <mergeCell ref="C75:D75"/>
    <mergeCell ref="C50:D50"/>
    <mergeCell ref="B40:D40"/>
    <mergeCell ref="B41:B44"/>
    <mergeCell ref="C79:D79"/>
    <mergeCell ref="C73:D73"/>
    <mergeCell ref="C47:D47"/>
    <mergeCell ref="C54:D54"/>
    <mergeCell ref="C63:D63"/>
    <mergeCell ref="C65:D65"/>
    <mergeCell ref="C55:D55"/>
    <mergeCell ref="C77:D77"/>
    <mergeCell ref="C68:D68"/>
    <mergeCell ref="C58:D58"/>
    <mergeCell ref="C80:D80"/>
    <mergeCell ref="E2:AH2"/>
    <mergeCell ref="C56:D56"/>
    <mergeCell ref="C59:D59"/>
    <mergeCell ref="C46:D46"/>
    <mergeCell ref="C60:D60"/>
    <mergeCell ref="C51:D51"/>
    <mergeCell ref="C76:D76"/>
    <mergeCell ref="C71:D71"/>
    <mergeCell ref="D3:D6"/>
    <mergeCell ref="C61:D61"/>
    <mergeCell ref="C72:D72"/>
    <mergeCell ref="A2:D2"/>
    <mergeCell ref="C78:D78"/>
    <mergeCell ref="A41:A44"/>
    <mergeCell ref="A3:A6"/>
    <mergeCell ref="AI41:AI44"/>
    <mergeCell ref="AI3:AI6"/>
    <mergeCell ref="C70:D70"/>
    <mergeCell ref="C52:D52"/>
    <mergeCell ref="C48:D48"/>
    <mergeCell ref="A32:AI32"/>
    <mergeCell ref="C67:D67"/>
    <mergeCell ref="C57:D57"/>
    <mergeCell ref="A23:AI23"/>
    <mergeCell ref="C3:C6"/>
    <mergeCell ref="C66:D66"/>
    <mergeCell ref="C41:D44"/>
    <mergeCell ref="C53:D53"/>
    <mergeCell ref="B39:D39"/>
    <mergeCell ref="C69:D69"/>
    <mergeCell ref="C49:D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N80"/>
  <sheetViews>
    <sheetView topLeftCell="AC55" workbookViewId="0">
      <selection activeCell="A22" sqref="A22:AJ22"/>
    </sheetView>
  </sheetViews>
  <sheetFormatPr defaultRowHeight="14.5"/>
  <cols>
    <col min="1" max="1" width="14" customWidth="1"/>
    <col min="2" max="2" width="27" customWidth="1"/>
    <col min="3" max="3" width="32" style="47" bestFit="1" customWidth="1"/>
    <col min="4" max="4" width="20" bestFit="1" customWidth="1"/>
    <col min="5" max="15" width="23" customWidth="1"/>
    <col min="16" max="17" width="23" bestFit="1" customWidth="1"/>
    <col min="18" max="22" width="23" customWidth="1"/>
    <col min="23" max="24" width="23" bestFit="1" customWidth="1"/>
    <col min="25" max="25" width="23" customWidth="1"/>
    <col min="26" max="27" width="23" bestFit="1" customWidth="1"/>
    <col min="28" max="29" width="23" customWidth="1"/>
    <col min="30" max="30" width="23" bestFit="1" customWidth="1"/>
    <col min="31" max="31" width="23" customWidth="1"/>
    <col min="32" max="32" width="23" bestFit="1" customWidth="1"/>
    <col min="33" max="33" width="23" customWidth="1"/>
    <col min="34" max="35" width="23" bestFit="1" customWidth="1"/>
    <col min="36" max="36" width="18" bestFit="1" customWidth="1"/>
    <col min="37" max="37" width="14" customWidth="1"/>
    <col min="38" max="38" width="18" customWidth="1"/>
    <col min="39" max="40" width="14" customWidth="1"/>
  </cols>
  <sheetData>
    <row r="2" spans="1:36" ht="16.5" customHeight="1">
      <c r="A2" s="528"/>
      <c r="B2" s="526"/>
      <c r="C2" s="526"/>
      <c r="D2" s="527"/>
      <c r="E2" s="525" t="s">
        <v>138</v>
      </c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7"/>
      <c r="AJ2" s="50"/>
    </row>
    <row r="3" spans="1:36">
      <c r="A3" s="510" t="s">
        <v>99</v>
      </c>
      <c r="B3" s="510" t="s">
        <v>100</v>
      </c>
      <c r="C3" s="510" t="s">
        <v>101</v>
      </c>
      <c r="D3" s="516" t="s">
        <v>102</v>
      </c>
      <c r="E3" s="51">
        <v>45413</v>
      </c>
      <c r="F3" s="51">
        <v>45414</v>
      </c>
      <c r="G3" s="51">
        <v>45415</v>
      </c>
      <c r="H3" s="51">
        <v>45416</v>
      </c>
      <c r="I3" s="51">
        <v>45417</v>
      </c>
      <c r="J3" s="51">
        <v>45418</v>
      </c>
      <c r="K3" s="51">
        <v>45419</v>
      </c>
      <c r="L3" s="51">
        <v>45420</v>
      </c>
      <c r="M3" s="51">
        <v>45421</v>
      </c>
      <c r="N3" s="51">
        <v>45422</v>
      </c>
      <c r="O3" s="51">
        <v>45423</v>
      </c>
      <c r="P3" s="51">
        <v>45424</v>
      </c>
      <c r="Q3" s="51">
        <v>45425</v>
      </c>
      <c r="R3" s="51">
        <v>45426</v>
      </c>
      <c r="S3" s="51">
        <v>45427</v>
      </c>
      <c r="T3" s="51">
        <v>45428</v>
      </c>
      <c r="U3" s="51">
        <v>45429</v>
      </c>
      <c r="V3" s="51">
        <v>45430</v>
      </c>
      <c r="W3" s="51">
        <v>45431</v>
      </c>
      <c r="X3" s="51">
        <v>45432</v>
      </c>
      <c r="Y3" s="51">
        <v>45433</v>
      </c>
      <c r="Z3" s="51">
        <v>45434</v>
      </c>
      <c r="AA3" s="51">
        <v>45435</v>
      </c>
      <c r="AB3" s="51">
        <v>45436</v>
      </c>
      <c r="AC3" s="51">
        <v>45437</v>
      </c>
      <c r="AD3" s="51">
        <v>45438</v>
      </c>
      <c r="AE3" s="51">
        <v>45439</v>
      </c>
      <c r="AF3" s="51">
        <v>45440</v>
      </c>
      <c r="AG3" s="51">
        <v>45441</v>
      </c>
      <c r="AH3" s="51">
        <v>45442</v>
      </c>
      <c r="AI3" s="51">
        <v>45443</v>
      </c>
      <c r="AJ3" s="514" t="s">
        <v>1</v>
      </c>
    </row>
    <row r="4" spans="1:36">
      <c r="A4" s="511"/>
      <c r="B4" s="511"/>
      <c r="C4" s="511"/>
      <c r="D4" s="511"/>
      <c r="E4" s="52" t="s">
        <v>109</v>
      </c>
      <c r="F4" s="52" t="s">
        <v>103</v>
      </c>
      <c r="G4" s="52" t="s">
        <v>104</v>
      </c>
      <c r="H4" s="52" t="s">
        <v>105</v>
      </c>
      <c r="I4" s="52" t="s">
        <v>106</v>
      </c>
      <c r="J4" s="52" t="s">
        <v>107</v>
      </c>
      <c r="K4" s="52" t="s">
        <v>108</v>
      </c>
      <c r="L4" s="52" t="s">
        <v>109</v>
      </c>
      <c r="M4" s="52" t="s">
        <v>103</v>
      </c>
      <c r="N4" s="52" t="s">
        <v>104</v>
      </c>
      <c r="O4" s="52" t="s">
        <v>105</v>
      </c>
      <c r="P4" s="52" t="s">
        <v>106</v>
      </c>
      <c r="Q4" s="52" t="s">
        <v>107</v>
      </c>
      <c r="R4" s="52" t="s">
        <v>108</v>
      </c>
      <c r="S4" s="52" t="s">
        <v>109</v>
      </c>
      <c r="T4" s="52" t="s">
        <v>103</v>
      </c>
      <c r="U4" s="52" t="s">
        <v>104</v>
      </c>
      <c r="V4" s="52" t="s">
        <v>105</v>
      </c>
      <c r="W4" s="52" t="s">
        <v>106</v>
      </c>
      <c r="X4" s="52" t="s">
        <v>107</v>
      </c>
      <c r="Y4" s="52" t="s">
        <v>108</v>
      </c>
      <c r="Z4" s="52" t="s">
        <v>109</v>
      </c>
      <c r="AA4" s="52" t="s">
        <v>103</v>
      </c>
      <c r="AB4" s="52" t="s">
        <v>104</v>
      </c>
      <c r="AC4" s="52" t="s">
        <v>105</v>
      </c>
      <c r="AD4" s="52" t="s">
        <v>106</v>
      </c>
      <c r="AE4" s="52" t="s">
        <v>107</v>
      </c>
      <c r="AF4" s="52" t="s">
        <v>108</v>
      </c>
      <c r="AG4" s="52" t="s">
        <v>109</v>
      </c>
      <c r="AH4" s="52" t="s">
        <v>103</v>
      </c>
      <c r="AI4" s="52" t="s">
        <v>104</v>
      </c>
      <c r="AJ4" s="511"/>
    </row>
    <row r="5" spans="1:36">
      <c r="A5" s="511"/>
      <c r="B5" s="511"/>
      <c r="C5" s="511"/>
      <c r="D5" s="511"/>
      <c r="E5" s="52" t="s">
        <v>110</v>
      </c>
      <c r="F5" s="52" t="s">
        <v>110</v>
      </c>
      <c r="G5" s="52" t="s">
        <v>110</v>
      </c>
      <c r="H5" s="52" t="s">
        <v>110</v>
      </c>
      <c r="I5" s="52" t="s">
        <v>110</v>
      </c>
      <c r="J5" s="52" t="s">
        <v>110</v>
      </c>
      <c r="K5" s="52" t="s">
        <v>110</v>
      </c>
      <c r="L5" s="52" t="s">
        <v>110</v>
      </c>
      <c r="M5" s="52" t="s">
        <v>110</v>
      </c>
      <c r="N5" s="52" t="s">
        <v>110</v>
      </c>
      <c r="O5" s="52" t="s">
        <v>110</v>
      </c>
      <c r="P5" s="52" t="s">
        <v>110</v>
      </c>
      <c r="Q5" s="52" t="s">
        <v>110</v>
      </c>
      <c r="R5" s="52" t="s">
        <v>110</v>
      </c>
      <c r="S5" s="52" t="s">
        <v>110</v>
      </c>
      <c r="T5" s="52" t="s">
        <v>110</v>
      </c>
      <c r="U5" s="52" t="s">
        <v>110</v>
      </c>
      <c r="V5" s="52" t="s">
        <v>110</v>
      </c>
      <c r="W5" s="52" t="s">
        <v>110</v>
      </c>
      <c r="X5" s="52" t="s">
        <v>110</v>
      </c>
      <c r="Y5" s="52" t="s">
        <v>110</v>
      </c>
      <c r="Z5" s="52" t="s">
        <v>110</v>
      </c>
      <c r="AA5" s="52" t="s">
        <v>110</v>
      </c>
      <c r="AB5" s="52" t="s">
        <v>110</v>
      </c>
      <c r="AC5" s="52" t="s">
        <v>110</v>
      </c>
      <c r="AD5" s="52" t="s">
        <v>110</v>
      </c>
      <c r="AE5" s="52" t="s">
        <v>110</v>
      </c>
      <c r="AF5" s="52" t="s">
        <v>110</v>
      </c>
      <c r="AG5" s="52" t="s">
        <v>110</v>
      </c>
      <c r="AH5" s="52" t="s">
        <v>110</v>
      </c>
      <c r="AI5" s="52" t="s">
        <v>110</v>
      </c>
      <c r="AJ5" s="511"/>
    </row>
    <row r="6" spans="1:36">
      <c r="A6" s="512"/>
      <c r="B6" s="512"/>
      <c r="C6" s="512"/>
      <c r="D6" s="512"/>
      <c r="E6" s="53">
        <v>0.33333333333333331</v>
      </c>
      <c r="F6" s="53">
        <v>0.33333333333333331</v>
      </c>
      <c r="G6" s="53">
        <v>0.33333333333333331</v>
      </c>
      <c r="H6" s="53">
        <v>0.33333333333333331</v>
      </c>
      <c r="I6" s="53">
        <v>0.33333333333333331</v>
      </c>
      <c r="J6" s="53" t="e">
        <f>#REF!=AN73</f>
        <v>#REF!</v>
      </c>
      <c r="K6" s="53">
        <v>0.33333333333333331</v>
      </c>
      <c r="L6" s="53">
        <v>0.33333333333333331</v>
      </c>
      <c r="M6" s="53">
        <v>0.33333333333333331</v>
      </c>
      <c r="N6" s="53">
        <v>0.33333333333333331</v>
      </c>
      <c r="O6" s="53">
        <v>0.33333333333333331</v>
      </c>
      <c r="P6" s="53">
        <v>0.33333333333333331</v>
      </c>
      <c r="Q6" s="53">
        <v>0.33333333333333331</v>
      </c>
      <c r="R6" s="53">
        <v>0.33333333333333331</v>
      </c>
      <c r="S6" s="53">
        <v>0.33333333333333331</v>
      </c>
      <c r="T6" s="53">
        <v>0.33333333333333331</v>
      </c>
      <c r="U6" s="53">
        <v>0.33333333333333331</v>
      </c>
      <c r="V6" s="53">
        <v>0.33333333333333331</v>
      </c>
      <c r="W6" s="53">
        <v>0.33333333333333331</v>
      </c>
      <c r="X6" s="53">
        <v>0.33333333333333331</v>
      </c>
      <c r="Y6" s="53">
        <v>0.33333333333333331</v>
      </c>
      <c r="Z6" s="53">
        <v>0.33333333333333331</v>
      </c>
      <c r="AA6" s="53">
        <v>0.33333333333333331</v>
      </c>
      <c r="AB6" s="53">
        <v>0.33333333333333331</v>
      </c>
      <c r="AC6" s="53">
        <v>0.33333333333333331</v>
      </c>
      <c r="AD6" s="53">
        <v>0.33333333333333331</v>
      </c>
      <c r="AE6" s="53">
        <v>0.33333333333333331</v>
      </c>
      <c r="AF6" s="53">
        <v>0.33333333333333331</v>
      </c>
      <c r="AG6" s="53">
        <v>0.33333333333333331</v>
      </c>
      <c r="AH6" s="53">
        <v>0.33333333333333331</v>
      </c>
      <c r="AI6" s="53">
        <v>0.33333333333333331</v>
      </c>
      <c r="AJ6" s="512"/>
    </row>
    <row r="7" spans="1:36" ht="20.149999999999999" customHeight="1">
      <c r="A7" s="2">
        <v>1</v>
      </c>
      <c r="B7" s="2" t="s">
        <v>129</v>
      </c>
      <c r="C7" s="2" t="s">
        <v>111</v>
      </c>
      <c r="D7" s="7">
        <v>20652</v>
      </c>
      <c r="E7" s="4">
        <v>21014</v>
      </c>
      <c r="F7" s="4">
        <v>21267</v>
      </c>
      <c r="G7" s="5">
        <v>21509</v>
      </c>
      <c r="H7" s="5">
        <v>21714</v>
      </c>
      <c r="I7" s="4">
        <v>21934</v>
      </c>
      <c r="J7" s="4">
        <v>22136</v>
      </c>
      <c r="K7" s="4">
        <v>22375</v>
      </c>
      <c r="L7" s="4">
        <v>22572</v>
      </c>
      <c r="M7" s="6">
        <v>22809</v>
      </c>
      <c r="N7" s="4">
        <v>23008</v>
      </c>
      <c r="O7" s="4">
        <v>23204</v>
      </c>
      <c r="P7" s="4">
        <v>23430</v>
      </c>
      <c r="Q7" s="6">
        <v>23596</v>
      </c>
      <c r="R7" s="4">
        <v>23844</v>
      </c>
      <c r="S7" s="4">
        <v>24100</v>
      </c>
      <c r="T7" s="4">
        <v>24354</v>
      </c>
      <c r="U7" s="4">
        <v>24495</v>
      </c>
      <c r="V7" s="6">
        <v>24682</v>
      </c>
      <c r="W7" s="4">
        <v>24968</v>
      </c>
      <c r="X7" s="4">
        <v>25142</v>
      </c>
      <c r="Y7" s="4">
        <v>25402</v>
      </c>
      <c r="Z7" s="4">
        <v>25630</v>
      </c>
      <c r="AA7" s="4">
        <v>25817</v>
      </c>
      <c r="AB7" s="4">
        <v>26049</v>
      </c>
      <c r="AC7" s="4">
        <v>26251</v>
      </c>
      <c r="AD7" s="4">
        <v>26443</v>
      </c>
      <c r="AE7" s="4">
        <v>26672</v>
      </c>
      <c r="AF7" s="4">
        <v>26889</v>
      </c>
      <c r="AG7" s="4">
        <v>27095</v>
      </c>
      <c r="AH7" s="8">
        <v>27328</v>
      </c>
      <c r="AI7" s="44">
        <v>27418</v>
      </c>
      <c r="AJ7" s="7">
        <f t="shared" ref="AJ7:AJ22" si="0">AI7-D7</f>
        <v>6766</v>
      </c>
    </row>
    <row r="8" spans="1:36" ht="20.149999999999999" customHeight="1">
      <c r="A8" s="2"/>
      <c r="B8" s="2"/>
      <c r="C8" s="61" t="s">
        <v>22</v>
      </c>
      <c r="D8" s="7">
        <v>328</v>
      </c>
      <c r="E8" s="4">
        <v>328</v>
      </c>
      <c r="F8" s="4">
        <v>328</v>
      </c>
      <c r="G8" s="4">
        <v>328</v>
      </c>
      <c r="H8" s="4">
        <v>328</v>
      </c>
      <c r="I8" s="4">
        <v>328</v>
      </c>
      <c r="J8" s="4">
        <v>369</v>
      </c>
      <c r="K8" s="4">
        <v>382</v>
      </c>
      <c r="L8" s="4">
        <v>455</v>
      </c>
      <c r="M8" s="6">
        <v>455</v>
      </c>
      <c r="N8" s="4">
        <v>505</v>
      </c>
      <c r="O8" s="4">
        <v>518</v>
      </c>
      <c r="P8" s="4">
        <v>518</v>
      </c>
      <c r="Q8" s="6">
        <v>599</v>
      </c>
      <c r="R8" s="4">
        <v>613</v>
      </c>
      <c r="S8" s="4">
        <v>613</v>
      </c>
      <c r="T8" s="4">
        <v>613</v>
      </c>
      <c r="U8" s="4">
        <v>700</v>
      </c>
      <c r="V8" s="6">
        <v>700</v>
      </c>
      <c r="W8" s="4">
        <v>727</v>
      </c>
      <c r="X8" s="4">
        <v>798</v>
      </c>
      <c r="Y8" s="4">
        <v>798</v>
      </c>
      <c r="Z8" s="4">
        <v>798</v>
      </c>
      <c r="AA8" s="4">
        <v>864</v>
      </c>
      <c r="AB8" s="4">
        <v>880</v>
      </c>
      <c r="AC8" s="4">
        <v>882</v>
      </c>
      <c r="AD8" s="4">
        <v>889</v>
      </c>
      <c r="AE8" s="4">
        <v>915</v>
      </c>
      <c r="AF8" s="4">
        <v>955</v>
      </c>
      <c r="AG8" s="4">
        <v>999</v>
      </c>
      <c r="AH8" s="8">
        <v>1025</v>
      </c>
      <c r="AI8" s="44">
        <v>1040</v>
      </c>
      <c r="AJ8" s="7">
        <f t="shared" si="0"/>
        <v>712</v>
      </c>
    </row>
    <row r="9" spans="1:36" ht="20.149999999999999" customHeight="1">
      <c r="A9" s="2">
        <v>2</v>
      </c>
      <c r="B9" s="2" t="s">
        <v>129</v>
      </c>
      <c r="C9" s="2" t="s">
        <v>112</v>
      </c>
      <c r="D9" s="3">
        <v>1956</v>
      </c>
      <c r="E9" s="4">
        <v>1956</v>
      </c>
      <c r="F9" s="4">
        <v>1956</v>
      </c>
      <c r="G9" s="4">
        <v>1956</v>
      </c>
      <c r="H9" s="4">
        <v>1956</v>
      </c>
      <c r="I9" s="4">
        <v>1956</v>
      </c>
      <c r="J9" s="4">
        <v>1956</v>
      </c>
      <c r="K9" s="4">
        <v>1956</v>
      </c>
      <c r="L9" s="4">
        <v>1956</v>
      </c>
      <c r="M9" s="4">
        <v>1956</v>
      </c>
      <c r="N9" s="4">
        <v>1956</v>
      </c>
      <c r="O9" s="4">
        <v>1956</v>
      </c>
      <c r="P9" s="4">
        <v>1956</v>
      </c>
      <c r="Q9" s="4">
        <v>1956</v>
      </c>
      <c r="R9" s="4">
        <v>1956</v>
      </c>
      <c r="S9" s="4">
        <v>1956</v>
      </c>
      <c r="T9" s="4">
        <v>1956</v>
      </c>
      <c r="U9" s="4">
        <v>1956</v>
      </c>
      <c r="V9" s="4">
        <v>1956</v>
      </c>
      <c r="W9" s="4">
        <v>1956</v>
      </c>
      <c r="X9" s="4">
        <v>1956</v>
      </c>
      <c r="Y9" s="4">
        <v>1956</v>
      </c>
      <c r="Z9" s="4">
        <v>1956</v>
      </c>
      <c r="AA9" s="4">
        <v>1956</v>
      </c>
      <c r="AB9" s="4">
        <v>1956</v>
      </c>
      <c r="AC9" s="4">
        <v>1956</v>
      </c>
      <c r="AD9" s="4">
        <v>1956</v>
      </c>
      <c r="AE9" s="4">
        <v>1956</v>
      </c>
      <c r="AF9" s="4">
        <v>1956</v>
      </c>
      <c r="AG9" s="4">
        <v>1956</v>
      </c>
      <c r="AH9" s="4">
        <v>1956</v>
      </c>
      <c r="AI9" s="4">
        <v>1956</v>
      </c>
      <c r="AJ9" s="7">
        <f t="shared" si="0"/>
        <v>0</v>
      </c>
    </row>
    <row r="10" spans="1:36" ht="20.149999999999999" customHeight="1">
      <c r="A10" s="2"/>
      <c r="B10" s="2"/>
      <c r="C10" s="61" t="s">
        <v>22</v>
      </c>
      <c r="D10" s="45">
        <v>28</v>
      </c>
      <c r="E10" s="4">
        <v>28</v>
      </c>
      <c r="F10" s="4">
        <v>28</v>
      </c>
      <c r="G10" s="4">
        <v>28</v>
      </c>
      <c r="H10" s="4">
        <v>28</v>
      </c>
      <c r="I10" s="4">
        <v>28</v>
      </c>
      <c r="J10" s="4">
        <v>28</v>
      </c>
      <c r="K10" s="4">
        <v>28</v>
      </c>
      <c r="L10" s="4">
        <v>28</v>
      </c>
      <c r="M10" s="4">
        <v>28</v>
      </c>
      <c r="N10" s="4">
        <v>28</v>
      </c>
      <c r="O10" s="4">
        <v>28</v>
      </c>
      <c r="P10" s="4">
        <v>28</v>
      </c>
      <c r="Q10" s="4">
        <v>28</v>
      </c>
      <c r="R10" s="4">
        <v>28</v>
      </c>
      <c r="S10" s="4">
        <v>28</v>
      </c>
      <c r="T10" s="4">
        <v>28</v>
      </c>
      <c r="U10" s="4">
        <v>28</v>
      </c>
      <c r="V10" s="4">
        <v>28</v>
      </c>
      <c r="W10" s="4">
        <v>28</v>
      </c>
      <c r="X10" s="4">
        <v>28</v>
      </c>
      <c r="Y10" s="4">
        <v>28</v>
      </c>
      <c r="Z10" s="4">
        <v>28</v>
      </c>
      <c r="AA10" s="4">
        <v>28</v>
      </c>
      <c r="AB10" s="4">
        <v>28</v>
      </c>
      <c r="AC10" s="4">
        <v>28</v>
      </c>
      <c r="AD10" s="4">
        <v>28</v>
      </c>
      <c r="AE10" s="4">
        <v>28</v>
      </c>
      <c r="AF10" s="4">
        <v>28</v>
      </c>
      <c r="AG10" s="4">
        <v>28</v>
      </c>
      <c r="AH10" s="4">
        <v>28</v>
      </c>
      <c r="AI10" s="4">
        <v>28</v>
      </c>
      <c r="AJ10" s="7">
        <f t="shared" si="0"/>
        <v>0</v>
      </c>
    </row>
    <row r="11" spans="1:36" ht="20.149999999999999" customHeight="1">
      <c r="A11" s="2">
        <v>3</v>
      </c>
      <c r="B11" s="2" t="s">
        <v>129</v>
      </c>
      <c r="C11" s="2" t="s">
        <v>113</v>
      </c>
      <c r="D11" s="7">
        <v>36049</v>
      </c>
      <c r="E11" s="4">
        <v>36569</v>
      </c>
      <c r="F11" s="4">
        <v>36928</v>
      </c>
      <c r="G11" s="4">
        <v>37268</v>
      </c>
      <c r="H11" s="4">
        <v>37536</v>
      </c>
      <c r="I11" s="4">
        <v>37819</v>
      </c>
      <c r="J11" s="4">
        <v>38104</v>
      </c>
      <c r="K11" s="4">
        <v>38443</v>
      </c>
      <c r="L11" s="4">
        <v>38717</v>
      </c>
      <c r="M11" s="4">
        <v>39054</v>
      </c>
      <c r="N11" s="4">
        <v>39326</v>
      </c>
      <c r="O11" s="4">
        <v>39382</v>
      </c>
      <c r="P11" s="4">
        <v>39877</v>
      </c>
      <c r="Q11" s="4">
        <v>40110</v>
      </c>
      <c r="R11" s="4">
        <v>40457</v>
      </c>
      <c r="S11" s="4">
        <v>40827</v>
      </c>
      <c r="T11" s="4">
        <v>41189</v>
      </c>
      <c r="U11" s="4">
        <v>41374</v>
      </c>
      <c r="V11" s="4">
        <v>41653</v>
      </c>
      <c r="W11" s="4">
        <v>41899</v>
      </c>
      <c r="X11" s="4">
        <v>42140</v>
      </c>
      <c r="Y11" s="4">
        <v>42499</v>
      </c>
      <c r="Z11" s="4">
        <v>42821</v>
      </c>
      <c r="AA11" s="4">
        <v>43077</v>
      </c>
      <c r="AB11" s="4">
        <v>43396</v>
      </c>
      <c r="AC11" s="4">
        <v>43656</v>
      </c>
      <c r="AD11" s="4">
        <v>43897</v>
      </c>
      <c r="AE11" s="8">
        <v>44220</v>
      </c>
      <c r="AF11" s="8">
        <v>44524</v>
      </c>
      <c r="AG11" s="8">
        <v>44805</v>
      </c>
      <c r="AH11" s="8">
        <v>45128</v>
      </c>
      <c r="AI11" s="44">
        <v>45249</v>
      </c>
      <c r="AJ11" s="7">
        <f t="shared" si="0"/>
        <v>9200</v>
      </c>
    </row>
    <row r="12" spans="1:36" ht="20.149999999999999" customHeight="1">
      <c r="A12" s="2"/>
      <c r="B12" s="2"/>
      <c r="C12" s="61" t="s">
        <v>22</v>
      </c>
      <c r="D12" s="7">
        <v>588</v>
      </c>
      <c r="E12" s="4">
        <v>588</v>
      </c>
      <c r="F12" s="4">
        <v>588</v>
      </c>
      <c r="G12" s="4">
        <v>588</v>
      </c>
      <c r="H12" s="4">
        <v>588</v>
      </c>
      <c r="I12" s="4">
        <v>588</v>
      </c>
      <c r="J12" s="4">
        <v>651</v>
      </c>
      <c r="K12" s="4">
        <v>671</v>
      </c>
      <c r="L12" s="4">
        <v>781</v>
      </c>
      <c r="M12" s="4">
        <v>781</v>
      </c>
      <c r="N12" s="4">
        <v>856</v>
      </c>
      <c r="O12" s="4">
        <v>873</v>
      </c>
      <c r="P12" s="4">
        <v>873</v>
      </c>
      <c r="Q12" s="4">
        <v>997</v>
      </c>
      <c r="R12" s="4">
        <v>1017</v>
      </c>
      <c r="S12" s="4">
        <v>1017</v>
      </c>
      <c r="T12" s="4">
        <v>1017</v>
      </c>
      <c r="U12" s="4">
        <v>1158</v>
      </c>
      <c r="V12" s="4">
        <v>1158</v>
      </c>
      <c r="W12" s="4">
        <v>1182</v>
      </c>
      <c r="X12" s="4">
        <v>1286</v>
      </c>
      <c r="Y12" s="4">
        <v>1286</v>
      </c>
      <c r="Z12" s="4">
        <v>1286</v>
      </c>
      <c r="AA12" s="4">
        <v>1885</v>
      </c>
      <c r="AB12" s="4">
        <v>1409</v>
      </c>
      <c r="AC12" s="4">
        <v>1411</v>
      </c>
      <c r="AD12" s="4">
        <v>1420</v>
      </c>
      <c r="AE12" s="8">
        <v>1461</v>
      </c>
      <c r="AF12" s="8">
        <v>1523</v>
      </c>
      <c r="AG12" s="8">
        <v>1588</v>
      </c>
      <c r="AH12" s="8">
        <v>1627</v>
      </c>
      <c r="AI12" s="44">
        <v>1649</v>
      </c>
      <c r="AJ12" s="7">
        <f t="shared" si="0"/>
        <v>1061</v>
      </c>
    </row>
    <row r="13" spans="1:36" ht="20.149999999999999" customHeight="1">
      <c r="A13" s="2">
        <v>4</v>
      </c>
      <c r="B13" s="2" t="s">
        <v>129</v>
      </c>
      <c r="C13" s="2" t="s">
        <v>114</v>
      </c>
      <c r="D13" s="3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7">
        <f t="shared" si="0"/>
        <v>0</v>
      </c>
    </row>
    <row r="14" spans="1:36" ht="20.149999999999999" customHeight="1">
      <c r="A14" s="2"/>
      <c r="B14" s="2"/>
      <c r="C14" s="61" t="s">
        <v>22</v>
      </c>
      <c r="D14" s="45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7">
        <f t="shared" si="0"/>
        <v>0</v>
      </c>
    </row>
    <row r="15" spans="1:36" ht="20.149999999999999" customHeight="1">
      <c r="A15" s="2">
        <v>5</v>
      </c>
      <c r="B15" s="2" t="s">
        <v>129</v>
      </c>
      <c r="C15" s="2" t="s">
        <v>115</v>
      </c>
      <c r="D15" s="7">
        <v>11588</v>
      </c>
      <c r="E15" s="4">
        <v>11830</v>
      </c>
      <c r="F15" s="4">
        <v>11992</v>
      </c>
      <c r="G15" s="5">
        <v>12152</v>
      </c>
      <c r="H15" s="5">
        <v>12247</v>
      </c>
      <c r="I15" s="4">
        <v>12341</v>
      </c>
      <c r="J15" s="4">
        <v>12478</v>
      </c>
      <c r="K15" s="4">
        <v>12640</v>
      </c>
      <c r="L15" s="4">
        <v>12758</v>
      </c>
      <c r="M15" s="4">
        <v>12919</v>
      </c>
      <c r="N15" s="4">
        <v>13043</v>
      </c>
      <c r="O15" s="4">
        <v>13141</v>
      </c>
      <c r="P15" s="4">
        <v>13253</v>
      </c>
      <c r="Q15" s="4">
        <v>13364</v>
      </c>
      <c r="R15" s="4">
        <v>13533</v>
      </c>
      <c r="S15" s="4">
        <v>13708</v>
      </c>
      <c r="T15" s="4">
        <v>13887</v>
      </c>
      <c r="U15" s="4">
        <v>13969</v>
      </c>
      <c r="V15" s="4">
        <v>14074</v>
      </c>
      <c r="W15" s="4">
        <v>14183</v>
      </c>
      <c r="X15" s="4">
        <v>14304</v>
      </c>
      <c r="Y15" s="33">
        <v>14491</v>
      </c>
      <c r="Z15" s="4">
        <v>14655</v>
      </c>
      <c r="AA15" s="4">
        <v>14790</v>
      </c>
      <c r="AB15" s="4">
        <v>14957</v>
      </c>
      <c r="AC15" s="4">
        <v>15079</v>
      </c>
      <c r="AD15" s="4">
        <v>15195</v>
      </c>
      <c r="AE15" s="8">
        <v>15366</v>
      </c>
      <c r="AF15" s="8">
        <v>15528</v>
      </c>
      <c r="AG15" s="8">
        <v>15675</v>
      </c>
      <c r="AH15" s="8">
        <v>15845</v>
      </c>
      <c r="AI15" s="44">
        <v>15905</v>
      </c>
      <c r="AJ15" s="7">
        <f t="shared" si="0"/>
        <v>4317</v>
      </c>
    </row>
    <row r="16" spans="1:36" ht="20.149999999999999" customHeight="1">
      <c r="A16" s="2"/>
      <c r="B16" s="2"/>
      <c r="C16" s="61" t="s">
        <v>22</v>
      </c>
      <c r="D16" s="7">
        <v>196</v>
      </c>
      <c r="E16" s="4">
        <v>196</v>
      </c>
      <c r="F16" s="4">
        <v>196</v>
      </c>
      <c r="G16" s="4">
        <v>196</v>
      </c>
      <c r="H16" s="4">
        <v>196</v>
      </c>
      <c r="I16" s="4">
        <v>196</v>
      </c>
      <c r="J16" s="4">
        <v>225</v>
      </c>
      <c r="K16" s="4">
        <v>237</v>
      </c>
      <c r="L16" s="4">
        <v>291</v>
      </c>
      <c r="M16" s="4">
        <v>291</v>
      </c>
      <c r="N16" s="4">
        <v>326</v>
      </c>
      <c r="O16" s="4">
        <v>332</v>
      </c>
      <c r="P16" s="4">
        <v>332</v>
      </c>
      <c r="Q16" s="4">
        <v>395</v>
      </c>
      <c r="R16" s="4">
        <v>404</v>
      </c>
      <c r="S16" s="4">
        <v>404</v>
      </c>
      <c r="T16" s="4">
        <v>404</v>
      </c>
      <c r="U16" s="4">
        <v>482</v>
      </c>
      <c r="V16" s="4">
        <v>482</v>
      </c>
      <c r="W16" s="4">
        <v>492</v>
      </c>
      <c r="X16" s="4">
        <v>543</v>
      </c>
      <c r="Y16" s="33">
        <v>543</v>
      </c>
      <c r="Z16" s="4">
        <v>543</v>
      </c>
      <c r="AA16" s="4">
        <v>600</v>
      </c>
      <c r="AB16" s="4">
        <v>613</v>
      </c>
      <c r="AC16" s="4">
        <v>614</v>
      </c>
      <c r="AD16" s="4">
        <v>619</v>
      </c>
      <c r="AE16" s="8">
        <v>641</v>
      </c>
      <c r="AF16" s="8">
        <v>674</v>
      </c>
      <c r="AG16" s="8">
        <v>713</v>
      </c>
      <c r="AH16" s="8">
        <v>734</v>
      </c>
      <c r="AI16" s="44">
        <v>746</v>
      </c>
      <c r="AJ16" s="7">
        <f t="shared" si="0"/>
        <v>550</v>
      </c>
    </row>
    <row r="17" spans="1:36" ht="20.149999999999999" customHeight="1">
      <c r="A17" s="2">
        <v>6</v>
      </c>
      <c r="B17" s="2" t="s">
        <v>129</v>
      </c>
      <c r="C17" s="2" t="s">
        <v>116</v>
      </c>
      <c r="D17" s="7">
        <v>19531</v>
      </c>
      <c r="E17" s="4">
        <v>19954</v>
      </c>
      <c r="F17" s="4">
        <v>20225</v>
      </c>
      <c r="G17" s="4">
        <v>20489</v>
      </c>
      <c r="H17" s="4">
        <v>20660</v>
      </c>
      <c r="I17" s="4">
        <v>20844</v>
      </c>
      <c r="J17" s="4">
        <v>21069</v>
      </c>
      <c r="K17" s="4">
        <v>21335</v>
      </c>
      <c r="L17" s="4">
        <v>21521</v>
      </c>
      <c r="M17" s="4">
        <v>21728</v>
      </c>
      <c r="N17" s="4">
        <v>21896</v>
      </c>
      <c r="O17" s="4">
        <v>22015</v>
      </c>
      <c r="P17" s="4">
        <v>22167</v>
      </c>
      <c r="Q17" s="4">
        <v>22338</v>
      </c>
      <c r="R17" s="4">
        <v>22615</v>
      </c>
      <c r="S17" s="4">
        <v>22899</v>
      </c>
      <c r="T17" s="4">
        <v>23186</v>
      </c>
      <c r="U17" s="4">
        <v>23327</v>
      </c>
      <c r="V17" s="4">
        <v>23527</v>
      </c>
      <c r="W17" s="4">
        <v>23699</v>
      </c>
      <c r="X17" s="4">
        <v>23908</v>
      </c>
      <c r="Y17" s="4">
        <v>24186</v>
      </c>
      <c r="Z17" s="4">
        <v>24418</v>
      </c>
      <c r="AA17" s="4">
        <v>24591</v>
      </c>
      <c r="AB17" s="4">
        <v>24803</v>
      </c>
      <c r="AC17" s="4">
        <v>24944</v>
      </c>
      <c r="AD17" s="4">
        <v>25085</v>
      </c>
      <c r="AE17" s="4">
        <v>25335</v>
      </c>
      <c r="AF17" s="8">
        <v>25563</v>
      </c>
      <c r="AG17" s="4">
        <v>25780</v>
      </c>
      <c r="AH17" s="8">
        <v>26023</v>
      </c>
      <c r="AI17" s="44">
        <v>26115</v>
      </c>
      <c r="AJ17" s="7">
        <f t="shared" si="0"/>
        <v>6584</v>
      </c>
    </row>
    <row r="18" spans="1:36" ht="20.149999999999999" customHeight="1">
      <c r="A18" s="2"/>
      <c r="B18" s="2"/>
      <c r="C18" s="61" t="s">
        <v>22</v>
      </c>
      <c r="D18" s="7">
        <v>353</v>
      </c>
      <c r="E18" s="4">
        <v>353</v>
      </c>
      <c r="F18" s="4">
        <v>353</v>
      </c>
      <c r="G18" s="4">
        <v>353</v>
      </c>
      <c r="H18" s="4">
        <v>353</v>
      </c>
      <c r="I18" s="4">
        <v>353</v>
      </c>
      <c r="J18" s="4">
        <v>402</v>
      </c>
      <c r="K18" s="4">
        <v>417</v>
      </c>
      <c r="L18" s="4">
        <v>492</v>
      </c>
      <c r="M18" s="4">
        <v>492</v>
      </c>
      <c r="N18" s="4">
        <v>559</v>
      </c>
      <c r="O18" s="4">
        <v>564</v>
      </c>
      <c r="P18" s="4">
        <v>564</v>
      </c>
      <c r="Q18" s="4">
        <v>659</v>
      </c>
      <c r="R18" s="4">
        <v>673</v>
      </c>
      <c r="S18" s="4">
        <v>673</v>
      </c>
      <c r="T18" s="4">
        <v>673</v>
      </c>
      <c r="U18" s="4">
        <v>807</v>
      </c>
      <c r="V18" s="4">
        <v>807</v>
      </c>
      <c r="W18" s="4">
        <v>825</v>
      </c>
      <c r="X18" s="4">
        <v>916</v>
      </c>
      <c r="Y18" s="4">
        <v>916</v>
      </c>
      <c r="Z18" s="4">
        <v>916</v>
      </c>
      <c r="AA18" s="4">
        <v>891</v>
      </c>
      <c r="AB18" s="33">
        <v>1011</v>
      </c>
      <c r="AC18" s="4">
        <v>1011</v>
      </c>
      <c r="AD18" s="4">
        <v>1016</v>
      </c>
      <c r="AE18" s="8">
        <v>1045</v>
      </c>
      <c r="AF18" s="8">
        <v>1085</v>
      </c>
      <c r="AG18" s="8">
        <v>1150</v>
      </c>
      <c r="AH18" s="8">
        <v>1185</v>
      </c>
      <c r="AI18" s="44">
        <v>1209</v>
      </c>
      <c r="AJ18" s="7">
        <f t="shared" si="0"/>
        <v>856</v>
      </c>
    </row>
    <row r="19" spans="1:36" ht="20.149999999999999" customHeight="1">
      <c r="A19" s="2">
        <v>7</v>
      </c>
      <c r="B19" s="2" t="s">
        <v>129</v>
      </c>
      <c r="C19" s="2" t="s">
        <v>117</v>
      </c>
      <c r="D19" s="7">
        <v>75336</v>
      </c>
      <c r="E19" s="4">
        <v>76453</v>
      </c>
      <c r="F19" s="4">
        <v>77223</v>
      </c>
      <c r="G19" s="5">
        <v>77941</v>
      </c>
      <c r="H19" s="5">
        <v>78535</v>
      </c>
      <c r="I19" s="4">
        <v>79195</v>
      </c>
      <c r="J19" s="4">
        <v>79781</v>
      </c>
      <c r="K19" s="4">
        <v>80472</v>
      </c>
      <c r="L19" s="4">
        <v>81019</v>
      </c>
      <c r="M19" s="4">
        <v>81713</v>
      </c>
      <c r="N19" s="4">
        <v>82317</v>
      </c>
      <c r="O19" s="4">
        <v>82909</v>
      </c>
      <c r="P19" s="4">
        <v>83577</v>
      </c>
      <c r="Q19" s="4">
        <v>84046</v>
      </c>
      <c r="R19" s="5">
        <v>84747</v>
      </c>
      <c r="S19" s="4">
        <v>85477</v>
      </c>
      <c r="T19" s="4">
        <v>86207</v>
      </c>
      <c r="U19" s="4">
        <v>86599</v>
      </c>
      <c r="V19" s="4">
        <v>87217</v>
      </c>
      <c r="W19" s="5">
        <v>87733</v>
      </c>
      <c r="X19" s="4">
        <v>88230</v>
      </c>
      <c r="Y19" s="4">
        <v>88988</v>
      </c>
      <c r="Z19" s="4">
        <v>89665</v>
      </c>
      <c r="AA19" s="4">
        <v>90201</v>
      </c>
      <c r="AB19" s="33">
        <v>90898</v>
      </c>
      <c r="AC19" s="4">
        <v>91441</v>
      </c>
      <c r="AD19" s="4">
        <v>91754</v>
      </c>
      <c r="AE19" s="8">
        <v>92396</v>
      </c>
      <c r="AF19" s="8">
        <v>93063</v>
      </c>
      <c r="AG19" s="8">
        <v>93673</v>
      </c>
      <c r="AH19" s="8">
        <v>94361</v>
      </c>
      <c r="AI19" s="44">
        <v>94630</v>
      </c>
      <c r="AJ19" s="7">
        <f t="shared" si="0"/>
        <v>19294</v>
      </c>
    </row>
    <row r="20" spans="1:36" ht="20.149999999999999" customHeight="1">
      <c r="A20" s="2"/>
      <c r="B20" s="2"/>
      <c r="C20" s="61" t="s">
        <v>22</v>
      </c>
      <c r="D20" s="7">
        <v>1226</v>
      </c>
      <c r="E20" s="4">
        <v>1226</v>
      </c>
      <c r="F20" s="4">
        <v>1226</v>
      </c>
      <c r="G20" s="4">
        <v>1226</v>
      </c>
      <c r="H20" s="4">
        <v>1226</v>
      </c>
      <c r="I20" s="4">
        <v>1226</v>
      </c>
      <c r="J20" s="4">
        <v>1350</v>
      </c>
      <c r="K20" s="4">
        <v>1366</v>
      </c>
      <c r="L20" s="4">
        <v>1590</v>
      </c>
      <c r="M20" s="4">
        <v>1590</v>
      </c>
      <c r="N20" s="4">
        <v>1741</v>
      </c>
      <c r="O20" s="4">
        <v>1778</v>
      </c>
      <c r="P20" s="4">
        <v>1778</v>
      </c>
      <c r="Q20" s="4">
        <v>2018</v>
      </c>
      <c r="R20" s="5">
        <v>2048</v>
      </c>
      <c r="S20" s="4">
        <v>2048</v>
      </c>
      <c r="T20" s="4">
        <v>2048</v>
      </c>
      <c r="U20" s="4">
        <v>2340</v>
      </c>
      <c r="V20" s="4">
        <v>2340</v>
      </c>
      <c r="W20" s="5">
        <v>2390</v>
      </c>
      <c r="X20" s="4">
        <v>2581</v>
      </c>
      <c r="Y20" s="4">
        <v>2581</v>
      </c>
      <c r="Z20" s="4">
        <v>2581</v>
      </c>
      <c r="AA20" s="4">
        <v>2792</v>
      </c>
      <c r="AB20" s="33">
        <v>2844</v>
      </c>
      <c r="AC20" s="4">
        <v>2848</v>
      </c>
      <c r="AD20" s="4">
        <v>2859</v>
      </c>
      <c r="AE20" s="8">
        <v>2934</v>
      </c>
      <c r="AF20" s="8">
        <v>3042</v>
      </c>
      <c r="AG20" s="8">
        <v>3170</v>
      </c>
      <c r="AH20" s="8">
        <v>3251</v>
      </c>
      <c r="AI20" s="44">
        <v>3299</v>
      </c>
      <c r="AJ20" s="7">
        <f t="shared" si="0"/>
        <v>2073</v>
      </c>
    </row>
    <row r="21" spans="1:36" ht="20.149999999999999" customHeight="1">
      <c r="A21" s="2">
        <v>8</v>
      </c>
      <c r="B21" s="2" t="s">
        <v>129</v>
      </c>
      <c r="C21" s="2" t="s">
        <v>118</v>
      </c>
      <c r="D21" s="7">
        <v>17963</v>
      </c>
      <c r="E21" s="4">
        <v>18048</v>
      </c>
      <c r="F21" s="4">
        <v>18105</v>
      </c>
      <c r="G21" s="5">
        <v>18160</v>
      </c>
      <c r="H21" s="5">
        <v>18203</v>
      </c>
      <c r="I21" s="4">
        <v>18257</v>
      </c>
      <c r="J21" s="4">
        <v>18308</v>
      </c>
      <c r="K21" s="4">
        <v>18364</v>
      </c>
      <c r="L21" s="4">
        <v>18415</v>
      </c>
      <c r="M21" s="4">
        <v>18521</v>
      </c>
      <c r="N21" s="4">
        <v>18600</v>
      </c>
      <c r="O21" s="4">
        <v>18702</v>
      </c>
      <c r="P21" s="4">
        <v>18797</v>
      </c>
      <c r="Q21" s="4">
        <v>18874</v>
      </c>
      <c r="R21" s="4">
        <v>18939</v>
      </c>
      <c r="S21" s="4">
        <v>19005</v>
      </c>
      <c r="T21" s="4">
        <v>19076</v>
      </c>
      <c r="U21" s="4">
        <v>19116</v>
      </c>
      <c r="V21" s="4">
        <v>19201</v>
      </c>
      <c r="W21" s="4">
        <v>19292</v>
      </c>
      <c r="X21" s="4">
        <v>19366</v>
      </c>
      <c r="Y21" s="4">
        <v>19515</v>
      </c>
      <c r="Z21" s="4">
        <v>19662</v>
      </c>
      <c r="AA21" s="4">
        <v>19754</v>
      </c>
      <c r="AB21" s="4">
        <v>19907</v>
      </c>
      <c r="AC21" s="4">
        <v>20039</v>
      </c>
      <c r="AD21" s="4">
        <v>20174</v>
      </c>
      <c r="AE21" s="8">
        <v>20315</v>
      </c>
      <c r="AF21" s="8">
        <v>20466</v>
      </c>
      <c r="AG21" s="8">
        <v>20554</v>
      </c>
      <c r="AH21" s="8">
        <v>20659</v>
      </c>
      <c r="AI21" s="44">
        <v>20693</v>
      </c>
      <c r="AJ21" s="7">
        <f t="shared" si="0"/>
        <v>2730</v>
      </c>
    </row>
    <row r="22" spans="1:36" ht="20.149999999999999" customHeight="1">
      <c r="A22" s="2"/>
      <c r="B22" s="2"/>
      <c r="C22" s="61" t="s">
        <v>22</v>
      </c>
      <c r="D22" s="45">
        <v>269</v>
      </c>
      <c r="E22" s="33">
        <v>269</v>
      </c>
      <c r="F22" s="33">
        <v>269</v>
      </c>
      <c r="G22" s="33">
        <v>269</v>
      </c>
      <c r="H22" s="33">
        <v>269</v>
      </c>
      <c r="I22" s="33">
        <v>269</v>
      </c>
      <c r="J22" s="4">
        <v>277</v>
      </c>
      <c r="K22" s="4">
        <v>282</v>
      </c>
      <c r="L22" s="4">
        <v>306</v>
      </c>
      <c r="M22" s="4">
        <v>306</v>
      </c>
      <c r="N22" s="4">
        <v>321</v>
      </c>
      <c r="O22" s="4">
        <v>330</v>
      </c>
      <c r="P22" s="4">
        <v>330</v>
      </c>
      <c r="Q22" s="4">
        <v>361</v>
      </c>
      <c r="R22" s="5">
        <v>364</v>
      </c>
      <c r="S22" s="4">
        <v>364</v>
      </c>
      <c r="T22" s="4">
        <v>364</v>
      </c>
      <c r="U22" s="4">
        <v>405</v>
      </c>
      <c r="V22" s="4">
        <v>405</v>
      </c>
      <c r="W22" s="5">
        <v>414</v>
      </c>
      <c r="X22" s="4">
        <v>440</v>
      </c>
      <c r="Y22" s="4">
        <v>440</v>
      </c>
      <c r="Z22" s="4">
        <v>440</v>
      </c>
      <c r="AA22" s="4">
        <v>431</v>
      </c>
      <c r="AB22" s="33">
        <v>498</v>
      </c>
      <c r="AC22" s="4">
        <v>498</v>
      </c>
      <c r="AD22" s="4">
        <v>504</v>
      </c>
      <c r="AE22" s="8">
        <v>526</v>
      </c>
      <c r="AF22" s="8">
        <v>551</v>
      </c>
      <c r="AG22" s="8">
        <v>572</v>
      </c>
      <c r="AH22" s="8">
        <v>580</v>
      </c>
      <c r="AI22" s="8">
        <v>585</v>
      </c>
      <c r="AJ22" s="7">
        <f t="shared" si="0"/>
        <v>316</v>
      </c>
    </row>
    <row r="23" spans="1:36">
      <c r="A23" s="503"/>
      <c r="B23" s="504"/>
      <c r="C23" s="504"/>
      <c r="D23" s="504"/>
      <c r="E23" s="504"/>
      <c r="F23" s="504"/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4"/>
      <c r="AA23" s="504"/>
      <c r="AB23" s="504"/>
      <c r="AC23" s="504"/>
      <c r="AD23" s="504"/>
      <c r="AE23" s="504"/>
      <c r="AF23" s="504"/>
      <c r="AG23" s="504"/>
      <c r="AH23" s="504"/>
      <c r="AI23" s="504"/>
      <c r="AJ23" s="501"/>
    </row>
    <row r="24" spans="1:36">
      <c r="A24" s="2">
        <v>1</v>
      </c>
      <c r="B24" s="2" t="s">
        <v>129</v>
      </c>
      <c r="C24" s="2" t="s">
        <v>119</v>
      </c>
      <c r="D24" s="7">
        <v>7266</v>
      </c>
      <c r="E24" s="4">
        <v>7368</v>
      </c>
      <c r="F24" s="4">
        <v>7437</v>
      </c>
      <c r="G24" s="4">
        <v>7504</v>
      </c>
      <c r="H24" s="4">
        <v>7531</v>
      </c>
      <c r="I24" s="4">
        <v>7531</v>
      </c>
      <c r="J24" s="4">
        <v>7585</v>
      </c>
      <c r="K24" s="4">
        <v>7648</v>
      </c>
      <c r="L24" s="4">
        <v>7684</v>
      </c>
      <c r="M24" s="4">
        <v>7753</v>
      </c>
      <c r="N24" s="4">
        <v>7780</v>
      </c>
      <c r="O24" s="4">
        <v>7821</v>
      </c>
      <c r="P24" s="4">
        <v>7821</v>
      </c>
      <c r="Q24" s="4">
        <v>7867</v>
      </c>
      <c r="R24" s="4">
        <v>7966</v>
      </c>
      <c r="S24" s="4">
        <v>8069</v>
      </c>
      <c r="T24" s="4">
        <v>8164</v>
      </c>
      <c r="U24" s="4">
        <v>8184</v>
      </c>
      <c r="V24" s="4">
        <v>8242</v>
      </c>
      <c r="W24" s="4">
        <v>8242</v>
      </c>
      <c r="X24" s="4">
        <v>8317</v>
      </c>
      <c r="Y24" s="4">
        <v>8411</v>
      </c>
      <c r="Z24" s="4">
        <v>8497</v>
      </c>
      <c r="AA24" s="4">
        <v>8543</v>
      </c>
      <c r="AB24" s="4">
        <v>8622</v>
      </c>
      <c r="AC24" s="4">
        <v>8622</v>
      </c>
      <c r="AD24" s="4">
        <v>8622</v>
      </c>
      <c r="AE24" s="4">
        <v>8726</v>
      </c>
      <c r="AF24" s="4">
        <v>8812</v>
      </c>
      <c r="AG24" s="4">
        <v>8884</v>
      </c>
      <c r="AH24" s="8">
        <v>8982</v>
      </c>
      <c r="AI24" s="44">
        <v>9012</v>
      </c>
      <c r="AJ24" s="7">
        <f t="shared" ref="AJ24:AJ31" si="1">AI24-D24</f>
        <v>1746</v>
      </c>
    </row>
    <row r="25" spans="1:36" ht="18.5" customHeight="1">
      <c r="A25" s="2"/>
      <c r="B25" s="2"/>
      <c r="C25" s="61" t="s">
        <v>22</v>
      </c>
      <c r="D25" s="7">
        <v>184</v>
      </c>
      <c r="E25" s="4">
        <v>184</v>
      </c>
      <c r="F25" s="4">
        <v>184</v>
      </c>
      <c r="G25" s="4">
        <v>184</v>
      </c>
      <c r="H25" s="4">
        <v>184</v>
      </c>
      <c r="I25" s="4">
        <v>184</v>
      </c>
      <c r="J25" s="4">
        <v>195</v>
      </c>
      <c r="K25" s="4">
        <v>200</v>
      </c>
      <c r="L25" s="4">
        <v>229</v>
      </c>
      <c r="M25" s="4">
        <v>229</v>
      </c>
      <c r="N25" s="4">
        <v>247</v>
      </c>
      <c r="O25" s="4">
        <v>249</v>
      </c>
      <c r="P25" s="4">
        <v>249</v>
      </c>
      <c r="Q25" s="4">
        <v>299</v>
      </c>
      <c r="R25" s="4">
        <v>305</v>
      </c>
      <c r="S25" s="4">
        <v>305</v>
      </c>
      <c r="T25" s="4">
        <v>305</v>
      </c>
      <c r="U25" s="4">
        <v>363</v>
      </c>
      <c r="V25" s="4">
        <v>363</v>
      </c>
      <c r="W25" s="4">
        <v>363</v>
      </c>
      <c r="X25" s="4">
        <v>398</v>
      </c>
      <c r="Y25" s="4">
        <v>398</v>
      </c>
      <c r="Z25" s="4">
        <v>398</v>
      </c>
      <c r="AA25" s="4">
        <v>443</v>
      </c>
      <c r="AB25" s="4">
        <v>454</v>
      </c>
      <c r="AC25" s="4">
        <v>454</v>
      </c>
      <c r="AD25" s="4">
        <v>454</v>
      </c>
      <c r="AE25" s="8">
        <v>472</v>
      </c>
      <c r="AF25" s="8">
        <v>496</v>
      </c>
      <c r="AG25" s="8">
        <v>524</v>
      </c>
      <c r="AH25" s="8">
        <v>543</v>
      </c>
      <c r="AI25" s="44">
        <v>555</v>
      </c>
      <c r="AJ25" s="7">
        <f t="shared" si="1"/>
        <v>371</v>
      </c>
    </row>
    <row r="26" spans="1:36">
      <c r="A26" s="2">
        <v>2</v>
      </c>
      <c r="B26" s="2" t="s">
        <v>129</v>
      </c>
      <c r="C26" s="2" t="s">
        <v>120</v>
      </c>
      <c r="D26" s="7">
        <v>6581</v>
      </c>
      <c r="E26" s="4">
        <v>6675</v>
      </c>
      <c r="F26" s="4">
        <v>6754</v>
      </c>
      <c r="G26" s="5">
        <v>6820</v>
      </c>
      <c r="H26" s="5">
        <v>6845</v>
      </c>
      <c r="I26" s="4">
        <v>6845</v>
      </c>
      <c r="J26" s="4">
        <v>6898</v>
      </c>
      <c r="K26" s="4">
        <v>6961</v>
      </c>
      <c r="L26" s="4">
        <v>6997</v>
      </c>
      <c r="M26" s="4">
        <v>7066</v>
      </c>
      <c r="N26" s="4">
        <v>7100</v>
      </c>
      <c r="O26" s="4">
        <v>7132</v>
      </c>
      <c r="P26" s="4">
        <v>7132</v>
      </c>
      <c r="Q26" s="4">
        <v>7181</v>
      </c>
      <c r="R26" s="4">
        <v>7273</v>
      </c>
      <c r="S26" s="4">
        <v>7367</v>
      </c>
      <c r="T26" s="4">
        <v>7453</v>
      </c>
      <c r="U26" s="4">
        <v>7486</v>
      </c>
      <c r="V26" s="4">
        <v>7529</v>
      </c>
      <c r="W26" s="4">
        <v>7529</v>
      </c>
      <c r="X26" s="4">
        <v>7608</v>
      </c>
      <c r="Y26" s="4">
        <v>7693</v>
      </c>
      <c r="Z26" s="4">
        <v>7778</v>
      </c>
      <c r="AA26" s="4">
        <v>7824</v>
      </c>
      <c r="AB26" s="4">
        <v>7900</v>
      </c>
      <c r="AC26" s="4">
        <v>7900</v>
      </c>
      <c r="AD26" s="4">
        <v>7900</v>
      </c>
      <c r="AE26" s="8">
        <v>7999</v>
      </c>
      <c r="AF26" s="8">
        <v>8089</v>
      </c>
      <c r="AG26" s="8">
        <v>8165</v>
      </c>
      <c r="AH26" s="8">
        <v>8263</v>
      </c>
      <c r="AI26" s="44">
        <v>8291</v>
      </c>
      <c r="AJ26" s="7">
        <f t="shared" si="1"/>
        <v>1710</v>
      </c>
    </row>
    <row r="27" spans="1:36" ht="18.5" customHeight="1">
      <c r="A27" s="2"/>
      <c r="B27" s="2"/>
      <c r="C27" s="61" t="s">
        <v>22</v>
      </c>
      <c r="D27" s="7">
        <v>194</v>
      </c>
      <c r="E27" s="4">
        <v>194</v>
      </c>
      <c r="F27" s="4">
        <v>194</v>
      </c>
      <c r="G27" s="4">
        <v>194</v>
      </c>
      <c r="H27" s="4">
        <v>194</v>
      </c>
      <c r="I27" s="4">
        <v>194</v>
      </c>
      <c r="J27" s="4">
        <v>206</v>
      </c>
      <c r="K27" s="4">
        <v>211</v>
      </c>
      <c r="L27" s="4">
        <v>239</v>
      </c>
      <c r="M27" s="4">
        <v>239</v>
      </c>
      <c r="N27" s="4">
        <v>255</v>
      </c>
      <c r="O27" s="4">
        <v>257</v>
      </c>
      <c r="P27" s="4">
        <v>257</v>
      </c>
      <c r="Q27" s="4">
        <v>317</v>
      </c>
      <c r="R27" s="4">
        <v>321</v>
      </c>
      <c r="S27" s="4">
        <v>321</v>
      </c>
      <c r="T27" s="4">
        <v>321</v>
      </c>
      <c r="U27" s="4">
        <v>369</v>
      </c>
      <c r="V27" s="4">
        <v>369</v>
      </c>
      <c r="W27" s="4">
        <v>369</v>
      </c>
      <c r="X27" s="4">
        <v>402</v>
      </c>
      <c r="Y27" s="4">
        <v>402</v>
      </c>
      <c r="Z27" s="4">
        <v>402</v>
      </c>
      <c r="AA27" s="4">
        <v>437</v>
      </c>
      <c r="AB27" s="4">
        <v>447</v>
      </c>
      <c r="AC27" s="4">
        <v>447</v>
      </c>
      <c r="AD27" s="4">
        <v>447</v>
      </c>
      <c r="AE27" s="8">
        <v>463</v>
      </c>
      <c r="AF27" s="8">
        <v>488</v>
      </c>
      <c r="AG27" s="8">
        <v>517</v>
      </c>
      <c r="AH27" s="8">
        <v>544</v>
      </c>
      <c r="AI27" s="44">
        <v>557</v>
      </c>
      <c r="AJ27" s="7">
        <f t="shared" si="1"/>
        <v>363</v>
      </c>
    </row>
    <row r="28" spans="1:36">
      <c r="A28" s="2">
        <v>3</v>
      </c>
      <c r="B28" s="2" t="s">
        <v>129</v>
      </c>
      <c r="C28" s="2" t="s">
        <v>121</v>
      </c>
      <c r="D28" s="7">
        <v>4607</v>
      </c>
      <c r="E28" s="4">
        <v>4713</v>
      </c>
      <c r="F28" s="4">
        <v>4807</v>
      </c>
      <c r="G28" s="4">
        <v>4901</v>
      </c>
      <c r="H28" s="4">
        <v>4938</v>
      </c>
      <c r="I28" s="4">
        <v>4938</v>
      </c>
      <c r="J28" s="4">
        <v>5000</v>
      </c>
      <c r="K28" s="4">
        <v>5060</v>
      </c>
      <c r="L28" s="4">
        <v>5095</v>
      </c>
      <c r="M28" s="4">
        <v>5164</v>
      </c>
      <c r="N28" s="4">
        <v>5187</v>
      </c>
      <c r="O28" s="4">
        <v>5227</v>
      </c>
      <c r="P28" s="4">
        <v>5227</v>
      </c>
      <c r="Q28" s="4">
        <v>5278</v>
      </c>
      <c r="R28" s="4">
        <v>5379</v>
      </c>
      <c r="S28" s="4">
        <v>5478</v>
      </c>
      <c r="T28" s="4">
        <v>5581</v>
      </c>
      <c r="U28" s="4">
        <v>5603</v>
      </c>
      <c r="V28" s="4">
        <v>5641</v>
      </c>
      <c r="W28" s="4">
        <v>5641</v>
      </c>
      <c r="X28" s="4">
        <v>5705</v>
      </c>
      <c r="Y28" s="4">
        <v>5805</v>
      </c>
      <c r="Z28" s="4">
        <v>5909</v>
      </c>
      <c r="AA28" s="4">
        <v>5951</v>
      </c>
      <c r="AB28" s="4">
        <v>6040</v>
      </c>
      <c r="AC28" s="4">
        <v>6040</v>
      </c>
      <c r="AD28" s="4">
        <v>6040</v>
      </c>
      <c r="AE28" s="4">
        <v>6139</v>
      </c>
      <c r="AF28" s="4">
        <v>6226</v>
      </c>
      <c r="AG28" s="4">
        <v>6301</v>
      </c>
      <c r="AH28" s="4">
        <v>6403</v>
      </c>
      <c r="AI28" s="44">
        <v>6422</v>
      </c>
      <c r="AJ28" s="7">
        <f t="shared" si="1"/>
        <v>1815</v>
      </c>
    </row>
    <row r="29" spans="1:36" ht="18.5" customHeight="1">
      <c r="A29" s="2"/>
      <c r="B29" s="2"/>
      <c r="C29" s="61" t="s">
        <v>22</v>
      </c>
      <c r="D29" s="7">
        <v>140</v>
      </c>
      <c r="E29" s="4">
        <v>140</v>
      </c>
      <c r="F29" s="4">
        <v>140</v>
      </c>
      <c r="G29" s="4">
        <v>140</v>
      </c>
      <c r="H29" s="4">
        <v>140</v>
      </c>
      <c r="I29" s="4">
        <v>140</v>
      </c>
      <c r="J29" s="4">
        <v>152</v>
      </c>
      <c r="K29" s="4">
        <v>156</v>
      </c>
      <c r="L29" s="4">
        <v>183</v>
      </c>
      <c r="M29" s="4">
        <v>183</v>
      </c>
      <c r="N29" s="4">
        <v>198</v>
      </c>
      <c r="O29" s="4">
        <v>199</v>
      </c>
      <c r="P29" s="4">
        <v>199</v>
      </c>
      <c r="Q29" s="4">
        <v>258</v>
      </c>
      <c r="R29" s="4">
        <v>264</v>
      </c>
      <c r="S29" s="4">
        <v>264</v>
      </c>
      <c r="T29" s="4">
        <v>264</v>
      </c>
      <c r="U29" s="4">
        <v>324</v>
      </c>
      <c r="V29" s="4">
        <v>324</v>
      </c>
      <c r="W29" s="4">
        <v>324</v>
      </c>
      <c r="X29" s="4">
        <v>356</v>
      </c>
      <c r="Y29" s="4">
        <v>356</v>
      </c>
      <c r="Z29" s="4">
        <v>356</v>
      </c>
      <c r="AA29" s="4">
        <v>395</v>
      </c>
      <c r="AB29" s="4">
        <v>407</v>
      </c>
      <c r="AC29" s="4">
        <v>407</v>
      </c>
      <c r="AD29" s="4">
        <v>407</v>
      </c>
      <c r="AE29" s="4">
        <v>425</v>
      </c>
      <c r="AF29" s="4">
        <v>450</v>
      </c>
      <c r="AG29" s="4">
        <v>481</v>
      </c>
      <c r="AH29" s="8">
        <v>501</v>
      </c>
      <c r="AI29" s="44">
        <v>513</v>
      </c>
      <c r="AJ29" s="7">
        <f t="shared" si="1"/>
        <v>373</v>
      </c>
    </row>
    <row r="30" spans="1:36">
      <c r="A30" s="2">
        <v>4</v>
      </c>
      <c r="B30" s="2" t="s">
        <v>129</v>
      </c>
      <c r="C30" s="2" t="s">
        <v>122</v>
      </c>
      <c r="D30" s="7">
        <v>4928</v>
      </c>
      <c r="E30" s="4">
        <v>5053</v>
      </c>
      <c r="F30" s="4">
        <v>5136</v>
      </c>
      <c r="G30" s="4">
        <v>5217</v>
      </c>
      <c r="H30" s="4">
        <v>5248</v>
      </c>
      <c r="I30" s="4">
        <v>5248</v>
      </c>
      <c r="J30" s="4">
        <v>5316</v>
      </c>
      <c r="K30" s="4">
        <v>5388</v>
      </c>
      <c r="L30" s="4">
        <v>5430</v>
      </c>
      <c r="M30" s="4">
        <v>5515</v>
      </c>
      <c r="N30" s="4">
        <v>5553</v>
      </c>
      <c r="O30" s="4">
        <v>5590</v>
      </c>
      <c r="P30" s="4">
        <v>5590</v>
      </c>
      <c r="Q30" s="4">
        <v>5628</v>
      </c>
      <c r="R30" s="4">
        <v>5683</v>
      </c>
      <c r="S30" s="4">
        <v>5753</v>
      </c>
      <c r="T30" s="4">
        <v>5834</v>
      </c>
      <c r="U30" s="4">
        <v>5863</v>
      </c>
      <c r="V30" s="4">
        <v>5908</v>
      </c>
      <c r="W30" s="4">
        <v>5908</v>
      </c>
      <c r="X30" s="4">
        <v>5968</v>
      </c>
      <c r="Y30" s="4">
        <v>6050</v>
      </c>
      <c r="Z30" s="4">
        <v>6134</v>
      </c>
      <c r="AA30" s="4">
        <v>6176</v>
      </c>
      <c r="AB30" s="4">
        <v>6234</v>
      </c>
      <c r="AC30" s="4">
        <v>6234</v>
      </c>
      <c r="AD30" s="4">
        <v>6235</v>
      </c>
      <c r="AE30" s="4">
        <v>6315</v>
      </c>
      <c r="AF30" s="4">
        <v>6389</v>
      </c>
      <c r="AG30" s="4">
        <v>6445</v>
      </c>
      <c r="AH30" s="8">
        <v>6525</v>
      </c>
      <c r="AI30" s="44">
        <v>6551</v>
      </c>
      <c r="AJ30" s="7">
        <f t="shared" si="1"/>
        <v>1623</v>
      </c>
    </row>
    <row r="31" spans="1:36" ht="18.5" customHeight="1">
      <c r="A31" s="2"/>
      <c r="B31" s="2"/>
      <c r="C31" s="62" t="s">
        <v>22</v>
      </c>
      <c r="D31" s="45">
        <v>127</v>
      </c>
      <c r="E31" s="4">
        <v>127</v>
      </c>
      <c r="F31" s="4">
        <v>127</v>
      </c>
      <c r="G31" s="4">
        <v>127</v>
      </c>
      <c r="H31" s="4">
        <v>127</v>
      </c>
      <c r="I31" s="4">
        <v>127</v>
      </c>
      <c r="J31" s="4">
        <v>140</v>
      </c>
      <c r="K31" s="4">
        <v>146</v>
      </c>
      <c r="L31" s="4">
        <v>179</v>
      </c>
      <c r="M31" s="4">
        <v>179</v>
      </c>
      <c r="N31" s="4">
        <v>197</v>
      </c>
      <c r="O31" s="4">
        <v>199</v>
      </c>
      <c r="P31" s="4">
        <v>199</v>
      </c>
      <c r="Q31" s="4">
        <v>237</v>
      </c>
      <c r="R31" s="4">
        <v>240</v>
      </c>
      <c r="S31" s="4">
        <v>240</v>
      </c>
      <c r="T31" s="4">
        <v>240</v>
      </c>
      <c r="U31" s="4">
        <v>290</v>
      </c>
      <c r="V31" s="4">
        <v>290</v>
      </c>
      <c r="W31" s="4">
        <v>290</v>
      </c>
      <c r="X31" s="4">
        <v>320</v>
      </c>
      <c r="Y31" s="4">
        <v>320</v>
      </c>
      <c r="Z31" s="4">
        <v>320</v>
      </c>
      <c r="AA31" s="4">
        <v>358</v>
      </c>
      <c r="AB31" s="4">
        <v>363</v>
      </c>
      <c r="AC31" s="4">
        <v>363</v>
      </c>
      <c r="AD31" s="4">
        <v>363</v>
      </c>
      <c r="AE31" s="4">
        <v>378</v>
      </c>
      <c r="AF31" s="4">
        <v>400</v>
      </c>
      <c r="AG31" s="4">
        <v>424</v>
      </c>
      <c r="AH31" s="8">
        <v>441</v>
      </c>
      <c r="AI31" s="8">
        <v>451</v>
      </c>
      <c r="AJ31" s="7">
        <f t="shared" si="1"/>
        <v>324</v>
      </c>
    </row>
    <row r="32" spans="1:36">
      <c r="A32" s="503"/>
      <c r="B32" s="504"/>
      <c r="C32" s="504"/>
      <c r="D32" s="504"/>
      <c r="E32" s="50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  <c r="R32" s="504"/>
      <c r="S32" s="504"/>
      <c r="T32" s="504"/>
      <c r="U32" s="504"/>
      <c r="V32" s="504"/>
      <c r="W32" s="504"/>
      <c r="X32" s="504"/>
      <c r="Y32" s="504"/>
      <c r="Z32" s="504"/>
      <c r="AA32" s="504"/>
      <c r="AB32" s="504"/>
      <c r="AC32" s="504"/>
      <c r="AD32" s="504"/>
      <c r="AE32" s="504"/>
      <c r="AF32" s="504"/>
      <c r="AG32" s="504"/>
      <c r="AH32" s="504"/>
      <c r="AI32" s="504"/>
      <c r="AJ32" s="501"/>
    </row>
    <row r="33" spans="1:36">
      <c r="A33" s="2">
        <v>1</v>
      </c>
      <c r="B33" s="2" t="s">
        <v>129</v>
      </c>
      <c r="C33" s="2" t="s">
        <v>123</v>
      </c>
      <c r="D33" s="12">
        <v>39808.33</v>
      </c>
      <c r="E33" s="10">
        <v>40784.949999999997</v>
      </c>
      <c r="F33" s="38">
        <v>41523.35</v>
      </c>
      <c r="G33" s="10">
        <v>42144.42</v>
      </c>
      <c r="H33" s="10">
        <v>42515.66</v>
      </c>
      <c r="I33" s="10">
        <v>42515.66</v>
      </c>
      <c r="J33" s="10">
        <v>43641.97</v>
      </c>
      <c r="K33" s="10">
        <v>44516.37</v>
      </c>
      <c r="L33" s="10">
        <v>45377.14</v>
      </c>
      <c r="M33" s="10">
        <v>46379.68</v>
      </c>
      <c r="N33" s="10">
        <v>47271.64</v>
      </c>
      <c r="O33" s="10">
        <v>47689.75</v>
      </c>
      <c r="P33" s="10">
        <v>47689.75</v>
      </c>
      <c r="Q33" s="10">
        <v>48882.43</v>
      </c>
      <c r="R33" s="11">
        <v>49887.7</v>
      </c>
      <c r="S33" s="11">
        <v>50839.03</v>
      </c>
      <c r="T33" s="11">
        <v>51761.8</v>
      </c>
      <c r="U33" s="11">
        <v>52601.279999999999</v>
      </c>
      <c r="V33" s="11">
        <v>53049.22</v>
      </c>
      <c r="W33" s="11">
        <v>53049.22</v>
      </c>
      <c r="X33" s="11">
        <v>54218.400000000001</v>
      </c>
      <c r="Y33" s="11">
        <v>55235.63</v>
      </c>
      <c r="Z33" s="11">
        <v>56227.29</v>
      </c>
      <c r="AA33" s="11">
        <v>57193.07</v>
      </c>
      <c r="AB33" s="11">
        <v>58087.18</v>
      </c>
      <c r="AC33" s="11">
        <v>58087.18</v>
      </c>
      <c r="AD33" s="11">
        <v>58087.18</v>
      </c>
      <c r="AE33" s="11">
        <v>59613.06</v>
      </c>
      <c r="AF33" s="11">
        <v>60665.69</v>
      </c>
      <c r="AG33" s="11">
        <v>61550.68</v>
      </c>
      <c r="AH33" s="40">
        <v>62364.23</v>
      </c>
      <c r="AI33" s="43">
        <v>62776</v>
      </c>
      <c r="AJ33" s="7">
        <f>AI33-D33</f>
        <v>22967.67</v>
      </c>
    </row>
    <row r="34" spans="1:36">
      <c r="A34" s="2">
        <v>2</v>
      </c>
      <c r="B34" s="2" t="s">
        <v>129</v>
      </c>
      <c r="C34" s="2" t="s">
        <v>124</v>
      </c>
      <c r="D34" s="12">
        <v>39039.43</v>
      </c>
      <c r="E34" s="36">
        <v>40011.29</v>
      </c>
      <c r="F34" s="39">
        <v>40707.58</v>
      </c>
      <c r="G34" s="37">
        <v>41355.74</v>
      </c>
      <c r="H34" s="10">
        <v>41673.19</v>
      </c>
      <c r="I34" s="10">
        <v>41673.19</v>
      </c>
      <c r="J34" s="10">
        <v>42584.56</v>
      </c>
      <c r="K34" s="10">
        <v>43444.33</v>
      </c>
      <c r="L34" s="10">
        <v>44406.91</v>
      </c>
      <c r="M34" s="10">
        <v>45373.01</v>
      </c>
      <c r="N34" s="10">
        <v>46278.07</v>
      </c>
      <c r="O34" s="10">
        <v>46702.92</v>
      </c>
      <c r="P34" s="10">
        <v>46702.92</v>
      </c>
      <c r="Q34" s="10">
        <v>47791.44</v>
      </c>
      <c r="R34" s="11">
        <v>48823.62</v>
      </c>
      <c r="S34" s="11">
        <v>49685.21</v>
      </c>
      <c r="T34" s="11">
        <v>50511.93</v>
      </c>
      <c r="U34" s="11">
        <v>51384.4</v>
      </c>
      <c r="V34" s="11">
        <v>51844.09</v>
      </c>
      <c r="W34" s="11">
        <v>51844.09</v>
      </c>
      <c r="X34" s="11">
        <v>53106.22</v>
      </c>
      <c r="Y34" s="11">
        <v>54088.33</v>
      </c>
      <c r="Z34" s="11">
        <v>55133.66</v>
      </c>
      <c r="AA34" s="11">
        <v>56040.25</v>
      </c>
      <c r="AB34" s="11">
        <v>57035.63</v>
      </c>
      <c r="AC34" s="11">
        <v>57035.63</v>
      </c>
      <c r="AD34" s="11">
        <v>57035.63</v>
      </c>
      <c r="AE34" s="11">
        <v>58367.6</v>
      </c>
      <c r="AF34" s="11">
        <v>59509.96</v>
      </c>
      <c r="AG34" s="11">
        <v>60564.32</v>
      </c>
      <c r="AH34" s="40">
        <v>61617.73</v>
      </c>
      <c r="AI34" s="43">
        <v>62028</v>
      </c>
      <c r="AJ34" s="7">
        <f>AI34-D34</f>
        <v>22988.57</v>
      </c>
    </row>
    <row r="35" spans="1:36">
      <c r="A35" s="2">
        <v>3</v>
      </c>
      <c r="B35" s="2" t="s">
        <v>129</v>
      </c>
      <c r="C35" s="2" t="s">
        <v>125</v>
      </c>
      <c r="D35" s="12">
        <v>34466.31</v>
      </c>
      <c r="E35" s="10">
        <v>35393.85</v>
      </c>
      <c r="F35" s="41">
        <v>36282.870000000003</v>
      </c>
      <c r="G35" s="10">
        <v>36977.18</v>
      </c>
      <c r="H35" s="10">
        <v>37332.32</v>
      </c>
      <c r="I35" s="10">
        <v>37332.32</v>
      </c>
      <c r="J35" s="10">
        <v>38473.21</v>
      </c>
      <c r="K35" s="10">
        <v>39518.46</v>
      </c>
      <c r="L35" s="10">
        <v>40611.79</v>
      </c>
      <c r="M35" s="10">
        <v>41664.29</v>
      </c>
      <c r="N35" s="10">
        <v>42556.38</v>
      </c>
      <c r="O35" s="10">
        <v>42981.82</v>
      </c>
      <c r="P35" s="10">
        <v>42981.82</v>
      </c>
      <c r="Q35" s="10">
        <v>44183.839999999997</v>
      </c>
      <c r="R35" s="10">
        <v>45360.7</v>
      </c>
      <c r="S35" s="11">
        <v>46420.36</v>
      </c>
      <c r="T35" s="11">
        <v>47396.84</v>
      </c>
      <c r="U35" s="11">
        <v>48367.81</v>
      </c>
      <c r="V35" s="11">
        <v>48970.9</v>
      </c>
      <c r="W35" s="11">
        <v>48970.9</v>
      </c>
      <c r="X35" s="11">
        <v>50278.82</v>
      </c>
      <c r="Y35" s="11">
        <v>51264.83</v>
      </c>
      <c r="Z35" s="11">
        <v>52289.15</v>
      </c>
      <c r="AA35" s="11">
        <v>53158.33</v>
      </c>
      <c r="AB35" s="11">
        <v>54071.12</v>
      </c>
      <c r="AC35" s="11">
        <v>54071.12</v>
      </c>
      <c r="AD35" s="11">
        <v>54071.12</v>
      </c>
      <c r="AE35" s="11">
        <v>55480.6</v>
      </c>
      <c r="AF35" s="11">
        <v>56735.68</v>
      </c>
      <c r="AG35" s="11">
        <v>57867.99</v>
      </c>
      <c r="AH35" s="40">
        <v>59125.33</v>
      </c>
      <c r="AI35" s="43">
        <v>59574</v>
      </c>
      <c r="AJ35" s="7">
        <f>AI35-D35</f>
        <v>25107.690000000002</v>
      </c>
    </row>
    <row r="36" spans="1:36">
      <c r="A36" s="2">
        <v>4</v>
      </c>
      <c r="B36" s="2" t="s">
        <v>129</v>
      </c>
      <c r="C36" s="2" t="s">
        <v>126</v>
      </c>
      <c r="D36" s="12">
        <v>48593.120000000003</v>
      </c>
      <c r="E36" s="10">
        <v>49926.47</v>
      </c>
      <c r="F36" s="10">
        <v>50835.05</v>
      </c>
      <c r="G36" s="10">
        <v>51496.28</v>
      </c>
      <c r="H36" s="10">
        <v>51944.19</v>
      </c>
      <c r="I36" s="10">
        <v>51944.19</v>
      </c>
      <c r="J36" s="10">
        <v>53331.66</v>
      </c>
      <c r="K36" s="10">
        <v>54608.03</v>
      </c>
      <c r="L36" s="10">
        <v>55899.29</v>
      </c>
      <c r="M36" s="10">
        <v>57002.080000000002</v>
      </c>
      <c r="N36" s="10">
        <v>58195.11</v>
      </c>
      <c r="O36" s="10">
        <v>58725.279999999999</v>
      </c>
      <c r="P36" s="10">
        <v>58725.279999999999</v>
      </c>
      <c r="Q36" s="10">
        <v>60242.6</v>
      </c>
      <c r="R36" s="11">
        <v>61701.04</v>
      </c>
      <c r="S36" s="11">
        <v>63006.1</v>
      </c>
      <c r="T36" s="11">
        <v>64142.44</v>
      </c>
      <c r="U36" s="11">
        <v>65039.01</v>
      </c>
      <c r="V36" s="11">
        <v>65593.759999999995</v>
      </c>
      <c r="W36" s="11">
        <v>65593.759999999995</v>
      </c>
      <c r="X36" s="11">
        <v>67007.789999999994</v>
      </c>
      <c r="Y36" s="11">
        <v>68291.960000000006</v>
      </c>
      <c r="Z36" s="11">
        <v>69574.210000000006</v>
      </c>
      <c r="AA36" s="11">
        <v>70699.45</v>
      </c>
      <c r="AB36" s="11">
        <v>71782.990000000005</v>
      </c>
      <c r="AC36" s="11">
        <v>71782.990000000005</v>
      </c>
      <c r="AD36" s="11">
        <v>71782.990000000005</v>
      </c>
      <c r="AE36" s="11">
        <v>73417.789999999994</v>
      </c>
      <c r="AF36" s="11">
        <v>74799.600000000006</v>
      </c>
      <c r="AG36" s="11">
        <v>75826.22</v>
      </c>
      <c r="AH36" s="40">
        <v>76962.14</v>
      </c>
      <c r="AI36" s="43">
        <v>77455</v>
      </c>
      <c r="AJ36" s="7">
        <f>AI36-D36</f>
        <v>28861.879999999997</v>
      </c>
    </row>
    <row r="37" spans="1:36">
      <c r="D37" s="13"/>
      <c r="E37" s="13"/>
      <c r="AD37" s="6"/>
    </row>
    <row r="38" spans="1:36" ht="18.5" customHeight="1">
      <c r="A38" s="14"/>
      <c r="B38" s="15"/>
      <c r="C38" s="15"/>
      <c r="D38" s="15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spans="1:36" ht="15.5" customHeight="1">
      <c r="A39" s="16"/>
      <c r="B39" s="522" t="s">
        <v>127</v>
      </c>
      <c r="C39" s="504"/>
      <c r="D39" s="501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</row>
    <row r="40" spans="1:36">
      <c r="A40" s="17"/>
      <c r="B40" s="515" t="s">
        <v>128</v>
      </c>
      <c r="C40" s="504"/>
      <c r="D40" s="501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</row>
    <row r="41" spans="1:36">
      <c r="A41" s="507" t="s">
        <v>99</v>
      </c>
      <c r="B41" s="507" t="s">
        <v>100</v>
      </c>
      <c r="C41" s="507" t="s">
        <v>101</v>
      </c>
      <c r="D41" s="517"/>
      <c r="E41" s="42">
        <f t="shared" ref="E41:AI41" si="2">E3</f>
        <v>45413</v>
      </c>
      <c r="F41" s="42">
        <f t="shared" si="2"/>
        <v>45414</v>
      </c>
      <c r="G41" s="42">
        <f t="shared" si="2"/>
        <v>45415</v>
      </c>
      <c r="H41" s="42">
        <f t="shared" si="2"/>
        <v>45416</v>
      </c>
      <c r="I41" s="42">
        <f t="shared" si="2"/>
        <v>45417</v>
      </c>
      <c r="J41" s="42">
        <f t="shared" si="2"/>
        <v>45418</v>
      </c>
      <c r="K41" s="42">
        <f t="shared" si="2"/>
        <v>45419</v>
      </c>
      <c r="L41" s="42">
        <f t="shared" si="2"/>
        <v>45420</v>
      </c>
      <c r="M41" s="42">
        <f t="shared" si="2"/>
        <v>45421</v>
      </c>
      <c r="N41" s="42">
        <f t="shared" si="2"/>
        <v>45422</v>
      </c>
      <c r="O41" s="42">
        <f t="shared" si="2"/>
        <v>45423</v>
      </c>
      <c r="P41" s="42">
        <f t="shared" si="2"/>
        <v>45424</v>
      </c>
      <c r="Q41" s="42">
        <f t="shared" si="2"/>
        <v>45425</v>
      </c>
      <c r="R41" s="42">
        <f t="shared" si="2"/>
        <v>45426</v>
      </c>
      <c r="S41" s="42">
        <f t="shared" si="2"/>
        <v>45427</v>
      </c>
      <c r="T41" s="42">
        <f t="shared" si="2"/>
        <v>45428</v>
      </c>
      <c r="U41" s="42">
        <f t="shared" si="2"/>
        <v>45429</v>
      </c>
      <c r="V41" s="42">
        <f t="shared" si="2"/>
        <v>45430</v>
      </c>
      <c r="W41" s="42">
        <f t="shared" si="2"/>
        <v>45431</v>
      </c>
      <c r="X41" s="42">
        <f t="shared" si="2"/>
        <v>45432</v>
      </c>
      <c r="Y41" s="42">
        <f t="shared" si="2"/>
        <v>45433</v>
      </c>
      <c r="Z41" s="42">
        <f t="shared" si="2"/>
        <v>45434</v>
      </c>
      <c r="AA41" s="42">
        <f t="shared" si="2"/>
        <v>45435</v>
      </c>
      <c r="AB41" s="42">
        <f t="shared" si="2"/>
        <v>45436</v>
      </c>
      <c r="AC41" s="42">
        <f t="shared" si="2"/>
        <v>45437</v>
      </c>
      <c r="AD41" s="42">
        <f t="shared" si="2"/>
        <v>45438</v>
      </c>
      <c r="AE41" s="42">
        <f t="shared" si="2"/>
        <v>45439</v>
      </c>
      <c r="AF41" s="42">
        <f t="shared" si="2"/>
        <v>45440</v>
      </c>
      <c r="AG41" s="42">
        <f t="shared" si="2"/>
        <v>45441</v>
      </c>
      <c r="AH41" s="42">
        <f t="shared" si="2"/>
        <v>45442</v>
      </c>
      <c r="AI41" s="42">
        <f t="shared" si="2"/>
        <v>45443</v>
      </c>
      <c r="AJ41" s="507" t="s">
        <v>1</v>
      </c>
    </row>
    <row r="42" spans="1:36">
      <c r="A42" s="508"/>
      <c r="B42" s="508"/>
      <c r="C42" s="518"/>
      <c r="D42" s="519"/>
      <c r="E42" s="1" t="str">
        <f t="shared" ref="E42:AI42" si="3">E4</f>
        <v>Thu</v>
      </c>
      <c r="F42" s="1" t="str">
        <f t="shared" si="3"/>
        <v>Fri</v>
      </c>
      <c r="G42" s="1" t="str">
        <f t="shared" si="3"/>
        <v>Sat</v>
      </c>
      <c r="H42" s="1" t="str">
        <f t="shared" si="3"/>
        <v>Sun</v>
      </c>
      <c r="I42" s="1" t="str">
        <f t="shared" si="3"/>
        <v>Mon</v>
      </c>
      <c r="J42" s="1" t="str">
        <f t="shared" si="3"/>
        <v>Tue</v>
      </c>
      <c r="K42" s="1" t="str">
        <f t="shared" si="3"/>
        <v>Wed</v>
      </c>
      <c r="L42" s="1" t="str">
        <f t="shared" si="3"/>
        <v>Thu</v>
      </c>
      <c r="M42" s="1" t="str">
        <f t="shared" si="3"/>
        <v>Fri</v>
      </c>
      <c r="N42" s="1" t="str">
        <f t="shared" si="3"/>
        <v>Sat</v>
      </c>
      <c r="O42" s="1" t="str">
        <f t="shared" si="3"/>
        <v>Sun</v>
      </c>
      <c r="P42" s="1" t="str">
        <f t="shared" si="3"/>
        <v>Mon</v>
      </c>
      <c r="Q42" s="1" t="str">
        <f t="shared" si="3"/>
        <v>Tue</v>
      </c>
      <c r="R42" s="1" t="str">
        <f t="shared" si="3"/>
        <v>Wed</v>
      </c>
      <c r="S42" s="1" t="str">
        <f t="shared" si="3"/>
        <v>Thu</v>
      </c>
      <c r="T42" s="1" t="str">
        <f t="shared" si="3"/>
        <v>Fri</v>
      </c>
      <c r="U42" s="1" t="str">
        <f t="shared" si="3"/>
        <v>Sat</v>
      </c>
      <c r="V42" s="1" t="str">
        <f t="shared" si="3"/>
        <v>Sun</v>
      </c>
      <c r="W42" s="1" t="str">
        <f t="shared" si="3"/>
        <v>Mon</v>
      </c>
      <c r="X42" s="1" t="str">
        <f t="shared" si="3"/>
        <v>Tue</v>
      </c>
      <c r="Y42" s="1" t="str">
        <f t="shared" si="3"/>
        <v>Wed</v>
      </c>
      <c r="Z42" s="1" t="str">
        <f t="shared" si="3"/>
        <v>Thu</v>
      </c>
      <c r="AA42" s="1" t="str">
        <f t="shared" si="3"/>
        <v>Fri</v>
      </c>
      <c r="AB42" s="1" t="str">
        <f t="shared" si="3"/>
        <v>Sat</v>
      </c>
      <c r="AC42" s="1" t="str">
        <f t="shared" si="3"/>
        <v>Sun</v>
      </c>
      <c r="AD42" s="1" t="str">
        <f t="shared" si="3"/>
        <v>Mon</v>
      </c>
      <c r="AE42" s="1" t="str">
        <f t="shared" si="3"/>
        <v>Tue</v>
      </c>
      <c r="AF42" s="1" t="str">
        <f t="shared" si="3"/>
        <v>Wed</v>
      </c>
      <c r="AG42" s="1" t="str">
        <f t="shared" si="3"/>
        <v>Thu</v>
      </c>
      <c r="AH42" s="1" t="str">
        <f t="shared" si="3"/>
        <v>Fri</v>
      </c>
      <c r="AI42" s="1" t="str">
        <f t="shared" si="3"/>
        <v>Sat</v>
      </c>
      <c r="AJ42" s="508"/>
    </row>
    <row r="43" spans="1:36">
      <c r="A43" s="508"/>
      <c r="B43" s="508"/>
      <c r="C43" s="518"/>
      <c r="D43" s="519"/>
      <c r="E43" s="18" t="s">
        <v>110</v>
      </c>
      <c r="F43" s="18" t="s">
        <v>110</v>
      </c>
      <c r="G43" s="18" t="s">
        <v>110</v>
      </c>
      <c r="H43" s="18" t="s">
        <v>110</v>
      </c>
      <c r="I43" s="18" t="s">
        <v>110</v>
      </c>
      <c r="J43" s="18" t="s">
        <v>110</v>
      </c>
      <c r="K43" s="18" t="s">
        <v>110</v>
      </c>
      <c r="L43" s="18" t="s">
        <v>110</v>
      </c>
      <c r="M43" s="18" t="s">
        <v>110</v>
      </c>
      <c r="N43" s="18" t="s">
        <v>110</v>
      </c>
      <c r="O43" s="18" t="s">
        <v>110</v>
      </c>
      <c r="P43" s="18" t="s">
        <v>110</v>
      </c>
      <c r="Q43" s="18" t="s">
        <v>110</v>
      </c>
      <c r="R43" s="18" t="s">
        <v>110</v>
      </c>
      <c r="S43" s="18" t="s">
        <v>110</v>
      </c>
      <c r="T43" s="18" t="s">
        <v>110</v>
      </c>
      <c r="U43" s="18" t="s">
        <v>110</v>
      </c>
      <c r="V43" s="18" t="s">
        <v>110</v>
      </c>
      <c r="W43" s="18" t="s">
        <v>110</v>
      </c>
      <c r="X43" s="18" t="s">
        <v>110</v>
      </c>
      <c r="Y43" s="18" t="s">
        <v>110</v>
      </c>
      <c r="Z43" s="18" t="s">
        <v>110</v>
      </c>
      <c r="AA43" s="18" t="s">
        <v>110</v>
      </c>
      <c r="AB43" s="18" t="s">
        <v>110</v>
      </c>
      <c r="AC43" s="18" t="s">
        <v>110</v>
      </c>
      <c r="AD43" s="18" t="s">
        <v>110</v>
      </c>
      <c r="AE43" s="18" t="s">
        <v>110</v>
      </c>
      <c r="AF43" s="18" t="s">
        <v>110</v>
      </c>
      <c r="AG43" s="18" t="s">
        <v>110</v>
      </c>
      <c r="AH43" s="18" t="s">
        <v>110</v>
      </c>
      <c r="AI43" s="18" t="s">
        <v>110</v>
      </c>
      <c r="AJ43" s="508"/>
    </row>
    <row r="44" spans="1:36">
      <c r="A44" s="509"/>
      <c r="B44" s="509"/>
      <c r="C44" s="520"/>
      <c r="D44" s="521"/>
      <c r="E44" s="19">
        <v>0.33333333333333331</v>
      </c>
      <c r="F44" s="19">
        <v>0.33333333333333331</v>
      </c>
      <c r="G44" s="19">
        <v>0.33333333333333331</v>
      </c>
      <c r="H44" s="19">
        <v>0.33333333333333331</v>
      </c>
      <c r="I44" s="19">
        <v>0.33333333333333331</v>
      </c>
      <c r="J44" s="19">
        <v>0.33333333333333331</v>
      </c>
      <c r="K44" s="19">
        <v>0.33333333333333331</v>
      </c>
      <c r="L44" s="19">
        <v>0.33333333333333331</v>
      </c>
      <c r="M44" s="19">
        <v>0.33333333333333331</v>
      </c>
      <c r="N44" s="19">
        <v>0.33333333333333331</v>
      </c>
      <c r="O44" s="19">
        <v>0.33333333333333331</v>
      </c>
      <c r="P44" s="19">
        <v>0.33333333333333331</v>
      </c>
      <c r="Q44" s="19">
        <v>0.33333333333333331</v>
      </c>
      <c r="R44" s="19">
        <v>0.33333333333333331</v>
      </c>
      <c r="S44" s="19">
        <v>0.33333333333333331</v>
      </c>
      <c r="T44" s="19">
        <v>0.33333333333333331</v>
      </c>
      <c r="U44" s="19">
        <v>0.33333333333333331</v>
      </c>
      <c r="V44" s="19">
        <v>0.33333333333333331</v>
      </c>
      <c r="W44" s="19">
        <v>0.33333333333333331</v>
      </c>
      <c r="X44" s="19">
        <v>0.33333333333333331</v>
      </c>
      <c r="Y44" s="19">
        <v>0.33333333333333331</v>
      </c>
      <c r="Z44" s="19">
        <v>0.33333333333333331</v>
      </c>
      <c r="AA44" s="19">
        <v>0.33333333333333331</v>
      </c>
      <c r="AB44" s="19">
        <v>0.33333333333333331</v>
      </c>
      <c r="AC44" s="19">
        <v>0.33333333333333331</v>
      </c>
      <c r="AD44" s="19">
        <v>0.33333333333333331</v>
      </c>
      <c r="AE44" s="19">
        <v>0.33333333333333331</v>
      </c>
      <c r="AF44" s="19">
        <v>0.33333333333333331</v>
      </c>
      <c r="AG44" s="19">
        <v>0.33333333333333331</v>
      </c>
      <c r="AH44" s="19">
        <v>0.33333333333333331</v>
      </c>
      <c r="AI44" s="19">
        <v>0.33333333333333331</v>
      </c>
      <c r="AJ44" s="509"/>
    </row>
    <row r="45" spans="1:36" ht="15" customHeight="1">
      <c r="A45" s="2">
        <v>1</v>
      </c>
      <c r="B45" s="2" t="s">
        <v>129</v>
      </c>
      <c r="C45" s="503" t="s">
        <v>111</v>
      </c>
      <c r="D45" s="501"/>
      <c r="E45" s="20">
        <f t="shared" ref="E45:AI45" si="4">E7-D7</f>
        <v>362</v>
      </c>
      <c r="F45" s="20">
        <f t="shared" si="4"/>
        <v>253</v>
      </c>
      <c r="G45" s="20">
        <f t="shared" si="4"/>
        <v>242</v>
      </c>
      <c r="H45" s="20">
        <f t="shared" si="4"/>
        <v>205</v>
      </c>
      <c r="I45" s="20">
        <f t="shared" si="4"/>
        <v>220</v>
      </c>
      <c r="J45" s="20">
        <f t="shared" si="4"/>
        <v>202</v>
      </c>
      <c r="K45" s="20">
        <f t="shared" si="4"/>
        <v>239</v>
      </c>
      <c r="L45" s="20">
        <f t="shared" si="4"/>
        <v>197</v>
      </c>
      <c r="M45" s="20">
        <f t="shared" si="4"/>
        <v>237</v>
      </c>
      <c r="N45" s="20">
        <f t="shared" si="4"/>
        <v>199</v>
      </c>
      <c r="O45" s="20">
        <f t="shared" si="4"/>
        <v>196</v>
      </c>
      <c r="P45" s="20">
        <f t="shared" si="4"/>
        <v>226</v>
      </c>
      <c r="Q45" s="20">
        <f t="shared" si="4"/>
        <v>166</v>
      </c>
      <c r="R45" s="20">
        <f t="shared" si="4"/>
        <v>248</v>
      </c>
      <c r="S45" s="20">
        <f t="shared" si="4"/>
        <v>256</v>
      </c>
      <c r="T45" s="20">
        <f t="shared" si="4"/>
        <v>254</v>
      </c>
      <c r="U45" s="20">
        <f t="shared" si="4"/>
        <v>141</v>
      </c>
      <c r="V45" s="20">
        <f t="shared" si="4"/>
        <v>187</v>
      </c>
      <c r="W45" s="20">
        <f t="shared" si="4"/>
        <v>286</v>
      </c>
      <c r="X45" s="20">
        <f t="shared" si="4"/>
        <v>174</v>
      </c>
      <c r="Y45" s="20">
        <f t="shared" si="4"/>
        <v>260</v>
      </c>
      <c r="Z45" s="20">
        <f t="shared" si="4"/>
        <v>228</v>
      </c>
      <c r="AA45" s="20">
        <f t="shared" si="4"/>
        <v>187</v>
      </c>
      <c r="AB45" s="20">
        <f t="shared" si="4"/>
        <v>232</v>
      </c>
      <c r="AC45" s="20">
        <f t="shared" si="4"/>
        <v>202</v>
      </c>
      <c r="AD45" s="20">
        <f t="shared" si="4"/>
        <v>192</v>
      </c>
      <c r="AE45" s="20">
        <f t="shared" si="4"/>
        <v>229</v>
      </c>
      <c r="AF45" s="20">
        <f t="shared" si="4"/>
        <v>217</v>
      </c>
      <c r="AG45" s="20">
        <f t="shared" si="4"/>
        <v>206</v>
      </c>
      <c r="AH45" s="20">
        <f t="shared" si="4"/>
        <v>233</v>
      </c>
      <c r="AI45" s="20">
        <f t="shared" si="4"/>
        <v>90</v>
      </c>
      <c r="AJ45" s="21">
        <f t="shared" ref="AJ45:AJ62" si="5">SUM(E45:AI45)</f>
        <v>6766</v>
      </c>
    </row>
    <row r="46" spans="1:36" ht="18.5" customHeight="1">
      <c r="A46" s="2"/>
      <c r="B46" s="2"/>
      <c r="C46" s="502" t="s">
        <v>22</v>
      </c>
      <c r="D46" s="501"/>
      <c r="E46" s="20">
        <f t="shared" ref="E46:AI46" si="6">E8-D8</f>
        <v>0</v>
      </c>
      <c r="F46" s="20">
        <f t="shared" si="6"/>
        <v>0</v>
      </c>
      <c r="G46" s="20">
        <f t="shared" si="6"/>
        <v>0</v>
      </c>
      <c r="H46" s="20">
        <f t="shared" si="6"/>
        <v>0</v>
      </c>
      <c r="I46" s="20">
        <f t="shared" si="6"/>
        <v>0</v>
      </c>
      <c r="J46" s="20">
        <f t="shared" si="6"/>
        <v>41</v>
      </c>
      <c r="K46" s="20">
        <f t="shared" si="6"/>
        <v>13</v>
      </c>
      <c r="L46" s="20">
        <f t="shared" si="6"/>
        <v>73</v>
      </c>
      <c r="M46" s="20">
        <f t="shared" si="6"/>
        <v>0</v>
      </c>
      <c r="N46" s="20">
        <f t="shared" si="6"/>
        <v>50</v>
      </c>
      <c r="O46" s="20">
        <f t="shared" si="6"/>
        <v>13</v>
      </c>
      <c r="P46" s="20">
        <f t="shared" si="6"/>
        <v>0</v>
      </c>
      <c r="Q46" s="20">
        <f t="shared" si="6"/>
        <v>81</v>
      </c>
      <c r="R46" s="20">
        <f t="shared" si="6"/>
        <v>14</v>
      </c>
      <c r="S46" s="20">
        <f t="shared" si="6"/>
        <v>0</v>
      </c>
      <c r="T46" s="20">
        <f t="shared" si="6"/>
        <v>0</v>
      </c>
      <c r="U46" s="20">
        <f t="shared" si="6"/>
        <v>87</v>
      </c>
      <c r="V46" s="20">
        <f t="shared" si="6"/>
        <v>0</v>
      </c>
      <c r="W46" s="20">
        <f t="shared" si="6"/>
        <v>27</v>
      </c>
      <c r="X46" s="20">
        <f t="shared" si="6"/>
        <v>71</v>
      </c>
      <c r="Y46" s="20">
        <f t="shared" si="6"/>
        <v>0</v>
      </c>
      <c r="Z46" s="20">
        <f t="shared" si="6"/>
        <v>0</v>
      </c>
      <c r="AA46" s="20">
        <f t="shared" si="6"/>
        <v>66</v>
      </c>
      <c r="AB46" s="20">
        <f t="shared" si="6"/>
        <v>16</v>
      </c>
      <c r="AC46" s="20">
        <f t="shared" si="6"/>
        <v>2</v>
      </c>
      <c r="AD46" s="20">
        <f t="shared" si="6"/>
        <v>7</v>
      </c>
      <c r="AE46" s="20">
        <f t="shared" si="6"/>
        <v>26</v>
      </c>
      <c r="AF46" s="20">
        <f t="shared" si="6"/>
        <v>40</v>
      </c>
      <c r="AG46" s="20">
        <f t="shared" si="6"/>
        <v>44</v>
      </c>
      <c r="AH46" s="20">
        <f t="shared" si="6"/>
        <v>26</v>
      </c>
      <c r="AI46" s="20">
        <f t="shared" si="6"/>
        <v>15</v>
      </c>
      <c r="AJ46" s="21">
        <f t="shared" si="5"/>
        <v>712</v>
      </c>
    </row>
    <row r="47" spans="1:36" ht="15" customHeight="1">
      <c r="A47" s="2">
        <v>2</v>
      </c>
      <c r="B47" s="2" t="s">
        <v>129</v>
      </c>
      <c r="C47" s="503" t="s">
        <v>112</v>
      </c>
      <c r="D47" s="501"/>
      <c r="E47" s="20">
        <f t="shared" ref="E47:AI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0">
        <f t="shared" si="7"/>
        <v>0</v>
      </c>
      <c r="AH47" s="20">
        <f t="shared" si="7"/>
        <v>0</v>
      </c>
      <c r="AI47" s="20">
        <f t="shared" si="7"/>
        <v>0</v>
      </c>
      <c r="AJ47" s="21">
        <f t="shared" si="5"/>
        <v>0</v>
      </c>
    </row>
    <row r="48" spans="1:36" ht="18.5" customHeight="1">
      <c r="A48" s="2"/>
      <c r="B48" s="2"/>
      <c r="C48" s="502" t="s">
        <v>22</v>
      </c>
      <c r="D48" s="501"/>
      <c r="E48" s="20">
        <f t="shared" ref="E48:AI48" si="8">E10-D10</f>
        <v>0</v>
      </c>
      <c r="F48" s="20">
        <f t="shared" si="8"/>
        <v>0</v>
      </c>
      <c r="G48" s="20">
        <f t="shared" si="8"/>
        <v>0</v>
      </c>
      <c r="H48" s="20">
        <f t="shared" si="8"/>
        <v>0</v>
      </c>
      <c r="I48" s="20">
        <f t="shared" si="8"/>
        <v>0</v>
      </c>
      <c r="J48" s="20">
        <f t="shared" si="8"/>
        <v>0</v>
      </c>
      <c r="K48" s="20">
        <f t="shared" si="8"/>
        <v>0</v>
      </c>
      <c r="L48" s="20">
        <f t="shared" si="8"/>
        <v>0</v>
      </c>
      <c r="M48" s="20">
        <f t="shared" si="8"/>
        <v>0</v>
      </c>
      <c r="N48" s="20">
        <f t="shared" si="8"/>
        <v>0</v>
      </c>
      <c r="O48" s="20">
        <f t="shared" si="8"/>
        <v>0</v>
      </c>
      <c r="P48" s="20">
        <f t="shared" si="8"/>
        <v>0</v>
      </c>
      <c r="Q48" s="20">
        <f t="shared" si="8"/>
        <v>0</v>
      </c>
      <c r="R48" s="20">
        <f t="shared" si="8"/>
        <v>0</v>
      </c>
      <c r="S48" s="20">
        <f t="shared" si="8"/>
        <v>0</v>
      </c>
      <c r="T48" s="20">
        <f t="shared" si="8"/>
        <v>0</v>
      </c>
      <c r="U48" s="20">
        <f t="shared" si="8"/>
        <v>0</v>
      </c>
      <c r="V48" s="20">
        <f t="shared" si="8"/>
        <v>0</v>
      </c>
      <c r="W48" s="20">
        <f t="shared" si="8"/>
        <v>0</v>
      </c>
      <c r="X48" s="20">
        <f t="shared" si="8"/>
        <v>0</v>
      </c>
      <c r="Y48" s="20">
        <f t="shared" si="8"/>
        <v>0</v>
      </c>
      <c r="Z48" s="20">
        <f t="shared" si="8"/>
        <v>0</v>
      </c>
      <c r="AA48" s="20">
        <f t="shared" si="8"/>
        <v>0</v>
      </c>
      <c r="AB48" s="20">
        <f t="shared" si="8"/>
        <v>0</v>
      </c>
      <c r="AC48" s="20">
        <f t="shared" si="8"/>
        <v>0</v>
      </c>
      <c r="AD48" s="20">
        <f t="shared" si="8"/>
        <v>0</v>
      </c>
      <c r="AE48" s="20">
        <f t="shared" si="8"/>
        <v>0</v>
      </c>
      <c r="AF48" s="20">
        <f t="shared" si="8"/>
        <v>0</v>
      </c>
      <c r="AG48" s="20">
        <f t="shared" si="8"/>
        <v>0</v>
      </c>
      <c r="AH48" s="20">
        <f t="shared" si="8"/>
        <v>0</v>
      </c>
      <c r="AI48" s="20">
        <f t="shared" si="8"/>
        <v>0</v>
      </c>
      <c r="AJ48" s="21">
        <f t="shared" si="5"/>
        <v>0</v>
      </c>
    </row>
    <row r="49" spans="1:38" ht="15" customHeight="1">
      <c r="A49" s="2">
        <v>3</v>
      </c>
      <c r="B49" s="2" t="s">
        <v>129</v>
      </c>
      <c r="C49" s="503" t="s">
        <v>113</v>
      </c>
      <c r="D49" s="501"/>
      <c r="E49" s="20">
        <f t="shared" ref="E49:AI49" si="9">E11-D11</f>
        <v>520</v>
      </c>
      <c r="F49" s="20">
        <f t="shared" si="9"/>
        <v>359</v>
      </c>
      <c r="G49" s="20">
        <f t="shared" si="9"/>
        <v>340</v>
      </c>
      <c r="H49" s="20">
        <f t="shared" si="9"/>
        <v>268</v>
      </c>
      <c r="I49" s="20">
        <f t="shared" si="9"/>
        <v>283</v>
      </c>
      <c r="J49" s="20">
        <f t="shared" si="9"/>
        <v>285</v>
      </c>
      <c r="K49" s="20">
        <f t="shared" si="9"/>
        <v>339</v>
      </c>
      <c r="L49" s="20">
        <f t="shared" si="9"/>
        <v>274</v>
      </c>
      <c r="M49" s="20">
        <f t="shared" si="9"/>
        <v>337</v>
      </c>
      <c r="N49" s="20">
        <f t="shared" si="9"/>
        <v>272</v>
      </c>
      <c r="O49" s="20">
        <f t="shared" si="9"/>
        <v>56</v>
      </c>
      <c r="P49" s="20">
        <f t="shared" si="9"/>
        <v>495</v>
      </c>
      <c r="Q49" s="20">
        <f t="shared" si="9"/>
        <v>233</v>
      </c>
      <c r="R49" s="20">
        <f t="shared" si="9"/>
        <v>347</v>
      </c>
      <c r="S49" s="20">
        <f t="shared" si="9"/>
        <v>370</v>
      </c>
      <c r="T49" s="20">
        <f t="shared" si="9"/>
        <v>362</v>
      </c>
      <c r="U49" s="20">
        <f t="shared" si="9"/>
        <v>185</v>
      </c>
      <c r="V49" s="20">
        <f t="shared" si="9"/>
        <v>279</v>
      </c>
      <c r="W49" s="20">
        <f t="shared" si="9"/>
        <v>246</v>
      </c>
      <c r="X49" s="20">
        <f t="shared" si="9"/>
        <v>241</v>
      </c>
      <c r="Y49" s="20">
        <f t="shared" si="9"/>
        <v>359</v>
      </c>
      <c r="Z49" s="20">
        <f t="shared" si="9"/>
        <v>322</v>
      </c>
      <c r="AA49" s="20">
        <f t="shared" si="9"/>
        <v>256</v>
      </c>
      <c r="AB49" s="20">
        <f t="shared" si="9"/>
        <v>319</v>
      </c>
      <c r="AC49" s="20">
        <f t="shared" si="9"/>
        <v>260</v>
      </c>
      <c r="AD49" s="20">
        <f t="shared" si="9"/>
        <v>241</v>
      </c>
      <c r="AE49" s="20">
        <f t="shared" si="9"/>
        <v>323</v>
      </c>
      <c r="AF49" s="20">
        <f t="shared" si="9"/>
        <v>304</v>
      </c>
      <c r="AG49" s="20">
        <f t="shared" si="9"/>
        <v>281</v>
      </c>
      <c r="AH49" s="20">
        <f t="shared" si="9"/>
        <v>323</v>
      </c>
      <c r="AI49" s="20">
        <f t="shared" si="9"/>
        <v>121</v>
      </c>
      <c r="AJ49" s="21">
        <f t="shared" si="5"/>
        <v>9200</v>
      </c>
    </row>
    <row r="50" spans="1:38" ht="18.5" customHeight="1">
      <c r="A50" s="2"/>
      <c r="B50" s="2"/>
      <c r="C50" s="502" t="s">
        <v>22</v>
      </c>
      <c r="D50" s="501"/>
      <c r="E50" s="20">
        <f t="shared" ref="E50:AI50" si="10">E12-D12</f>
        <v>0</v>
      </c>
      <c r="F50" s="20">
        <f t="shared" si="10"/>
        <v>0</v>
      </c>
      <c r="G50" s="20">
        <f t="shared" si="10"/>
        <v>0</v>
      </c>
      <c r="H50" s="20">
        <f t="shared" si="10"/>
        <v>0</v>
      </c>
      <c r="I50" s="20">
        <f t="shared" si="10"/>
        <v>0</v>
      </c>
      <c r="J50" s="20">
        <f t="shared" si="10"/>
        <v>63</v>
      </c>
      <c r="K50" s="20">
        <f t="shared" si="10"/>
        <v>20</v>
      </c>
      <c r="L50" s="20">
        <f t="shared" si="10"/>
        <v>110</v>
      </c>
      <c r="M50" s="20">
        <f t="shared" si="10"/>
        <v>0</v>
      </c>
      <c r="N50" s="20">
        <f t="shared" si="10"/>
        <v>75</v>
      </c>
      <c r="O50" s="20">
        <f t="shared" si="10"/>
        <v>17</v>
      </c>
      <c r="P50" s="20">
        <f t="shared" si="10"/>
        <v>0</v>
      </c>
      <c r="Q50" s="20">
        <f t="shared" si="10"/>
        <v>124</v>
      </c>
      <c r="R50" s="20">
        <f t="shared" si="10"/>
        <v>20</v>
      </c>
      <c r="S50" s="20">
        <f t="shared" si="10"/>
        <v>0</v>
      </c>
      <c r="T50" s="20">
        <f t="shared" si="10"/>
        <v>0</v>
      </c>
      <c r="U50" s="20">
        <f t="shared" si="10"/>
        <v>141</v>
      </c>
      <c r="V50" s="20">
        <f t="shared" si="10"/>
        <v>0</v>
      </c>
      <c r="W50" s="20">
        <f t="shared" si="10"/>
        <v>24</v>
      </c>
      <c r="X50" s="20">
        <f t="shared" si="10"/>
        <v>104</v>
      </c>
      <c r="Y50" s="20">
        <f t="shared" si="10"/>
        <v>0</v>
      </c>
      <c r="Z50" s="20">
        <f t="shared" si="10"/>
        <v>0</v>
      </c>
      <c r="AA50" s="20">
        <f t="shared" si="10"/>
        <v>599</v>
      </c>
      <c r="AB50" s="20">
        <f t="shared" si="10"/>
        <v>-476</v>
      </c>
      <c r="AC50" s="20">
        <f t="shared" si="10"/>
        <v>2</v>
      </c>
      <c r="AD50" s="20">
        <f t="shared" si="10"/>
        <v>9</v>
      </c>
      <c r="AE50" s="20">
        <f t="shared" si="10"/>
        <v>41</v>
      </c>
      <c r="AF50" s="20">
        <f t="shared" si="10"/>
        <v>62</v>
      </c>
      <c r="AG50" s="20">
        <f t="shared" si="10"/>
        <v>65</v>
      </c>
      <c r="AH50" s="20">
        <f t="shared" si="10"/>
        <v>39</v>
      </c>
      <c r="AI50" s="20">
        <f t="shared" si="10"/>
        <v>22</v>
      </c>
      <c r="AJ50" s="21">
        <f t="shared" si="5"/>
        <v>1061</v>
      </c>
    </row>
    <row r="51" spans="1:38" ht="15" customHeight="1">
      <c r="A51" s="2">
        <v>4</v>
      </c>
      <c r="B51" s="2" t="s">
        <v>129</v>
      </c>
      <c r="C51" s="503" t="s">
        <v>114</v>
      </c>
      <c r="D51" s="501"/>
      <c r="E51" s="20">
        <f t="shared" ref="E51:AI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0">
        <f t="shared" si="11"/>
        <v>0</v>
      </c>
      <c r="AH51" s="20">
        <f t="shared" si="11"/>
        <v>0</v>
      </c>
      <c r="AI51" s="20">
        <f t="shared" si="11"/>
        <v>0</v>
      </c>
      <c r="AJ51" s="21">
        <f t="shared" si="5"/>
        <v>0</v>
      </c>
    </row>
    <row r="52" spans="1:38" ht="18.5" customHeight="1">
      <c r="A52" s="2"/>
      <c r="B52" s="2"/>
      <c r="C52" s="502" t="s">
        <v>22</v>
      </c>
      <c r="D52" s="501"/>
      <c r="E52" s="20">
        <f t="shared" ref="E52:AI52" si="12">E14-D14</f>
        <v>0</v>
      </c>
      <c r="F52" s="20">
        <f t="shared" si="12"/>
        <v>0</v>
      </c>
      <c r="G52" s="20">
        <f t="shared" si="12"/>
        <v>0</v>
      </c>
      <c r="H52" s="20">
        <f t="shared" si="12"/>
        <v>0</v>
      </c>
      <c r="I52" s="20">
        <f t="shared" si="12"/>
        <v>0</v>
      </c>
      <c r="J52" s="20">
        <f t="shared" si="12"/>
        <v>0</v>
      </c>
      <c r="K52" s="20">
        <f t="shared" si="12"/>
        <v>0</v>
      </c>
      <c r="L52" s="20">
        <f t="shared" si="12"/>
        <v>0</v>
      </c>
      <c r="M52" s="20">
        <f t="shared" si="12"/>
        <v>0</v>
      </c>
      <c r="N52" s="20">
        <f t="shared" si="12"/>
        <v>0</v>
      </c>
      <c r="O52" s="20">
        <f t="shared" si="12"/>
        <v>0</v>
      </c>
      <c r="P52" s="20">
        <f t="shared" si="12"/>
        <v>0</v>
      </c>
      <c r="Q52" s="20">
        <f t="shared" si="12"/>
        <v>0</v>
      </c>
      <c r="R52" s="20">
        <f t="shared" si="12"/>
        <v>0</v>
      </c>
      <c r="S52" s="20">
        <f t="shared" si="12"/>
        <v>0</v>
      </c>
      <c r="T52" s="20">
        <f t="shared" si="12"/>
        <v>0</v>
      </c>
      <c r="U52" s="20">
        <f t="shared" si="12"/>
        <v>0</v>
      </c>
      <c r="V52" s="20">
        <f t="shared" si="12"/>
        <v>0</v>
      </c>
      <c r="W52" s="20">
        <f t="shared" si="12"/>
        <v>0</v>
      </c>
      <c r="X52" s="20">
        <f t="shared" si="12"/>
        <v>0</v>
      </c>
      <c r="Y52" s="20">
        <f t="shared" si="12"/>
        <v>0</v>
      </c>
      <c r="Z52" s="20">
        <f t="shared" si="12"/>
        <v>0</v>
      </c>
      <c r="AA52" s="20">
        <f t="shared" si="12"/>
        <v>0</v>
      </c>
      <c r="AB52" s="20">
        <f t="shared" si="12"/>
        <v>0</v>
      </c>
      <c r="AC52" s="20">
        <f t="shared" si="12"/>
        <v>0</v>
      </c>
      <c r="AD52" s="20">
        <f t="shared" si="12"/>
        <v>0</v>
      </c>
      <c r="AE52" s="20">
        <f t="shared" si="12"/>
        <v>0</v>
      </c>
      <c r="AF52" s="20">
        <f t="shared" si="12"/>
        <v>0</v>
      </c>
      <c r="AG52" s="20">
        <f t="shared" si="12"/>
        <v>0</v>
      </c>
      <c r="AH52" s="20">
        <f t="shared" si="12"/>
        <v>0</v>
      </c>
      <c r="AI52" s="20">
        <f t="shared" si="12"/>
        <v>0</v>
      </c>
      <c r="AJ52" s="21">
        <f t="shared" si="5"/>
        <v>0</v>
      </c>
    </row>
    <row r="53" spans="1:38" ht="15" customHeight="1">
      <c r="A53" s="2">
        <v>5</v>
      </c>
      <c r="B53" s="2" t="s">
        <v>129</v>
      </c>
      <c r="C53" s="503" t="s">
        <v>115</v>
      </c>
      <c r="D53" s="501"/>
      <c r="E53" s="20">
        <f t="shared" ref="E53:AI53" si="13">E15-D15</f>
        <v>242</v>
      </c>
      <c r="F53" s="20">
        <f t="shared" si="13"/>
        <v>162</v>
      </c>
      <c r="G53" s="20">
        <f t="shared" si="13"/>
        <v>160</v>
      </c>
      <c r="H53" s="20">
        <f t="shared" si="13"/>
        <v>95</v>
      </c>
      <c r="I53" s="20">
        <f t="shared" si="13"/>
        <v>94</v>
      </c>
      <c r="J53" s="20">
        <f t="shared" si="13"/>
        <v>137</v>
      </c>
      <c r="K53" s="20">
        <f t="shared" si="13"/>
        <v>162</v>
      </c>
      <c r="L53" s="20">
        <f t="shared" si="13"/>
        <v>118</v>
      </c>
      <c r="M53" s="20">
        <f t="shared" si="13"/>
        <v>161</v>
      </c>
      <c r="N53" s="20">
        <f t="shared" si="13"/>
        <v>124</v>
      </c>
      <c r="O53" s="20">
        <f t="shared" si="13"/>
        <v>98</v>
      </c>
      <c r="P53" s="20">
        <f t="shared" si="13"/>
        <v>112</v>
      </c>
      <c r="Q53" s="20">
        <f t="shared" si="13"/>
        <v>111</v>
      </c>
      <c r="R53" s="20">
        <f t="shared" si="13"/>
        <v>169</v>
      </c>
      <c r="S53" s="20">
        <f t="shared" si="13"/>
        <v>175</v>
      </c>
      <c r="T53" s="20">
        <f t="shared" si="13"/>
        <v>179</v>
      </c>
      <c r="U53" s="20">
        <f t="shared" si="13"/>
        <v>82</v>
      </c>
      <c r="V53" s="20">
        <f t="shared" si="13"/>
        <v>105</v>
      </c>
      <c r="W53" s="20">
        <f t="shared" si="13"/>
        <v>109</v>
      </c>
      <c r="X53" s="20">
        <f t="shared" si="13"/>
        <v>121</v>
      </c>
      <c r="Y53" s="20">
        <f t="shared" si="13"/>
        <v>187</v>
      </c>
      <c r="Z53" s="20">
        <f t="shared" si="13"/>
        <v>164</v>
      </c>
      <c r="AA53" s="20">
        <f t="shared" si="13"/>
        <v>135</v>
      </c>
      <c r="AB53" s="20">
        <f t="shared" si="13"/>
        <v>167</v>
      </c>
      <c r="AC53" s="20">
        <f t="shared" si="13"/>
        <v>122</v>
      </c>
      <c r="AD53" s="20">
        <f t="shared" si="13"/>
        <v>116</v>
      </c>
      <c r="AE53" s="20">
        <f t="shared" si="13"/>
        <v>171</v>
      </c>
      <c r="AF53" s="20">
        <f t="shared" si="13"/>
        <v>162</v>
      </c>
      <c r="AG53" s="20">
        <f t="shared" si="13"/>
        <v>147</v>
      </c>
      <c r="AH53" s="20">
        <f t="shared" si="13"/>
        <v>170</v>
      </c>
      <c r="AI53" s="20">
        <f t="shared" si="13"/>
        <v>60</v>
      </c>
      <c r="AJ53" s="21">
        <f t="shared" si="5"/>
        <v>4317</v>
      </c>
    </row>
    <row r="54" spans="1:38" ht="18.5" customHeight="1">
      <c r="A54" s="2"/>
      <c r="B54" s="2"/>
      <c r="C54" s="502" t="s">
        <v>22</v>
      </c>
      <c r="D54" s="501"/>
      <c r="E54" s="20">
        <f t="shared" ref="E54:AI54" si="14">E16-D16</f>
        <v>0</v>
      </c>
      <c r="F54" s="20">
        <f t="shared" si="14"/>
        <v>0</v>
      </c>
      <c r="G54" s="20">
        <f t="shared" si="14"/>
        <v>0</v>
      </c>
      <c r="H54" s="20">
        <f t="shared" si="14"/>
        <v>0</v>
      </c>
      <c r="I54" s="20">
        <f t="shared" si="14"/>
        <v>0</v>
      </c>
      <c r="J54" s="20">
        <f t="shared" si="14"/>
        <v>29</v>
      </c>
      <c r="K54" s="20">
        <f t="shared" si="14"/>
        <v>12</v>
      </c>
      <c r="L54" s="20">
        <f t="shared" si="14"/>
        <v>54</v>
      </c>
      <c r="M54" s="20">
        <f t="shared" si="14"/>
        <v>0</v>
      </c>
      <c r="N54" s="20">
        <f t="shared" si="14"/>
        <v>35</v>
      </c>
      <c r="O54" s="20">
        <f t="shared" si="14"/>
        <v>6</v>
      </c>
      <c r="P54" s="20">
        <f t="shared" si="14"/>
        <v>0</v>
      </c>
      <c r="Q54" s="20">
        <f t="shared" si="14"/>
        <v>63</v>
      </c>
      <c r="R54" s="20">
        <f t="shared" si="14"/>
        <v>9</v>
      </c>
      <c r="S54" s="20">
        <f t="shared" si="14"/>
        <v>0</v>
      </c>
      <c r="T54" s="20">
        <f t="shared" si="14"/>
        <v>0</v>
      </c>
      <c r="U54" s="20">
        <f t="shared" si="14"/>
        <v>78</v>
      </c>
      <c r="V54" s="20">
        <f t="shared" si="14"/>
        <v>0</v>
      </c>
      <c r="W54" s="20">
        <f t="shared" si="14"/>
        <v>10</v>
      </c>
      <c r="X54" s="20">
        <f t="shared" si="14"/>
        <v>51</v>
      </c>
      <c r="Y54" s="20">
        <f t="shared" si="14"/>
        <v>0</v>
      </c>
      <c r="Z54" s="20">
        <f t="shared" si="14"/>
        <v>0</v>
      </c>
      <c r="AA54" s="20">
        <f t="shared" si="14"/>
        <v>57</v>
      </c>
      <c r="AB54" s="20">
        <f t="shared" si="14"/>
        <v>13</v>
      </c>
      <c r="AC54" s="20">
        <f t="shared" si="14"/>
        <v>1</v>
      </c>
      <c r="AD54" s="20">
        <f t="shared" si="14"/>
        <v>5</v>
      </c>
      <c r="AE54" s="20">
        <f t="shared" si="14"/>
        <v>22</v>
      </c>
      <c r="AF54" s="20">
        <f t="shared" si="14"/>
        <v>33</v>
      </c>
      <c r="AG54" s="20">
        <f t="shared" si="14"/>
        <v>39</v>
      </c>
      <c r="AH54" s="20">
        <f t="shared" si="14"/>
        <v>21</v>
      </c>
      <c r="AI54" s="20">
        <f t="shared" si="14"/>
        <v>12</v>
      </c>
      <c r="AJ54" s="21">
        <f t="shared" si="5"/>
        <v>550</v>
      </c>
    </row>
    <row r="55" spans="1:38" ht="15" customHeight="1">
      <c r="A55" s="2">
        <v>6</v>
      </c>
      <c r="B55" s="2" t="s">
        <v>129</v>
      </c>
      <c r="C55" s="503" t="s">
        <v>116</v>
      </c>
      <c r="D55" s="501"/>
      <c r="E55" s="20">
        <f t="shared" ref="E55:AI55" si="15">E17-D17</f>
        <v>423</v>
      </c>
      <c r="F55" s="20">
        <f t="shared" si="15"/>
        <v>271</v>
      </c>
      <c r="G55" s="20">
        <f t="shared" si="15"/>
        <v>264</v>
      </c>
      <c r="H55" s="20">
        <f t="shared" si="15"/>
        <v>171</v>
      </c>
      <c r="I55" s="20">
        <f t="shared" si="15"/>
        <v>184</v>
      </c>
      <c r="J55" s="20">
        <f t="shared" si="15"/>
        <v>225</v>
      </c>
      <c r="K55" s="20">
        <f t="shared" si="15"/>
        <v>266</v>
      </c>
      <c r="L55" s="20">
        <f t="shared" si="15"/>
        <v>186</v>
      </c>
      <c r="M55" s="20">
        <f t="shared" si="15"/>
        <v>207</v>
      </c>
      <c r="N55" s="20">
        <f t="shared" si="15"/>
        <v>168</v>
      </c>
      <c r="O55" s="20">
        <f t="shared" si="15"/>
        <v>119</v>
      </c>
      <c r="P55" s="20">
        <f t="shared" si="15"/>
        <v>152</v>
      </c>
      <c r="Q55" s="20">
        <f t="shared" si="15"/>
        <v>171</v>
      </c>
      <c r="R55" s="20">
        <f t="shared" si="15"/>
        <v>277</v>
      </c>
      <c r="S55" s="20">
        <f t="shared" si="15"/>
        <v>284</v>
      </c>
      <c r="T55" s="20">
        <f t="shared" si="15"/>
        <v>287</v>
      </c>
      <c r="U55" s="20">
        <f t="shared" si="15"/>
        <v>141</v>
      </c>
      <c r="V55" s="20">
        <f t="shared" si="15"/>
        <v>200</v>
      </c>
      <c r="W55" s="20">
        <f t="shared" si="15"/>
        <v>172</v>
      </c>
      <c r="X55" s="20">
        <f t="shared" si="15"/>
        <v>209</v>
      </c>
      <c r="Y55" s="20">
        <f t="shared" si="15"/>
        <v>278</v>
      </c>
      <c r="Z55" s="20">
        <f t="shared" si="15"/>
        <v>232</v>
      </c>
      <c r="AA55" s="20">
        <f t="shared" si="15"/>
        <v>173</v>
      </c>
      <c r="AB55" s="20">
        <f t="shared" si="15"/>
        <v>212</v>
      </c>
      <c r="AC55" s="20">
        <f t="shared" si="15"/>
        <v>141</v>
      </c>
      <c r="AD55" s="20">
        <f t="shared" si="15"/>
        <v>141</v>
      </c>
      <c r="AE55" s="20">
        <f t="shared" si="15"/>
        <v>250</v>
      </c>
      <c r="AF55" s="20">
        <f t="shared" si="15"/>
        <v>228</v>
      </c>
      <c r="AG55" s="20">
        <f t="shared" si="15"/>
        <v>217</v>
      </c>
      <c r="AH55" s="20">
        <f t="shared" si="15"/>
        <v>243</v>
      </c>
      <c r="AI55" s="20">
        <f t="shared" si="15"/>
        <v>92</v>
      </c>
      <c r="AJ55" s="21">
        <f t="shared" si="5"/>
        <v>6584</v>
      </c>
    </row>
    <row r="56" spans="1:38" ht="18.5" customHeight="1">
      <c r="A56" s="2"/>
      <c r="B56" s="2"/>
      <c r="C56" s="502" t="s">
        <v>22</v>
      </c>
      <c r="D56" s="501"/>
      <c r="E56" s="20">
        <f t="shared" ref="E56:AI56" si="16">E18-D18</f>
        <v>0</v>
      </c>
      <c r="F56" s="20">
        <f t="shared" si="16"/>
        <v>0</v>
      </c>
      <c r="G56" s="20">
        <f t="shared" si="16"/>
        <v>0</v>
      </c>
      <c r="H56" s="20">
        <f t="shared" si="16"/>
        <v>0</v>
      </c>
      <c r="I56" s="20">
        <f t="shared" si="16"/>
        <v>0</v>
      </c>
      <c r="J56" s="20">
        <f t="shared" si="16"/>
        <v>49</v>
      </c>
      <c r="K56" s="20">
        <f t="shared" si="16"/>
        <v>15</v>
      </c>
      <c r="L56" s="20">
        <f t="shared" si="16"/>
        <v>75</v>
      </c>
      <c r="M56" s="20">
        <f t="shared" si="16"/>
        <v>0</v>
      </c>
      <c r="N56" s="20">
        <f t="shared" si="16"/>
        <v>67</v>
      </c>
      <c r="O56" s="20">
        <f t="shared" si="16"/>
        <v>5</v>
      </c>
      <c r="P56" s="20">
        <f t="shared" si="16"/>
        <v>0</v>
      </c>
      <c r="Q56" s="20">
        <f t="shared" si="16"/>
        <v>95</v>
      </c>
      <c r="R56" s="20">
        <f t="shared" si="16"/>
        <v>14</v>
      </c>
      <c r="S56" s="20">
        <f t="shared" si="16"/>
        <v>0</v>
      </c>
      <c r="T56" s="20">
        <f t="shared" si="16"/>
        <v>0</v>
      </c>
      <c r="U56" s="20">
        <f t="shared" si="16"/>
        <v>134</v>
      </c>
      <c r="V56" s="20">
        <f t="shared" si="16"/>
        <v>0</v>
      </c>
      <c r="W56" s="20">
        <f t="shared" si="16"/>
        <v>18</v>
      </c>
      <c r="X56" s="20">
        <f t="shared" si="16"/>
        <v>91</v>
      </c>
      <c r="Y56" s="20">
        <f t="shared" si="16"/>
        <v>0</v>
      </c>
      <c r="Z56" s="20">
        <f t="shared" si="16"/>
        <v>0</v>
      </c>
      <c r="AA56" s="20">
        <f t="shared" si="16"/>
        <v>-25</v>
      </c>
      <c r="AB56" s="20">
        <f t="shared" si="16"/>
        <v>120</v>
      </c>
      <c r="AC56" s="20">
        <f t="shared" si="16"/>
        <v>0</v>
      </c>
      <c r="AD56" s="20">
        <f t="shared" si="16"/>
        <v>5</v>
      </c>
      <c r="AE56" s="20">
        <f t="shared" si="16"/>
        <v>29</v>
      </c>
      <c r="AF56" s="20">
        <f t="shared" si="16"/>
        <v>40</v>
      </c>
      <c r="AG56" s="20">
        <f t="shared" si="16"/>
        <v>65</v>
      </c>
      <c r="AH56" s="20">
        <f t="shared" si="16"/>
        <v>35</v>
      </c>
      <c r="AI56" s="20">
        <f t="shared" si="16"/>
        <v>24</v>
      </c>
      <c r="AJ56" s="21">
        <f t="shared" si="5"/>
        <v>856</v>
      </c>
    </row>
    <row r="57" spans="1:38" ht="15" customHeight="1">
      <c r="A57" s="2">
        <v>7</v>
      </c>
      <c r="B57" s="2" t="s">
        <v>129</v>
      </c>
      <c r="C57" s="503" t="s">
        <v>117</v>
      </c>
      <c r="D57" s="501"/>
      <c r="E57" s="20">
        <f t="shared" ref="E57:AI57" si="17">E19-D19</f>
        <v>1117</v>
      </c>
      <c r="F57" s="20">
        <f t="shared" si="17"/>
        <v>770</v>
      </c>
      <c r="G57" s="20">
        <f t="shared" si="17"/>
        <v>718</v>
      </c>
      <c r="H57" s="20">
        <f t="shared" si="17"/>
        <v>594</v>
      </c>
      <c r="I57" s="20">
        <f t="shared" si="17"/>
        <v>660</v>
      </c>
      <c r="J57" s="20">
        <f t="shared" si="17"/>
        <v>586</v>
      </c>
      <c r="K57" s="20">
        <f t="shared" si="17"/>
        <v>691</v>
      </c>
      <c r="L57" s="20">
        <f t="shared" si="17"/>
        <v>547</v>
      </c>
      <c r="M57" s="20">
        <f t="shared" si="17"/>
        <v>694</v>
      </c>
      <c r="N57" s="20">
        <f t="shared" si="17"/>
        <v>604</v>
      </c>
      <c r="O57" s="20">
        <f t="shared" si="17"/>
        <v>592</v>
      </c>
      <c r="P57" s="20">
        <f t="shared" si="17"/>
        <v>668</v>
      </c>
      <c r="Q57" s="20">
        <f t="shared" si="17"/>
        <v>469</v>
      </c>
      <c r="R57" s="20">
        <f t="shared" si="17"/>
        <v>701</v>
      </c>
      <c r="S57" s="20">
        <f t="shared" si="17"/>
        <v>730</v>
      </c>
      <c r="T57" s="20">
        <f t="shared" si="17"/>
        <v>730</v>
      </c>
      <c r="U57" s="20">
        <f t="shared" si="17"/>
        <v>392</v>
      </c>
      <c r="V57" s="20">
        <f t="shared" si="17"/>
        <v>618</v>
      </c>
      <c r="W57" s="20">
        <f t="shared" si="17"/>
        <v>516</v>
      </c>
      <c r="X57" s="20">
        <f t="shared" si="17"/>
        <v>497</v>
      </c>
      <c r="Y57" s="20">
        <f t="shared" si="17"/>
        <v>758</v>
      </c>
      <c r="Z57" s="20">
        <f t="shared" si="17"/>
        <v>677</v>
      </c>
      <c r="AA57" s="20">
        <f t="shared" si="17"/>
        <v>536</v>
      </c>
      <c r="AB57" s="20">
        <f t="shared" si="17"/>
        <v>697</v>
      </c>
      <c r="AC57" s="20">
        <f t="shared" si="17"/>
        <v>543</v>
      </c>
      <c r="AD57" s="20">
        <f t="shared" si="17"/>
        <v>313</v>
      </c>
      <c r="AE57" s="20">
        <f t="shared" si="17"/>
        <v>642</v>
      </c>
      <c r="AF57" s="20">
        <f t="shared" si="17"/>
        <v>667</v>
      </c>
      <c r="AG57" s="20">
        <f t="shared" si="17"/>
        <v>610</v>
      </c>
      <c r="AH57" s="20">
        <f t="shared" si="17"/>
        <v>688</v>
      </c>
      <c r="AI57" s="20">
        <f t="shared" si="17"/>
        <v>269</v>
      </c>
      <c r="AJ57" s="21">
        <f t="shared" si="5"/>
        <v>19294</v>
      </c>
    </row>
    <row r="58" spans="1:38" ht="18.5" customHeight="1">
      <c r="A58" s="2"/>
      <c r="B58" s="2"/>
      <c r="C58" s="502" t="s">
        <v>22</v>
      </c>
      <c r="D58" s="501"/>
      <c r="E58" s="20">
        <f t="shared" ref="E58:AI58" si="18">E20-D20</f>
        <v>0</v>
      </c>
      <c r="F58" s="20">
        <f t="shared" si="18"/>
        <v>0</v>
      </c>
      <c r="G58" s="20">
        <f t="shared" si="18"/>
        <v>0</v>
      </c>
      <c r="H58" s="20">
        <f t="shared" si="18"/>
        <v>0</v>
      </c>
      <c r="I58" s="20">
        <f t="shared" si="18"/>
        <v>0</v>
      </c>
      <c r="J58" s="20">
        <f t="shared" si="18"/>
        <v>124</v>
      </c>
      <c r="K58" s="20">
        <f t="shared" si="18"/>
        <v>16</v>
      </c>
      <c r="L58" s="20">
        <f t="shared" si="18"/>
        <v>224</v>
      </c>
      <c r="M58" s="20">
        <f t="shared" si="18"/>
        <v>0</v>
      </c>
      <c r="N58" s="20">
        <f t="shared" si="18"/>
        <v>151</v>
      </c>
      <c r="O58" s="20">
        <f t="shared" si="18"/>
        <v>37</v>
      </c>
      <c r="P58" s="20">
        <f t="shared" si="18"/>
        <v>0</v>
      </c>
      <c r="Q58" s="20">
        <f t="shared" si="18"/>
        <v>240</v>
      </c>
      <c r="R58" s="20">
        <f t="shared" si="18"/>
        <v>30</v>
      </c>
      <c r="S58" s="20">
        <f t="shared" si="18"/>
        <v>0</v>
      </c>
      <c r="T58" s="20">
        <f t="shared" si="18"/>
        <v>0</v>
      </c>
      <c r="U58" s="20">
        <f t="shared" si="18"/>
        <v>292</v>
      </c>
      <c r="V58" s="20">
        <f t="shared" si="18"/>
        <v>0</v>
      </c>
      <c r="W58" s="20">
        <f t="shared" si="18"/>
        <v>50</v>
      </c>
      <c r="X58" s="20">
        <f t="shared" si="18"/>
        <v>191</v>
      </c>
      <c r="Y58" s="20">
        <f t="shared" si="18"/>
        <v>0</v>
      </c>
      <c r="Z58" s="20">
        <f t="shared" si="18"/>
        <v>0</v>
      </c>
      <c r="AA58" s="20">
        <f t="shared" si="18"/>
        <v>211</v>
      </c>
      <c r="AB58" s="20">
        <f t="shared" si="18"/>
        <v>52</v>
      </c>
      <c r="AC58" s="20">
        <f t="shared" si="18"/>
        <v>4</v>
      </c>
      <c r="AD58" s="20">
        <f t="shared" si="18"/>
        <v>11</v>
      </c>
      <c r="AE58" s="20">
        <f t="shared" si="18"/>
        <v>75</v>
      </c>
      <c r="AF58" s="20">
        <f t="shared" si="18"/>
        <v>108</v>
      </c>
      <c r="AG58" s="20">
        <f t="shared" si="18"/>
        <v>128</v>
      </c>
      <c r="AH58" s="20">
        <f t="shared" si="18"/>
        <v>81</v>
      </c>
      <c r="AI58" s="20">
        <f t="shared" si="18"/>
        <v>48</v>
      </c>
      <c r="AJ58" s="21">
        <f t="shared" si="5"/>
        <v>2073</v>
      </c>
    </row>
    <row r="59" spans="1:38" ht="15" customHeight="1">
      <c r="A59" s="2">
        <v>8</v>
      </c>
      <c r="B59" s="2" t="s">
        <v>129</v>
      </c>
      <c r="C59" s="503" t="s">
        <v>118</v>
      </c>
      <c r="D59" s="501"/>
      <c r="E59" s="20">
        <f t="shared" ref="E59:AI59" si="19">E21-D21</f>
        <v>85</v>
      </c>
      <c r="F59" s="20">
        <f t="shared" si="19"/>
        <v>57</v>
      </c>
      <c r="G59" s="20">
        <f t="shared" si="19"/>
        <v>55</v>
      </c>
      <c r="H59" s="20">
        <f t="shared" si="19"/>
        <v>43</v>
      </c>
      <c r="I59" s="20">
        <f t="shared" si="19"/>
        <v>54</v>
      </c>
      <c r="J59" s="20">
        <f t="shared" si="19"/>
        <v>51</v>
      </c>
      <c r="K59" s="20">
        <f t="shared" si="19"/>
        <v>56</v>
      </c>
      <c r="L59" s="20">
        <f t="shared" si="19"/>
        <v>51</v>
      </c>
      <c r="M59" s="20">
        <f t="shared" si="19"/>
        <v>106</v>
      </c>
      <c r="N59" s="20">
        <f t="shared" si="19"/>
        <v>79</v>
      </c>
      <c r="O59" s="20">
        <f t="shared" si="19"/>
        <v>102</v>
      </c>
      <c r="P59" s="20">
        <f t="shared" si="19"/>
        <v>95</v>
      </c>
      <c r="Q59" s="20">
        <f t="shared" si="19"/>
        <v>77</v>
      </c>
      <c r="R59" s="20">
        <f t="shared" si="19"/>
        <v>65</v>
      </c>
      <c r="S59" s="20">
        <f t="shared" si="19"/>
        <v>66</v>
      </c>
      <c r="T59" s="20">
        <f t="shared" si="19"/>
        <v>71</v>
      </c>
      <c r="U59" s="20">
        <f t="shared" si="19"/>
        <v>40</v>
      </c>
      <c r="V59" s="20">
        <f t="shared" si="19"/>
        <v>85</v>
      </c>
      <c r="W59" s="20">
        <f t="shared" si="19"/>
        <v>91</v>
      </c>
      <c r="X59" s="20">
        <f t="shared" si="19"/>
        <v>74</v>
      </c>
      <c r="Y59" s="20">
        <f t="shared" si="19"/>
        <v>149</v>
      </c>
      <c r="Z59" s="20">
        <f t="shared" si="19"/>
        <v>147</v>
      </c>
      <c r="AA59" s="20">
        <f t="shared" si="19"/>
        <v>92</v>
      </c>
      <c r="AB59" s="20">
        <f t="shared" si="19"/>
        <v>153</v>
      </c>
      <c r="AC59" s="20">
        <f t="shared" si="19"/>
        <v>132</v>
      </c>
      <c r="AD59" s="20">
        <f t="shared" si="19"/>
        <v>135</v>
      </c>
      <c r="AE59" s="20">
        <f t="shared" si="19"/>
        <v>141</v>
      </c>
      <c r="AF59" s="20">
        <f t="shared" si="19"/>
        <v>151</v>
      </c>
      <c r="AG59" s="20">
        <f t="shared" si="19"/>
        <v>88</v>
      </c>
      <c r="AH59" s="20">
        <f t="shared" si="19"/>
        <v>105</v>
      </c>
      <c r="AI59" s="20">
        <f t="shared" si="19"/>
        <v>34</v>
      </c>
      <c r="AJ59" s="21">
        <f t="shared" si="5"/>
        <v>2730</v>
      </c>
    </row>
    <row r="60" spans="1:38" ht="18.5" customHeight="1">
      <c r="A60" s="2"/>
      <c r="B60" s="2"/>
      <c r="C60" s="502" t="s">
        <v>22</v>
      </c>
      <c r="D60" s="501"/>
      <c r="E60" s="20">
        <f>J22-D22</f>
        <v>8</v>
      </c>
      <c r="F60" s="20">
        <f>F22-J22</f>
        <v>-8</v>
      </c>
      <c r="G60" s="20">
        <f>G22-F22</f>
        <v>0</v>
      </c>
      <c r="H60" s="20">
        <f>H22-G22</f>
        <v>0</v>
      </c>
      <c r="I60" s="20">
        <f>I22-H22</f>
        <v>0</v>
      </c>
      <c r="J60" s="20" t="e">
        <f>#REF!-I22</f>
        <v>#REF!</v>
      </c>
      <c r="K60" s="20" t="e">
        <f>K22-#REF!</f>
        <v>#REF!</v>
      </c>
      <c r="L60" s="20">
        <f t="shared" ref="L60:AI60" si="20">L22-K22</f>
        <v>24</v>
      </c>
      <c r="M60" s="20">
        <f t="shared" si="20"/>
        <v>0</v>
      </c>
      <c r="N60" s="20">
        <f t="shared" si="20"/>
        <v>15</v>
      </c>
      <c r="O60" s="20">
        <f t="shared" si="20"/>
        <v>9</v>
      </c>
      <c r="P60" s="20">
        <f t="shared" si="20"/>
        <v>0</v>
      </c>
      <c r="Q60" s="20">
        <f t="shared" si="20"/>
        <v>31</v>
      </c>
      <c r="R60" s="20">
        <f t="shared" si="20"/>
        <v>3</v>
      </c>
      <c r="S60" s="20">
        <f t="shared" si="20"/>
        <v>0</v>
      </c>
      <c r="T60" s="20">
        <f t="shared" si="20"/>
        <v>0</v>
      </c>
      <c r="U60" s="20">
        <f t="shared" si="20"/>
        <v>41</v>
      </c>
      <c r="V60" s="20">
        <f t="shared" si="20"/>
        <v>0</v>
      </c>
      <c r="W60" s="20">
        <f t="shared" si="20"/>
        <v>9</v>
      </c>
      <c r="X60" s="20">
        <f t="shared" si="20"/>
        <v>26</v>
      </c>
      <c r="Y60" s="20">
        <f t="shared" si="20"/>
        <v>0</v>
      </c>
      <c r="Z60" s="20">
        <f t="shared" si="20"/>
        <v>0</v>
      </c>
      <c r="AA60" s="20">
        <f t="shared" si="20"/>
        <v>-9</v>
      </c>
      <c r="AB60" s="20">
        <f t="shared" si="20"/>
        <v>67</v>
      </c>
      <c r="AC60" s="20">
        <f t="shared" si="20"/>
        <v>0</v>
      </c>
      <c r="AD60" s="20">
        <f t="shared" si="20"/>
        <v>6</v>
      </c>
      <c r="AE60" s="20">
        <f t="shared" si="20"/>
        <v>22</v>
      </c>
      <c r="AF60" s="20">
        <f t="shared" si="20"/>
        <v>25</v>
      </c>
      <c r="AG60" s="20">
        <f t="shared" si="20"/>
        <v>21</v>
      </c>
      <c r="AH60" s="20">
        <f t="shared" si="20"/>
        <v>8</v>
      </c>
      <c r="AI60" s="20">
        <f t="shared" si="20"/>
        <v>5</v>
      </c>
      <c r="AJ60" s="21" t="e">
        <f t="shared" si="5"/>
        <v>#REF!</v>
      </c>
    </row>
    <row r="61" spans="1:38" ht="15" customHeight="1">
      <c r="A61" s="22"/>
      <c r="B61" s="22"/>
      <c r="C61" s="500" t="s">
        <v>130</v>
      </c>
      <c r="D61" s="501"/>
      <c r="E61" s="23">
        <f t="shared" ref="E61:AI61" si="21">SUM(E59,E57,E55,E53,E51,E49,E47,E45)</f>
        <v>2749</v>
      </c>
      <c r="F61" s="23">
        <f t="shared" si="21"/>
        <v>1872</v>
      </c>
      <c r="G61" s="23">
        <f t="shared" si="21"/>
        <v>1779</v>
      </c>
      <c r="H61" s="23">
        <f t="shared" si="21"/>
        <v>1376</v>
      </c>
      <c r="I61" s="23">
        <f t="shared" si="21"/>
        <v>1495</v>
      </c>
      <c r="J61" s="23">
        <f t="shared" si="21"/>
        <v>1486</v>
      </c>
      <c r="K61" s="23">
        <f t="shared" si="21"/>
        <v>1753</v>
      </c>
      <c r="L61" s="23">
        <f t="shared" si="21"/>
        <v>1373</v>
      </c>
      <c r="M61" s="23">
        <f t="shared" si="21"/>
        <v>1742</v>
      </c>
      <c r="N61" s="23">
        <f t="shared" si="21"/>
        <v>1446</v>
      </c>
      <c r="O61" s="23">
        <f t="shared" si="21"/>
        <v>1163</v>
      </c>
      <c r="P61" s="23">
        <f t="shared" si="21"/>
        <v>1748</v>
      </c>
      <c r="Q61" s="23">
        <f t="shared" si="21"/>
        <v>1227</v>
      </c>
      <c r="R61" s="23">
        <f t="shared" si="21"/>
        <v>1807</v>
      </c>
      <c r="S61" s="23">
        <f t="shared" si="21"/>
        <v>1881</v>
      </c>
      <c r="T61" s="23">
        <f t="shared" si="21"/>
        <v>1883</v>
      </c>
      <c r="U61" s="23">
        <f t="shared" si="21"/>
        <v>981</v>
      </c>
      <c r="V61" s="23">
        <f t="shared" si="21"/>
        <v>1474</v>
      </c>
      <c r="W61" s="23">
        <f t="shared" si="21"/>
        <v>1420</v>
      </c>
      <c r="X61" s="23">
        <f t="shared" si="21"/>
        <v>1316</v>
      </c>
      <c r="Y61" s="23">
        <f t="shared" si="21"/>
        <v>1991</v>
      </c>
      <c r="Z61" s="23">
        <f t="shared" si="21"/>
        <v>1770</v>
      </c>
      <c r="AA61" s="23">
        <f t="shared" si="21"/>
        <v>1379</v>
      </c>
      <c r="AB61" s="23">
        <f t="shared" si="21"/>
        <v>1780</v>
      </c>
      <c r="AC61" s="23">
        <f t="shared" si="21"/>
        <v>1400</v>
      </c>
      <c r="AD61" s="23">
        <f t="shared" si="21"/>
        <v>1138</v>
      </c>
      <c r="AE61" s="23">
        <f t="shared" si="21"/>
        <v>1756</v>
      </c>
      <c r="AF61" s="23">
        <f t="shared" si="21"/>
        <v>1729</v>
      </c>
      <c r="AG61" s="23">
        <f t="shared" si="21"/>
        <v>1549</v>
      </c>
      <c r="AH61" s="23">
        <f t="shared" si="21"/>
        <v>1762</v>
      </c>
      <c r="AI61" s="23">
        <f t="shared" si="21"/>
        <v>666</v>
      </c>
      <c r="AJ61" s="111">
        <f t="shared" si="5"/>
        <v>48891</v>
      </c>
      <c r="AK61" s="121" t="s">
        <v>20</v>
      </c>
      <c r="AL61" s="122">
        <f>AJ61</f>
        <v>48891</v>
      </c>
    </row>
    <row r="62" spans="1:38" ht="15" customHeight="1">
      <c r="A62" s="22"/>
      <c r="B62" s="22"/>
      <c r="C62" s="63" t="s">
        <v>131</v>
      </c>
      <c r="D62" s="65"/>
      <c r="E62" s="23">
        <f t="shared" ref="E62:AI62" si="22">SUM(E46,E48,E50,E52,E54,E56,E58,E60)</f>
        <v>8</v>
      </c>
      <c r="F62" s="23">
        <f t="shared" si="22"/>
        <v>-8</v>
      </c>
      <c r="G62" s="23">
        <f t="shared" si="22"/>
        <v>0</v>
      </c>
      <c r="H62" s="23">
        <f t="shared" si="22"/>
        <v>0</v>
      </c>
      <c r="I62" s="23">
        <f t="shared" si="22"/>
        <v>0</v>
      </c>
      <c r="J62" s="23" t="e">
        <f t="shared" si="22"/>
        <v>#REF!</v>
      </c>
      <c r="K62" s="23" t="e">
        <f t="shared" si="22"/>
        <v>#REF!</v>
      </c>
      <c r="L62" s="23">
        <f t="shared" si="22"/>
        <v>560</v>
      </c>
      <c r="M62" s="23">
        <f t="shared" si="22"/>
        <v>0</v>
      </c>
      <c r="N62" s="23">
        <f t="shared" si="22"/>
        <v>393</v>
      </c>
      <c r="O62" s="23">
        <f t="shared" si="22"/>
        <v>87</v>
      </c>
      <c r="P62" s="23">
        <f t="shared" si="22"/>
        <v>0</v>
      </c>
      <c r="Q62" s="23">
        <f t="shared" si="22"/>
        <v>634</v>
      </c>
      <c r="R62" s="23">
        <f t="shared" si="22"/>
        <v>90</v>
      </c>
      <c r="S62" s="23">
        <f t="shared" si="22"/>
        <v>0</v>
      </c>
      <c r="T62" s="23">
        <f t="shared" si="22"/>
        <v>0</v>
      </c>
      <c r="U62" s="23">
        <f t="shared" si="22"/>
        <v>773</v>
      </c>
      <c r="V62" s="23">
        <f t="shared" si="22"/>
        <v>0</v>
      </c>
      <c r="W62" s="23">
        <f t="shared" si="22"/>
        <v>138</v>
      </c>
      <c r="X62" s="23">
        <f t="shared" si="22"/>
        <v>534</v>
      </c>
      <c r="Y62" s="23">
        <f t="shared" si="22"/>
        <v>0</v>
      </c>
      <c r="Z62" s="23">
        <f t="shared" si="22"/>
        <v>0</v>
      </c>
      <c r="AA62" s="23">
        <f t="shared" si="22"/>
        <v>899</v>
      </c>
      <c r="AB62" s="23">
        <f t="shared" si="22"/>
        <v>-208</v>
      </c>
      <c r="AC62" s="23">
        <f t="shared" si="22"/>
        <v>9</v>
      </c>
      <c r="AD62" s="23">
        <f t="shared" si="22"/>
        <v>43</v>
      </c>
      <c r="AE62" s="23">
        <f t="shared" si="22"/>
        <v>215</v>
      </c>
      <c r="AF62" s="23">
        <f t="shared" si="22"/>
        <v>308</v>
      </c>
      <c r="AG62" s="23">
        <f t="shared" si="22"/>
        <v>362</v>
      </c>
      <c r="AH62" s="23">
        <f t="shared" si="22"/>
        <v>210</v>
      </c>
      <c r="AI62" s="23">
        <f t="shared" si="22"/>
        <v>126</v>
      </c>
      <c r="AJ62" s="111" t="e">
        <f t="shared" si="5"/>
        <v>#REF!</v>
      </c>
      <c r="AK62" s="123" t="s">
        <v>21</v>
      </c>
      <c r="AL62" s="122">
        <f>AJ74</f>
        <v>6894</v>
      </c>
    </row>
    <row r="63" spans="1:38">
      <c r="A63" s="25"/>
      <c r="B63" s="25"/>
      <c r="C63" s="524" t="s">
        <v>132</v>
      </c>
      <c r="D63" s="501"/>
      <c r="E63" s="26">
        <f>E61</f>
        <v>2749</v>
      </c>
      <c r="F63" s="26">
        <f t="shared" ref="F63:AI63" si="23">E63+F61</f>
        <v>4621</v>
      </c>
      <c r="G63" s="26">
        <f t="shared" si="23"/>
        <v>6400</v>
      </c>
      <c r="H63" s="26">
        <f t="shared" si="23"/>
        <v>7776</v>
      </c>
      <c r="I63" s="26">
        <f t="shared" si="23"/>
        <v>9271</v>
      </c>
      <c r="J63" s="26">
        <f t="shared" si="23"/>
        <v>10757</v>
      </c>
      <c r="K63" s="26">
        <f t="shared" si="23"/>
        <v>12510</v>
      </c>
      <c r="L63" s="26">
        <f t="shared" si="23"/>
        <v>13883</v>
      </c>
      <c r="M63" s="26">
        <f t="shared" si="23"/>
        <v>15625</v>
      </c>
      <c r="N63" s="26">
        <f t="shared" si="23"/>
        <v>17071</v>
      </c>
      <c r="O63" s="26">
        <f t="shared" si="23"/>
        <v>18234</v>
      </c>
      <c r="P63" s="26">
        <f t="shared" si="23"/>
        <v>19982</v>
      </c>
      <c r="Q63" s="26">
        <f t="shared" si="23"/>
        <v>21209</v>
      </c>
      <c r="R63" s="26">
        <f t="shared" si="23"/>
        <v>23016</v>
      </c>
      <c r="S63" s="26">
        <f t="shared" si="23"/>
        <v>24897</v>
      </c>
      <c r="T63" s="26">
        <f t="shared" si="23"/>
        <v>26780</v>
      </c>
      <c r="U63" s="26">
        <f t="shared" si="23"/>
        <v>27761</v>
      </c>
      <c r="V63" s="26">
        <f t="shared" si="23"/>
        <v>29235</v>
      </c>
      <c r="W63" s="26">
        <f t="shared" si="23"/>
        <v>30655</v>
      </c>
      <c r="X63" s="26">
        <f t="shared" si="23"/>
        <v>31971</v>
      </c>
      <c r="Y63" s="26">
        <f t="shared" si="23"/>
        <v>33962</v>
      </c>
      <c r="Z63" s="26">
        <f t="shared" si="23"/>
        <v>35732</v>
      </c>
      <c r="AA63" s="26">
        <f t="shared" si="23"/>
        <v>37111</v>
      </c>
      <c r="AB63" s="26">
        <f t="shared" si="23"/>
        <v>38891</v>
      </c>
      <c r="AC63" s="26">
        <f t="shared" si="23"/>
        <v>40291</v>
      </c>
      <c r="AD63" s="26">
        <f t="shared" si="23"/>
        <v>41429</v>
      </c>
      <c r="AE63" s="26">
        <f t="shared" si="23"/>
        <v>43185</v>
      </c>
      <c r="AF63" s="26">
        <f t="shared" si="23"/>
        <v>44914</v>
      </c>
      <c r="AG63" s="26">
        <f t="shared" si="23"/>
        <v>46463</v>
      </c>
      <c r="AH63" s="26">
        <f t="shared" si="23"/>
        <v>48225</v>
      </c>
      <c r="AI63" s="26">
        <f t="shared" si="23"/>
        <v>48891</v>
      </c>
      <c r="AJ63" s="119">
        <f>AG63+AJ61</f>
        <v>95354</v>
      </c>
      <c r="AK63" s="123" t="s">
        <v>23</v>
      </c>
      <c r="AL63" s="124">
        <f>AJ80*40%</f>
        <v>39970.324000000001</v>
      </c>
    </row>
    <row r="64" spans="1:38">
      <c r="A64" s="17"/>
      <c r="B64" s="27"/>
      <c r="C64" s="2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20"/>
      <c r="AK64" s="123" t="s">
        <v>22</v>
      </c>
      <c r="AL64" s="122" t="e">
        <f>AJ62+AJ75</f>
        <v>#REF!</v>
      </c>
    </row>
    <row r="65" spans="1:40" ht="15" customHeight="1">
      <c r="A65" s="28" t="s">
        <v>133</v>
      </c>
      <c r="B65" s="28" t="s">
        <v>100</v>
      </c>
      <c r="C65" s="523" t="s">
        <v>101</v>
      </c>
      <c r="D65" s="50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9"/>
      <c r="AN65" s="66"/>
    </row>
    <row r="66" spans="1:40">
      <c r="A66" s="2">
        <v>1</v>
      </c>
      <c r="B66" s="2" t="s">
        <v>129</v>
      </c>
      <c r="C66" s="506" t="s">
        <v>119</v>
      </c>
      <c r="D66" s="501"/>
      <c r="E66" s="30">
        <f t="shared" ref="E66:AI66" si="24">E24-D24</f>
        <v>102</v>
      </c>
      <c r="F66" s="30">
        <f t="shared" si="24"/>
        <v>69</v>
      </c>
      <c r="G66" s="30">
        <f t="shared" si="24"/>
        <v>67</v>
      </c>
      <c r="H66" s="30">
        <f t="shared" si="24"/>
        <v>27</v>
      </c>
      <c r="I66" s="30">
        <f t="shared" si="24"/>
        <v>0</v>
      </c>
      <c r="J66" s="30">
        <f t="shared" si="24"/>
        <v>54</v>
      </c>
      <c r="K66" s="30">
        <f t="shared" si="24"/>
        <v>63</v>
      </c>
      <c r="L66" s="30">
        <f t="shared" si="24"/>
        <v>36</v>
      </c>
      <c r="M66" s="30">
        <f t="shared" si="24"/>
        <v>69</v>
      </c>
      <c r="N66" s="30">
        <f t="shared" si="24"/>
        <v>27</v>
      </c>
      <c r="O66" s="30">
        <f t="shared" si="24"/>
        <v>41</v>
      </c>
      <c r="P66" s="30">
        <f t="shared" si="24"/>
        <v>0</v>
      </c>
      <c r="Q66" s="30">
        <f t="shared" si="24"/>
        <v>46</v>
      </c>
      <c r="R66" s="30">
        <f t="shared" si="24"/>
        <v>99</v>
      </c>
      <c r="S66" s="30">
        <f t="shared" si="24"/>
        <v>103</v>
      </c>
      <c r="T66" s="30">
        <f t="shared" si="24"/>
        <v>95</v>
      </c>
      <c r="U66" s="30">
        <f t="shared" si="24"/>
        <v>20</v>
      </c>
      <c r="V66" s="30">
        <f t="shared" si="24"/>
        <v>58</v>
      </c>
      <c r="W66" s="30">
        <f t="shared" si="24"/>
        <v>0</v>
      </c>
      <c r="X66" s="30">
        <f t="shared" si="24"/>
        <v>75</v>
      </c>
      <c r="Y66" s="30">
        <f t="shared" si="24"/>
        <v>94</v>
      </c>
      <c r="Z66" s="30">
        <f t="shared" si="24"/>
        <v>86</v>
      </c>
      <c r="AA66" s="30">
        <f t="shared" si="24"/>
        <v>46</v>
      </c>
      <c r="AB66" s="30">
        <f t="shared" si="24"/>
        <v>79</v>
      </c>
      <c r="AC66" s="30">
        <f t="shared" si="24"/>
        <v>0</v>
      </c>
      <c r="AD66" s="30">
        <f t="shared" si="24"/>
        <v>0</v>
      </c>
      <c r="AE66" s="30">
        <f t="shared" si="24"/>
        <v>104</v>
      </c>
      <c r="AF66" s="30">
        <f t="shared" si="24"/>
        <v>86</v>
      </c>
      <c r="AG66" s="30">
        <f t="shared" si="24"/>
        <v>72</v>
      </c>
      <c r="AH66" s="30">
        <f t="shared" si="24"/>
        <v>98</v>
      </c>
      <c r="AI66" s="30">
        <f t="shared" si="24"/>
        <v>30</v>
      </c>
      <c r="AJ66" s="30">
        <f t="shared" ref="AJ66:AJ79" si="25">SUM(E66:AI66)</f>
        <v>1746</v>
      </c>
    </row>
    <row r="67" spans="1:40" ht="18.5" customHeight="1">
      <c r="A67" s="2"/>
      <c r="B67" s="2"/>
      <c r="C67" s="505" t="s">
        <v>22</v>
      </c>
      <c r="D67" s="501"/>
      <c r="E67" s="30">
        <f t="shared" ref="E67:AI67" si="26">E25-D25</f>
        <v>0</v>
      </c>
      <c r="F67" s="30">
        <f t="shared" si="26"/>
        <v>0</v>
      </c>
      <c r="G67" s="30">
        <f t="shared" si="26"/>
        <v>0</v>
      </c>
      <c r="H67" s="30">
        <f t="shared" si="26"/>
        <v>0</v>
      </c>
      <c r="I67" s="30">
        <f t="shared" si="26"/>
        <v>0</v>
      </c>
      <c r="J67" s="30">
        <f t="shared" si="26"/>
        <v>11</v>
      </c>
      <c r="K67" s="30">
        <f t="shared" si="26"/>
        <v>5</v>
      </c>
      <c r="L67" s="30">
        <f t="shared" si="26"/>
        <v>29</v>
      </c>
      <c r="M67" s="30">
        <f t="shared" si="26"/>
        <v>0</v>
      </c>
      <c r="N67" s="30">
        <f t="shared" si="26"/>
        <v>18</v>
      </c>
      <c r="O67" s="30">
        <f t="shared" si="26"/>
        <v>2</v>
      </c>
      <c r="P67" s="30">
        <f t="shared" si="26"/>
        <v>0</v>
      </c>
      <c r="Q67" s="30">
        <f t="shared" si="26"/>
        <v>50</v>
      </c>
      <c r="R67" s="30">
        <f t="shared" si="26"/>
        <v>6</v>
      </c>
      <c r="S67" s="30">
        <f t="shared" si="26"/>
        <v>0</v>
      </c>
      <c r="T67" s="30">
        <f t="shared" si="26"/>
        <v>0</v>
      </c>
      <c r="U67" s="30">
        <f t="shared" si="26"/>
        <v>58</v>
      </c>
      <c r="V67" s="30">
        <f t="shared" si="26"/>
        <v>0</v>
      </c>
      <c r="W67" s="30">
        <f t="shared" si="26"/>
        <v>0</v>
      </c>
      <c r="X67" s="30">
        <f t="shared" si="26"/>
        <v>35</v>
      </c>
      <c r="Y67" s="30">
        <f t="shared" si="26"/>
        <v>0</v>
      </c>
      <c r="Z67" s="30">
        <f t="shared" si="26"/>
        <v>0</v>
      </c>
      <c r="AA67" s="30">
        <f t="shared" si="26"/>
        <v>45</v>
      </c>
      <c r="AB67" s="30">
        <f t="shared" si="26"/>
        <v>11</v>
      </c>
      <c r="AC67" s="30">
        <f t="shared" si="26"/>
        <v>0</v>
      </c>
      <c r="AD67" s="30">
        <f t="shared" si="26"/>
        <v>0</v>
      </c>
      <c r="AE67" s="30">
        <f t="shared" si="26"/>
        <v>18</v>
      </c>
      <c r="AF67" s="30">
        <f t="shared" si="26"/>
        <v>24</v>
      </c>
      <c r="AG67" s="30">
        <f t="shared" si="26"/>
        <v>28</v>
      </c>
      <c r="AH67" s="30">
        <f t="shared" si="26"/>
        <v>19</v>
      </c>
      <c r="AI67" s="30">
        <f t="shared" si="26"/>
        <v>12</v>
      </c>
      <c r="AJ67" s="30">
        <f t="shared" si="25"/>
        <v>371</v>
      </c>
    </row>
    <row r="68" spans="1:40">
      <c r="A68" s="2">
        <v>2</v>
      </c>
      <c r="B68" s="2" t="s">
        <v>129</v>
      </c>
      <c r="C68" s="506" t="s">
        <v>120</v>
      </c>
      <c r="D68" s="501"/>
      <c r="E68" s="30">
        <f t="shared" ref="E68:AI68" si="27">E26-D26</f>
        <v>94</v>
      </c>
      <c r="F68" s="30">
        <f t="shared" si="27"/>
        <v>79</v>
      </c>
      <c r="G68" s="30">
        <f t="shared" si="27"/>
        <v>66</v>
      </c>
      <c r="H68" s="30">
        <f t="shared" si="27"/>
        <v>25</v>
      </c>
      <c r="I68" s="30">
        <f t="shared" si="27"/>
        <v>0</v>
      </c>
      <c r="J68" s="30">
        <f t="shared" si="27"/>
        <v>53</v>
      </c>
      <c r="K68" s="30">
        <f t="shared" si="27"/>
        <v>63</v>
      </c>
      <c r="L68" s="30">
        <f t="shared" si="27"/>
        <v>36</v>
      </c>
      <c r="M68" s="30">
        <f t="shared" si="27"/>
        <v>69</v>
      </c>
      <c r="N68" s="30">
        <f t="shared" si="27"/>
        <v>34</v>
      </c>
      <c r="O68" s="30">
        <f t="shared" si="27"/>
        <v>32</v>
      </c>
      <c r="P68" s="30">
        <f t="shared" si="27"/>
        <v>0</v>
      </c>
      <c r="Q68" s="30">
        <f t="shared" si="27"/>
        <v>49</v>
      </c>
      <c r="R68" s="30">
        <f t="shared" si="27"/>
        <v>92</v>
      </c>
      <c r="S68" s="30">
        <f t="shared" si="27"/>
        <v>94</v>
      </c>
      <c r="T68" s="30">
        <f t="shared" si="27"/>
        <v>86</v>
      </c>
      <c r="U68" s="30">
        <f t="shared" si="27"/>
        <v>33</v>
      </c>
      <c r="V68" s="30">
        <f t="shared" si="27"/>
        <v>43</v>
      </c>
      <c r="W68" s="30">
        <f t="shared" si="27"/>
        <v>0</v>
      </c>
      <c r="X68" s="30">
        <f t="shared" si="27"/>
        <v>79</v>
      </c>
      <c r="Y68" s="30">
        <f t="shared" si="27"/>
        <v>85</v>
      </c>
      <c r="Z68" s="30">
        <f t="shared" si="27"/>
        <v>85</v>
      </c>
      <c r="AA68" s="30">
        <f t="shared" si="27"/>
        <v>46</v>
      </c>
      <c r="AB68" s="30">
        <f t="shared" si="27"/>
        <v>76</v>
      </c>
      <c r="AC68" s="30">
        <f t="shared" si="27"/>
        <v>0</v>
      </c>
      <c r="AD68" s="30">
        <f t="shared" si="27"/>
        <v>0</v>
      </c>
      <c r="AE68" s="30">
        <f t="shared" si="27"/>
        <v>99</v>
      </c>
      <c r="AF68" s="30">
        <f t="shared" si="27"/>
        <v>90</v>
      </c>
      <c r="AG68" s="30">
        <f t="shared" si="27"/>
        <v>76</v>
      </c>
      <c r="AH68" s="30">
        <f t="shared" si="27"/>
        <v>98</v>
      </c>
      <c r="AI68" s="30">
        <f t="shared" si="27"/>
        <v>28</v>
      </c>
      <c r="AJ68" s="30">
        <f t="shared" si="25"/>
        <v>1710</v>
      </c>
    </row>
    <row r="69" spans="1:40" ht="18.5" customHeight="1">
      <c r="A69" s="2"/>
      <c r="B69" s="2"/>
      <c r="C69" s="505" t="s">
        <v>22</v>
      </c>
      <c r="D69" s="501"/>
      <c r="E69" s="30">
        <f t="shared" ref="E69:AI69" si="28">E27-D27</f>
        <v>0</v>
      </c>
      <c r="F69" s="30">
        <f t="shared" si="28"/>
        <v>0</v>
      </c>
      <c r="G69" s="30">
        <f t="shared" si="28"/>
        <v>0</v>
      </c>
      <c r="H69" s="30">
        <f t="shared" si="28"/>
        <v>0</v>
      </c>
      <c r="I69" s="30">
        <f t="shared" si="28"/>
        <v>0</v>
      </c>
      <c r="J69" s="30">
        <f t="shared" si="28"/>
        <v>12</v>
      </c>
      <c r="K69" s="30">
        <f t="shared" si="28"/>
        <v>5</v>
      </c>
      <c r="L69" s="30">
        <f t="shared" si="28"/>
        <v>28</v>
      </c>
      <c r="M69" s="30">
        <f t="shared" si="28"/>
        <v>0</v>
      </c>
      <c r="N69" s="30">
        <f t="shared" si="28"/>
        <v>16</v>
      </c>
      <c r="O69" s="30">
        <f t="shared" si="28"/>
        <v>2</v>
      </c>
      <c r="P69" s="30">
        <f t="shared" si="28"/>
        <v>0</v>
      </c>
      <c r="Q69" s="30">
        <f t="shared" si="28"/>
        <v>60</v>
      </c>
      <c r="R69" s="30">
        <f t="shared" si="28"/>
        <v>4</v>
      </c>
      <c r="S69" s="30">
        <f t="shared" si="28"/>
        <v>0</v>
      </c>
      <c r="T69" s="30">
        <f t="shared" si="28"/>
        <v>0</v>
      </c>
      <c r="U69" s="30">
        <f t="shared" si="28"/>
        <v>48</v>
      </c>
      <c r="V69" s="30">
        <f t="shared" si="28"/>
        <v>0</v>
      </c>
      <c r="W69" s="30">
        <f t="shared" si="28"/>
        <v>0</v>
      </c>
      <c r="X69" s="30">
        <f t="shared" si="28"/>
        <v>33</v>
      </c>
      <c r="Y69" s="30">
        <f t="shared" si="28"/>
        <v>0</v>
      </c>
      <c r="Z69" s="30">
        <f t="shared" si="28"/>
        <v>0</v>
      </c>
      <c r="AA69" s="30">
        <f t="shared" si="28"/>
        <v>35</v>
      </c>
      <c r="AB69" s="30">
        <f t="shared" si="28"/>
        <v>10</v>
      </c>
      <c r="AC69" s="30">
        <f t="shared" si="28"/>
        <v>0</v>
      </c>
      <c r="AD69" s="30">
        <f t="shared" si="28"/>
        <v>0</v>
      </c>
      <c r="AE69" s="30">
        <f t="shared" si="28"/>
        <v>16</v>
      </c>
      <c r="AF69" s="30">
        <f t="shared" si="28"/>
        <v>25</v>
      </c>
      <c r="AG69" s="30">
        <f t="shared" si="28"/>
        <v>29</v>
      </c>
      <c r="AH69" s="30">
        <f t="shared" si="28"/>
        <v>27</v>
      </c>
      <c r="AI69" s="30">
        <f t="shared" si="28"/>
        <v>13</v>
      </c>
      <c r="AJ69" s="30">
        <f t="shared" si="25"/>
        <v>363</v>
      </c>
    </row>
    <row r="70" spans="1:40">
      <c r="A70" s="2">
        <v>3</v>
      </c>
      <c r="B70" s="2" t="s">
        <v>129</v>
      </c>
      <c r="C70" s="506" t="s">
        <v>121</v>
      </c>
      <c r="D70" s="501"/>
      <c r="E70" s="30">
        <f t="shared" ref="E70:AI70" si="29">E28-D28</f>
        <v>106</v>
      </c>
      <c r="F70" s="30">
        <f t="shared" si="29"/>
        <v>94</v>
      </c>
      <c r="G70" s="30">
        <f t="shared" si="29"/>
        <v>94</v>
      </c>
      <c r="H70" s="30">
        <f t="shared" si="29"/>
        <v>37</v>
      </c>
      <c r="I70" s="30">
        <f t="shared" si="29"/>
        <v>0</v>
      </c>
      <c r="J70" s="30">
        <f t="shared" si="29"/>
        <v>62</v>
      </c>
      <c r="K70" s="30">
        <f t="shared" si="29"/>
        <v>60</v>
      </c>
      <c r="L70" s="30">
        <f t="shared" si="29"/>
        <v>35</v>
      </c>
      <c r="M70" s="30">
        <f t="shared" si="29"/>
        <v>69</v>
      </c>
      <c r="N70" s="30">
        <f t="shared" si="29"/>
        <v>23</v>
      </c>
      <c r="O70" s="30">
        <f t="shared" si="29"/>
        <v>40</v>
      </c>
      <c r="P70" s="30">
        <f t="shared" si="29"/>
        <v>0</v>
      </c>
      <c r="Q70" s="30">
        <f t="shared" si="29"/>
        <v>51</v>
      </c>
      <c r="R70" s="30">
        <f t="shared" si="29"/>
        <v>101</v>
      </c>
      <c r="S70" s="30">
        <f t="shared" si="29"/>
        <v>99</v>
      </c>
      <c r="T70" s="30">
        <f t="shared" si="29"/>
        <v>103</v>
      </c>
      <c r="U70" s="30">
        <f t="shared" si="29"/>
        <v>22</v>
      </c>
      <c r="V70" s="30">
        <f t="shared" si="29"/>
        <v>38</v>
      </c>
      <c r="W70" s="30">
        <f t="shared" si="29"/>
        <v>0</v>
      </c>
      <c r="X70" s="30">
        <f t="shared" si="29"/>
        <v>64</v>
      </c>
      <c r="Y70" s="30">
        <f t="shared" si="29"/>
        <v>100</v>
      </c>
      <c r="Z70" s="30">
        <f t="shared" si="29"/>
        <v>104</v>
      </c>
      <c r="AA70" s="30">
        <f t="shared" si="29"/>
        <v>42</v>
      </c>
      <c r="AB70" s="30">
        <f t="shared" si="29"/>
        <v>89</v>
      </c>
      <c r="AC70" s="30">
        <f t="shared" si="29"/>
        <v>0</v>
      </c>
      <c r="AD70" s="30">
        <f t="shared" si="29"/>
        <v>0</v>
      </c>
      <c r="AE70" s="30">
        <f t="shared" si="29"/>
        <v>99</v>
      </c>
      <c r="AF70" s="30">
        <f t="shared" si="29"/>
        <v>87</v>
      </c>
      <c r="AG70" s="30">
        <f t="shared" si="29"/>
        <v>75</v>
      </c>
      <c r="AH70" s="30">
        <f t="shared" si="29"/>
        <v>102</v>
      </c>
      <c r="AI70" s="30">
        <f t="shared" si="29"/>
        <v>19</v>
      </c>
      <c r="AJ70" s="30">
        <f t="shared" si="25"/>
        <v>1815</v>
      </c>
    </row>
    <row r="71" spans="1:40" ht="18.5" customHeight="1">
      <c r="A71" s="2"/>
      <c r="B71" s="2"/>
      <c r="C71" s="505" t="s">
        <v>22</v>
      </c>
      <c r="D71" s="501"/>
      <c r="E71" s="30">
        <f t="shared" ref="E71:AI71" si="30">E29-D29</f>
        <v>0</v>
      </c>
      <c r="F71" s="30">
        <f t="shared" si="30"/>
        <v>0</v>
      </c>
      <c r="G71" s="30">
        <f t="shared" si="30"/>
        <v>0</v>
      </c>
      <c r="H71" s="30">
        <f t="shared" si="30"/>
        <v>0</v>
      </c>
      <c r="I71" s="30">
        <f t="shared" si="30"/>
        <v>0</v>
      </c>
      <c r="J71" s="30">
        <f t="shared" si="30"/>
        <v>12</v>
      </c>
      <c r="K71" s="30">
        <f t="shared" si="30"/>
        <v>4</v>
      </c>
      <c r="L71" s="30">
        <f t="shared" si="30"/>
        <v>27</v>
      </c>
      <c r="M71" s="30">
        <f t="shared" si="30"/>
        <v>0</v>
      </c>
      <c r="N71" s="30">
        <f t="shared" si="30"/>
        <v>15</v>
      </c>
      <c r="O71" s="30">
        <f t="shared" si="30"/>
        <v>1</v>
      </c>
      <c r="P71" s="30">
        <f t="shared" si="30"/>
        <v>0</v>
      </c>
      <c r="Q71" s="30">
        <f t="shared" si="30"/>
        <v>59</v>
      </c>
      <c r="R71" s="30">
        <f t="shared" si="30"/>
        <v>6</v>
      </c>
      <c r="S71" s="30">
        <f t="shared" si="30"/>
        <v>0</v>
      </c>
      <c r="T71" s="30">
        <f t="shared" si="30"/>
        <v>0</v>
      </c>
      <c r="U71" s="30">
        <f t="shared" si="30"/>
        <v>60</v>
      </c>
      <c r="V71" s="30">
        <f t="shared" si="30"/>
        <v>0</v>
      </c>
      <c r="W71" s="30">
        <f t="shared" si="30"/>
        <v>0</v>
      </c>
      <c r="X71" s="30">
        <f t="shared" si="30"/>
        <v>32</v>
      </c>
      <c r="Y71" s="30">
        <f t="shared" si="30"/>
        <v>0</v>
      </c>
      <c r="Z71" s="30">
        <f t="shared" si="30"/>
        <v>0</v>
      </c>
      <c r="AA71" s="30">
        <f t="shared" si="30"/>
        <v>39</v>
      </c>
      <c r="AB71" s="30">
        <f t="shared" si="30"/>
        <v>12</v>
      </c>
      <c r="AC71" s="30">
        <f t="shared" si="30"/>
        <v>0</v>
      </c>
      <c r="AD71" s="30">
        <f t="shared" si="30"/>
        <v>0</v>
      </c>
      <c r="AE71" s="30">
        <f t="shared" si="30"/>
        <v>18</v>
      </c>
      <c r="AF71" s="30">
        <f t="shared" si="30"/>
        <v>25</v>
      </c>
      <c r="AG71" s="30">
        <f t="shared" si="30"/>
        <v>31</v>
      </c>
      <c r="AH71" s="30">
        <f t="shared" si="30"/>
        <v>20</v>
      </c>
      <c r="AI71" s="30">
        <f t="shared" si="30"/>
        <v>12</v>
      </c>
      <c r="AJ71" s="30">
        <f t="shared" si="25"/>
        <v>373</v>
      </c>
    </row>
    <row r="72" spans="1:40">
      <c r="A72" s="2">
        <v>4</v>
      </c>
      <c r="B72" s="2" t="s">
        <v>129</v>
      </c>
      <c r="C72" s="506" t="s">
        <v>122</v>
      </c>
      <c r="D72" s="501"/>
      <c r="E72" s="30">
        <f t="shared" ref="E72:AI72" si="31">E30-D30</f>
        <v>125</v>
      </c>
      <c r="F72" s="30">
        <f t="shared" si="31"/>
        <v>83</v>
      </c>
      <c r="G72" s="30">
        <f t="shared" si="31"/>
        <v>81</v>
      </c>
      <c r="H72" s="30">
        <f t="shared" si="31"/>
        <v>31</v>
      </c>
      <c r="I72" s="30">
        <f t="shared" si="31"/>
        <v>0</v>
      </c>
      <c r="J72" s="30">
        <f t="shared" si="31"/>
        <v>68</v>
      </c>
      <c r="K72" s="30">
        <f t="shared" si="31"/>
        <v>72</v>
      </c>
      <c r="L72" s="30">
        <f t="shared" si="31"/>
        <v>42</v>
      </c>
      <c r="M72" s="30">
        <f t="shared" si="31"/>
        <v>85</v>
      </c>
      <c r="N72" s="30">
        <f t="shared" si="31"/>
        <v>38</v>
      </c>
      <c r="O72" s="30">
        <f t="shared" si="31"/>
        <v>37</v>
      </c>
      <c r="P72" s="30">
        <f t="shared" si="31"/>
        <v>0</v>
      </c>
      <c r="Q72" s="30">
        <f t="shared" si="31"/>
        <v>38</v>
      </c>
      <c r="R72" s="30">
        <f t="shared" si="31"/>
        <v>55</v>
      </c>
      <c r="S72" s="30">
        <f t="shared" si="31"/>
        <v>70</v>
      </c>
      <c r="T72" s="30">
        <f t="shared" si="31"/>
        <v>81</v>
      </c>
      <c r="U72" s="30">
        <f t="shared" si="31"/>
        <v>29</v>
      </c>
      <c r="V72" s="30">
        <f t="shared" si="31"/>
        <v>45</v>
      </c>
      <c r="W72" s="30">
        <f t="shared" si="31"/>
        <v>0</v>
      </c>
      <c r="X72" s="30">
        <f t="shared" si="31"/>
        <v>60</v>
      </c>
      <c r="Y72" s="30">
        <f t="shared" si="31"/>
        <v>82</v>
      </c>
      <c r="Z72" s="30">
        <f t="shared" si="31"/>
        <v>84</v>
      </c>
      <c r="AA72" s="30">
        <f t="shared" si="31"/>
        <v>42</v>
      </c>
      <c r="AB72" s="30">
        <f t="shared" si="31"/>
        <v>58</v>
      </c>
      <c r="AC72" s="30">
        <f t="shared" si="31"/>
        <v>0</v>
      </c>
      <c r="AD72" s="30">
        <f t="shared" si="31"/>
        <v>1</v>
      </c>
      <c r="AE72" s="30">
        <f t="shared" si="31"/>
        <v>80</v>
      </c>
      <c r="AF72" s="30">
        <f t="shared" si="31"/>
        <v>74</v>
      </c>
      <c r="AG72" s="30">
        <f t="shared" si="31"/>
        <v>56</v>
      </c>
      <c r="AH72" s="30">
        <f t="shared" si="31"/>
        <v>80</v>
      </c>
      <c r="AI72" s="30">
        <f t="shared" si="31"/>
        <v>26</v>
      </c>
      <c r="AJ72" s="30">
        <f t="shared" si="25"/>
        <v>1623</v>
      </c>
    </row>
    <row r="73" spans="1:40" ht="18.5" customHeight="1">
      <c r="A73" s="2"/>
      <c r="B73" s="2"/>
      <c r="C73" s="505" t="s">
        <v>22</v>
      </c>
      <c r="D73" s="501"/>
      <c r="E73" s="30">
        <f t="shared" ref="E73:AI73" si="32">E31-D31</f>
        <v>0</v>
      </c>
      <c r="F73" s="30">
        <f t="shared" si="32"/>
        <v>0</v>
      </c>
      <c r="G73" s="30">
        <f t="shared" si="32"/>
        <v>0</v>
      </c>
      <c r="H73" s="30">
        <f t="shared" si="32"/>
        <v>0</v>
      </c>
      <c r="I73" s="30">
        <f t="shared" si="32"/>
        <v>0</v>
      </c>
      <c r="J73" s="30">
        <f t="shared" si="32"/>
        <v>13</v>
      </c>
      <c r="K73" s="30">
        <f t="shared" si="32"/>
        <v>6</v>
      </c>
      <c r="L73" s="30">
        <f t="shared" si="32"/>
        <v>33</v>
      </c>
      <c r="M73" s="30">
        <f t="shared" si="32"/>
        <v>0</v>
      </c>
      <c r="N73" s="30">
        <f t="shared" si="32"/>
        <v>18</v>
      </c>
      <c r="O73" s="30">
        <f t="shared" si="32"/>
        <v>2</v>
      </c>
      <c r="P73" s="30">
        <f t="shared" si="32"/>
        <v>0</v>
      </c>
      <c r="Q73" s="30">
        <f t="shared" si="32"/>
        <v>38</v>
      </c>
      <c r="R73" s="30">
        <f t="shared" si="32"/>
        <v>3</v>
      </c>
      <c r="S73" s="30">
        <f t="shared" si="32"/>
        <v>0</v>
      </c>
      <c r="T73" s="30">
        <f t="shared" si="32"/>
        <v>0</v>
      </c>
      <c r="U73" s="30">
        <f t="shared" si="32"/>
        <v>50</v>
      </c>
      <c r="V73" s="30">
        <f t="shared" si="32"/>
        <v>0</v>
      </c>
      <c r="W73" s="30">
        <f t="shared" si="32"/>
        <v>0</v>
      </c>
      <c r="X73" s="30">
        <f t="shared" si="32"/>
        <v>30</v>
      </c>
      <c r="Y73" s="30">
        <f t="shared" si="32"/>
        <v>0</v>
      </c>
      <c r="Z73" s="30">
        <f t="shared" si="32"/>
        <v>0</v>
      </c>
      <c r="AA73" s="30">
        <f t="shared" si="32"/>
        <v>38</v>
      </c>
      <c r="AB73" s="30">
        <f t="shared" si="32"/>
        <v>5</v>
      </c>
      <c r="AC73" s="30">
        <f t="shared" si="32"/>
        <v>0</v>
      </c>
      <c r="AD73" s="30">
        <f t="shared" si="32"/>
        <v>0</v>
      </c>
      <c r="AE73" s="30">
        <f t="shared" si="32"/>
        <v>15</v>
      </c>
      <c r="AF73" s="30">
        <f t="shared" si="32"/>
        <v>22</v>
      </c>
      <c r="AG73" s="30">
        <f t="shared" si="32"/>
        <v>24</v>
      </c>
      <c r="AH73" s="30">
        <f t="shared" si="32"/>
        <v>17</v>
      </c>
      <c r="AI73" s="30">
        <f t="shared" si="32"/>
        <v>10</v>
      </c>
      <c r="AJ73" s="30">
        <f t="shared" si="25"/>
        <v>324</v>
      </c>
    </row>
    <row r="74" spans="1:40" ht="25.5" customHeight="1">
      <c r="A74" s="22"/>
      <c r="B74" s="22"/>
      <c r="C74" s="500" t="s">
        <v>134</v>
      </c>
      <c r="D74" s="501"/>
      <c r="E74" s="23">
        <f t="shared" ref="E74:AI74" si="33">SUM(E66,E68,E70,E72)</f>
        <v>427</v>
      </c>
      <c r="F74" s="23">
        <f t="shared" si="33"/>
        <v>325</v>
      </c>
      <c r="G74" s="23">
        <f t="shared" si="33"/>
        <v>308</v>
      </c>
      <c r="H74" s="23">
        <f t="shared" si="33"/>
        <v>120</v>
      </c>
      <c r="I74" s="23">
        <f t="shared" si="33"/>
        <v>0</v>
      </c>
      <c r="J74" s="23">
        <f t="shared" si="33"/>
        <v>237</v>
      </c>
      <c r="K74" s="23">
        <f t="shared" si="33"/>
        <v>258</v>
      </c>
      <c r="L74" s="23">
        <f t="shared" si="33"/>
        <v>149</v>
      </c>
      <c r="M74" s="23">
        <f t="shared" si="33"/>
        <v>292</v>
      </c>
      <c r="N74" s="23">
        <f t="shared" si="33"/>
        <v>122</v>
      </c>
      <c r="O74" s="23">
        <f t="shared" si="33"/>
        <v>150</v>
      </c>
      <c r="P74" s="23">
        <f t="shared" si="33"/>
        <v>0</v>
      </c>
      <c r="Q74" s="23">
        <f t="shared" si="33"/>
        <v>184</v>
      </c>
      <c r="R74" s="23">
        <f t="shared" si="33"/>
        <v>347</v>
      </c>
      <c r="S74" s="23">
        <f t="shared" si="33"/>
        <v>366</v>
      </c>
      <c r="T74" s="23">
        <f t="shared" si="33"/>
        <v>365</v>
      </c>
      <c r="U74" s="23">
        <f t="shared" si="33"/>
        <v>104</v>
      </c>
      <c r="V74" s="23">
        <f t="shared" si="33"/>
        <v>184</v>
      </c>
      <c r="W74" s="23">
        <f t="shared" si="33"/>
        <v>0</v>
      </c>
      <c r="X74" s="23">
        <f t="shared" si="33"/>
        <v>278</v>
      </c>
      <c r="Y74" s="23">
        <f t="shared" si="33"/>
        <v>361</v>
      </c>
      <c r="Z74" s="23">
        <f t="shared" si="33"/>
        <v>359</v>
      </c>
      <c r="AA74" s="23">
        <f t="shared" si="33"/>
        <v>176</v>
      </c>
      <c r="AB74" s="23">
        <f t="shared" si="33"/>
        <v>302</v>
      </c>
      <c r="AC74" s="23">
        <f t="shared" si="33"/>
        <v>0</v>
      </c>
      <c r="AD74" s="23">
        <f t="shared" si="33"/>
        <v>1</v>
      </c>
      <c r="AE74" s="23">
        <f t="shared" si="33"/>
        <v>382</v>
      </c>
      <c r="AF74" s="23">
        <f t="shared" si="33"/>
        <v>337</v>
      </c>
      <c r="AG74" s="23">
        <f t="shared" si="33"/>
        <v>279</v>
      </c>
      <c r="AH74" s="23">
        <f t="shared" si="33"/>
        <v>378</v>
      </c>
      <c r="AI74" s="23">
        <f t="shared" si="33"/>
        <v>103</v>
      </c>
      <c r="AJ74" s="24">
        <f t="shared" si="25"/>
        <v>6894</v>
      </c>
      <c r="AK74" s="64"/>
      <c r="AL74" s="64"/>
    </row>
    <row r="75" spans="1:40" ht="25.5" customHeight="1">
      <c r="A75" s="22"/>
      <c r="B75" s="22"/>
      <c r="C75" s="513" t="s">
        <v>135</v>
      </c>
      <c r="D75" s="501"/>
      <c r="E75" s="23">
        <f t="shared" ref="E75:AI75" si="34">SUM(E67,E69,E71,E73)</f>
        <v>0</v>
      </c>
      <c r="F75" s="23">
        <f t="shared" si="34"/>
        <v>0</v>
      </c>
      <c r="G75" s="23">
        <f t="shared" si="34"/>
        <v>0</v>
      </c>
      <c r="H75" s="23">
        <f t="shared" si="34"/>
        <v>0</v>
      </c>
      <c r="I75" s="23">
        <f t="shared" si="34"/>
        <v>0</v>
      </c>
      <c r="J75" s="23">
        <f t="shared" si="34"/>
        <v>48</v>
      </c>
      <c r="K75" s="23">
        <f t="shared" si="34"/>
        <v>20</v>
      </c>
      <c r="L75" s="23">
        <f t="shared" si="34"/>
        <v>117</v>
      </c>
      <c r="M75" s="23">
        <f t="shared" si="34"/>
        <v>0</v>
      </c>
      <c r="N75" s="23">
        <f t="shared" si="34"/>
        <v>67</v>
      </c>
      <c r="O75" s="23">
        <f t="shared" si="34"/>
        <v>7</v>
      </c>
      <c r="P75" s="23">
        <f t="shared" si="34"/>
        <v>0</v>
      </c>
      <c r="Q75" s="23">
        <f t="shared" si="34"/>
        <v>207</v>
      </c>
      <c r="R75" s="23">
        <f t="shared" si="34"/>
        <v>19</v>
      </c>
      <c r="S75" s="23">
        <f t="shared" si="34"/>
        <v>0</v>
      </c>
      <c r="T75" s="23">
        <f t="shared" si="34"/>
        <v>0</v>
      </c>
      <c r="U75" s="23">
        <f t="shared" si="34"/>
        <v>216</v>
      </c>
      <c r="V75" s="23">
        <f t="shared" si="34"/>
        <v>0</v>
      </c>
      <c r="W75" s="23">
        <f t="shared" si="34"/>
        <v>0</v>
      </c>
      <c r="X75" s="23">
        <f t="shared" si="34"/>
        <v>130</v>
      </c>
      <c r="Y75" s="23">
        <f t="shared" si="34"/>
        <v>0</v>
      </c>
      <c r="Z75" s="23">
        <f t="shared" si="34"/>
        <v>0</v>
      </c>
      <c r="AA75" s="23">
        <f t="shared" si="34"/>
        <v>157</v>
      </c>
      <c r="AB75" s="23">
        <f t="shared" si="34"/>
        <v>38</v>
      </c>
      <c r="AC75" s="23">
        <f t="shared" si="34"/>
        <v>0</v>
      </c>
      <c r="AD75" s="23">
        <f t="shared" si="34"/>
        <v>0</v>
      </c>
      <c r="AE75" s="23">
        <f t="shared" si="34"/>
        <v>67</v>
      </c>
      <c r="AF75" s="23">
        <f t="shared" si="34"/>
        <v>96</v>
      </c>
      <c r="AG75" s="23">
        <f t="shared" si="34"/>
        <v>112</v>
      </c>
      <c r="AH75" s="23">
        <f t="shared" si="34"/>
        <v>83</v>
      </c>
      <c r="AI75" s="23">
        <f t="shared" si="34"/>
        <v>47</v>
      </c>
      <c r="AJ75" s="24">
        <f t="shared" si="25"/>
        <v>1431</v>
      </c>
      <c r="AK75" s="64"/>
      <c r="AL75" s="64"/>
    </row>
    <row r="76" spans="1:40">
      <c r="A76" s="2">
        <v>1</v>
      </c>
      <c r="B76" s="2" t="s">
        <v>129</v>
      </c>
      <c r="C76" s="503" t="s">
        <v>123</v>
      </c>
      <c r="D76" s="501"/>
      <c r="E76" s="30">
        <f t="shared" ref="E76:AI76" si="35">E33-D33</f>
        <v>976.61999999999534</v>
      </c>
      <c r="F76" s="30">
        <f t="shared" si="35"/>
        <v>738.40000000000146</v>
      </c>
      <c r="G76" s="30">
        <f t="shared" si="35"/>
        <v>621.06999999999971</v>
      </c>
      <c r="H76" s="30">
        <f t="shared" si="35"/>
        <v>371.24000000000524</v>
      </c>
      <c r="I76" s="30">
        <f t="shared" si="35"/>
        <v>0</v>
      </c>
      <c r="J76" s="30">
        <f t="shared" si="35"/>
        <v>1126.3099999999977</v>
      </c>
      <c r="K76" s="30">
        <f t="shared" si="35"/>
        <v>874.40000000000146</v>
      </c>
      <c r="L76" s="30">
        <f t="shared" si="35"/>
        <v>860.7699999999968</v>
      </c>
      <c r="M76" s="30">
        <f t="shared" si="35"/>
        <v>1002.5400000000009</v>
      </c>
      <c r="N76" s="30">
        <f t="shared" si="35"/>
        <v>891.95999999999913</v>
      </c>
      <c r="O76" s="30">
        <f t="shared" si="35"/>
        <v>418.11000000000058</v>
      </c>
      <c r="P76" s="30">
        <f t="shared" si="35"/>
        <v>0</v>
      </c>
      <c r="Q76" s="30">
        <f t="shared" si="35"/>
        <v>1192.6800000000003</v>
      </c>
      <c r="R76" s="30">
        <f t="shared" si="35"/>
        <v>1005.2699999999968</v>
      </c>
      <c r="S76" s="30">
        <f t="shared" si="35"/>
        <v>951.33000000000175</v>
      </c>
      <c r="T76" s="30">
        <f t="shared" si="35"/>
        <v>922.77000000000407</v>
      </c>
      <c r="U76" s="30">
        <f t="shared" si="35"/>
        <v>839.47999999999593</v>
      </c>
      <c r="V76" s="30">
        <f t="shared" si="35"/>
        <v>447.94000000000233</v>
      </c>
      <c r="W76" s="30">
        <f t="shared" si="35"/>
        <v>0</v>
      </c>
      <c r="X76" s="30">
        <f t="shared" si="35"/>
        <v>1169.1800000000003</v>
      </c>
      <c r="Y76" s="30">
        <f t="shared" si="35"/>
        <v>1017.2299999999959</v>
      </c>
      <c r="Z76" s="30">
        <f t="shared" si="35"/>
        <v>991.66000000000349</v>
      </c>
      <c r="AA76" s="30">
        <f t="shared" si="35"/>
        <v>965.77999999999884</v>
      </c>
      <c r="AB76" s="30">
        <f t="shared" si="35"/>
        <v>894.11000000000058</v>
      </c>
      <c r="AC76" s="30">
        <f t="shared" si="35"/>
        <v>0</v>
      </c>
      <c r="AD76" s="30">
        <f t="shared" si="35"/>
        <v>0</v>
      </c>
      <c r="AE76" s="30">
        <f t="shared" si="35"/>
        <v>1525.8799999999974</v>
      </c>
      <c r="AF76" s="30">
        <f t="shared" si="35"/>
        <v>1052.6300000000047</v>
      </c>
      <c r="AG76" s="30">
        <f t="shared" si="35"/>
        <v>884.98999999999796</v>
      </c>
      <c r="AH76" s="30">
        <f t="shared" si="35"/>
        <v>813.55000000000291</v>
      </c>
      <c r="AI76" s="30">
        <f t="shared" si="35"/>
        <v>411.7699999999968</v>
      </c>
      <c r="AJ76" s="30">
        <f t="shared" si="25"/>
        <v>22967.67</v>
      </c>
    </row>
    <row r="77" spans="1:40">
      <c r="A77" s="2">
        <v>2</v>
      </c>
      <c r="B77" s="2" t="s">
        <v>129</v>
      </c>
      <c r="C77" s="503" t="s">
        <v>124</v>
      </c>
      <c r="D77" s="501"/>
      <c r="E77" s="30">
        <f t="shared" ref="E77:AI77" si="36">E34-D34</f>
        <v>971.86000000000058</v>
      </c>
      <c r="F77" s="30">
        <f t="shared" si="36"/>
        <v>696.29000000000087</v>
      </c>
      <c r="G77" s="30">
        <f t="shared" si="36"/>
        <v>648.15999999999622</v>
      </c>
      <c r="H77" s="30">
        <f t="shared" si="36"/>
        <v>317.45000000000437</v>
      </c>
      <c r="I77" s="30">
        <f t="shared" si="36"/>
        <v>0</v>
      </c>
      <c r="J77" s="30">
        <f t="shared" si="36"/>
        <v>911.36999999999534</v>
      </c>
      <c r="K77" s="30">
        <f t="shared" si="36"/>
        <v>859.77000000000407</v>
      </c>
      <c r="L77" s="30">
        <f t="shared" si="36"/>
        <v>962.58000000000175</v>
      </c>
      <c r="M77" s="30">
        <f t="shared" si="36"/>
        <v>966.09999999999854</v>
      </c>
      <c r="N77" s="30">
        <f t="shared" si="36"/>
        <v>905.05999999999767</v>
      </c>
      <c r="O77" s="30">
        <f t="shared" si="36"/>
        <v>424.84999999999854</v>
      </c>
      <c r="P77" s="30">
        <f t="shared" si="36"/>
        <v>0</v>
      </c>
      <c r="Q77" s="30">
        <f t="shared" si="36"/>
        <v>1088.5200000000041</v>
      </c>
      <c r="R77" s="30">
        <f t="shared" si="36"/>
        <v>1032.1800000000003</v>
      </c>
      <c r="S77" s="30">
        <f t="shared" si="36"/>
        <v>861.58999999999651</v>
      </c>
      <c r="T77" s="30">
        <f t="shared" si="36"/>
        <v>826.72000000000116</v>
      </c>
      <c r="U77" s="30">
        <f t="shared" si="36"/>
        <v>872.47000000000116</v>
      </c>
      <c r="V77" s="30">
        <f t="shared" si="36"/>
        <v>459.68999999999505</v>
      </c>
      <c r="W77" s="30">
        <f t="shared" si="36"/>
        <v>0</v>
      </c>
      <c r="X77" s="30">
        <f t="shared" si="36"/>
        <v>1262.1300000000047</v>
      </c>
      <c r="Y77" s="30">
        <f t="shared" si="36"/>
        <v>982.11000000000058</v>
      </c>
      <c r="Z77" s="30">
        <f t="shared" si="36"/>
        <v>1045.3300000000017</v>
      </c>
      <c r="AA77" s="30">
        <f t="shared" si="36"/>
        <v>906.58999999999651</v>
      </c>
      <c r="AB77" s="30">
        <f t="shared" si="36"/>
        <v>995.37999999999738</v>
      </c>
      <c r="AC77" s="30">
        <f t="shared" si="36"/>
        <v>0</v>
      </c>
      <c r="AD77" s="30">
        <f t="shared" si="36"/>
        <v>0</v>
      </c>
      <c r="AE77" s="30">
        <f t="shared" si="36"/>
        <v>1331.9700000000012</v>
      </c>
      <c r="AF77" s="30">
        <f t="shared" si="36"/>
        <v>1142.3600000000006</v>
      </c>
      <c r="AG77" s="30">
        <f t="shared" si="36"/>
        <v>1054.3600000000006</v>
      </c>
      <c r="AH77" s="30">
        <f t="shared" si="36"/>
        <v>1053.4100000000035</v>
      </c>
      <c r="AI77" s="30">
        <f t="shared" si="36"/>
        <v>410.2699999999968</v>
      </c>
      <c r="AJ77" s="30">
        <f t="shared" si="25"/>
        <v>22988.57</v>
      </c>
    </row>
    <row r="78" spans="1:40">
      <c r="A78" s="2">
        <v>3</v>
      </c>
      <c r="B78" s="2" t="s">
        <v>129</v>
      </c>
      <c r="C78" s="503" t="s">
        <v>125</v>
      </c>
      <c r="D78" s="501"/>
      <c r="E78" s="30">
        <f t="shared" ref="E78:AI78" si="37">E35-D35</f>
        <v>927.54000000000087</v>
      </c>
      <c r="F78" s="30">
        <f t="shared" si="37"/>
        <v>889.02000000000407</v>
      </c>
      <c r="G78" s="30">
        <f t="shared" si="37"/>
        <v>694.30999999999767</v>
      </c>
      <c r="H78" s="30">
        <f t="shared" si="37"/>
        <v>355.13999999999942</v>
      </c>
      <c r="I78" s="30">
        <f t="shared" si="37"/>
        <v>0</v>
      </c>
      <c r="J78" s="30">
        <f t="shared" si="37"/>
        <v>1140.8899999999994</v>
      </c>
      <c r="K78" s="30">
        <f t="shared" si="37"/>
        <v>1045.25</v>
      </c>
      <c r="L78" s="30">
        <f t="shared" si="37"/>
        <v>1093.3300000000017</v>
      </c>
      <c r="M78" s="30">
        <f t="shared" si="37"/>
        <v>1052.5</v>
      </c>
      <c r="N78" s="30">
        <f t="shared" si="37"/>
        <v>892.08999999999651</v>
      </c>
      <c r="O78" s="30">
        <f t="shared" si="37"/>
        <v>425.44000000000233</v>
      </c>
      <c r="P78" s="30">
        <f t="shared" si="37"/>
        <v>0</v>
      </c>
      <c r="Q78" s="30">
        <f t="shared" si="37"/>
        <v>1202.0199999999968</v>
      </c>
      <c r="R78" s="30">
        <f t="shared" si="37"/>
        <v>1176.8600000000006</v>
      </c>
      <c r="S78" s="30">
        <f t="shared" si="37"/>
        <v>1059.6600000000035</v>
      </c>
      <c r="T78" s="30">
        <f t="shared" si="37"/>
        <v>976.47999999999593</v>
      </c>
      <c r="U78" s="30">
        <f t="shared" si="37"/>
        <v>970.97000000000116</v>
      </c>
      <c r="V78" s="30">
        <f t="shared" si="37"/>
        <v>603.09000000000378</v>
      </c>
      <c r="W78" s="30">
        <f t="shared" si="37"/>
        <v>0</v>
      </c>
      <c r="X78" s="30">
        <f t="shared" si="37"/>
        <v>1307.9199999999983</v>
      </c>
      <c r="Y78" s="30">
        <f t="shared" si="37"/>
        <v>986.01000000000204</v>
      </c>
      <c r="Z78" s="30">
        <f t="shared" si="37"/>
        <v>1024.3199999999997</v>
      </c>
      <c r="AA78" s="30">
        <f t="shared" si="37"/>
        <v>869.18000000000029</v>
      </c>
      <c r="AB78" s="30">
        <f t="shared" si="37"/>
        <v>912.79000000000087</v>
      </c>
      <c r="AC78" s="30">
        <f t="shared" si="37"/>
        <v>0</v>
      </c>
      <c r="AD78" s="30">
        <f t="shared" si="37"/>
        <v>0</v>
      </c>
      <c r="AE78" s="30">
        <f t="shared" si="37"/>
        <v>1409.4799999999959</v>
      </c>
      <c r="AF78" s="30">
        <f t="shared" si="37"/>
        <v>1255.0800000000017</v>
      </c>
      <c r="AG78" s="30">
        <f t="shared" si="37"/>
        <v>1132.3099999999977</v>
      </c>
      <c r="AH78" s="30">
        <f t="shared" si="37"/>
        <v>1257.3400000000038</v>
      </c>
      <c r="AI78" s="30">
        <f t="shared" si="37"/>
        <v>448.66999999999825</v>
      </c>
      <c r="AJ78" s="30">
        <f t="shared" si="25"/>
        <v>25107.690000000002</v>
      </c>
    </row>
    <row r="79" spans="1:40">
      <c r="A79" s="2">
        <v>4</v>
      </c>
      <c r="B79" s="2" t="s">
        <v>129</v>
      </c>
      <c r="C79" s="503" t="s">
        <v>126</v>
      </c>
      <c r="D79" s="501"/>
      <c r="E79" s="30">
        <f t="shared" ref="E79:AI79" si="38">E36-D36</f>
        <v>1333.3499999999985</v>
      </c>
      <c r="F79" s="30">
        <f t="shared" si="38"/>
        <v>908.58000000000175</v>
      </c>
      <c r="G79" s="30">
        <f t="shared" si="38"/>
        <v>661.22999999999593</v>
      </c>
      <c r="H79" s="30">
        <f t="shared" si="38"/>
        <v>447.91000000000349</v>
      </c>
      <c r="I79" s="30">
        <f t="shared" si="38"/>
        <v>0</v>
      </c>
      <c r="J79" s="30">
        <f t="shared" si="38"/>
        <v>1387.4700000000012</v>
      </c>
      <c r="K79" s="30">
        <f t="shared" si="38"/>
        <v>1276.3699999999953</v>
      </c>
      <c r="L79" s="30">
        <f t="shared" si="38"/>
        <v>1291.260000000002</v>
      </c>
      <c r="M79" s="30">
        <f t="shared" si="38"/>
        <v>1102.7900000000009</v>
      </c>
      <c r="N79" s="30">
        <f t="shared" si="38"/>
        <v>1193.0299999999988</v>
      </c>
      <c r="O79" s="30">
        <f t="shared" si="38"/>
        <v>530.16999999999825</v>
      </c>
      <c r="P79" s="30">
        <f t="shared" si="38"/>
        <v>0</v>
      </c>
      <c r="Q79" s="30">
        <f t="shared" si="38"/>
        <v>1517.3199999999997</v>
      </c>
      <c r="R79" s="30">
        <f t="shared" si="38"/>
        <v>1458.4400000000023</v>
      </c>
      <c r="S79" s="30">
        <f t="shared" si="38"/>
        <v>1305.0599999999977</v>
      </c>
      <c r="T79" s="30">
        <f t="shared" si="38"/>
        <v>1136.3400000000038</v>
      </c>
      <c r="U79" s="30">
        <f t="shared" si="38"/>
        <v>896.56999999999971</v>
      </c>
      <c r="V79" s="30">
        <f t="shared" si="38"/>
        <v>554.74999999999272</v>
      </c>
      <c r="W79" s="30">
        <f t="shared" si="38"/>
        <v>0</v>
      </c>
      <c r="X79" s="30">
        <f t="shared" si="38"/>
        <v>1414.0299999999988</v>
      </c>
      <c r="Y79" s="30">
        <f t="shared" si="38"/>
        <v>1284.1700000000128</v>
      </c>
      <c r="Z79" s="30">
        <f t="shared" si="38"/>
        <v>1282.25</v>
      </c>
      <c r="AA79" s="30">
        <f t="shared" si="38"/>
        <v>1125.2399999999907</v>
      </c>
      <c r="AB79" s="30">
        <f t="shared" si="38"/>
        <v>1083.5400000000081</v>
      </c>
      <c r="AC79" s="30">
        <f t="shared" si="38"/>
        <v>0</v>
      </c>
      <c r="AD79" s="30">
        <f t="shared" si="38"/>
        <v>0</v>
      </c>
      <c r="AE79" s="30">
        <f t="shared" si="38"/>
        <v>1634.7999999999884</v>
      </c>
      <c r="AF79" s="30">
        <f t="shared" si="38"/>
        <v>1381.8100000000122</v>
      </c>
      <c r="AG79" s="30">
        <f t="shared" si="38"/>
        <v>1026.6199999999953</v>
      </c>
      <c r="AH79" s="30">
        <f t="shared" si="38"/>
        <v>1135.9199999999983</v>
      </c>
      <c r="AI79" s="30">
        <f t="shared" si="38"/>
        <v>492.86000000000058</v>
      </c>
      <c r="AJ79" s="30">
        <f t="shared" si="25"/>
        <v>28861.879999999997</v>
      </c>
    </row>
    <row r="80" spans="1:40" ht="15" customHeight="1">
      <c r="A80" s="22"/>
      <c r="B80" s="22"/>
      <c r="C80" s="500" t="s">
        <v>136</v>
      </c>
      <c r="D80" s="501"/>
      <c r="E80" s="23">
        <f t="shared" ref="E80:AJ80" si="39">SUM(E76:E79)</f>
        <v>4209.3699999999953</v>
      </c>
      <c r="F80" s="23">
        <f t="shared" si="39"/>
        <v>3232.2900000000081</v>
      </c>
      <c r="G80" s="23">
        <f t="shared" si="39"/>
        <v>2624.7699999999895</v>
      </c>
      <c r="H80" s="23">
        <f t="shared" si="39"/>
        <v>1491.7400000000125</v>
      </c>
      <c r="I80" s="23">
        <f t="shared" si="39"/>
        <v>0</v>
      </c>
      <c r="J80" s="23">
        <f t="shared" si="39"/>
        <v>4566.0399999999936</v>
      </c>
      <c r="K80" s="23">
        <f t="shared" si="39"/>
        <v>4055.7900000000009</v>
      </c>
      <c r="L80" s="23">
        <f t="shared" si="39"/>
        <v>4207.9400000000023</v>
      </c>
      <c r="M80" s="23">
        <f t="shared" si="39"/>
        <v>4123.93</v>
      </c>
      <c r="N80" s="23">
        <f t="shared" si="39"/>
        <v>3882.1399999999921</v>
      </c>
      <c r="O80" s="23">
        <f t="shared" si="39"/>
        <v>1798.5699999999997</v>
      </c>
      <c r="P80" s="23">
        <f t="shared" si="39"/>
        <v>0</v>
      </c>
      <c r="Q80" s="23">
        <f t="shared" si="39"/>
        <v>5000.5400000000009</v>
      </c>
      <c r="R80" s="23">
        <f t="shared" si="39"/>
        <v>4672.75</v>
      </c>
      <c r="S80" s="23">
        <f t="shared" si="39"/>
        <v>4177.6399999999994</v>
      </c>
      <c r="T80" s="23">
        <f t="shared" si="39"/>
        <v>3862.3100000000049</v>
      </c>
      <c r="U80" s="23">
        <f t="shared" si="39"/>
        <v>3579.489999999998</v>
      </c>
      <c r="V80" s="23">
        <f t="shared" si="39"/>
        <v>2065.4699999999939</v>
      </c>
      <c r="W80" s="23">
        <f t="shared" si="39"/>
        <v>0</v>
      </c>
      <c r="X80" s="23">
        <f t="shared" si="39"/>
        <v>5153.260000000002</v>
      </c>
      <c r="Y80" s="23">
        <f t="shared" si="39"/>
        <v>4269.5200000000114</v>
      </c>
      <c r="Z80" s="23">
        <f t="shared" si="39"/>
        <v>4343.5600000000049</v>
      </c>
      <c r="AA80" s="23">
        <f t="shared" si="39"/>
        <v>3866.7899999999863</v>
      </c>
      <c r="AB80" s="23">
        <f t="shared" si="39"/>
        <v>3885.820000000007</v>
      </c>
      <c r="AC80" s="23">
        <f t="shared" si="39"/>
        <v>0</v>
      </c>
      <c r="AD80" s="23">
        <f t="shared" si="39"/>
        <v>0</v>
      </c>
      <c r="AE80" s="23">
        <f t="shared" si="39"/>
        <v>5902.1299999999828</v>
      </c>
      <c r="AF80" s="23">
        <f t="shared" si="39"/>
        <v>4831.8800000000192</v>
      </c>
      <c r="AG80" s="23">
        <f t="shared" si="39"/>
        <v>4098.2799999999916</v>
      </c>
      <c r="AH80" s="23">
        <f t="shared" si="39"/>
        <v>4260.2200000000084</v>
      </c>
      <c r="AI80" s="23">
        <f t="shared" si="39"/>
        <v>1763.5699999999924</v>
      </c>
      <c r="AJ80" s="24">
        <f t="shared" si="39"/>
        <v>99925.81</v>
      </c>
      <c r="AK80" s="64"/>
    </row>
  </sheetData>
  <mergeCells count="49">
    <mergeCell ref="E2:AI2"/>
    <mergeCell ref="C58:D58"/>
    <mergeCell ref="B3:B6"/>
    <mergeCell ref="C45:D45"/>
    <mergeCell ref="C74:D74"/>
    <mergeCell ref="A2:D2"/>
    <mergeCell ref="C79:D79"/>
    <mergeCell ref="C73:D73"/>
    <mergeCell ref="C47:D47"/>
    <mergeCell ref="C54:D54"/>
    <mergeCell ref="C63:D63"/>
    <mergeCell ref="C65:D65"/>
    <mergeCell ref="C55:D55"/>
    <mergeCell ref="C78:D78"/>
    <mergeCell ref="C49:D49"/>
    <mergeCell ref="C77:D77"/>
    <mergeCell ref="C68:D68"/>
    <mergeCell ref="A41:A44"/>
    <mergeCell ref="A3:A6"/>
    <mergeCell ref="C75:D75"/>
    <mergeCell ref="AJ3:AJ6"/>
    <mergeCell ref="C50:D50"/>
    <mergeCell ref="B40:D40"/>
    <mergeCell ref="C53:D53"/>
    <mergeCell ref="D3:D6"/>
    <mergeCell ref="C67:D67"/>
    <mergeCell ref="C57:D57"/>
    <mergeCell ref="C3:C6"/>
    <mergeCell ref="C66:D66"/>
    <mergeCell ref="C41:D44"/>
    <mergeCell ref="AJ41:AJ44"/>
    <mergeCell ref="B39:D39"/>
    <mergeCell ref="C69:D69"/>
    <mergeCell ref="C80:D80"/>
    <mergeCell ref="C56:D56"/>
    <mergeCell ref="C59:D59"/>
    <mergeCell ref="A23:AJ23"/>
    <mergeCell ref="A32:AJ32"/>
    <mergeCell ref="C46:D46"/>
    <mergeCell ref="C60:D60"/>
    <mergeCell ref="C51:D51"/>
    <mergeCell ref="C76:D76"/>
    <mergeCell ref="C71:D71"/>
    <mergeCell ref="C61:D61"/>
    <mergeCell ref="C52:D52"/>
    <mergeCell ref="C70:D70"/>
    <mergeCell ref="C48:D48"/>
    <mergeCell ref="B41:B44"/>
    <mergeCell ref="C72:D7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K80"/>
  <sheetViews>
    <sheetView topLeftCell="X45" zoomScale="85" zoomScaleNormal="85" workbookViewId="0">
      <selection activeCell="A22" sqref="A22:AJ22"/>
    </sheetView>
  </sheetViews>
  <sheetFormatPr defaultColWidth="18" defaultRowHeight="14.5"/>
  <cols>
    <col min="1" max="1" width="14" style="70" bestFit="1" customWidth="1"/>
    <col min="2" max="2" width="27" style="70" bestFit="1" customWidth="1"/>
    <col min="3" max="3" width="32" style="89" bestFit="1" customWidth="1"/>
    <col min="4" max="4" width="20" style="110" bestFit="1" customWidth="1"/>
    <col min="5" max="5" width="23" style="70" bestFit="1" customWidth="1"/>
    <col min="6" max="32" width="23" customWidth="1"/>
    <col min="33" max="34" width="23" style="70" bestFit="1" customWidth="1"/>
    <col min="35" max="35" width="18" style="70" bestFit="1" customWidth="1"/>
    <col min="36" max="36" width="14" style="70" customWidth="1"/>
    <col min="37" max="38" width="18" style="70" customWidth="1"/>
    <col min="39" max="16384" width="18" style="70"/>
  </cols>
  <sheetData>
    <row r="2" spans="1:35" ht="16.5" customHeight="1">
      <c r="A2" s="537"/>
      <c r="B2" s="526"/>
      <c r="C2" s="526"/>
      <c r="D2" s="527"/>
      <c r="E2" s="535" t="s">
        <v>139</v>
      </c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7"/>
      <c r="AI2" s="69"/>
    </row>
    <row r="3" spans="1:35" ht="13" customHeight="1">
      <c r="A3" s="533" t="s">
        <v>99</v>
      </c>
      <c r="B3" s="533" t="s">
        <v>100</v>
      </c>
      <c r="C3" s="533" t="s">
        <v>101</v>
      </c>
      <c r="D3" s="536" t="s">
        <v>102</v>
      </c>
      <c r="E3" s="71">
        <v>45444</v>
      </c>
      <c r="F3" s="71">
        <v>45445</v>
      </c>
      <c r="G3" s="71">
        <v>45446</v>
      </c>
      <c r="H3" s="71">
        <v>45447</v>
      </c>
      <c r="I3" s="71">
        <v>45448</v>
      </c>
      <c r="J3" s="71">
        <v>45449</v>
      </c>
      <c r="K3" s="71">
        <v>45450</v>
      </c>
      <c r="L3" s="71">
        <v>45451</v>
      </c>
      <c r="M3" s="71">
        <v>45452</v>
      </c>
      <c r="N3" s="71">
        <v>45453</v>
      </c>
      <c r="O3" s="71">
        <v>45454</v>
      </c>
      <c r="P3" s="71">
        <v>45455</v>
      </c>
      <c r="Q3" s="71">
        <v>45456</v>
      </c>
      <c r="R3" s="71">
        <v>45457</v>
      </c>
      <c r="S3" s="71">
        <v>45458</v>
      </c>
      <c r="T3" s="71">
        <v>45459</v>
      </c>
      <c r="U3" s="71">
        <v>45460</v>
      </c>
      <c r="V3" s="71">
        <v>45461</v>
      </c>
      <c r="W3" s="71">
        <v>45462</v>
      </c>
      <c r="X3" s="71">
        <v>45463</v>
      </c>
      <c r="Y3" s="71">
        <v>45464</v>
      </c>
      <c r="Z3" s="71">
        <v>45465</v>
      </c>
      <c r="AA3" s="71">
        <v>45466</v>
      </c>
      <c r="AB3" s="71">
        <v>45467</v>
      </c>
      <c r="AC3" s="71">
        <v>45468</v>
      </c>
      <c r="AD3" s="71">
        <v>45469</v>
      </c>
      <c r="AE3" s="71">
        <v>45470</v>
      </c>
      <c r="AF3" s="71">
        <v>45471</v>
      </c>
      <c r="AG3" s="71">
        <v>45472</v>
      </c>
      <c r="AH3" s="71">
        <v>45473</v>
      </c>
      <c r="AI3" s="530" t="s">
        <v>1</v>
      </c>
    </row>
    <row r="4" spans="1:35" ht="13" customHeight="1">
      <c r="A4" s="511"/>
      <c r="B4" s="511"/>
      <c r="C4" s="511"/>
      <c r="D4" s="511"/>
      <c r="E4" s="72" t="s">
        <v>104</v>
      </c>
      <c r="F4" s="72" t="s">
        <v>105</v>
      </c>
      <c r="G4" s="72" t="s">
        <v>106</v>
      </c>
      <c r="H4" s="72" t="s">
        <v>107</v>
      </c>
      <c r="I4" s="72" t="s">
        <v>108</v>
      </c>
      <c r="J4" s="72" t="s">
        <v>109</v>
      </c>
      <c r="K4" s="72" t="s">
        <v>103</v>
      </c>
      <c r="L4" s="72" t="s">
        <v>104</v>
      </c>
      <c r="M4" s="72" t="s">
        <v>105</v>
      </c>
      <c r="N4" s="72" t="s">
        <v>106</v>
      </c>
      <c r="O4" s="72" t="s">
        <v>107</v>
      </c>
      <c r="P4" s="72" t="s">
        <v>108</v>
      </c>
      <c r="Q4" s="72" t="s">
        <v>109</v>
      </c>
      <c r="R4" s="72" t="s">
        <v>103</v>
      </c>
      <c r="S4" s="72" t="s">
        <v>104</v>
      </c>
      <c r="T4" s="72" t="s">
        <v>105</v>
      </c>
      <c r="U4" s="72" t="s">
        <v>106</v>
      </c>
      <c r="V4" s="72" t="s">
        <v>107</v>
      </c>
      <c r="W4" s="72" t="s">
        <v>108</v>
      </c>
      <c r="X4" s="72" t="s">
        <v>109</v>
      </c>
      <c r="Y4" s="72" t="s">
        <v>103</v>
      </c>
      <c r="Z4" s="72" t="s">
        <v>104</v>
      </c>
      <c r="AA4" s="72" t="s">
        <v>105</v>
      </c>
      <c r="AB4" s="72" t="s">
        <v>106</v>
      </c>
      <c r="AC4" s="72" t="s">
        <v>107</v>
      </c>
      <c r="AD4" s="72" t="s">
        <v>108</v>
      </c>
      <c r="AE4" s="72" t="s">
        <v>109</v>
      </c>
      <c r="AF4" s="72" t="s">
        <v>103</v>
      </c>
      <c r="AG4" s="72" t="s">
        <v>104</v>
      </c>
      <c r="AH4" s="72" t="s">
        <v>105</v>
      </c>
      <c r="AI4" s="511"/>
    </row>
    <row r="5" spans="1:35" ht="13" customHeight="1">
      <c r="A5" s="511"/>
      <c r="B5" s="511"/>
      <c r="C5" s="511"/>
      <c r="D5" s="511"/>
      <c r="E5" s="72" t="s">
        <v>110</v>
      </c>
      <c r="F5" s="72" t="s">
        <v>110</v>
      </c>
      <c r="G5" s="72" t="s">
        <v>110</v>
      </c>
      <c r="H5" s="72" t="s">
        <v>110</v>
      </c>
      <c r="I5" s="72" t="s">
        <v>110</v>
      </c>
      <c r="J5" s="72" t="s">
        <v>110</v>
      </c>
      <c r="K5" s="72" t="s">
        <v>110</v>
      </c>
      <c r="L5" s="72" t="s">
        <v>110</v>
      </c>
      <c r="M5" s="72" t="s">
        <v>110</v>
      </c>
      <c r="N5" s="72" t="s">
        <v>110</v>
      </c>
      <c r="O5" s="72" t="s">
        <v>110</v>
      </c>
      <c r="P5" s="72" t="s">
        <v>110</v>
      </c>
      <c r="Q5" s="72" t="s">
        <v>110</v>
      </c>
      <c r="R5" s="72" t="s">
        <v>110</v>
      </c>
      <c r="S5" s="72" t="s">
        <v>110</v>
      </c>
      <c r="T5" s="72" t="s">
        <v>110</v>
      </c>
      <c r="U5" s="72" t="s">
        <v>110</v>
      </c>
      <c r="V5" s="72" t="s">
        <v>110</v>
      </c>
      <c r="W5" s="72" t="s">
        <v>110</v>
      </c>
      <c r="X5" s="72" t="s">
        <v>110</v>
      </c>
      <c r="Y5" s="72" t="s">
        <v>110</v>
      </c>
      <c r="Z5" s="72" t="s">
        <v>110</v>
      </c>
      <c r="AA5" s="72" t="s">
        <v>110</v>
      </c>
      <c r="AB5" s="72" t="s">
        <v>110</v>
      </c>
      <c r="AC5" s="72" t="s">
        <v>110</v>
      </c>
      <c r="AD5" s="72" t="s">
        <v>110</v>
      </c>
      <c r="AE5" s="72" t="s">
        <v>110</v>
      </c>
      <c r="AF5" s="72" t="s">
        <v>110</v>
      </c>
      <c r="AG5" s="72" t="s">
        <v>110</v>
      </c>
      <c r="AH5" s="72" t="s">
        <v>110</v>
      </c>
      <c r="AI5" s="511"/>
    </row>
    <row r="6" spans="1:35" ht="13" customHeight="1">
      <c r="A6" s="512"/>
      <c r="B6" s="512"/>
      <c r="C6" s="512"/>
      <c r="D6" s="512"/>
      <c r="E6" s="73">
        <v>0.33333333333333331</v>
      </c>
      <c r="F6" s="73">
        <v>0.33333333333333331</v>
      </c>
      <c r="G6" s="73">
        <v>0.33333333333333331</v>
      </c>
      <c r="H6" s="73">
        <v>0.33333333333333331</v>
      </c>
      <c r="I6" s="73">
        <v>0.33333333333333331</v>
      </c>
      <c r="J6" s="73">
        <v>0.33333333333333331</v>
      </c>
      <c r="K6" s="73">
        <v>0.33333333333333331</v>
      </c>
      <c r="L6" s="73">
        <v>0.33333333333333331</v>
      </c>
      <c r="M6" s="73">
        <v>0.33333333333333331</v>
      </c>
      <c r="N6" s="73">
        <v>0.33333333333333331</v>
      </c>
      <c r="O6" s="73">
        <v>0.33333333333333331</v>
      </c>
      <c r="P6" s="73">
        <v>0.33333333333333331</v>
      </c>
      <c r="Q6" s="73">
        <v>0.33333333333333331</v>
      </c>
      <c r="R6" s="73">
        <v>0.33333333333333331</v>
      </c>
      <c r="S6" s="73">
        <v>0.33333333333333331</v>
      </c>
      <c r="T6" s="73">
        <v>0.33333333333333331</v>
      </c>
      <c r="U6" s="73">
        <v>0.33333333333333331</v>
      </c>
      <c r="V6" s="73">
        <v>0.33333333333333331</v>
      </c>
      <c r="W6" s="73">
        <v>0.33333333333333331</v>
      </c>
      <c r="X6" s="73">
        <v>0.33333333333333331</v>
      </c>
      <c r="Y6" s="73">
        <v>0.33333333333333331</v>
      </c>
      <c r="Z6" s="73">
        <v>0.33333333333333331</v>
      </c>
      <c r="AA6" s="73">
        <v>0.33333333333333331</v>
      </c>
      <c r="AB6" s="73">
        <v>0.33333333333333331</v>
      </c>
      <c r="AC6" s="73">
        <v>0.33333333333333331</v>
      </c>
      <c r="AD6" s="73">
        <v>0.33333333333333331</v>
      </c>
      <c r="AE6" s="73">
        <v>0.33333333333333331</v>
      </c>
      <c r="AF6" s="73">
        <v>0.33333333333333331</v>
      </c>
      <c r="AG6" s="73">
        <v>0.33333333333333331</v>
      </c>
      <c r="AH6" s="73">
        <v>0.33333333333333331</v>
      </c>
      <c r="AI6" s="512"/>
    </row>
    <row r="7" spans="1:35" ht="20.149999999999999" customHeight="1">
      <c r="A7" s="2">
        <v>1</v>
      </c>
      <c r="B7" s="2" t="s">
        <v>129</v>
      </c>
      <c r="C7" s="2" t="s">
        <v>111</v>
      </c>
      <c r="D7" s="7">
        <v>27418</v>
      </c>
      <c r="E7" s="4">
        <v>27721</v>
      </c>
      <c r="F7" s="4">
        <v>27934</v>
      </c>
      <c r="G7" s="5">
        <v>28120</v>
      </c>
      <c r="H7" s="5">
        <v>28377</v>
      </c>
      <c r="I7" s="4">
        <v>28592</v>
      </c>
      <c r="J7" s="4">
        <v>28856</v>
      </c>
      <c r="K7" s="4">
        <v>29126</v>
      </c>
      <c r="L7" s="4">
        <v>29326</v>
      </c>
      <c r="M7" s="6">
        <v>29543</v>
      </c>
      <c r="N7" s="4">
        <v>29775</v>
      </c>
      <c r="O7" s="4">
        <v>29902</v>
      </c>
      <c r="P7" s="4">
        <v>30131</v>
      </c>
      <c r="Q7" s="6">
        <v>30315</v>
      </c>
      <c r="R7" s="4">
        <v>30478</v>
      </c>
      <c r="S7" s="4">
        <v>30690</v>
      </c>
      <c r="T7" s="4">
        <v>30905</v>
      </c>
      <c r="U7" s="4">
        <v>31102</v>
      </c>
      <c r="V7" s="6">
        <v>31284</v>
      </c>
      <c r="W7" s="4">
        <v>31479</v>
      </c>
      <c r="X7" s="4">
        <v>31744</v>
      </c>
      <c r="Y7" s="4">
        <v>31999</v>
      </c>
      <c r="Z7" s="4">
        <v>32217</v>
      </c>
      <c r="AA7" s="4">
        <v>32437</v>
      </c>
      <c r="AB7" s="4">
        <v>32667</v>
      </c>
      <c r="AC7" s="4">
        <v>32929</v>
      </c>
      <c r="AD7" s="4">
        <v>33190</v>
      </c>
      <c r="AE7" s="4">
        <v>33458</v>
      </c>
      <c r="AF7" s="4">
        <v>33658</v>
      </c>
      <c r="AG7" s="4">
        <v>33879</v>
      </c>
      <c r="AH7" s="8">
        <v>33984</v>
      </c>
      <c r="AI7" s="7">
        <f t="shared" ref="AI7:AI22" si="0">AH7-D7</f>
        <v>6566</v>
      </c>
    </row>
    <row r="8" spans="1:35" ht="20.149999999999999" customHeight="1">
      <c r="A8" s="2"/>
      <c r="B8" s="2"/>
      <c r="C8" s="79" t="s">
        <v>22</v>
      </c>
      <c r="D8" s="7">
        <v>1040</v>
      </c>
      <c r="E8" s="4">
        <v>1078</v>
      </c>
      <c r="F8" s="4">
        <v>1079</v>
      </c>
      <c r="G8" s="5">
        <v>1155</v>
      </c>
      <c r="H8" s="5">
        <v>1155</v>
      </c>
      <c r="I8" s="4">
        <v>1197</v>
      </c>
      <c r="J8" s="4">
        <v>1200</v>
      </c>
      <c r="K8" s="4">
        <v>1207</v>
      </c>
      <c r="L8" s="4">
        <v>1207</v>
      </c>
      <c r="M8" s="6">
        <v>1230</v>
      </c>
      <c r="N8" s="4">
        <v>1230</v>
      </c>
      <c r="O8" s="4">
        <v>1365</v>
      </c>
      <c r="P8" s="4">
        <v>1388</v>
      </c>
      <c r="Q8" s="6">
        <v>1465</v>
      </c>
      <c r="R8" s="4">
        <v>1540</v>
      </c>
      <c r="S8" s="4">
        <v>1540</v>
      </c>
      <c r="T8" s="4">
        <v>1547</v>
      </c>
      <c r="U8" s="4">
        <v>1575</v>
      </c>
      <c r="V8" s="6">
        <v>1647</v>
      </c>
      <c r="W8" s="4">
        <v>1700</v>
      </c>
      <c r="X8" s="4">
        <v>1700</v>
      </c>
      <c r="Y8" s="4">
        <v>1700</v>
      </c>
      <c r="Z8" s="4">
        <v>1700</v>
      </c>
      <c r="AA8" s="4">
        <v>1700</v>
      </c>
      <c r="AB8" s="4">
        <v>1708</v>
      </c>
      <c r="AC8" s="4">
        <v>1708</v>
      </c>
      <c r="AD8" s="4">
        <v>1708</v>
      </c>
      <c r="AE8" s="4">
        <v>1708</v>
      </c>
      <c r="AF8" s="4">
        <v>1745</v>
      </c>
      <c r="AG8" s="4">
        <v>1751</v>
      </c>
      <c r="AH8" s="8">
        <v>1753</v>
      </c>
      <c r="AI8" s="7">
        <f t="shared" si="0"/>
        <v>713</v>
      </c>
    </row>
    <row r="9" spans="1:35" ht="20.149999999999999" customHeight="1">
      <c r="A9" s="2">
        <v>2</v>
      </c>
      <c r="B9" s="2" t="s">
        <v>129</v>
      </c>
      <c r="C9" s="2" t="s">
        <v>112</v>
      </c>
      <c r="D9" s="3">
        <v>1956</v>
      </c>
      <c r="E9" s="4">
        <v>1956</v>
      </c>
      <c r="F9" s="4">
        <v>1956</v>
      </c>
      <c r="G9" s="4">
        <v>1956</v>
      </c>
      <c r="H9" s="4">
        <v>1956</v>
      </c>
      <c r="I9" s="4">
        <v>1956</v>
      </c>
      <c r="J9" s="4">
        <v>1956</v>
      </c>
      <c r="K9" s="4">
        <v>1956</v>
      </c>
      <c r="L9" s="4">
        <v>1956</v>
      </c>
      <c r="M9" s="4">
        <v>1956</v>
      </c>
      <c r="N9" s="4">
        <v>1956</v>
      </c>
      <c r="O9" s="4">
        <v>1956</v>
      </c>
      <c r="P9" s="4">
        <v>1956</v>
      </c>
      <c r="Q9" s="4">
        <v>1956</v>
      </c>
      <c r="R9" s="4">
        <v>1956</v>
      </c>
      <c r="S9" s="4">
        <v>1956</v>
      </c>
      <c r="T9" s="4">
        <v>1956</v>
      </c>
      <c r="U9" s="4">
        <v>1956</v>
      </c>
      <c r="V9" s="4">
        <v>1956</v>
      </c>
      <c r="W9" s="4">
        <v>1956</v>
      </c>
      <c r="X9" s="4">
        <v>1956</v>
      </c>
      <c r="Y9" s="4">
        <v>1956</v>
      </c>
      <c r="Z9" s="4">
        <v>1956</v>
      </c>
      <c r="AA9" s="4">
        <v>1956</v>
      </c>
      <c r="AB9" s="4">
        <v>1956</v>
      </c>
      <c r="AC9" s="4">
        <v>1956</v>
      </c>
      <c r="AD9" s="4">
        <v>1956</v>
      </c>
      <c r="AE9" s="4">
        <v>1956</v>
      </c>
      <c r="AF9" s="4">
        <v>1956</v>
      </c>
      <c r="AG9" s="4">
        <v>1956</v>
      </c>
      <c r="AH9" s="4">
        <v>1956</v>
      </c>
      <c r="AI9" s="7">
        <f t="shared" si="0"/>
        <v>0</v>
      </c>
    </row>
    <row r="10" spans="1:35" ht="20.149999999999999" customHeight="1">
      <c r="A10" s="2"/>
      <c r="B10" s="2"/>
      <c r="C10" s="79" t="s">
        <v>22</v>
      </c>
      <c r="D10" s="45">
        <v>28</v>
      </c>
      <c r="E10" s="4">
        <v>28</v>
      </c>
      <c r="F10" s="4">
        <v>28</v>
      </c>
      <c r="G10" s="4">
        <v>28</v>
      </c>
      <c r="H10" s="4">
        <v>28</v>
      </c>
      <c r="I10" s="4">
        <v>28</v>
      </c>
      <c r="J10" s="4">
        <v>28</v>
      </c>
      <c r="K10" s="4">
        <v>28</v>
      </c>
      <c r="L10" s="4">
        <v>28</v>
      </c>
      <c r="M10" s="4">
        <v>28</v>
      </c>
      <c r="N10" s="4">
        <v>28</v>
      </c>
      <c r="O10" s="4">
        <v>28</v>
      </c>
      <c r="P10" s="4">
        <v>28</v>
      </c>
      <c r="Q10" s="4">
        <v>28</v>
      </c>
      <c r="R10" s="4">
        <v>28</v>
      </c>
      <c r="S10" s="4">
        <v>28</v>
      </c>
      <c r="T10" s="4">
        <v>28</v>
      </c>
      <c r="U10" s="4">
        <v>28</v>
      </c>
      <c r="V10" s="4">
        <v>28</v>
      </c>
      <c r="W10" s="4">
        <v>28</v>
      </c>
      <c r="X10" s="4">
        <v>28</v>
      </c>
      <c r="Y10" s="4">
        <v>28</v>
      </c>
      <c r="Z10" s="4">
        <v>28</v>
      </c>
      <c r="AA10" s="4">
        <v>28</v>
      </c>
      <c r="AB10" s="4">
        <v>28</v>
      </c>
      <c r="AC10" s="4">
        <v>28</v>
      </c>
      <c r="AD10" s="4">
        <v>28</v>
      </c>
      <c r="AE10" s="4">
        <v>28</v>
      </c>
      <c r="AF10" s="4">
        <v>28</v>
      </c>
      <c r="AG10" s="4">
        <v>28</v>
      </c>
      <c r="AH10" s="4">
        <v>28</v>
      </c>
      <c r="AI10" s="7">
        <f t="shared" si="0"/>
        <v>0</v>
      </c>
    </row>
    <row r="11" spans="1:35" ht="20.149999999999999" customHeight="1">
      <c r="A11" s="2">
        <v>3</v>
      </c>
      <c r="B11" s="2" t="s">
        <v>129</v>
      </c>
      <c r="C11" s="2" t="s">
        <v>113</v>
      </c>
      <c r="D11" s="7">
        <v>45249</v>
      </c>
      <c r="E11" s="4">
        <v>45659</v>
      </c>
      <c r="F11" s="4">
        <v>45937</v>
      </c>
      <c r="G11" s="4">
        <v>46190</v>
      </c>
      <c r="H11" s="4">
        <v>46554</v>
      </c>
      <c r="I11" s="4">
        <v>46857</v>
      </c>
      <c r="J11" s="4">
        <v>47224</v>
      </c>
      <c r="K11" s="4">
        <v>47560</v>
      </c>
      <c r="L11" s="4">
        <v>47822</v>
      </c>
      <c r="M11" s="4">
        <v>48099</v>
      </c>
      <c r="N11" s="4">
        <v>48444</v>
      </c>
      <c r="O11" s="4">
        <v>48610</v>
      </c>
      <c r="P11" s="4">
        <v>48936</v>
      </c>
      <c r="Q11" s="4">
        <v>49185</v>
      </c>
      <c r="R11" s="4">
        <v>49405</v>
      </c>
      <c r="S11" s="4">
        <v>49691</v>
      </c>
      <c r="T11" s="4">
        <v>49960</v>
      </c>
      <c r="U11" s="4">
        <v>50224</v>
      </c>
      <c r="V11" s="4">
        <v>50483</v>
      </c>
      <c r="W11" s="4">
        <v>50770</v>
      </c>
      <c r="X11" s="4">
        <v>51135</v>
      </c>
      <c r="Y11" s="4">
        <v>51492</v>
      </c>
      <c r="Z11" s="4">
        <v>51774</v>
      </c>
      <c r="AA11" s="4">
        <v>52068</v>
      </c>
      <c r="AB11" s="4">
        <v>52408</v>
      </c>
      <c r="AC11" s="4">
        <v>52771</v>
      </c>
      <c r="AD11" s="4">
        <v>53138</v>
      </c>
      <c r="AE11" s="8">
        <v>53521</v>
      </c>
      <c r="AF11" s="8">
        <v>53797</v>
      </c>
      <c r="AG11" s="8">
        <v>54090</v>
      </c>
      <c r="AH11" s="8">
        <v>54227</v>
      </c>
      <c r="AI11" s="7">
        <f t="shared" si="0"/>
        <v>8978</v>
      </c>
    </row>
    <row r="12" spans="1:35" ht="20.149999999999999" customHeight="1">
      <c r="A12" s="2"/>
      <c r="B12" s="2"/>
      <c r="C12" s="79" t="s">
        <v>22</v>
      </c>
      <c r="D12" s="7">
        <v>1649</v>
      </c>
      <c r="E12" s="4">
        <v>1702</v>
      </c>
      <c r="F12" s="4">
        <v>1702</v>
      </c>
      <c r="G12" s="4">
        <v>1821</v>
      </c>
      <c r="H12" s="4">
        <v>1821</v>
      </c>
      <c r="I12" s="4">
        <v>1885</v>
      </c>
      <c r="J12" s="4">
        <v>1885</v>
      </c>
      <c r="K12" s="4">
        <v>1898</v>
      </c>
      <c r="L12" s="4">
        <v>1898</v>
      </c>
      <c r="M12" s="4">
        <v>1928</v>
      </c>
      <c r="N12" s="4">
        <v>1928</v>
      </c>
      <c r="O12" s="4">
        <v>2127</v>
      </c>
      <c r="P12" s="4">
        <v>2163</v>
      </c>
      <c r="Q12" s="4">
        <v>2280</v>
      </c>
      <c r="R12" s="4">
        <v>2392</v>
      </c>
      <c r="S12" s="4">
        <v>2393</v>
      </c>
      <c r="T12" s="4">
        <v>2402</v>
      </c>
      <c r="U12" s="4">
        <v>2439</v>
      </c>
      <c r="V12" s="4">
        <v>2548</v>
      </c>
      <c r="W12" s="4">
        <v>2630</v>
      </c>
      <c r="X12" s="4">
        <v>2630</v>
      </c>
      <c r="Y12" s="4">
        <v>2630</v>
      </c>
      <c r="Z12" s="4">
        <v>2630</v>
      </c>
      <c r="AA12" s="4">
        <v>2630</v>
      </c>
      <c r="AB12" s="4">
        <v>2642</v>
      </c>
      <c r="AC12" s="4">
        <v>2642</v>
      </c>
      <c r="AD12" s="4">
        <v>2642</v>
      </c>
      <c r="AE12" s="4">
        <v>2642</v>
      </c>
      <c r="AF12" s="8">
        <v>2690</v>
      </c>
      <c r="AG12" s="8">
        <v>2699</v>
      </c>
      <c r="AH12" s="8">
        <v>2701</v>
      </c>
      <c r="AI12" s="7">
        <f t="shared" si="0"/>
        <v>1052</v>
      </c>
    </row>
    <row r="13" spans="1:35" ht="20.149999999999999" customHeight="1">
      <c r="A13" s="2">
        <v>4</v>
      </c>
      <c r="B13" s="2" t="s">
        <v>129</v>
      </c>
      <c r="C13" s="2" t="s">
        <v>114</v>
      </c>
      <c r="D13" s="3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7">
        <f t="shared" si="0"/>
        <v>0</v>
      </c>
    </row>
    <row r="14" spans="1:35" ht="20.149999999999999" customHeight="1">
      <c r="A14" s="2"/>
      <c r="B14" s="2"/>
      <c r="C14" s="79" t="s">
        <v>22</v>
      </c>
      <c r="D14" s="45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7">
        <f t="shared" si="0"/>
        <v>0</v>
      </c>
    </row>
    <row r="15" spans="1:35" ht="20.149999999999999" customHeight="1">
      <c r="A15" s="2">
        <v>5</v>
      </c>
      <c r="B15" s="2" t="s">
        <v>129</v>
      </c>
      <c r="C15" s="2" t="s">
        <v>115</v>
      </c>
      <c r="D15" s="7">
        <v>15905</v>
      </c>
      <c r="E15" s="4">
        <v>16093</v>
      </c>
      <c r="F15" s="4">
        <v>16220</v>
      </c>
      <c r="G15" s="5">
        <v>16350</v>
      </c>
      <c r="H15" s="5">
        <v>16538</v>
      </c>
      <c r="I15" s="4">
        <v>16695</v>
      </c>
      <c r="J15" s="4">
        <v>16889</v>
      </c>
      <c r="K15" s="4">
        <v>17062</v>
      </c>
      <c r="L15" s="4">
        <v>17186</v>
      </c>
      <c r="M15" s="4">
        <v>17308</v>
      </c>
      <c r="N15" s="4">
        <v>17492</v>
      </c>
      <c r="O15" s="4">
        <v>17582</v>
      </c>
      <c r="P15" s="4">
        <v>17758</v>
      </c>
      <c r="Q15" s="4">
        <v>17891</v>
      </c>
      <c r="R15" s="4">
        <v>18002</v>
      </c>
      <c r="S15" s="4">
        <v>18126</v>
      </c>
      <c r="T15" s="4">
        <v>18248</v>
      </c>
      <c r="U15" s="4">
        <v>18357</v>
      </c>
      <c r="V15" s="4">
        <v>18492</v>
      </c>
      <c r="W15" s="4">
        <v>18644</v>
      </c>
      <c r="X15" s="4">
        <v>18838</v>
      </c>
      <c r="Y15" s="33">
        <v>19028</v>
      </c>
      <c r="Z15" s="4">
        <v>19149</v>
      </c>
      <c r="AA15" s="4">
        <v>19281</v>
      </c>
      <c r="AB15" s="4">
        <v>19453</v>
      </c>
      <c r="AC15" s="4">
        <v>19612</v>
      </c>
      <c r="AD15" s="4">
        <v>19874</v>
      </c>
      <c r="AE15" s="8">
        <v>20029</v>
      </c>
      <c r="AF15" s="8">
        <v>20170</v>
      </c>
      <c r="AG15" s="8">
        <v>20286</v>
      </c>
      <c r="AH15" s="8">
        <v>20339</v>
      </c>
      <c r="AI15" s="7">
        <f t="shared" si="0"/>
        <v>4434</v>
      </c>
    </row>
    <row r="16" spans="1:35" ht="20.149999999999999" customHeight="1">
      <c r="A16" s="2"/>
      <c r="B16" s="2"/>
      <c r="C16" s="79" t="s">
        <v>22</v>
      </c>
      <c r="D16" s="7">
        <v>746</v>
      </c>
      <c r="E16" s="4">
        <v>778</v>
      </c>
      <c r="F16" s="4">
        <v>779</v>
      </c>
      <c r="G16" s="5">
        <v>840</v>
      </c>
      <c r="H16" s="5">
        <v>840</v>
      </c>
      <c r="I16" s="4">
        <v>878</v>
      </c>
      <c r="J16" s="4">
        <v>878</v>
      </c>
      <c r="K16" s="4">
        <v>884</v>
      </c>
      <c r="L16" s="4">
        <v>884</v>
      </c>
      <c r="M16" s="4">
        <v>897</v>
      </c>
      <c r="N16" s="4">
        <v>897</v>
      </c>
      <c r="O16" s="4">
        <v>1003</v>
      </c>
      <c r="P16" s="4">
        <v>1021</v>
      </c>
      <c r="Q16" s="4">
        <v>1086</v>
      </c>
      <c r="R16" s="4">
        <v>1150</v>
      </c>
      <c r="S16" s="4">
        <v>1150</v>
      </c>
      <c r="T16" s="4">
        <v>1154</v>
      </c>
      <c r="U16" s="4">
        <v>1169</v>
      </c>
      <c r="V16" s="4">
        <v>1229</v>
      </c>
      <c r="W16" s="4">
        <v>1274</v>
      </c>
      <c r="X16" s="4">
        <v>1274</v>
      </c>
      <c r="Y16" s="33">
        <v>1274</v>
      </c>
      <c r="Z16" s="4">
        <v>1274</v>
      </c>
      <c r="AA16" s="4">
        <v>1274</v>
      </c>
      <c r="AB16" s="4">
        <v>1280</v>
      </c>
      <c r="AC16" s="4">
        <v>1280</v>
      </c>
      <c r="AD16" s="4">
        <v>1280</v>
      </c>
      <c r="AE16" s="8">
        <v>1280</v>
      </c>
      <c r="AF16" s="8">
        <v>1306</v>
      </c>
      <c r="AG16" s="8">
        <v>1310</v>
      </c>
      <c r="AH16" s="8">
        <v>1311</v>
      </c>
      <c r="AI16" s="7">
        <f t="shared" si="0"/>
        <v>565</v>
      </c>
    </row>
    <row r="17" spans="1:35" ht="20.149999999999999" customHeight="1">
      <c r="A17" s="2">
        <v>6</v>
      </c>
      <c r="B17" s="2" t="s">
        <v>129</v>
      </c>
      <c r="C17" s="2" t="s">
        <v>116</v>
      </c>
      <c r="D17" s="7">
        <v>26115</v>
      </c>
      <c r="E17" s="4">
        <v>26384</v>
      </c>
      <c r="F17" s="4">
        <v>26500</v>
      </c>
      <c r="G17" s="4">
        <v>26639</v>
      </c>
      <c r="H17" s="4">
        <v>26918</v>
      </c>
      <c r="I17" s="4">
        <v>27154</v>
      </c>
      <c r="J17" s="4">
        <v>27410</v>
      </c>
      <c r="K17" s="4">
        <v>27656</v>
      </c>
      <c r="L17" s="4">
        <v>27794</v>
      </c>
      <c r="M17" s="4">
        <v>27913</v>
      </c>
      <c r="N17" s="4">
        <v>28193</v>
      </c>
      <c r="O17" s="4">
        <v>28316</v>
      </c>
      <c r="P17" s="4">
        <v>28575</v>
      </c>
      <c r="Q17" s="4">
        <v>28764</v>
      </c>
      <c r="R17" s="4">
        <v>28921</v>
      </c>
      <c r="S17" s="4">
        <v>29072</v>
      </c>
      <c r="T17" s="4">
        <v>29219</v>
      </c>
      <c r="U17" s="4">
        <v>29363</v>
      </c>
      <c r="V17" s="4">
        <v>29534</v>
      </c>
      <c r="W17" s="4">
        <v>29756</v>
      </c>
      <c r="X17" s="4">
        <v>29993</v>
      </c>
      <c r="Y17" s="4">
        <v>30229</v>
      </c>
      <c r="Z17" s="4">
        <v>30340</v>
      </c>
      <c r="AA17" s="4">
        <v>30479</v>
      </c>
      <c r="AB17" s="4">
        <v>30679</v>
      </c>
      <c r="AC17" s="4">
        <v>30924</v>
      </c>
      <c r="AD17" s="4">
        <v>31175</v>
      </c>
      <c r="AE17" s="4">
        <v>31411</v>
      </c>
      <c r="AF17" s="8">
        <v>31599</v>
      </c>
      <c r="AG17" s="4">
        <v>31714</v>
      </c>
      <c r="AH17" s="8">
        <v>31779</v>
      </c>
      <c r="AI17" s="7">
        <f t="shared" si="0"/>
        <v>5664</v>
      </c>
    </row>
    <row r="18" spans="1:35" ht="20.149999999999999" customHeight="1">
      <c r="A18" s="2"/>
      <c r="B18" s="2"/>
      <c r="C18" s="79" t="s">
        <v>22</v>
      </c>
      <c r="D18" s="7">
        <v>1209</v>
      </c>
      <c r="E18" s="4">
        <v>1253</v>
      </c>
      <c r="F18" s="4">
        <v>1253</v>
      </c>
      <c r="G18" s="4">
        <v>1385</v>
      </c>
      <c r="H18" s="4">
        <v>1385</v>
      </c>
      <c r="I18" s="4">
        <v>1381</v>
      </c>
      <c r="J18" s="4">
        <v>1381</v>
      </c>
      <c r="K18" s="4">
        <v>1387</v>
      </c>
      <c r="L18" s="4">
        <v>1387</v>
      </c>
      <c r="M18" s="4">
        <v>1402</v>
      </c>
      <c r="N18" s="4">
        <v>1402</v>
      </c>
      <c r="O18" s="4">
        <v>1567</v>
      </c>
      <c r="P18" s="4">
        <v>1595</v>
      </c>
      <c r="Q18" s="4">
        <v>1699</v>
      </c>
      <c r="R18" s="4">
        <v>1795</v>
      </c>
      <c r="S18" s="4">
        <v>1796</v>
      </c>
      <c r="T18" s="4">
        <v>1798</v>
      </c>
      <c r="U18" s="4">
        <v>1814</v>
      </c>
      <c r="V18" s="4">
        <v>1880</v>
      </c>
      <c r="W18" s="4">
        <v>1954</v>
      </c>
      <c r="X18" s="4">
        <v>1954</v>
      </c>
      <c r="Y18" s="4">
        <v>1954</v>
      </c>
      <c r="Z18" s="4">
        <v>1954</v>
      </c>
      <c r="AA18" s="4">
        <v>1954</v>
      </c>
      <c r="AB18" s="33">
        <v>1962</v>
      </c>
      <c r="AC18" s="4">
        <v>1962</v>
      </c>
      <c r="AD18" s="4">
        <v>1962</v>
      </c>
      <c r="AE18" s="8">
        <v>1962</v>
      </c>
      <c r="AF18" s="8">
        <v>1997</v>
      </c>
      <c r="AG18" s="8">
        <v>1998</v>
      </c>
      <c r="AH18" s="8">
        <v>1999</v>
      </c>
      <c r="AI18" s="7">
        <f t="shared" si="0"/>
        <v>790</v>
      </c>
    </row>
    <row r="19" spans="1:35" ht="20.149999999999999" customHeight="1">
      <c r="A19" s="2">
        <v>7</v>
      </c>
      <c r="B19" s="2" t="s">
        <v>129</v>
      </c>
      <c r="C19" s="2" t="s">
        <v>117</v>
      </c>
      <c r="D19" s="7">
        <v>94630</v>
      </c>
      <c r="E19" s="4">
        <v>95345</v>
      </c>
      <c r="F19" s="4">
        <v>95647</v>
      </c>
      <c r="G19" s="5">
        <v>96151</v>
      </c>
      <c r="H19" s="5">
        <v>96894</v>
      </c>
      <c r="I19" s="4">
        <v>97460</v>
      </c>
      <c r="J19" s="4">
        <v>98176</v>
      </c>
      <c r="K19" s="4">
        <v>98863</v>
      </c>
      <c r="L19" s="4">
        <v>99306</v>
      </c>
      <c r="M19" s="4">
        <v>99658</v>
      </c>
      <c r="N19" s="4">
        <v>100341</v>
      </c>
      <c r="O19" s="4">
        <v>100699</v>
      </c>
      <c r="P19" s="4">
        <v>101318</v>
      </c>
      <c r="Q19" s="4">
        <v>101804</v>
      </c>
      <c r="R19" s="5">
        <v>102235</v>
      </c>
      <c r="S19" s="4">
        <v>102687</v>
      </c>
      <c r="T19" s="4">
        <v>103226</v>
      </c>
      <c r="U19" s="4">
        <v>103503</v>
      </c>
      <c r="V19" s="4">
        <v>103957</v>
      </c>
      <c r="W19" s="5">
        <v>104485</v>
      </c>
      <c r="X19" s="4">
        <v>105126</v>
      </c>
      <c r="Y19" s="4">
        <v>105778</v>
      </c>
      <c r="Z19" s="4">
        <v>106120</v>
      </c>
      <c r="AA19" s="4">
        <v>106434</v>
      </c>
      <c r="AB19" s="33">
        <v>107025</v>
      </c>
      <c r="AC19" s="4">
        <v>107634</v>
      </c>
      <c r="AD19" s="4">
        <v>108302</v>
      </c>
      <c r="AE19" s="8">
        <v>109015</v>
      </c>
      <c r="AF19" s="8">
        <v>109562</v>
      </c>
      <c r="AG19" s="8">
        <v>109901</v>
      </c>
      <c r="AH19" s="8">
        <v>109964</v>
      </c>
      <c r="AI19" s="7">
        <f t="shared" si="0"/>
        <v>15334</v>
      </c>
    </row>
    <row r="20" spans="1:35" ht="20.149999999999999" customHeight="1">
      <c r="A20" s="2"/>
      <c r="B20" s="2"/>
      <c r="C20" s="79" t="s">
        <v>22</v>
      </c>
      <c r="D20" s="7">
        <v>3299</v>
      </c>
      <c r="E20" s="4">
        <v>3414</v>
      </c>
      <c r="F20" s="4">
        <v>3417</v>
      </c>
      <c r="G20" s="5">
        <v>3625</v>
      </c>
      <c r="H20" s="5">
        <v>3625</v>
      </c>
      <c r="I20" s="4">
        <v>3748</v>
      </c>
      <c r="J20" s="4">
        <v>3755</v>
      </c>
      <c r="K20" s="4">
        <v>3770</v>
      </c>
      <c r="L20" s="4">
        <v>3770</v>
      </c>
      <c r="M20" s="4">
        <v>3825</v>
      </c>
      <c r="N20" s="4">
        <v>3825</v>
      </c>
      <c r="O20" s="4">
        <v>4156</v>
      </c>
      <c r="P20" s="4">
        <v>4214</v>
      </c>
      <c r="Q20" s="4">
        <v>4426</v>
      </c>
      <c r="R20" s="5">
        <v>4652</v>
      </c>
      <c r="S20" s="4">
        <v>4654</v>
      </c>
      <c r="T20" s="4">
        <v>4669</v>
      </c>
      <c r="U20" s="4">
        <v>4713</v>
      </c>
      <c r="V20" s="4">
        <v>4875</v>
      </c>
      <c r="W20" s="5">
        <v>5018</v>
      </c>
      <c r="X20" s="4">
        <v>5018</v>
      </c>
      <c r="Y20" s="4">
        <v>5018</v>
      </c>
      <c r="Z20" s="4">
        <v>5018</v>
      </c>
      <c r="AA20" s="4">
        <v>5018</v>
      </c>
      <c r="AB20" s="33">
        <v>5037</v>
      </c>
      <c r="AC20" s="4">
        <v>5037</v>
      </c>
      <c r="AD20" s="4">
        <v>5037</v>
      </c>
      <c r="AE20" s="8">
        <v>5037</v>
      </c>
      <c r="AF20" s="8">
        <v>5108</v>
      </c>
      <c r="AG20" s="8">
        <v>5117</v>
      </c>
      <c r="AH20" s="8">
        <v>5120</v>
      </c>
      <c r="AI20" s="7">
        <f t="shared" si="0"/>
        <v>1821</v>
      </c>
    </row>
    <row r="21" spans="1:35" ht="20.149999999999999" customHeight="1">
      <c r="A21" s="2">
        <v>8</v>
      </c>
      <c r="B21" s="2" t="s">
        <v>129</v>
      </c>
      <c r="C21" s="2" t="s">
        <v>118</v>
      </c>
      <c r="D21" s="7">
        <v>20693</v>
      </c>
      <c r="E21" s="4">
        <v>20827</v>
      </c>
      <c r="F21" s="4">
        <v>20964</v>
      </c>
      <c r="G21" s="5">
        <v>21109</v>
      </c>
      <c r="H21" s="5">
        <v>21208</v>
      </c>
      <c r="I21" s="4">
        <v>21287</v>
      </c>
      <c r="J21" s="4">
        <v>21376</v>
      </c>
      <c r="K21" s="4">
        <v>21459</v>
      </c>
      <c r="L21" s="4">
        <v>21570</v>
      </c>
      <c r="M21" s="4">
        <v>21691</v>
      </c>
      <c r="N21" s="4">
        <v>21790</v>
      </c>
      <c r="O21" s="4">
        <v>21831</v>
      </c>
      <c r="P21" s="4">
        <v>21916</v>
      </c>
      <c r="Q21" s="4">
        <v>21990</v>
      </c>
      <c r="R21" s="4">
        <v>22049</v>
      </c>
      <c r="S21" s="4">
        <v>22166</v>
      </c>
      <c r="T21" s="4">
        <v>22310</v>
      </c>
      <c r="U21" s="4">
        <v>22431</v>
      </c>
      <c r="V21" s="4">
        <v>22562</v>
      </c>
      <c r="W21" s="4">
        <v>22660</v>
      </c>
      <c r="X21" s="4">
        <v>22787</v>
      </c>
      <c r="Y21" s="4">
        <v>22919</v>
      </c>
      <c r="Z21" s="4">
        <v>23046</v>
      </c>
      <c r="AA21" s="4">
        <v>23171</v>
      </c>
      <c r="AB21" s="4">
        <v>23340</v>
      </c>
      <c r="AC21" s="4">
        <v>23459</v>
      </c>
      <c r="AD21" s="4">
        <v>23580</v>
      </c>
      <c r="AE21" s="8">
        <v>23712</v>
      </c>
      <c r="AF21" s="8">
        <v>23806</v>
      </c>
      <c r="AG21" s="8">
        <v>23926</v>
      </c>
      <c r="AH21" s="8">
        <v>23959</v>
      </c>
      <c r="AI21" s="7">
        <f t="shared" si="0"/>
        <v>3266</v>
      </c>
    </row>
    <row r="22" spans="1:35" ht="20.149999999999999" customHeight="1">
      <c r="A22" s="2"/>
      <c r="B22" s="2"/>
      <c r="C22" s="79" t="s">
        <v>22</v>
      </c>
      <c r="D22" s="31">
        <v>585</v>
      </c>
      <c r="E22" s="2">
        <v>606</v>
      </c>
      <c r="F22" s="2">
        <v>606</v>
      </c>
      <c r="G22" s="2">
        <v>659</v>
      </c>
      <c r="H22" s="2">
        <v>659</v>
      </c>
      <c r="I22" s="2">
        <v>681</v>
      </c>
      <c r="J22" s="2">
        <v>681</v>
      </c>
      <c r="K22" s="2">
        <v>684</v>
      </c>
      <c r="L22" s="2">
        <v>684</v>
      </c>
      <c r="M22" s="2">
        <v>695</v>
      </c>
      <c r="N22" s="2">
        <v>695</v>
      </c>
      <c r="O22" s="2">
        <v>746</v>
      </c>
      <c r="P22" s="2">
        <v>757</v>
      </c>
      <c r="Q22" s="2">
        <v>789</v>
      </c>
      <c r="R22" s="2">
        <v>837</v>
      </c>
      <c r="S22" s="2">
        <v>837</v>
      </c>
      <c r="T22" s="2">
        <v>844</v>
      </c>
      <c r="U22" s="2">
        <v>862</v>
      </c>
      <c r="V22" s="2">
        <v>918</v>
      </c>
      <c r="W22" s="2">
        <v>945</v>
      </c>
      <c r="X22" s="2">
        <v>945</v>
      </c>
      <c r="Y22" s="2">
        <v>945</v>
      </c>
      <c r="Z22" s="2">
        <v>945</v>
      </c>
      <c r="AA22" s="2">
        <v>945</v>
      </c>
      <c r="AB22" s="2">
        <v>950</v>
      </c>
      <c r="AC22" s="2">
        <v>950</v>
      </c>
      <c r="AD22" s="2">
        <v>950</v>
      </c>
      <c r="AE22" s="2">
        <v>950</v>
      </c>
      <c r="AF22" s="2">
        <v>964</v>
      </c>
      <c r="AG22" s="2">
        <v>969</v>
      </c>
      <c r="AH22" s="2">
        <v>969</v>
      </c>
      <c r="AI22" s="7">
        <f t="shared" si="0"/>
        <v>384</v>
      </c>
    </row>
    <row r="23" spans="1:35" ht="14.5" customHeight="1">
      <c r="A23" s="503"/>
      <c r="B23" s="504"/>
      <c r="C23" s="504"/>
      <c r="D23" s="504"/>
      <c r="E23" s="504"/>
      <c r="F23" s="504"/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4"/>
      <c r="AA23" s="504"/>
      <c r="AB23" s="504"/>
      <c r="AC23" s="504"/>
      <c r="AD23" s="504"/>
      <c r="AE23" s="504"/>
      <c r="AF23" s="504"/>
      <c r="AG23" s="504"/>
      <c r="AH23" s="504"/>
      <c r="AI23" s="501"/>
    </row>
    <row r="24" spans="1:35" ht="14.5" customHeight="1">
      <c r="A24" s="2">
        <v>1</v>
      </c>
      <c r="B24" s="2" t="s">
        <v>129</v>
      </c>
      <c r="C24" s="2" t="s">
        <v>119</v>
      </c>
      <c r="D24" s="7">
        <v>9012</v>
      </c>
      <c r="E24" s="4">
        <v>9122</v>
      </c>
      <c r="F24" s="4">
        <v>9122</v>
      </c>
      <c r="G24" s="4">
        <v>9191</v>
      </c>
      <c r="H24" s="4">
        <v>9295</v>
      </c>
      <c r="I24" s="4">
        <v>9369</v>
      </c>
      <c r="J24" s="4">
        <v>9480</v>
      </c>
      <c r="K24" s="4">
        <v>9594</v>
      </c>
      <c r="L24" s="4">
        <v>9652</v>
      </c>
      <c r="M24" s="4">
        <v>9652</v>
      </c>
      <c r="N24" s="4">
        <v>9758</v>
      </c>
      <c r="O24" s="4">
        <v>9811</v>
      </c>
      <c r="P24" s="4">
        <v>9899</v>
      </c>
      <c r="Q24" s="4">
        <v>9960</v>
      </c>
      <c r="R24" s="4">
        <v>10010</v>
      </c>
      <c r="S24" s="4">
        <v>10063</v>
      </c>
      <c r="T24" s="4">
        <v>10063</v>
      </c>
      <c r="U24" s="4">
        <v>10079</v>
      </c>
      <c r="V24" s="4">
        <v>10158</v>
      </c>
      <c r="W24" s="4">
        <v>10241</v>
      </c>
      <c r="X24" s="4">
        <v>10350</v>
      </c>
      <c r="Y24" s="4">
        <v>10477</v>
      </c>
      <c r="Z24" s="4">
        <v>10547</v>
      </c>
      <c r="AA24" s="4">
        <v>10547</v>
      </c>
      <c r="AB24" s="4">
        <v>10671</v>
      </c>
      <c r="AC24" s="4">
        <v>10740</v>
      </c>
      <c r="AD24" s="4">
        <v>10786</v>
      </c>
      <c r="AE24" s="4">
        <v>10832</v>
      </c>
      <c r="AF24" s="4">
        <v>10880</v>
      </c>
      <c r="AG24" s="4">
        <v>10907</v>
      </c>
      <c r="AH24" s="8">
        <v>10907</v>
      </c>
      <c r="AI24" s="7">
        <f t="shared" ref="AI24:AI31" si="1">AH24-D24</f>
        <v>1895</v>
      </c>
    </row>
    <row r="25" spans="1:35" ht="14.5" customHeight="1">
      <c r="A25" s="2"/>
      <c r="B25" s="2"/>
      <c r="C25" s="79" t="s">
        <v>22</v>
      </c>
      <c r="D25" s="7">
        <v>555</v>
      </c>
      <c r="E25" s="4">
        <v>569</v>
      </c>
      <c r="F25" s="4">
        <v>569</v>
      </c>
      <c r="G25" s="4">
        <v>618</v>
      </c>
      <c r="H25" s="4">
        <v>618</v>
      </c>
      <c r="I25" s="4">
        <v>645</v>
      </c>
      <c r="J25" s="4">
        <v>645</v>
      </c>
      <c r="K25" s="4">
        <v>645</v>
      </c>
      <c r="L25" s="4">
        <v>645</v>
      </c>
      <c r="M25" s="4">
        <v>645</v>
      </c>
      <c r="N25" s="4">
        <v>645</v>
      </c>
      <c r="O25" s="4">
        <v>708</v>
      </c>
      <c r="P25" s="4">
        <v>721</v>
      </c>
      <c r="Q25" s="4">
        <v>765</v>
      </c>
      <c r="R25" s="4">
        <v>814</v>
      </c>
      <c r="S25" s="4">
        <v>814</v>
      </c>
      <c r="T25" s="4">
        <v>814</v>
      </c>
      <c r="U25" s="4">
        <v>817</v>
      </c>
      <c r="V25" s="4">
        <v>854</v>
      </c>
      <c r="W25" s="4">
        <v>889</v>
      </c>
      <c r="X25" s="4">
        <v>889</v>
      </c>
      <c r="Y25" s="4">
        <v>889</v>
      </c>
      <c r="Z25" s="4">
        <v>889</v>
      </c>
      <c r="AA25" s="4">
        <v>889</v>
      </c>
      <c r="AB25" s="4">
        <v>895</v>
      </c>
      <c r="AC25" s="4">
        <v>895</v>
      </c>
      <c r="AD25" s="4">
        <v>895</v>
      </c>
      <c r="AE25" s="8">
        <v>895</v>
      </c>
      <c r="AF25" s="8">
        <v>895</v>
      </c>
      <c r="AG25" s="8">
        <v>895</v>
      </c>
      <c r="AH25" s="8">
        <v>895</v>
      </c>
      <c r="AI25" s="7">
        <f t="shared" si="1"/>
        <v>340</v>
      </c>
    </row>
    <row r="26" spans="1:35" ht="14.5" customHeight="1">
      <c r="A26" s="2">
        <v>2</v>
      </c>
      <c r="B26" s="2" t="s">
        <v>129</v>
      </c>
      <c r="C26" s="2" t="s">
        <v>120</v>
      </c>
      <c r="D26" s="7">
        <v>8291</v>
      </c>
      <c r="E26" s="4">
        <v>8400</v>
      </c>
      <c r="F26" s="4">
        <v>8400</v>
      </c>
      <c r="G26" s="5">
        <v>8467</v>
      </c>
      <c r="H26" s="5">
        <v>8569</v>
      </c>
      <c r="I26" s="4">
        <v>8641</v>
      </c>
      <c r="J26" s="4">
        <v>8743</v>
      </c>
      <c r="K26" s="4">
        <v>8853</v>
      </c>
      <c r="L26" s="4">
        <v>8904</v>
      </c>
      <c r="M26" s="4">
        <v>8904</v>
      </c>
      <c r="N26" s="4">
        <v>9004</v>
      </c>
      <c r="O26" s="4">
        <v>9058</v>
      </c>
      <c r="P26" s="4">
        <v>9115</v>
      </c>
      <c r="Q26" s="4">
        <v>9206</v>
      </c>
      <c r="R26" s="4">
        <v>9253</v>
      </c>
      <c r="S26" s="4">
        <v>9302</v>
      </c>
      <c r="T26" s="4">
        <v>9302</v>
      </c>
      <c r="U26" s="4">
        <v>9319</v>
      </c>
      <c r="V26" s="4">
        <v>9400</v>
      </c>
      <c r="W26" s="4">
        <v>9484</v>
      </c>
      <c r="X26" s="4">
        <v>9583</v>
      </c>
      <c r="Y26" s="4">
        <v>9691</v>
      </c>
      <c r="Z26" s="4">
        <v>9750</v>
      </c>
      <c r="AA26" s="4">
        <v>9750</v>
      </c>
      <c r="AB26" s="4">
        <v>9871</v>
      </c>
      <c r="AC26" s="4">
        <v>9951</v>
      </c>
      <c r="AD26" s="4">
        <v>10088</v>
      </c>
      <c r="AE26" s="8">
        <v>10191</v>
      </c>
      <c r="AF26" s="8">
        <v>10274</v>
      </c>
      <c r="AG26" s="8">
        <v>10321</v>
      </c>
      <c r="AH26" s="8">
        <v>10321</v>
      </c>
      <c r="AI26" s="7">
        <f t="shared" si="1"/>
        <v>2030</v>
      </c>
    </row>
    <row r="27" spans="1:35" ht="14.5" customHeight="1">
      <c r="A27" s="2"/>
      <c r="B27" s="2"/>
      <c r="C27" s="79" t="s">
        <v>22</v>
      </c>
      <c r="D27" s="7">
        <v>557</v>
      </c>
      <c r="E27" s="4">
        <v>570</v>
      </c>
      <c r="F27" s="4">
        <v>570</v>
      </c>
      <c r="G27" s="5">
        <v>620</v>
      </c>
      <c r="H27" s="5">
        <v>620</v>
      </c>
      <c r="I27" s="4">
        <v>646</v>
      </c>
      <c r="J27" s="4">
        <v>646</v>
      </c>
      <c r="K27" s="4">
        <v>646</v>
      </c>
      <c r="L27" s="4">
        <v>646</v>
      </c>
      <c r="M27" s="4">
        <v>646</v>
      </c>
      <c r="N27" s="4">
        <v>646</v>
      </c>
      <c r="O27" s="4">
        <v>703</v>
      </c>
      <c r="P27" s="4">
        <v>716</v>
      </c>
      <c r="Q27" s="4">
        <v>758</v>
      </c>
      <c r="R27" s="4">
        <v>804</v>
      </c>
      <c r="S27" s="4">
        <v>804</v>
      </c>
      <c r="T27" s="4">
        <v>804</v>
      </c>
      <c r="U27" s="4">
        <v>807</v>
      </c>
      <c r="V27" s="4">
        <v>847</v>
      </c>
      <c r="W27" s="4">
        <v>881</v>
      </c>
      <c r="X27" s="4">
        <v>881</v>
      </c>
      <c r="Y27" s="4">
        <v>881</v>
      </c>
      <c r="Z27" s="4">
        <v>881</v>
      </c>
      <c r="AA27" s="4">
        <v>881</v>
      </c>
      <c r="AB27" s="4">
        <v>887</v>
      </c>
      <c r="AC27" s="4">
        <v>887</v>
      </c>
      <c r="AD27" s="4">
        <v>887</v>
      </c>
      <c r="AE27" s="8">
        <v>887</v>
      </c>
      <c r="AF27" s="8">
        <v>901</v>
      </c>
      <c r="AG27" s="8">
        <v>903</v>
      </c>
      <c r="AH27" s="8">
        <v>903</v>
      </c>
      <c r="AI27" s="7">
        <f t="shared" si="1"/>
        <v>346</v>
      </c>
    </row>
    <row r="28" spans="1:35" ht="14.5" customHeight="1">
      <c r="A28" s="2">
        <v>3</v>
      </c>
      <c r="B28" s="2" t="s">
        <v>129</v>
      </c>
      <c r="C28" s="2" t="s">
        <v>121</v>
      </c>
      <c r="D28" s="7">
        <v>6422</v>
      </c>
      <c r="E28" s="4">
        <v>6497</v>
      </c>
      <c r="F28" s="4">
        <v>6497</v>
      </c>
      <c r="G28" s="4">
        <v>6570</v>
      </c>
      <c r="H28" s="4">
        <v>6701</v>
      </c>
      <c r="I28" s="4">
        <v>6788</v>
      </c>
      <c r="J28" s="4">
        <v>6912</v>
      </c>
      <c r="K28" s="4">
        <v>7034</v>
      </c>
      <c r="L28" s="4">
        <v>7096</v>
      </c>
      <c r="M28" s="4">
        <v>7096</v>
      </c>
      <c r="N28" s="4">
        <v>7251</v>
      </c>
      <c r="O28" s="4">
        <v>7272</v>
      </c>
      <c r="P28" s="4">
        <v>7372</v>
      </c>
      <c r="Q28" s="4">
        <v>7436</v>
      </c>
      <c r="R28" s="4">
        <v>7492</v>
      </c>
      <c r="S28" s="4">
        <v>7555</v>
      </c>
      <c r="T28" s="4">
        <v>7555</v>
      </c>
      <c r="U28" s="4">
        <v>7615</v>
      </c>
      <c r="V28" s="4">
        <v>7688</v>
      </c>
      <c r="W28" s="4">
        <v>7776</v>
      </c>
      <c r="X28" s="4">
        <v>7943</v>
      </c>
      <c r="Y28" s="4">
        <v>8026</v>
      </c>
      <c r="Z28" s="4">
        <v>8078</v>
      </c>
      <c r="AA28" s="4">
        <v>8078</v>
      </c>
      <c r="AB28" s="4">
        <v>8230</v>
      </c>
      <c r="AC28" s="4">
        <v>8287</v>
      </c>
      <c r="AD28" s="4">
        <v>8496</v>
      </c>
      <c r="AE28" s="4">
        <v>8611</v>
      </c>
      <c r="AF28" s="4">
        <v>8709</v>
      </c>
      <c r="AG28" s="4">
        <v>8764</v>
      </c>
      <c r="AH28" s="4">
        <v>8764</v>
      </c>
      <c r="AI28" s="7">
        <f t="shared" si="1"/>
        <v>2342</v>
      </c>
    </row>
    <row r="29" spans="1:35" ht="14.5" customHeight="1">
      <c r="A29" s="2"/>
      <c r="B29" s="2"/>
      <c r="C29" s="79" t="s">
        <v>22</v>
      </c>
      <c r="D29" s="7">
        <v>513</v>
      </c>
      <c r="E29" s="4">
        <v>526</v>
      </c>
      <c r="F29" s="4">
        <v>526</v>
      </c>
      <c r="G29" s="4">
        <v>580</v>
      </c>
      <c r="H29" s="4">
        <v>580</v>
      </c>
      <c r="I29" s="4">
        <v>611</v>
      </c>
      <c r="J29" s="4">
        <v>611</v>
      </c>
      <c r="K29" s="4">
        <v>611</v>
      </c>
      <c r="L29" s="4">
        <v>611</v>
      </c>
      <c r="M29" s="4">
        <v>611</v>
      </c>
      <c r="N29" s="4">
        <v>611</v>
      </c>
      <c r="O29" s="4">
        <v>611</v>
      </c>
      <c r="P29" s="4">
        <v>698</v>
      </c>
      <c r="Q29" s="4">
        <v>748</v>
      </c>
      <c r="R29" s="4">
        <v>805</v>
      </c>
      <c r="S29" s="4">
        <v>805</v>
      </c>
      <c r="T29" s="4">
        <v>805</v>
      </c>
      <c r="U29" s="4">
        <v>821</v>
      </c>
      <c r="V29" s="4">
        <v>862</v>
      </c>
      <c r="W29" s="4">
        <v>898</v>
      </c>
      <c r="X29" s="4">
        <v>898</v>
      </c>
      <c r="Y29" s="4">
        <v>898</v>
      </c>
      <c r="Z29" s="4">
        <v>898</v>
      </c>
      <c r="AA29" s="4">
        <v>898</v>
      </c>
      <c r="AB29" s="4">
        <v>905</v>
      </c>
      <c r="AC29" s="4">
        <v>905</v>
      </c>
      <c r="AD29" s="4">
        <v>905</v>
      </c>
      <c r="AE29" s="4">
        <v>905</v>
      </c>
      <c r="AF29" s="4">
        <v>920</v>
      </c>
      <c r="AG29" s="4">
        <v>923</v>
      </c>
      <c r="AH29" s="8">
        <v>923</v>
      </c>
      <c r="AI29" s="7">
        <f t="shared" si="1"/>
        <v>410</v>
      </c>
    </row>
    <row r="30" spans="1:35" ht="14.5" customHeight="1">
      <c r="A30" s="2">
        <v>4</v>
      </c>
      <c r="B30" s="2" t="s">
        <v>129</v>
      </c>
      <c r="C30" s="2" t="s">
        <v>122</v>
      </c>
      <c r="D30" s="7">
        <v>6551</v>
      </c>
      <c r="E30" s="4">
        <v>6630</v>
      </c>
      <c r="F30" s="4">
        <v>6630</v>
      </c>
      <c r="G30" s="4">
        <v>6692</v>
      </c>
      <c r="H30" s="4">
        <v>6793</v>
      </c>
      <c r="I30" s="4">
        <v>6868</v>
      </c>
      <c r="J30" s="4">
        <v>6978</v>
      </c>
      <c r="K30" s="4">
        <v>7085</v>
      </c>
      <c r="L30" s="4">
        <v>7139</v>
      </c>
      <c r="M30" s="4">
        <v>7139</v>
      </c>
      <c r="N30" s="4">
        <v>7243</v>
      </c>
      <c r="O30" s="4">
        <v>7292</v>
      </c>
      <c r="P30" s="4">
        <v>7377</v>
      </c>
      <c r="Q30" s="4">
        <v>7433</v>
      </c>
      <c r="R30" s="4">
        <v>7480</v>
      </c>
      <c r="S30" s="4">
        <v>7530</v>
      </c>
      <c r="T30" s="4">
        <v>7530</v>
      </c>
      <c r="U30" s="4">
        <v>7545</v>
      </c>
      <c r="V30" s="4">
        <v>7616</v>
      </c>
      <c r="W30" s="4">
        <v>7693</v>
      </c>
      <c r="X30" s="4">
        <v>7802</v>
      </c>
      <c r="Y30" s="4">
        <v>7919</v>
      </c>
      <c r="Z30" s="4">
        <v>7986</v>
      </c>
      <c r="AA30" s="4">
        <v>7986</v>
      </c>
      <c r="AB30" s="4">
        <v>8095</v>
      </c>
      <c r="AC30" s="4">
        <v>8214</v>
      </c>
      <c r="AD30" s="4">
        <v>8327</v>
      </c>
      <c r="AE30" s="4">
        <v>8430</v>
      </c>
      <c r="AF30" s="4">
        <v>8530</v>
      </c>
      <c r="AG30" s="4">
        <v>8579</v>
      </c>
      <c r="AH30" s="8">
        <v>8579</v>
      </c>
      <c r="AI30" s="7">
        <f t="shared" si="1"/>
        <v>2028</v>
      </c>
    </row>
    <row r="31" spans="1:35" ht="14.5" customHeight="1">
      <c r="A31" s="2"/>
      <c r="B31" s="2"/>
      <c r="C31" s="80" t="s">
        <v>22</v>
      </c>
      <c r="D31" s="31">
        <v>451</v>
      </c>
      <c r="E31" s="2">
        <v>462</v>
      </c>
      <c r="F31" s="2">
        <v>462</v>
      </c>
      <c r="G31" s="2">
        <v>508</v>
      </c>
      <c r="H31" s="2">
        <v>508</v>
      </c>
      <c r="I31" s="2">
        <v>535</v>
      </c>
      <c r="J31" s="2">
        <v>535</v>
      </c>
      <c r="K31" s="2">
        <v>535</v>
      </c>
      <c r="L31" s="2">
        <v>535</v>
      </c>
      <c r="M31" s="2">
        <v>535</v>
      </c>
      <c r="N31" s="2">
        <v>535</v>
      </c>
      <c r="O31" s="2">
        <v>596</v>
      </c>
      <c r="P31" s="2">
        <v>609</v>
      </c>
      <c r="Q31" s="2">
        <v>651</v>
      </c>
      <c r="R31" s="2">
        <v>698</v>
      </c>
      <c r="S31" s="2">
        <v>698</v>
      </c>
      <c r="T31" s="2">
        <v>698</v>
      </c>
      <c r="U31" s="2">
        <v>701</v>
      </c>
      <c r="V31" s="2">
        <v>748</v>
      </c>
      <c r="W31" s="2">
        <v>779</v>
      </c>
      <c r="X31" s="2">
        <v>779</v>
      </c>
      <c r="Y31" s="2">
        <v>779</v>
      </c>
      <c r="Z31" s="2">
        <v>779</v>
      </c>
      <c r="AA31" s="2">
        <v>779</v>
      </c>
      <c r="AB31" s="2">
        <v>782</v>
      </c>
      <c r="AC31" s="2">
        <v>782</v>
      </c>
      <c r="AD31" s="2">
        <v>782</v>
      </c>
      <c r="AE31" s="2">
        <v>782</v>
      </c>
      <c r="AF31" s="2">
        <v>782</v>
      </c>
      <c r="AG31" s="2">
        <v>782</v>
      </c>
      <c r="AH31" s="2">
        <v>782</v>
      </c>
      <c r="AI31" s="7">
        <f t="shared" si="1"/>
        <v>331</v>
      </c>
    </row>
    <row r="32" spans="1:35" ht="14.5" customHeight="1">
      <c r="A32" s="503"/>
      <c r="B32" s="504"/>
      <c r="C32" s="504"/>
      <c r="D32" s="504"/>
      <c r="E32" s="50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  <c r="R32" s="504"/>
      <c r="S32" s="504"/>
      <c r="T32" s="504"/>
      <c r="U32" s="504"/>
      <c r="V32" s="504"/>
      <c r="W32" s="504"/>
      <c r="X32" s="504"/>
      <c r="Y32" s="504"/>
      <c r="Z32" s="504"/>
      <c r="AA32" s="504"/>
      <c r="AB32" s="504"/>
      <c r="AC32" s="504"/>
      <c r="AD32" s="504"/>
      <c r="AE32" s="504"/>
      <c r="AF32" s="504"/>
      <c r="AG32" s="504"/>
      <c r="AH32" s="504"/>
      <c r="AI32" s="501"/>
    </row>
    <row r="33" spans="1:35" ht="14.5" customHeight="1">
      <c r="A33" s="2">
        <v>1</v>
      </c>
      <c r="B33" s="2" t="s">
        <v>129</v>
      </c>
      <c r="C33" s="2" t="s">
        <v>123</v>
      </c>
      <c r="D33" s="12">
        <v>62776</v>
      </c>
      <c r="E33" s="10">
        <v>63415.3</v>
      </c>
      <c r="F33" s="10">
        <v>63415.3</v>
      </c>
      <c r="G33" s="10">
        <v>64687.43</v>
      </c>
      <c r="H33" s="10">
        <v>65634.89</v>
      </c>
      <c r="I33" s="10">
        <v>66522.399999999994</v>
      </c>
      <c r="J33" s="10">
        <v>67373.61</v>
      </c>
      <c r="K33" s="10">
        <v>68037.210000000006</v>
      </c>
      <c r="L33" s="10">
        <v>68409.19</v>
      </c>
      <c r="M33" s="10">
        <v>68409.19</v>
      </c>
      <c r="N33" s="10">
        <v>69562.86</v>
      </c>
      <c r="O33" s="10">
        <v>70512.77</v>
      </c>
      <c r="P33" s="10">
        <v>71437.11</v>
      </c>
      <c r="Q33" s="10">
        <v>72406.66</v>
      </c>
      <c r="R33" s="11">
        <v>73361.83</v>
      </c>
      <c r="S33" s="11">
        <v>73721.98</v>
      </c>
      <c r="T33" s="11">
        <v>73721.98</v>
      </c>
      <c r="U33" s="11">
        <v>73944.72</v>
      </c>
      <c r="V33" s="11">
        <v>75322.509999999995</v>
      </c>
      <c r="W33" s="11">
        <v>76461.31</v>
      </c>
      <c r="X33" s="11">
        <v>77396.600000000006</v>
      </c>
      <c r="Y33" s="11">
        <v>78264.44</v>
      </c>
      <c r="Z33" s="11">
        <v>78656.69</v>
      </c>
      <c r="AA33" s="11">
        <v>78656.69</v>
      </c>
      <c r="AB33" s="11">
        <v>79900.679999999993</v>
      </c>
      <c r="AC33" s="11">
        <v>80881.070000000007</v>
      </c>
      <c r="AD33" s="11">
        <v>81864.67</v>
      </c>
      <c r="AE33" s="11">
        <v>82534.66</v>
      </c>
      <c r="AF33" s="11">
        <v>83015.77</v>
      </c>
      <c r="AG33" s="11">
        <v>83302.600000000006</v>
      </c>
      <c r="AH33" s="40">
        <v>83302.600000000006</v>
      </c>
      <c r="AI33" s="7">
        <f>AH33-D33</f>
        <v>20526.600000000006</v>
      </c>
    </row>
    <row r="34" spans="1:35" ht="14.5" customHeight="1">
      <c r="A34" s="2">
        <v>2</v>
      </c>
      <c r="B34" s="2" t="s">
        <v>129</v>
      </c>
      <c r="C34" s="2" t="s">
        <v>124</v>
      </c>
      <c r="D34" s="12">
        <v>62028</v>
      </c>
      <c r="E34" s="36">
        <v>63002.02</v>
      </c>
      <c r="F34" s="36">
        <v>63002.02</v>
      </c>
      <c r="G34" s="37">
        <v>64235.15</v>
      </c>
      <c r="H34" s="10">
        <v>65387.7</v>
      </c>
      <c r="I34" s="10">
        <v>66379.899999999994</v>
      </c>
      <c r="J34" s="10">
        <v>67397.52</v>
      </c>
      <c r="K34" s="10">
        <v>68114.47</v>
      </c>
      <c r="L34" s="10">
        <v>68579.72</v>
      </c>
      <c r="M34" s="10">
        <v>68579.72</v>
      </c>
      <c r="N34" s="10">
        <v>69776</v>
      </c>
      <c r="O34" s="10">
        <v>70748.59</v>
      </c>
      <c r="P34" s="10">
        <v>71773.78</v>
      </c>
      <c r="Q34" s="10">
        <v>72813.399999999994</v>
      </c>
      <c r="R34" s="11">
        <v>73814.2</v>
      </c>
      <c r="S34" s="11">
        <v>74316.179999999993</v>
      </c>
      <c r="T34" s="11">
        <v>74316.179999999993</v>
      </c>
      <c r="U34" s="11">
        <v>74539.87</v>
      </c>
      <c r="V34" s="11">
        <v>75969.070000000007</v>
      </c>
      <c r="W34" s="11">
        <v>77218.149999999994</v>
      </c>
      <c r="X34" s="11">
        <v>78319.98</v>
      </c>
      <c r="Y34" s="11">
        <v>79132.320000000007</v>
      </c>
      <c r="Z34" s="11">
        <v>79602.03</v>
      </c>
      <c r="AA34" s="11">
        <v>79602.03</v>
      </c>
      <c r="AB34" s="11">
        <v>80744.960000000006</v>
      </c>
      <c r="AC34" s="11">
        <v>81636.5</v>
      </c>
      <c r="AD34" s="11">
        <v>82386.820000000007</v>
      </c>
      <c r="AE34" s="11">
        <v>83051.759999999995</v>
      </c>
      <c r="AF34" s="11">
        <v>83735.66</v>
      </c>
      <c r="AG34" s="11">
        <v>84127.73</v>
      </c>
      <c r="AH34" s="40">
        <v>84127.73</v>
      </c>
      <c r="AI34" s="7">
        <f>AH34-D34</f>
        <v>22099.729999999996</v>
      </c>
    </row>
    <row r="35" spans="1:35" ht="14.5" customHeight="1">
      <c r="A35" s="2">
        <v>3</v>
      </c>
      <c r="B35" s="2" t="s">
        <v>129</v>
      </c>
      <c r="C35" s="2" t="s">
        <v>125</v>
      </c>
      <c r="D35" s="12">
        <v>59574</v>
      </c>
      <c r="E35" s="10">
        <v>60582.14</v>
      </c>
      <c r="F35" s="10">
        <v>60582.14</v>
      </c>
      <c r="G35" s="10">
        <v>62065.93</v>
      </c>
      <c r="H35" s="10">
        <v>63397.48</v>
      </c>
      <c r="I35" s="10">
        <v>64499.3</v>
      </c>
      <c r="J35" s="10">
        <v>65751.360000000001</v>
      </c>
      <c r="K35" s="10">
        <v>66618.02</v>
      </c>
      <c r="L35" s="10">
        <v>67148.850000000006</v>
      </c>
      <c r="M35" s="10">
        <v>67148.850000000006</v>
      </c>
      <c r="N35" s="10">
        <v>68540.02</v>
      </c>
      <c r="O35" s="10">
        <v>69698.91</v>
      </c>
      <c r="P35" s="10">
        <v>70933.179999999993</v>
      </c>
      <c r="Q35" s="10">
        <v>72124.929999999993</v>
      </c>
      <c r="R35" s="10">
        <v>73346.75</v>
      </c>
      <c r="S35" s="11">
        <v>73930.929999999993</v>
      </c>
      <c r="T35" s="11">
        <v>73930.98</v>
      </c>
      <c r="U35" s="11">
        <v>74802.399999999994</v>
      </c>
      <c r="V35" s="11">
        <v>76401.81</v>
      </c>
      <c r="W35" s="11">
        <v>77931.25</v>
      </c>
      <c r="X35" s="11">
        <v>79219.38</v>
      </c>
      <c r="Y35" s="11">
        <v>80305.75</v>
      </c>
      <c r="Z35" s="11">
        <v>80966.66</v>
      </c>
      <c r="AA35" s="11">
        <v>80966.66</v>
      </c>
      <c r="AB35" s="11">
        <v>82450.55</v>
      </c>
      <c r="AC35" s="11">
        <v>83632.350000000006</v>
      </c>
      <c r="AD35" s="11">
        <v>84643.13</v>
      </c>
      <c r="AE35" s="11">
        <v>85751.11</v>
      </c>
      <c r="AF35" s="11">
        <v>86631.9</v>
      </c>
      <c r="AG35" s="11">
        <v>87129.600000000006</v>
      </c>
      <c r="AH35" s="40">
        <v>87129.600000000006</v>
      </c>
      <c r="AI35" s="7">
        <f>AH35-D35</f>
        <v>27555.600000000006</v>
      </c>
    </row>
    <row r="36" spans="1:35" ht="14.5" customHeight="1">
      <c r="A36" s="2">
        <v>4</v>
      </c>
      <c r="B36" s="2" t="s">
        <v>129</v>
      </c>
      <c r="C36" s="2" t="s">
        <v>126</v>
      </c>
      <c r="D36" s="12">
        <v>77455</v>
      </c>
      <c r="E36" s="10">
        <v>78394.880000000005</v>
      </c>
      <c r="F36" s="10">
        <v>78394.880000000005</v>
      </c>
      <c r="G36" s="10">
        <v>79937.100000000006</v>
      </c>
      <c r="H36" s="10">
        <v>81217.59</v>
      </c>
      <c r="I36" s="10">
        <v>82374.16</v>
      </c>
      <c r="J36" s="10">
        <v>83373.36</v>
      </c>
      <c r="K36" s="10">
        <v>84215</v>
      </c>
      <c r="L36" s="10">
        <v>84687.52</v>
      </c>
      <c r="M36" s="10">
        <v>84687.52</v>
      </c>
      <c r="N36" s="10">
        <v>86124.02</v>
      </c>
      <c r="O36" s="10">
        <v>87339.08</v>
      </c>
      <c r="P36" s="10">
        <v>88509.81</v>
      </c>
      <c r="Q36" s="10">
        <v>89616.66</v>
      </c>
      <c r="R36" s="11">
        <v>90758.29</v>
      </c>
      <c r="S36" s="11">
        <v>91225.51</v>
      </c>
      <c r="T36" s="11">
        <v>91225.51</v>
      </c>
      <c r="U36" s="11">
        <v>91587.199999999997</v>
      </c>
      <c r="V36" s="11">
        <v>92879.84</v>
      </c>
      <c r="W36" s="11">
        <v>94492.9</v>
      </c>
      <c r="X36" s="11">
        <v>95697.21</v>
      </c>
      <c r="Y36" s="11">
        <v>96783.15</v>
      </c>
      <c r="Z36" s="11">
        <v>97280.16</v>
      </c>
      <c r="AA36" s="11">
        <v>97280.16</v>
      </c>
      <c r="AB36" s="11">
        <v>98756.31</v>
      </c>
      <c r="AC36" s="11">
        <v>100013.38</v>
      </c>
      <c r="AD36" s="11">
        <v>101081.27</v>
      </c>
      <c r="AE36" s="11">
        <v>102125.13</v>
      </c>
      <c r="AF36" s="11">
        <v>103048.49</v>
      </c>
      <c r="AG36" s="11">
        <v>103444.13</v>
      </c>
      <c r="AH36" s="40">
        <v>103444.13</v>
      </c>
      <c r="AI36" s="7">
        <f>AH36-D36</f>
        <v>25989.130000000005</v>
      </c>
    </row>
    <row r="37" spans="1:35">
      <c r="D37" s="106"/>
      <c r="E37" s="90"/>
      <c r="AD37" s="76"/>
    </row>
    <row r="38" spans="1:35" ht="13" customHeight="1">
      <c r="A38" s="91"/>
      <c r="B38" s="92"/>
      <c r="C38" s="92"/>
      <c r="D38" s="107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</row>
    <row r="39" spans="1:35" ht="14.5" customHeight="1">
      <c r="A39" s="93"/>
      <c r="B39" s="534" t="s">
        <v>127</v>
      </c>
      <c r="C39" s="504"/>
      <c r="D39" s="501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</row>
    <row r="40" spans="1:35" ht="14.5" customHeight="1">
      <c r="A40" s="94"/>
      <c r="B40" s="538" t="s">
        <v>128</v>
      </c>
      <c r="C40" s="504"/>
      <c r="D40" s="501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</row>
    <row r="41" spans="1:35" ht="13" customHeight="1">
      <c r="A41" s="529" t="s">
        <v>99</v>
      </c>
      <c r="B41" s="529" t="s">
        <v>100</v>
      </c>
      <c r="C41" s="529" t="s">
        <v>101</v>
      </c>
      <c r="D41" s="517"/>
      <c r="E41" s="95">
        <f t="shared" ref="E41:AH41" si="2">E3</f>
        <v>45444</v>
      </c>
      <c r="F41" s="95">
        <f t="shared" si="2"/>
        <v>45445</v>
      </c>
      <c r="G41" s="95">
        <f t="shared" si="2"/>
        <v>45446</v>
      </c>
      <c r="H41" s="95">
        <f t="shared" si="2"/>
        <v>45447</v>
      </c>
      <c r="I41" s="95">
        <f t="shared" si="2"/>
        <v>45448</v>
      </c>
      <c r="J41" s="95">
        <f t="shared" si="2"/>
        <v>45449</v>
      </c>
      <c r="K41" s="95">
        <f t="shared" si="2"/>
        <v>45450</v>
      </c>
      <c r="L41" s="95">
        <f t="shared" si="2"/>
        <v>45451</v>
      </c>
      <c r="M41" s="95">
        <f t="shared" si="2"/>
        <v>45452</v>
      </c>
      <c r="N41" s="95">
        <f t="shared" si="2"/>
        <v>45453</v>
      </c>
      <c r="O41" s="95">
        <f t="shared" si="2"/>
        <v>45454</v>
      </c>
      <c r="P41" s="95">
        <f t="shared" si="2"/>
        <v>45455</v>
      </c>
      <c r="Q41" s="95">
        <f t="shared" si="2"/>
        <v>45456</v>
      </c>
      <c r="R41" s="95">
        <f t="shared" si="2"/>
        <v>45457</v>
      </c>
      <c r="S41" s="95">
        <f t="shared" si="2"/>
        <v>45458</v>
      </c>
      <c r="T41" s="95">
        <f t="shared" si="2"/>
        <v>45459</v>
      </c>
      <c r="U41" s="95">
        <f t="shared" si="2"/>
        <v>45460</v>
      </c>
      <c r="V41" s="95">
        <f t="shared" si="2"/>
        <v>45461</v>
      </c>
      <c r="W41" s="95">
        <f t="shared" si="2"/>
        <v>45462</v>
      </c>
      <c r="X41" s="95">
        <f t="shared" si="2"/>
        <v>45463</v>
      </c>
      <c r="Y41" s="95">
        <f t="shared" si="2"/>
        <v>45464</v>
      </c>
      <c r="Z41" s="95">
        <f t="shared" si="2"/>
        <v>45465</v>
      </c>
      <c r="AA41" s="95">
        <f t="shared" si="2"/>
        <v>45466</v>
      </c>
      <c r="AB41" s="95">
        <f t="shared" si="2"/>
        <v>45467</v>
      </c>
      <c r="AC41" s="95">
        <f t="shared" si="2"/>
        <v>45468</v>
      </c>
      <c r="AD41" s="95">
        <f t="shared" si="2"/>
        <v>45469</v>
      </c>
      <c r="AE41" s="95">
        <f t="shared" si="2"/>
        <v>45470</v>
      </c>
      <c r="AF41" s="95">
        <f t="shared" si="2"/>
        <v>45471</v>
      </c>
      <c r="AG41" s="95">
        <f t="shared" si="2"/>
        <v>45472</v>
      </c>
      <c r="AH41" s="95">
        <f t="shared" si="2"/>
        <v>45473</v>
      </c>
      <c r="AI41" s="529" t="s">
        <v>1</v>
      </c>
    </row>
    <row r="42" spans="1:35" ht="13" customHeight="1">
      <c r="A42" s="508"/>
      <c r="B42" s="508"/>
      <c r="C42" s="518"/>
      <c r="D42" s="519"/>
      <c r="E42" s="96" t="str">
        <f t="shared" ref="E42:AH42" si="3">E4</f>
        <v>Sat</v>
      </c>
      <c r="F42" s="96" t="str">
        <f t="shared" si="3"/>
        <v>Sun</v>
      </c>
      <c r="G42" s="96" t="str">
        <f t="shared" si="3"/>
        <v>Mon</v>
      </c>
      <c r="H42" s="96" t="str">
        <f t="shared" si="3"/>
        <v>Tue</v>
      </c>
      <c r="I42" s="96" t="str">
        <f t="shared" si="3"/>
        <v>Wed</v>
      </c>
      <c r="J42" s="96" t="str">
        <f t="shared" si="3"/>
        <v>Thu</v>
      </c>
      <c r="K42" s="96" t="str">
        <f t="shared" si="3"/>
        <v>Fri</v>
      </c>
      <c r="L42" s="96" t="str">
        <f t="shared" si="3"/>
        <v>Sat</v>
      </c>
      <c r="M42" s="96" t="str">
        <f t="shared" si="3"/>
        <v>Sun</v>
      </c>
      <c r="N42" s="96" t="str">
        <f t="shared" si="3"/>
        <v>Mon</v>
      </c>
      <c r="O42" s="96" t="str">
        <f t="shared" si="3"/>
        <v>Tue</v>
      </c>
      <c r="P42" s="96" t="str">
        <f t="shared" si="3"/>
        <v>Wed</v>
      </c>
      <c r="Q42" s="96" t="str">
        <f t="shared" si="3"/>
        <v>Thu</v>
      </c>
      <c r="R42" s="96" t="str">
        <f t="shared" si="3"/>
        <v>Fri</v>
      </c>
      <c r="S42" s="96" t="str">
        <f t="shared" si="3"/>
        <v>Sat</v>
      </c>
      <c r="T42" s="96" t="str">
        <f t="shared" si="3"/>
        <v>Sun</v>
      </c>
      <c r="U42" s="96" t="str">
        <f t="shared" si="3"/>
        <v>Mon</v>
      </c>
      <c r="V42" s="96" t="str">
        <f t="shared" si="3"/>
        <v>Tue</v>
      </c>
      <c r="W42" s="96" t="str">
        <f t="shared" si="3"/>
        <v>Wed</v>
      </c>
      <c r="X42" s="96" t="str">
        <f t="shared" si="3"/>
        <v>Thu</v>
      </c>
      <c r="Y42" s="96" t="str">
        <f t="shared" si="3"/>
        <v>Fri</v>
      </c>
      <c r="Z42" s="96" t="str">
        <f t="shared" si="3"/>
        <v>Sat</v>
      </c>
      <c r="AA42" s="96" t="str">
        <f t="shared" si="3"/>
        <v>Sun</v>
      </c>
      <c r="AB42" s="96" t="str">
        <f t="shared" si="3"/>
        <v>Mon</v>
      </c>
      <c r="AC42" s="96" t="str">
        <f t="shared" si="3"/>
        <v>Tue</v>
      </c>
      <c r="AD42" s="96" t="str">
        <f t="shared" si="3"/>
        <v>Wed</v>
      </c>
      <c r="AE42" s="96" t="str">
        <f t="shared" si="3"/>
        <v>Thu</v>
      </c>
      <c r="AF42" s="96" t="str">
        <f t="shared" si="3"/>
        <v>Fri</v>
      </c>
      <c r="AG42" s="96" t="str">
        <f t="shared" si="3"/>
        <v>Sat</v>
      </c>
      <c r="AH42" s="96" t="str">
        <f t="shared" si="3"/>
        <v>Sun</v>
      </c>
      <c r="AI42" s="508"/>
    </row>
    <row r="43" spans="1:35" ht="13" customHeight="1">
      <c r="A43" s="508"/>
      <c r="B43" s="508"/>
      <c r="C43" s="518"/>
      <c r="D43" s="519"/>
      <c r="E43" s="97" t="s">
        <v>110</v>
      </c>
      <c r="F43" s="97" t="s">
        <v>110</v>
      </c>
      <c r="G43" s="97" t="s">
        <v>110</v>
      </c>
      <c r="H43" s="97" t="s">
        <v>110</v>
      </c>
      <c r="I43" s="97" t="s">
        <v>110</v>
      </c>
      <c r="J43" s="97" t="s">
        <v>110</v>
      </c>
      <c r="K43" s="97" t="s">
        <v>110</v>
      </c>
      <c r="L43" s="97" t="s">
        <v>110</v>
      </c>
      <c r="M43" s="97" t="s">
        <v>110</v>
      </c>
      <c r="N43" s="97" t="s">
        <v>110</v>
      </c>
      <c r="O43" s="97" t="s">
        <v>110</v>
      </c>
      <c r="P43" s="97" t="s">
        <v>110</v>
      </c>
      <c r="Q43" s="97" t="s">
        <v>110</v>
      </c>
      <c r="R43" s="97" t="s">
        <v>110</v>
      </c>
      <c r="S43" s="97" t="s">
        <v>110</v>
      </c>
      <c r="T43" s="97" t="s">
        <v>110</v>
      </c>
      <c r="U43" s="97" t="s">
        <v>110</v>
      </c>
      <c r="V43" s="97" t="s">
        <v>110</v>
      </c>
      <c r="W43" s="97" t="s">
        <v>110</v>
      </c>
      <c r="X43" s="97" t="s">
        <v>110</v>
      </c>
      <c r="Y43" s="97" t="s">
        <v>110</v>
      </c>
      <c r="Z43" s="97" t="s">
        <v>110</v>
      </c>
      <c r="AA43" s="97" t="s">
        <v>110</v>
      </c>
      <c r="AB43" s="97" t="s">
        <v>110</v>
      </c>
      <c r="AC43" s="97" t="s">
        <v>110</v>
      </c>
      <c r="AD43" s="97" t="s">
        <v>110</v>
      </c>
      <c r="AE43" s="97" t="s">
        <v>110</v>
      </c>
      <c r="AF43" s="97" t="s">
        <v>110</v>
      </c>
      <c r="AG43" s="97" t="s">
        <v>110</v>
      </c>
      <c r="AH43" s="97" t="s">
        <v>110</v>
      </c>
      <c r="AI43" s="508"/>
    </row>
    <row r="44" spans="1:35" ht="13" customHeight="1">
      <c r="A44" s="509"/>
      <c r="B44" s="509"/>
      <c r="C44" s="520"/>
      <c r="D44" s="521"/>
      <c r="E44" s="98">
        <v>0.33333333333333331</v>
      </c>
      <c r="F44" s="98">
        <v>0.33333333333333331</v>
      </c>
      <c r="G44" s="98">
        <v>0.33333333333333331</v>
      </c>
      <c r="H44" s="98">
        <v>0.33333333333333331</v>
      </c>
      <c r="I44" s="98">
        <v>0.33333333333333331</v>
      </c>
      <c r="J44" s="98">
        <v>0.33333333333333331</v>
      </c>
      <c r="K44" s="98">
        <v>0.33333333333333331</v>
      </c>
      <c r="L44" s="98">
        <v>0.33333333333333331</v>
      </c>
      <c r="M44" s="98">
        <v>0.33333333333333331</v>
      </c>
      <c r="N44" s="98">
        <v>0.33333333333333331</v>
      </c>
      <c r="O44" s="98">
        <v>0.33333333333333331</v>
      </c>
      <c r="P44" s="98">
        <v>0.33333333333333331</v>
      </c>
      <c r="Q44" s="98">
        <v>0.33333333333333331</v>
      </c>
      <c r="R44" s="98">
        <v>0.33333333333333331</v>
      </c>
      <c r="S44" s="98">
        <v>0.33333333333333331</v>
      </c>
      <c r="T44" s="98">
        <v>0.33333333333333331</v>
      </c>
      <c r="U44" s="98">
        <v>0.33333333333333331</v>
      </c>
      <c r="V44" s="98">
        <v>0.33333333333333331</v>
      </c>
      <c r="W44" s="98">
        <v>0.33333333333333331</v>
      </c>
      <c r="X44" s="98">
        <v>0.33333333333333331</v>
      </c>
      <c r="Y44" s="98">
        <v>0.33333333333333331</v>
      </c>
      <c r="Z44" s="98">
        <v>0.33333333333333331</v>
      </c>
      <c r="AA44" s="98">
        <v>0.33333333333333331</v>
      </c>
      <c r="AB44" s="98">
        <v>0.33333333333333331</v>
      </c>
      <c r="AC44" s="98">
        <v>0.33333333333333331</v>
      </c>
      <c r="AD44" s="98">
        <v>0.33333333333333331</v>
      </c>
      <c r="AE44" s="98">
        <v>0.33333333333333331</v>
      </c>
      <c r="AF44" s="98">
        <v>0.33333333333333331</v>
      </c>
      <c r="AG44" s="98">
        <v>0.33333333333333331</v>
      </c>
      <c r="AH44" s="98">
        <v>0.33333333333333331</v>
      </c>
      <c r="AI44" s="509"/>
    </row>
    <row r="45" spans="1:35" ht="15" customHeight="1">
      <c r="A45" s="2">
        <v>1</v>
      </c>
      <c r="B45" s="2" t="s">
        <v>129</v>
      </c>
      <c r="C45" s="503" t="s">
        <v>111</v>
      </c>
      <c r="D45" s="501"/>
      <c r="E45" s="20">
        <f t="shared" ref="E45:AH45" si="4">E7-D7</f>
        <v>303</v>
      </c>
      <c r="F45" s="20">
        <f t="shared" si="4"/>
        <v>213</v>
      </c>
      <c r="G45" s="20">
        <f t="shared" si="4"/>
        <v>186</v>
      </c>
      <c r="H45" s="20">
        <f t="shared" si="4"/>
        <v>257</v>
      </c>
      <c r="I45" s="20">
        <f t="shared" si="4"/>
        <v>215</v>
      </c>
      <c r="J45" s="20">
        <f t="shared" si="4"/>
        <v>264</v>
      </c>
      <c r="K45" s="20">
        <f t="shared" si="4"/>
        <v>270</v>
      </c>
      <c r="L45" s="20">
        <f t="shared" si="4"/>
        <v>200</v>
      </c>
      <c r="M45" s="20">
        <f t="shared" si="4"/>
        <v>217</v>
      </c>
      <c r="N45" s="20">
        <f t="shared" si="4"/>
        <v>232</v>
      </c>
      <c r="O45" s="20">
        <f t="shared" si="4"/>
        <v>127</v>
      </c>
      <c r="P45" s="20">
        <f t="shared" si="4"/>
        <v>229</v>
      </c>
      <c r="Q45" s="20">
        <f t="shared" si="4"/>
        <v>184</v>
      </c>
      <c r="R45" s="20">
        <f t="shared" si="4"/>
        <v>163</v>
      </c>
      <c r="S45" s="20">
        <f t="shared" si="4"/>
        <v>212</v>
      </c>
      <c r="T45" s="20">
        <f t="shared" si="4"/>
        <v>215</v>
      </c>
      <c r="U45" s="20">
        <f t="shared" si="4"/>
        <v>197</v>
      </c>
      <c r="V45" s="20">
        <f t="shared" si="4"/>
        <v>182</v>
      </c>
      <c r="W45" s="20">
        <f t="shared" si="4"/>
        <v>195</v>
      </c>
      <c r="X45" s="20">
        <f t="shared" si="4"/>
        <v>265</v>
      </c>
      <c r="Y45" s="20">
        <f t="shared" si="4"/>
        <v>255</v>
      </c>
      <c r="Z45" s="20">
        <f t="shared" si="4"/>
        <v>218</v>
      </c>
      <c r="AA45" s="20">
        <f t="shared" si="4"/>
        <v>220</v>
      </c>
      <c r="AB45" s="20">
        <f t="shared" si="4"/>
        <v>230</v>
      </c>
      <c r="AC45" s="20">
        <f t="shared" si="4"/>
        <v>262</v>
      </c>
      <c r="AD45" s="20">
        <f t="shared" si="4"/>
        <v>261</v>
      </c>
      <c r="AE45" s="20">
        <f t="shared" si="4"/>
        <v>268</v>
      </c>
      <c r="AF45" s="20">
        <f t="shared" si="4"/>
        <v>200</v>
      </c>
      <c r="AG45" s="20">
        <f t="shared" si="4"/>
        <v>221</v>
      </c>
      <c r="AH45" s="20">
        <f t="shared" si="4"/>
        <v>105</v>
      </c>
      <c r="AI45" s="21">
        <f t="shared" ref="AI45:AI62" si="5">SUM(E45:AH45)</f>
        <v>6566</v>
      </c>
    </row>
    <row r="46" spans="1:35" ht="15" customHeight="1">
      <c r="A46" s="2"/>
      <c r="B46" s="2"/>
      <c r="C46" s="531" t="s">
        <v>22</v>
      </c>
      <c r="D46" s="501"/>
      <c r="E46" s="20">
        <f t="shared" ref="E46:AH46" si="6">E8-D8</f>
        <v>38</v>
      </c>
      <c r="F46" s="20">
        <f t="shared" si="6"/>
        <v>1</v>
      </c>
      <c r="G46" s="20">
        <f t="shared" si="6"/>
        <v>76</v>
      </c>
      <c r="H46" s="20">
        <f t="shared" si="6"/>
        <v>0</v>
      </c>
      <c r="I46" s="20">
        <f t="shared" si="6"/>
        <v>42</v>
      </c>
      <c r="J46" s="20">
        <f t="shared" si="6"/>
        <v>3</v>
      </c>
      <c r="K46" s="20">
        <f t="shared" si="6"/>
        <v>7</v>
      </c>
      <c r="L46" s="20">
        <f t="shared" si="6"/>
        <v>0</v>
      </c>
      <c r="M46" s="20">
        <f t="shared" si="6"/>
        <v>23</v>
      </c>
      <c r="N46" s="20">
        <f t="shared" si="6"/>
        <v>0</v>
      </c>
      <c r="O46" s="20">
        <f t="shared" si="6"/>
        <v>135</v>
      </c>
      <c r="P46" s="20">
        <f t="shared" si="6"/>
        <v>23</v>
      </c>
      <c r="Q46" s="20">
        <f t="shared" si="6"/>
        <v>77</v>
      </c>
      <c r="R46" s="20">
        <f t="shared" si="6"/>
        <v>75</v>
      </c>
      <c r="S46" s="20">
        <f t="shared" si="6"/>
        <v>0</v>
      </c>
      <c r="T46" s="20">
        <f t="shared" si="6"/>
        <v>7</v>
      </c>
      <c r="U46" s="20">
        <f t="shared" si="6"/>
        <v>28</v>
      </c>
      <c r="V46" s="20">
        <f t="shared" si="6"/>
        <v>72</v>
      </c>
      <c r="W46" s="20">
        <f t="shared" si="6"/>
        <v>53</v>
      </c>
      <c r="X46" s="20">
        <f t="shared" si="6"/>
        <v>0</v>
      </c>
      <c r="Y46" s="20">
        <f t="shared" si="6"/>
        <v>0</v>
      </c>
      <c r="Z46" s="20">
        <f t="shared" si="6"/>
        <v>0</v>
      </c>
      <c r="AA46" s="20">
        <f t="shared" si="6"/>
        <v>0</v>
      </c>
      <c r="AB46" s="20">
        <f t="shared" si="6"/>
        <v>8</v>
      </c>
      <c r="AC46" s="20">
        <f t="shared" si="6"/>
        <v>0</v>
      </c>
      <c r="AD46" s="20">
        <f t="shared" si="6"/>
        <v>0</v>
      </c>
      <c r="AE46" s="20">
        <f t="shared" si="6"/>
        <v>0</v>
      </c>
      <c r="AF46" s="20">
        <f t="shared" si="6"/>
        <v>37</v>
      </c>
      <c r="AG46" s="20">
        <f t="shared" si="6"/>
        <v>6</v>
      </c>
      <c r="AH46" s="20">
        <f t="shared" si="6"/>
        <v>2</v>
      </c>
      <c r="AI46" s="21">
        <f t="shared" si="5"/>
        <v>713</v>
      </c>
    </row>
    <row r="47" spans="1:35" ht="15" customHeight="1">
      <c r="A47" s="2">
        <v>2</v>
      </c>
      <c r="B47" s="2" t="s">
        <v>129</v>
      </c>
      <c r="C47" s="503" t="s">
        <v>112</v>
      </c>
      <c r="D47" s="501"/>
      <c r="E47" s="20">
        <f t="shared" ref="E47:AH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0">
        <f t="shared" si="7"/>
        <v>0</v>
      </c>
      <c r="AH47" s="20">
        <f t="shared" si="7"/>
        <v>0</v>
      </c>
      <c r="AI47" s="21">
        <f t="shared" si="5"/>
        <v>0</v>
      </c>
    </row>
    <row r="48" spans="1:35" ht="15" customHeight="1">
      <c r="A48" s="2"/>
      <c r="B48" s="2"/>
      <c r="C48" s="531" t="s">
        <v>22</v>
      </c>
      <c r="D48" s="501"/>
      <c r="E48" s="20">
        <f t="shared" ref="E48:AH48" si="8">E10-D10</f>
        <v>0</v>
      </c>
      <c r="F48" s="20">
        <f t="shared" si="8"/>
        <v>0</v>
      </c>
      <c r="G48" s="20">
        <f t="shared" si="8"/>
        <v>0</v>
      </c>
      <c r="H48" s="20">
        <f t="shared" si="8"/>
        <v>0</v>
      </c>
      <c r="I48" s="20">
        <f t="shared" si="8"/>
        <v>0</v>
      </c>
      <c r="J48" s="20">
        <f t="shared" si="8"/>
        <v>0</v>
      </c>
      <c r="K48" s="20">
        <f t="shared" si="8"/>
        <v>0</v>
      </c>
      <c r="L48" s="20">
        <f t="shared" si="8"/>
        <v>0</v>
      </c>
      <c r="M48" s="20">
        <f t="shared" si="8"/>
        <v>0</v>
      </c>
      <c r="N48" s="20">
        <f t="shared" si="8"/>
        <v>0</v>
      </c>
      <c r="O48" s="20">
        <f t="shared" si="8"/>
        <v>0</v>
      </c>
      <c r="P48" s="20">
        <f t="shared" si="8"/>
        <v>0</v>
      </c>
      <c r="Q48" s="20">
        <f t="shared" si="8"/>
        <v>0</v>
      </c>
      <c r="R48" s="20">
        <f t="shared" si="8"/>
        <v>0</v>
      </c>
      <c r="S48" s="20">
        <f t="shared" si="8"/>
        <v>0</v>
      </c>
      <c r="T48" s="20">
        <f t="shared" si="8"/>
        <v>0</v>
      </c>
      <c r="U48" s="20">
        <f t="shared" si="8"/>
        <v>0</v>
      </c>
      <c r="V48" s="20">
        <f t="shared" si="8"/>
        <v>0</v>
      </c>
      <c r="W48" s="20">
        <f t="shared" si="8"/>
        <v>0</v>
      </c>
      <c r="X48" s="20">
        <f t="shared" si="8"/>
        <v>0</v>
      </c>
      <c r="Y48" s="20">
        <f t="shared" si="8"/>
        <v>0</v>
      </c>
      <c r="Z48" s="20">
        <f t="shared" si="8"/>
        <v>0</v>
      </c>
      <c r="AA48" s="20">
        <f t="shared" si="8"/>
        <v>0</v>
      </c>
      <c r="AB48" s="20">
        <f t="shared" si="8"/>
        <v>0</v>
      </c>
      <c r="AC48" s="20">
        <f t="shared" si="8"/>
        <v>0</v>
      </c>
      <c r="AD48" s="20">
        <f t="shared" si="8"/>
        <v>0</v>
      </c>
      <c r="AE48" s="20">
        <f t="shared" si="8"/>
        <v>0</v>
      </c>
      <c r="AF48" s="20">
        <f t="shared" si="8"/>
        <v>0</v>
      </c>
      <c r="AG48" s="20">
        <f t="shared" si="8"/>
        <v>0</v>
      </c>
      <c r="AH48" s="20">
        <f t="shared" si="8"/>
        <v>0</v>
      </c>
      <c r="AI48" s="21">
        <f t="shared" si="5"/>
        <v>0</v>
      </c>
    </row>
    <row r="49" spans="1:37" ht="15" customHeight="1">
      <c r="A49" s="2">
        <v>3</v>
      </c>
      <c r="B49" s="2" t="s">
        <v>129</v>
      </c>
      <c r="C49" s="503" t="s">
        <v>113</v>
      </c>
      <c r="D49" s="501"/>
      <c r="E49" s="20">
        <f t="shared" ref="E49:AH49" si="9">E11-D11</f>
        <v>410</v>
      </c>
      <c r="F49" s="20">
        <f t="shared" si="9"/>
        <v>278</v>
      </c>
      <c r="G49" s="20">
        <f t="shared" si="9"/>
        <v>253</v>
      </c>
      <c r="H49" s="20">
        <f t="shared" si="9"/>
        <v>364</v>
      </c>
      <c r="I49" s="20">
        <f t="shared" si="9"/>
        <v>303</v>
      </c>
      <c r="J49" s="20">
        <f t="shared" si="9"/>
        <v>367</v>
      </c>
      <c r="K49" s="20">
        <f t="shared" si="9"/>
        <v>336</v>
      </c>
      <c r="L49" s="20">
        <f t="shared" si="9"/>
        <v>262</v>
      </c>
      <c r="M49" s="20">
        <f t="shared" si="9"/>
        <v>277</v>
      </c>
      <c r="N49" s="20">
        <f t="shared" si="9"/>
        <v>345</v>
      </c>
      <c r="O49" s="20">
        <f t="shared" si="9"/>
        <v>166</v>
      </c>
      <c r="P49" s="20">
        <f t="shared" si="9"/>
        <v>326</v>
      </c>
      <c r="Q49" s="20">
        <f t="shared" si="9"/>
        <v>249</v>
      </c>
      <c r="R49" s="20">
        <f t="shared" si="9"/>
        <v>220</v>
      </c>
      <c r="S49" s="20">
        <f t="shared" si="9"/>
        <v>286</v>
      </c>
      <c r="T49" s="20">
        <f t="shared" si="9"/>
        <v>269</v>
      </c>
      <c r="U49" s="20">
        <f t="shared" si="9"/>
        <v>264</v>
      </c>
      <c r="V49" s="20">
        <f t="shared" si="9"/>
        <v>259</v>
      </c>
      <c r="W49" s="20">
        <f t="shared" si="9"/>
        <v>287</v>
      </c>
      <c r="X49" s="20">
        <f t="shared" si="9"/>
        <v>365</v>
      </c>
      <c r="Y49" s="20">
        <f t="shared" si="9"/>
        <v>357</v>
      </c>
      <c r="Z49" s="20">
        <f t="shared" si="9"/>
        <v>282</v>
      </c>
      <c r="AA49" s="20">
        <f t="shared" si="9"/>
        <v>294</v>
      </c>
      <c r="AB49" s="20">
        <f t="shared" si="9"/>
        <v>340</v>
      </c>
      <c r="AC49" s="20">
        <f t="shared" si="9"/>
        <v>363</v>
      </c>
      <c r="AD49" s="20">
        <f t="shared" si="9"/>
        <v>367</v>
      </c>
      <c r="AE49" s="20">
        <f t="shared" si="9"/>
        <v>383</v>
      </c>
      <c r="AF49" s="20">
        <f t="shared" si="9"/>
        <v>276</v>
      </c>
      <c r="AG49" s="20">
        <f t="shared" si="9"/>
        <v>293</v>
      </c>
      <c r="AH49" s="20">
        <f t="shared" si="9"/>
        <v>137</v>
      </c>
      <c r="AI49" s="21">
        <f t="shared" si="5"/>
        <v>8978</v>
      </c>
    </row>
    <row r="50" spans="1:37" ht="15" customHeight="1">
      <c r="A50" s="2"/>
      <c r="B50" s="2"/>
      <c r="C50" s="531" t="s">
        <v>22</v>
      </c>
      <c r="D50" s="501"/>
      <c r="E50" s="20">
        <f t="shared" ref="E50:AH50" si="10">E12-D12</f>
        <v>53</v>
      </c>
      <c r="F50" s="20">
        <f t="shared" si="10"/>
        <v>0</v>
      </c>
      <c r="G50" s="20">
        <f t="shared" si="10"/>
        <v>119</v>
      </c>
      <c r="H50" s="20">
        <f t="shared" si="10"/>
        <v>0</v>
      </c>
      <c r="I50" s="20">
        <f t="shared" si="10"/>
        <v>64</v>
      </c>
      <c r="J50" s="20">
        <f t="shared" si="10"/>
        <v>0</v>
      </c>
      <c r="K50" s="20">
        <f t="shared" si="10"/>
        <v>13</v>
      </c>
      <c r="L50" s="20">
        <f t="shared" si="10"/>
        <v>0</v>
      </c>
      <c r="M50" s="20">
        <f t="shared" si="10"/>
        <v>30</v>
      </c>
      <c r="N50" s="20">
        <f t="shared" si="10"/>
        <v>0</v>
      </c>
      <c r="O50" s="20">
        <f t="shared" si="10"/>
        <v>199</v>
      </c>
      <c r="P50" s="20">
        <f t="shared" si="10"/>
        <v>36</v>
      </c>
      <c r="Q50" s="20">
        <f t="shared" si="10"/>
        <v>117</v>
      </c>
      <c r="R50" s="20">
        <f t="shared" si="10"/>
        <v>112</v>
      </c>
      <c r="S50" s="20">
        <f t="shared" si="10"/>
        <v>1</v>
      </c>
      <c r="T50" s="20">
        <f t="shared" si="10"/>
        <v>9</v>
      </c>
      <c r="U50" s="20">
        <f t="shared" si="10"/>
        <v>37</v>
      </c>
      <c r="V50" s="20">
        <f t="shared" si="10"/>
        <v>109</v>
      </c>
      <c r="W50" s="20">
        <f t="shared" si="10"/>
        <v>82</v>
      </c>
      <c r="X50" s="20">
        <f t="shared" si="10"/>
        <v>0</v>
      </c>
      <c r="Y50" s="20">
        <f t="shared" si="10"/>
        <v>0</v>
      </c>
      <c r="Z50" s="20">
        <f t="shared" si="10"/>
        <v>0</v>
      </c>
      <c r="AA50" s="20">
        <f t="shared" si="10"/>
        <v>0</v>
      </c>
      <c r="AB50" s="20">
        <f t="shared" si="10"/>
        <v>12</v>
      </c>
      <c r="AC50" s="20">
        <f t="shared" si="10"/>
        <v>0</v>
      </c>
      <c r="AD50" s="20">
        <f t="shared" si="10"/>
        <v>0</v>
      </c>
      <c r="AE50" s="20">
        <f t="shared" si="10"/>
        <v>0</v>
      </c>
      <c r="AF50" s="20">
        <f t="shared" si="10"/>
        <v>48</v>
      </c>
      <c r="AG50" s="20">
        <f t="shared" si="10"/>
        <v>9</v>
      </c>
      <c r="AH50" s="20">
        <f t="shared" si="10"/>
        <v>2</v>
      </c>
      <c r="AI50" s="21">
        <f t="shared" si="5"/>
        <v>1052</v>
      </c>
    </row>
    <row r="51" spans="1:37" ht="15" customHeight="1">
      <c r="A51" s="2">
        <v>4</v>
      </c>
      <c r="B51" s="2" t="s">
        <v>129</v>
      </c>
      <c r="C51" s="503" t="s">
        <v>114</v>
      </c>
      <c r="D51" s="501"/>
      <c r="E51" s="20">
        <f t="shared" ref="E51:AH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0">
        <f t="shared" si="11"/>
        <v>0</v>
      </c>
      <c r="AH51" s="20">
        <f t="shared" si="11"/>
        <v>0</v>
      </c>
      <c r="AI51" s="21">
        <f t="shared" si="5"/>
        <v>0</v>
      </c>
    </row>
    <row r="52" spans="1:37" ht="15" customHeight="1">
      <c r="A52" s="2"/>
      <c r="B52" s="2"/>
      <c r="C52" s="531" t="s">
        <v>22</v>
      </c>
      <c r="D52" s="501"/>
      <c r="E52" s="20">
        <f t="shared" ref="E52:AH52" si="12">E14-D14</f>
        <v>0</v>
      </c>
      <c r="F52" s="20">
        <f t="shared" si="12"/>
        <v>0</v>
      </c>
      <c r="G52" s="20">
        <f t="shared" si="12"/>
        <v>0</v>
      </c>
      <c r="H52" s="20">
        <f t="shared" si="12"/>
        <v>0</v>
      </c>
      <c r="I52" s="20">
        <f t="shared" si="12"/>
        <v>0</v>
      </c>
      <c r="J52" s="20">
        <f t="shared" si="12"/>
        <v>0</v>
      </c>
      <c r="K52" s="20">
        <f t="shared" si="12"/>
        <v>0</v>
      </c>
      <c r="L52" s="20">
        <f t="shared" si="12"/>
        <v>0</v>
      </c>
      <c r="M52" s="20">
        <f t="shared" si="12"/>
        <v>0</v>
      </c>
      <c r="N52" s="20">
        <f t="shared" si="12"/>
        <v>0</v>
      </c>
      <c r="O52" s="20">
        <f t="shared" si="12"/>
        <v>0</v>
      </c>
      <c r="P52" s="20">
        <f t="shared" si="12"/>
        <v>0</v>
      </c>
      <c r="Q52" s="20">
        <f t="shared" si="12"/>
        <v>0</v>
      </c>
      <c r="R52" s="20">
        <f t="shared" si="12"/>
        <v>0</v>
      </c>
      <c r="S52" s="20">
        <f t="shared" si="12"/>
        <v>0</v>
      </c>
      <c r="T52" s="20">
        <f t="shared" si="12"/>
        <v>0</v>
      </c>
      <c r="U52" s="20">
        <f t="shared" si="12"/>
        <v>0</v>
      </c>
      <c r="V52" s="20">
        <f t="shared" si="12"/>
        <v>0</v>
      </c>
      <c r="W52" s="20">
        <f t="shared" si="12"/>
        <v>0</v>
      </c>
      <c r="X52" s="20">
        <f t="shared" si="12"/>
        <v>0</v>
      </c>
      <c r="Y52" s="20">
        <f t="shared" si="12"/>
        <v>0</v>
      </c>
      <c r="Z52" s="20">
        <f t="shared" si="12"/>
        <v>0</v>
      </c>
      <c r="AA52" s="20">
        <f t="shared" si="12"/>
        <v>0</v>
      </c>
      <c r="AB52" s="20">
        <f t="shared" si="12"/>
        <v>0</v>
      </c>
      <c r="AC52" s="20">
        <f t="shared" si="12"/>
        <v>0</v>
      </c>
      <c r="AD52" s="20">
        <f t="shared" si="12"/>
        <v>0</v>
      </c>
      <c r="AE52" s="20">
        <f t="shared" si="12"/>
        <v>0</v>
      </c>
      <c r="AF52" s="20">
        <f t="shared" si="12"/>
        <v>0</v>
      </c>
      <c r="AG52" s="20">
        <f t="shared" si="12"/>
        <v>0</v>
      </c>
      <c r="AH52" s="20">
        <f t="shared" si="12"/>
        <v>0</v>
      </c>
      <c r="AI52" s="21">
        <f t="shared" si="5"/>
        <v>0</v>
      </c>
    </row>
    <row r="53" spans="1:37" ht="15" customHeight="1">
      <c r="A53" s="2">
        <v>5</v>
      </c>
      <c r="B53" s="2" t="s">
        <v>129</v>
      </c>
      <c r="C53" s="503" t="s">
        <v>115</v>
      </c>
      <c r="D53" s="501"/>
      <c r="E53" s="20">
        <f t="shared" ref="E53:AH53" si="13">E15-D15</f>
        <v>188</v>
      </c>
      <c r="F53" s="20">
        <f t="shared" si="13"/>
        <v>127</v>
      </c>
      <c r="G53" s="20">
        <f t="shared" si="13"/>
        <v>130</v>
      </c>
      <c r="H53" s="20">
        <f t="shared" si="13"/>
        <v>188</v>
      </c>
      <c r="I53" s="20">
        <f t="shared" si="13"/>
        <v>157</v>
      </c>
      <c r="J53" s="20">
        <f t="shared" si="13"/>
        <v>194</v>
      </c>
      <c r="K53" s="20">
        <f t="shared" si="13"/>
        <v>173</v>
      </c>
      <c r="L53" s="20">
        <f t="shared" si="13"/>
        <v>124</v>
      </c>
      <c r="M53" s="20">
        <f t="shared" si="13"/>
        <v>122</v>
      </c>
      <c r="N53" s="20">
        <f t="shared" si="13"/>
        <v>184</v>
      </c>
      <c r="O53" s="20">
        <f t="shared" si="13"/>
        <v>90</v>
      </c>
      <c r="P53" s="20">
        <f t="shared" si="13"/>
        <v>176</v>
      </c>
      <c r="Q53" s="20">
        <f t="shared" si="13"/>
        <v>133</v>
      </c>
      <c r="R53" s="20">
        <f t="shared" si="13"/>
        <v>111</v>
      </c>
      <c r="S53" s="20">
        <f t="shared" si="13"/>
        <v>124</v>
      </c>
      <c r="T53" s="20">
        <f t="shared" si="13"/>
        <v>122</v>
      </c>
      <c r="U53" s="20">
        <f t="shared" si="13"/>
        <v>109</v>
      </c>
      <c r="V53" s="20">
        <f t="shared" si="13"/>
        <v>135</v>
      </c>
      <c r="W53" s="20">
        <f t="shared" si="13"/>
        <v>152</v>
      </c>
      <c r="X53" s="20">
        <f t="shared" si="13"/>
        <v>194</v>
      </c>
      <c r="Y53" s="20">
        <f t="shared" si="13"/>
        <v>190</v>
      </c>
      <c r="Z53" s="20">
        <f t="shared" si="13"/>
        <v>121</v>
      </c>
      <c r="AA53" s="20">
        <f t="shared" si="13"/>
        <v>132</v>
      </c>
      <c r="AB53" s="20">
        <f t="shared" si="13"/>
        <v>172</v>
      </c>
      <c r="AC53" s="20">
        <f t="shared" si="13"/>
        <v>159</v>
      </c>
      <c r="AD53" s="20">
        <f t="shared" si="13"/>
        <v>262</v>
      </c>
      <c r="AE53" s="20">
        <f t="shared" si="13"/>
        <v>155</v>
      </c>
      <c r="AF53" s="20">
        <f t="shared" si="13"/>
        <v>141</v>
      </c>
      <c r="AG53" s="20">
        <f t="shared" si="13"/>
        <v>116</v>
      </c>
      <c r="AH53" s="20">
        <f t="shared" si="13"/>
        <v>53</v>
      </c>
      <c r="AI53" s="21">
        <f t="shared" si="5"/>
        <v>4434</v>
      </c>
    </row>
    <row r="54" spans="1:37" ht="15" customHeight="1">
      <c r="A54" s="2"/>
      <c r="B54" s="2"/>
      <c r="C54" s="531" t="s">
        <v>22</v>
      </c>
      <c r="D54" s="501"/>
      <c r="E54" s="20">
        <f t="shared" ref="E54:AH54" si="14">E16-D16</f>
        <v>32</v>
      </c>
      <c r="F54" s="20">
        <f t="shared" si="14"/>
        <v>1</v>
      </c>
      <c r="G54" s="20">
        <f t="shared" si="14"/>
        <v>61</v>
      </c>
      <c r="H54" s="20">
        <f t="shared" si="14"/>
        <v>0</v>
      </c>
      <c r="I54" s="20">
        <f t="shared" si="14"/>
        <v>38</v>
      </c>
      <c r="J54" s="20">
        <f t="shared" si="14"/>
        <v>0</v>
      </c>
      <c r="K54" s="20">
        <f t="shared" si="14"/>
        <v>6</v>
      </c>
      <c r="L54" s="20">
        <f t="shared" si="14"/>
        <v>0</v>
      </c>
      <c r="M54" s="20">
        <f t="shared" si="14"/>
        <v>13</v>
      </c>
      <c r="N54" s="20">
        <f t="shared" si="14"/>
        <v>0</v>
      </c>
      <c r="O54" s="20">
        <f t="shared" si="14"/>
        <v>106</v>
      </c>
      <c r="P54" s="20">
        <f t="shared" si="14"/>
        <v>18</v>
      </c>
      <c r="Q54" s="20">
        <f t="shared" si="14"/>
        <v>65</v>
      </c>
      <c r="R54" s="20">
        <f t="shared" si="14"/>
        <v>64</v>
      </c>
      <c r="S54" s="20">
        <f t="shared" si="14"/>
        <v>0</v>
      </c>
      <c r="T54" s="20">
        <f t="shared" si="14"/>
        <v>4</v>
      </c>
      <c r="U54" s="20">
        <f t="shared" si="14"/>
        <v>15</v>
      </c>
      <c r="V54" s="20">
        <f t="shared" si="14"/>
        <v>60</v>
      </c>
      <c r="W54" s="20">
        <f t="shared" si="14"/>
        <v>45</v>
      </c>
      <c r="X54" s="20">
        <f t="shared" si="14"/>
        <v>0</v>
      </c>
      <c r="Y54" s="20">
        <f t="shared" si="14"/>
        <v>0</v>
      </c>
      <c r="Z54" s="20">
        <f t="shared" si="14"/>
        <v>0</v>
      </c>
      <c r="AA54" s="20">
        <f t="shared" si="14"/>
        <v>0</v>
      </c>
      <c r="AB54" s="20">
        <f t="shared" si="14"/>
        <v>6</v>
      </c>
      <c r="AC54" s="20">
        <f t="shared" si="14"/>
        <v>0</v>
      </c>
      <c r="AD54" s="20">
        <f t="shared" si="14"/>
        <v>0</v>
      </c>
      <c r="AE54" s="20">
        <f t="shared" si="14"/>
        <v>0</v>
      </c>
      <c r="AF54" s="20">
        <f t="shared" si="14"/>
        <v>26</v>
      </c>
      <c r="AG54" s="20">
        <f t="shared" si="14"/>
        <v>4</v>
      </c>
      <c r="AH54" s="20">
        <f t="shared" si="14"/>
        <v>1</v>
      </c>
      <c r="AI54" s="105">
        <f t="shared" si="5"/>
        <v>565</v>
      </c>
    </row>
    <row r="55" spans="1:37" ht="15" customHeight="1">
      <c r="A55" s="2">
        <v>6</v>
      </c>
      <c r="B55" s="2" t="s">
        <v>129</v>
      </c>
      <c r="C55" s="503" t="s">
        <v>116</v>
      </c>
      <c r="D55" s="501"/>
      <c r="E55" s="20">
        <f t="shared" ref="E55:AH55" si="15">E17-D17</f>
        <v>269</v>
      </c>
      <c r="F55" s="20">
        <f t="shared" si="15"/>
        <v>116</v>
      </c>
      <c r="G55" s="20">
        <f t="shared" si="15"/>
        <v>139</v>
      </c>
      <c r="H55" s="20">
        <f t="shared" si="15"/>
        <v>279</v>
      </c>
      <c r="I55" s="20">
        <f t="shared" si="15"/>
        <v>236</v>
      </c>
      <c r="J55" s="20">
        <f t="shared" si="15"/>
        <v>256</v>
      </c>
      <c r="K55" s="20">
        <f t="shared" si="15"/>
        <v>246</v>
      </c>
      <c r="L55" s="20">
        <f t="shared" si="15"/>
        <v>138</v>
      </c>
      <c r="M55" s="20">
        <f t="shared" si="15"/>
        <v>119</v>
      </c>
      <c r="N55" s="20">
        <f t="shared" si="15"/>
        <v>280</v>
      </c>
      <c r="O55" s="20">
        <f t="shared" si="15"/>
        <v>123</v>
      </c>
      <c r="P55" s="20">
        <f t="shared" si="15"/>
        <v>259</v>
      </c>
      <c r="Q55" s="20">
        <f t="shared" si="15"/>
        <v>189</v>
      </c>
      <c r="R55" s="20">
        <f t="shared" si="15"/>
        <v>157</v>
      </c>
      <c r="S55" s="20">
        <f t="shared" si="15"/>
        <v>151</v>
      </c>
      <c r="T55" s="20">
        <f t="shared" si="15"/>
        <v>147</v>
      </c>
      <c r="U55" s="20">
        <f t="shared" si="15"/>
        <v>144</v>
      </c>
      <c r="V55" s="20">
        <f t="shared" si="15"/>
        <v>171</v>
      </c>
      <c r="W55" s="20">
        <f t="shared" si="15"/>
        <v>222</v>
      </c>
      <c r="X55" s="20">
        <f t="shared" si="15"/>
        <v>237</v>
      </c>
      <c r="Y55" s="20">
        <f t="shared" si="15"/>
        <v>236</v>
      </c>
      <c r="Z55" s="20">
        <f t="shared" si="15"/>
        <v>111</v>
      </c>
      <c r="AA55" s="20">
        <f t="shared" si="15"/>
        <v>139</v>
      </c>
      <c r="AB55" s="20">
        <f t="shared" si="15"/>
        <v>200</v>
      </c>
      <c r="AC55" s="20">
        <f t="shared" si="15"/>
        <v>245</v>
      </c>
      <c r="AD55" s="20">
        <f t="shared" si="15"/>
        <v>251</v>
      </c>
      <c r="AE55" s="20">
        <f t="shared" si="15"/>
        <v>236</v>
      </c>
      <c r="AF55" s="20">
        <f t="shared" si="15"/>
        <v>188</v>
      </c>
      <c r="AG55" s="20">
        <f t="shared" si="15"/>
        <v>115</v>
      </c>
      <c r="AH55" s="20">
        <f t="shared" si="15"/>
        <v>65</v>
      </c>
      <c r="AI55" s="105">
        <f t="shared" si="5"/>
        <v>5664</v>
      </c>
      <c r="AJ55" s="115" t="s">
        <v>20</v>
      </c>
      <c r="AK55" s="116">
        <f>AI61</f>
        <v>44242</v>
      </c>
    </row>
    <row r="56" spans="1:37" ht="15" customHeight="1">
      <c r="A56" s="2"/>
      <c r="B56" s="2"/>
      <c r="C56" s="531" t="s">
        <v>22</v>
      </c>
      <c r="D56" s="501"/>
      <c r="E56" s="20">
        <f t="shared" ref="E56:AH56" si="16">E18-D18</f>
        <v>44</v>
      </c>
      <c r="F56" s="20">
        <f t="shared" si="16"/>
        <v>0</v>
      </c>
      <c r="G56" s="20">
        <f t="shared" si="16"/>
        <v>132</v>
      </c>
      <c r="H56" s="20">
        <f t="shared" si="16"/>
        <v>0</v>
      </c>
      <c r="I56" s="20">
        <f t="shared" si="16"/>
        <v>-4</v>
      </c>
      <c r="J56" s="20">
        <f t="shared" si="16"/>
        <v>0</v>
      </c>
      <c r="K56" s="20">
        <f t="shared" si="16"/>
        <v>6</v>
      </c>
      <c r="L56" s="20">
        <f t="shared" si="16"/>
        <v>0</v>
      </c>
      <c r="M56" s="20">
        <f t="shared" si="16"/>
        <v>15</v>
      </c>
      <c r="N56" s="20">
        <f t="shared" si="16"/>
        <v>0</v>
      </c>
      <c r="O56" s="20">
        <f t="shared" si="16"/>
        <v>165</v>
      </c>
      <c r="P56" s="20">
        <f t="shared" si="16"/>
        <v>28</v>
      </c>
      <c r="Q56" s="20">
        <f t="shared" si="16"/>
        <v>104</v>
      </c>
      <c r="R56" s="20">
        <f t="shared" si="16"/>
        <v>96</v>
      </c>
      <c r="S56" s="20">
        <f t="shared" si="16"/>
        <v>1</v>
      </c>
      <c r="T56" s="20">
        <f t="shared" si="16"/>
        <v>2</v>
      </c>
      <c r="U56" s="20">
        <f t="shared" si="16"/>
        <v>16</v>
      </c>
      <c r="V56" s="20">
        <f t="shared" si="16"/>
        <v>66</v>
      </c>
      <c r="W56" s="20">
        <f t="shared" si="16"/>
        <v>74</v>
      </c>
      <c r="X56" s="20">
        <f t="shared" si="16"/>
        <v>0</v>
      </c>
      <c r="Y56" s="20">
        <f t="shared" si="16"/>
        <v>0</v>
      </c>
      <c r="Z56" s="20">
        <f t="shared" si="16"/>
        <v>0</v>
      </c>
      <c r="AA56" s="20">
        <f t="shared" si="16"/>
        <v>0</v>
      </c>
      <c r="AB56" s="20">
        <f t="shared" si="16"/>
        <v>8</v>
      </c>
      <c r="AC56" s="20">
        <f t="shared" si="16"/>
        <v>0</v>
      </c>
      <c r="AD56" s="20">
        <f t="shared" si="16"/>
        <v>0</v>
      </c>
      <c r="AE56" s="20">
        <f t="shared" si="16"/>
        <v>0</v>
      </c>
      <c r="AF56" s="20">
        <f t="shared" si="16"/>
        <v>35</v>
      </c>
      <c r="AG56" s="20">
        <f t="shared" si="16"/>
        <v>1</v>
      </c>
      <c r="AH56" s="20">
        <f t="shared" si="16"/>
        <v>1</v>
      </c>
      <c r="AI56" s="105">
        <f t="shared" si="5"/>
        <v>790</v>
      </c>
      <c r="AJ56" s="115" t="s">
        <v>21</v>
      </c>
      <c r="AK56" s="116">
        <f>AI74</f>
        <v>8295</v>
      </c>
    </row>
    <row r="57" spans="1:37" ht="15" customHeight="1">
      <c r="A57" s="2">
        <v>7</v>
      </c>
      <c r="B57" s="2" t="s">
        <v>129</v>
      </c>
      <c r="C57" s="503" t="s">
        <v>117</v>
      </c>
      <c r="D57" s="501"/>
      <c r="E57" s="20">
        <f t="shared" ref="E57:AH57" si="17">E19-D19</f>
        <v>715</v>
      </c>
      <c r="F57" s="20">
        <f t="shared" si="17"/>
        <v>302</v>
      </c>
      <c r="G57" s="20">
        <f t="shared" si="17"/>
        <v>504</v>
      </c>
      <c r="H57" s="20">
        <f t="shared" si="17"/>
        <v>743</v>
      </c>
      <c r="I57" s="20">
        <f t="shared" si="17"/>
        <v>566</v>
      </c>
      <c r="J57" s="20">
        <f t="shared" si="17"/>
        <v>716</v>
      </c>
      <c r="K57" s="20">
        <f t="shared" si="17"/>
        <v>687</v>
      </c>
      <c r="L57" s="20">
        <f t="shared" si="17"/>
        <v>443</v>
      </c>
      <c r="M57" s="20">
        <f t="shared" si="17"/>
        <v>352</v>
      </c>
      <c r="N57" s="20">
        <f t="shared" si="17"/>
        <v>683</v>
      </c>
      <c r="O57" s="20">
        <f t="shared" si="17"/>
        <v>358</v>
      </c>
      <c r="P57" s="20">
        <f t="shared" si="17"/>
        <v>619</v>
      </c>
      <c r="Q57" s="20">
        <f t="shared" si="17"/>
        <v>486</v>
      </c>
      <c r="R57" s="20">
        <f t="shared" si="17"/>
        <v>431</v>
      </c>
      <c r="S57" s="20">
        <f t="shared" si="17"/>
        <v>452</v>
      </c>
      <c r="T57" s="20">
        <f t="shared" si="17"/>
        <v>539</v>
      </c>
      <c r="U57" s="20">
        <f t="shared" si="17"/>
        <v>277</v>
      </c>
      <c r="V57" s="20">
        <f t="shared" si="17"/>
        <v>454</v>
      </c>
      <c r="W57" s="20">
        <f t="shared" si="17"/>
        <v>528</v>
      </c>
      <c r="X57" s="20">
        <f t="shared" si="17"/>
        <v>641</v>
      </c>
      <c r="Y57" s="20">
        <f t="shared" si="17"/>
        <v>652</v>
      </c>
      <c r="Z57" s="20">
        <f t="shared" si="17"/>
        <v>342</v>
      </c>
      <c r="AA57" s="20">
        <f t="shared" si="17"/>
        <v>314</v>
      </c>
      <c r="AB57" s="20">
        <f t="shared" si="17"/>
        <v>591</v>
      </c>
      <c r="AC57" s="20">
        <f t="shared" si="17"/>
        <v>609</v>
      </c>
      <c r="AD57" s="20">
        <f t="shared" si="17"/>
        <v>668</v>
      </c>
      <c r="AE57" s="20">
        <f t="shared" si="17"/>
        <v>713</v>
      </c>
      <c r="AF57" s="20">
        <f t="shared" si="17"/>
        <v>547</v>
      </c>
      <c r="AG57" s="20">
        <f t="shared" si="17"/>
        <v>339</v>
      </c>
      <c r="AH57" s="20">
        <f t="shared" si="17"/>
        <v>63</v>
      </c>
      <c r="AI57" s="21">
        <f t="shared" si="5"/>
        <v>15334</v>
      </c>
      <c r="AJ57" s="116" t="s">
        <v>23</v>
      </c>
      <c r="AK57" s="115">
        <f>AI80/2</f>
        <v>48085.530000000006</v>
      </c>
    </row>
    <row r="58" spans="1:37" ht="15" customHeight="1">
      <c r="A58" s="2"/>
      <c r="B58" s="2"/>
      <c r="C58" s="531" t="s">
        <v>22</v>
      </c>
      <c r="D58" s="501"/>
      <c r="E58" s="20">
        <f t="shared" ref="E58:AH58" si="18">E20-D20</f>
        <v>115</v>
      </c>
      <c r="F58" s="20">
        <f t="shared" si="18"/>
        <v>3</v>
      </c>
      <c r="G58" s="20">
        <f t="shared" si="18"/>
        <v>208</v>
      </c>
      <c r="H58" s="20">
        <f t="shared" si="18"/>
        <v>0</v>
      </c>
      <c r="I58" s="20">
        <f t="shared" si="18"/>
        <v>123</v>
      </c>
      <c r="J58" s="20">
        <f t="shared" si="18"/>
        <v>7</v>
      </c>
      <c r="K58" s="20">
        <f t="shared" si="18"/>
        <v>15</v>
      </c>
      <c r="L58" s="20">
        <f t="shared" si="18"/>
        <v>0</v>
      </c>
      <c r="M58" s="20">
        <f t="shared" si="18"/>
        <v>55</v>
      </c>
      <c r="N58" s="20">
        <f t="shared" si="18"/>
        <v>0</v>
      </c>
      <c r="O58" s="20">
        <f t="shared" si="18"/>
        <v>331</v>
      </c>
      <c r="P58" s="20">
        <f t="shared" si="18"/>
        <v>58</v>
      </c>
      <c r="Q58" s="20">
        <f t="shared" si="18"/>
        <v>212</v>
      </c>
      <c r="R58" s="20">
        <f t="shared" si="18"/>
        <v>226</v>
      </c>
      <c r="S58" s="20">
        <f t="shared" si="18"/>
        <v>2</v>
      </c>
      <c r="T58" s="20">
        <f t="shared" si="18"/>
        <v>15</v>
      </c>
      <c r="U58" s="20">
        <f t="shared" si="18"/>
        <v>44</v>
      </c>
      <c r="V58" s="20">
        <f t="shared" si="18"/>
        <v>162</v>
      </c>
      <c r="W58" s="20">
        <f t="shared" si="18"/>
        <v>143</v>
      </c>
      <c r="X58" s="20">
        <f t="shared" si="18"/>
        <v>0</v>
      </c>
      <c r="Y58" s="20">
        <f t="shared" si="18"/>
        <v>0</v>
      </c>
      <c r="Z58" s="20">
        <f t="shared" si="18"/>
        <v>0</v>
      </c>
      <c r="AA58" s="20">
        <f t="shared" si="18"/>
        <v>0</v>
      </c>
      <c r="AB58" s="20">
        <f t="shared" si="18"/>
        <v>19</v>
      </c>
      <c r="AC58" s="20">
        <f t="shared" si="18"/>
        <v>0</v>
      </c>
      <c r="AD58" s="20">
        <f t="shared" si="18"/>
        <v>0</v>
      </c>
      <c r="AE58" s="20">
        <f t="shared" si="18"/>
        <v>0</v>
      </c>
      <c r="AF58" s="20">
        <f t="shared" si="18"/>
        <v>71</v>
      </c>
      <c r="AG58" s="20">
        <f t="shared" si="18"/>
        <v>9</v>
      </c>
      <c r="AH58" s="20">
        <f t="shared" si="18"/>
        <v>3</v>
      </c>
      <c r="AI58" s="21">
        <f t="shared" si="5"/>
        <v>1821</v>
      </c>
      <c r="AJ58" s="115" t="s">
        <v>22</v>
      </c>
      <c r="AK58" s="116">
        <f>AI62+AI75</f>
        <v>6752</v>
      </c>
    </row>
    <row r="59" spans="1:37" ht="15" customHeight="1">
      <c r="A59" s="2">
        <v>8</v>
      </c>
      <c r="B59" s="2" t="s">
        <v>129</v>
      </c>
      <c r="C59" s="503" t="s">
        <v>118</v>
      </c>
      <c r="D59" s="501"/>
      <c r="E59" s="20">
        <f t="shared" ref="E59:AH59" si="19">E21-D21</f>
        <v>134</v>
      </c>
      <c r="F59" s="20">
        <f t="shared" si="19"/>
        <v>137</v>
      </c>
      <c r="G59" s="20">
        <f t="shared" si="19"/>
        <v>145</v>
      </c>
      <c r="H59" s="20">
        <f t="shared" si="19"/>
        <v>99</v>
      </c>
      <c r="I59" s="20">
        <f t="shared" si="19"/>
        <v>79</v>
      </c>
      <c r="J59" s="20">
        <f t="shared" si="19"/>
        <v>89</v>
      </c>
      <c r="K59" s="20">
        <f t="shared" si="19"/>
        <v>83</v>
      </c>
      <c r="L59" s="20">
        <f t="shared" si="19"/>
        <v>111</v>
      </c>
      <c r="M59" s="20">
        <f t="shared" si="19"/>
        <v>121</v>
      </c>
      <c r="N59" s="20">
        <f t="shared" si="19"/>
        <v>99</v>
      </c>
      <c r="O59" s="20">
        <f t="shared" si="19"/>
        <v>41</v>
      </c>
      <c r="P59" s="20">
        <f t="shared" si="19"/>
        <v>85</v>
      </c>
      <c r="Q59" s="20">
        <f t="shared" si="19"/>
        <v>74</v>
      </c>
      <c r="R59" s="20">
        <f t="shared" si="19"/>
        <v>59</v>
      </c>
      <c r="S59" s="20">
        <f t="shared" si="19"/>
        <v>117</v>
      </c>
      <c r="T59" s="20">
        <f t="shared" si="19"/>
        <v>144</v>
      </c>
      <c r="U59" s="20">
        <f t="shared" si="19"/>
        <v>121</v>
      </c>
      <c r="V59" s="20">
        <f t="shared" si="19"/>
        <v>131</v>
      </c>
      <c r="W59" s="20">
        <f t="shared" si="19"/>
        <v>98</v>
      </c>
      <c r="X59" s="20">
        <f t="shared" si="19"/>
        <v>127</v>
      </c>
      <c r="Y59" s="20">
        <f t="shared" si="19"/>
        <v>132</v>
      </c>
      <c r="Z59" s="20">
        <f t="shared" si="19"/>
        <v>127</v>
      </c>
      <c r="AA59" s="20">
        <f t="shared" si="19"/>
        <v>125</v>
      </c>
      <c r="AB59" s="20">
        <f t="shared" si="19"/>
        <v>169</v>
      </c>
      <c r="AC59" s="20">
        <f t="shared" si="19"/>
        <v>119</v>
      </c>
      <c r="AD59" s="20">
        <f t="shared" si="19"/>
        <v>121</v>
      </c>
      <c r="AE59" s="20">
        <f t="shared" si="19"/>
        <v>132</v>
      </c>
      <c r="AF59" s="20">
        <f t="shared" si="19"/>
        <v>94</v>
      </c>
      <c r="AG59" s="20">
        <f t="shared" si="19"/>
        <v>120</v>
      </c>
      <c r="AH59" s="20">
        <f t="shared" si="19"/>
        <v>33</v>
      </c>
      <c r="AI59" s="105">
        <f t="shared" si="5"/>
        <v>3266</v>
      </c>
    </row>
    <row r="60" spans="1:37" ht="15" customHeight="1">
      <c r="A60" s="2"/>
      <c r="B60" s="2"/>
      <c r="C60" s="531" t="s">
        <v>22</v>
      </c>
      <c r="D60" s="501"/>
      <c r="E60" s="20">
        <f t="shared" ref="E60:AH60" si="20">E22-D22</f>
        <v>21</v>
      </c>
      <c r="F60" s="20">
        <f t="shared" si="20"/>
        <v>0</v>
      </c>
      <c r="G60" s="20">
        <f t="shared" si="20"/>
        <v>53</v>
      </c>
      <c r="H60" s="20">
        <f t="shared" si="20"/>
        <v>0</v>
      </c>
      <c r="I60" s="20">
        <f t="shared" si="20"/>
        <v>22</v>
      </c>
      <c r="J60" s="20">
        <f t="shared" si="20"/>
        <v>0</v>
      </c>
      <c r="K60" s="20">
        <f t="shared" si="20"/>
        <v>3</v>
      </c>
      <c r="L60" s="20">
        <f t="shared" si="20"/>
        <v>0</v>
      </c>
      <c r="M60" s="20">
        <f t="shared" si="20"/>
        <v>11</v>
      </c>
      <c r="N60" s="20">
        <f t="shared" si="20"/>
        <v>0</v>
      </c>
      <c r="O60" s="20">
        <f t="shared" si="20"/>
        <v>51</v>
      </c>
      <c r="P60" s="20">
        <f t="shared" si="20"/>
        <v>11</v>
      </c>
      <c r="Q60" s="20">
        <f t="shared" si="20"/>
        <v>32</v>
      </c>
      <c r="R60" s="20">
        <f t="shared" si="20"/>
        <v>48</v>
      </c>
      <c r="S60" s="20">
        <f t="shared" si="20"/>
        <v>0</v>
      </c>
      <c r="T60" s="20">
        <f t="shared" si="20"/>
        <v>7</v>
      </c>
      <c r="U60" s="20">
        <f t="shared" si="20"/>
        <v>18</v>
      </c>
      <c r="V60" s="20">
        <f t="shared" si="20"/>
        <v>56</v>
      </c>
      <c r="W60" s="20">
        <f t="shared" si="20"/>
        <v>27</v>
      </c>
      <c r="X60" s="20">
        <f t="shared" si="20"/>
        <v>0</v>
      </c>
      <c r="Y60" s="20">
        <f t="shared" si="20"/>
        <v>0</v>
      </c>
      <c r="Z60" s="20">
        <f t="shared" si="20"/>
        <v>0</v>
      </c>
      <c r="AA60" s="20">
        <f t="shared" si="20"/>
        <v>0</v>
      </c>
      <c r="AB60" s="20">
        <f t="shared" si="20"/>
        <v>5</v>
      </c>
      <c r="AC60" s="20">
        <f t="shared" si="20"/>
        <v>0</v>
      </c>
      <c r="AD60" s="20">
        <f t="shared" si="20"/>
        <v>0</v>
      </c>
      <c r="AE60" s="20">
        <f t="shared" si="20"/>
        <v>0</v>
      </c>
      <c r="AF60" s="20">
        <f t="shared" si="20"/>
        <v>14</v>
      </c>
      <c r="AG60" s="20">
        <f t="shared" si="20"/>
        <v>5</v>
      </c>
      <c r="AH60" s="20">
        <f t="shared" si="20"/>
        <v>0</v>
      </c>
      <c r="AI60" s="105">
        <f t="shared" si="5"/>
        <v>384</v>
      </c>
    </row>
    <row r="61" spans="1:37" ht="15" customHeight="1">
      <c r="A61" s="99"/>
      <c r="B61" s="99"/>
      <c r="C61" s="500" t="s">
        <v>130</v>
      </c>
      <c r="D61" s="501"/>
      <c r="E61" s="23">
        <f t="shared" ref="E61:AH61" si="21">SUM(E59,E57,E55,E53,E51,E49,E47,E45)</f>
        <v>2019</v>
      </c>
      <c r="F61" s="23">
        <f t="shared" si="21"/>
        <v>1173</v>
      </c>
      <c r="G61" s="23">
        <f t="shared" si="21"/>
        <v>1357</v>
      </c>
      <c r="H61" s="23">
        <f t="shared" si="21"/>
        <v>1930</v>
      </c>
      <c r="I61" s="23">
        <f t="shared" si="21"/>
        <v>1556</v>
      </c>
      <c r="J61" s="23">
        <f t="shared" si="21"/>
        <v>1886</v>
      </c>
      <c r="K61" s="23">
        <f t="shared" si="21"/>
        <v>1795</v>
      </c>
      <c r="L61" s="23">
        <f t="shared" si="21"/>
        <v>1278</v>
      </c>
      <c r="M61" s="23">
        <f t="shared" si="21"/>
        <v>1208</v>
      </c>
      <c r="N61" s="23">
        <f t="shared" si="21"/>
        <v>1823</v>
      </c>
      <c r="O61" s="23">
        <f t="shared" si="21"/>
        <v>905</v>
      </c>
      <c r="P61" s="23">
        <f t="shared" si="21"/>
        <v>1694</v>
      </c>
      <c r="Q61" s="23">
        <f t="shared" si="21"/>
        <v>1315</v>
      </c>
      <c r="R61" s="23">
        <f t="shared" si="21"/>
        <v>1141</v>
      </c>
      <c r="S61" s="23">
        <f t="shared" si="21"/>
        <v>1342</v>
      </c>
      <c r="T61" s="23">
        <f t="shared" si="21"/>
        <v>1436</v>
      </c>
      <c r="U61" s="23">
        <f t="shared" si="21"/>
        <v>1112</v>
      </c>
      <c r="V61" s="23">
        <f t="shared" si="21"/>
        <v>1332</v>
      </c>
      <c r="W61" s="23">
        <f t="shared" si="21"/>
        <v>1482</v>
      </c>
      <c r="X61" s="23">
        <f t="shared" si="21"/>
        <v>1829</v>
      </c>
      <c r="Y61" s="23">
        <f t="shared" si="21"/>
        <v>1822</v>
      </c>
      <c r="Z61" s="23">
        <f t="shared" si="21"/>
        <v>1201</v>
      </c>
      <c r="AA61" s="23">
        <f t="shared" si="21"/>
        <v>1224</v>
      </c>
      <c r="AB61" s="23">
        <f t="shared" si="21"/>
        <v>1702</v>
      </c>
      <c r="AC61" s="23">
        <f t="shared" si="21"/>
        <v>1757</v>
      </c>
      <c r="AD61" s="23">
        <f t="shared" si="21"/>
        <v>1930</v>
      </c>
      <c r="AE61" s="23">
        <f t="shared" si="21"/>
        <v>1887</v>
      </c>
      <c r="AF61" s="23">
        <f t="shared" si="21"/>
        <v>1446</v>
      </c>
      <c r="AG61" s="23">
        <f t="shared" si="21"/>
        <v>1204</v>
      </c>
      <c r="AH61" s="23">
        <f t="shared" si="21"/>
        <v>456</v>
      </c>
      <c r="AI61" s="111">
        <f t="shared" si="5"/>
        <v>44242</v>
      </c>
    </row>
    <row r="62" spans="1:37" ht="15" customHeight="1">
      <c r="A62" s="99"/>
      <c r="B62" s="99"/>
      <c r="C62" s="63" t="s">
        <v>131</v>
      </c>
      <c r="D62" s="158"/>
      <c r="E62" s="23">
        <f t="shared" ref="E62:AH62" si="22">SUM(E46,E48,E50,E52,E54,E56,E58,E60)</f>
        <v>303</v>
      </c>
      <c r="F62" s="23">
        <f t="shared" si="22"/>
        <v>5</v>
      </c>
      <c r="G62" s="23">
        <f t="shared" si="22"/>
        <v>649</v>
      </c>
      <c r="H62" s="23">
        <f t="shared" si="22"/>
        <v>0</v>
      </c>
      <c r="I62" s="23">
        <f t="shared" si="22"/>
        <v>285</v>
      </c>
      <c r="J62" s="23">
        <f t="shared" si="22"/>
        <v>10</v>
      </c>
      <c r="K62" s="23">
        <f t="shared" si="22"/>
        <v>50</v>
      </c>
      <c r="L62" s="23">
        <f t="shared" si="22"/>
        <v>0</v>
      </c>
      <c r="M62" s="23">
        <f t="shared" si="22"/>
        <v>147</v>
      </c>
      <c r="N62" s="23">
        <f t="shared" si="22"/>
        <v>0</v>
      </c>
      <c r="O62" s="23">
        <f t="shared" si="22"/>
        <v>987</v>
      </c>
      <c r="P62" s="23">
        <f t="shared" si="22"/>
        <v>174</v>
      </c>
      <c r="Q62" s="23">
        <f t="shared" si="22"/>
        <v>607</v>
      </c>
      <c r="R62" s="23">
        <f t="shared" si="22"/>
        <v>621</v>
      </c>
      <c r="S62" s="23">
        <f t="shared" si="22"/>
        <v>4</v>
      </c>
      <c r="T62" s="23">
        <f t="shared" si="22"/>
        <v>44</v>
      </c>
      <c r="U62" s="23">
        <f t="shared" si="22"/>
        <v>158</v>
      </c>
      <c r="V62" s="23">
        <f t="shared" si="22"/>
        <v>525</v>
      </c>
      <c r="W62" s="23">
        <f t="shared" si="22"/>
        <v>424</v>
      </c>
      <c r="X62" s="23">
        <f t="shared" si="22"/>
        <v>0</v>
      </c>
      <c r="Y62" s="23">
        <f t="shared" si="22"/>
        <v>0</v>
      </c>
      <c r="Z62" s="23">
        <f t="shared" si="22"/>
        <v>0</v>
      </c>
      <c r="AA62" s="23">
        <f t="shared" si="22"/>
        <v>0</v>
      </c>
      <c r="AB62" s="23">
        <f t="shared" si="22"/>
        <v>58</v>
      </c>
      <c r="AC62" s="23">
        <f t="shared" si="22"/>
        <v>0</v>
      </c>
      <c r="AD62" s="23">
        <f t="shared" si="22"/>
        <v>0</v>
      </c>
      <c r="AE62" s="23">
        <f t="shared" si="22"/>
        <v>0</v>
      </c>
      <c r="AF62" s="23">
        <f t="shared" si="22"/>
        <v>231</v>
      </c>
      <c r="AG62" s="23">
        <f t="shared" si="22"/>
        <v>34</v>
      </c>
      <c r="AH62" s="23">
        <f t="shared" si="22"/>
        <v>9</v>
      </c>
      <c r="AI62" s="111">
        <f t="shared" si="5"/>
        <v>5325</v>
      </c>
      <c r="AK62" s="78"/>
    </row>
    <row r="63" spans="1:37" ht="14.5" customHeight="1">
      <c r="A63" s="101"/>
      <c r="B63" s="101"/>
      <c r="C63" s="539" t="s">
        <v>132</v>
      </c>
      <c r="D63" s="501"/>
      <c r="E63" s="102">
        <f>E61</f>
        <v>2019</v>
      </c>
      <c r="F63" s="102">
        <f t="shared" ref="F63:AH63" si="23">E63+F61</f>
        <v>3192</v>
      </c>
      <c r="G63" s="102">
        <f t="shared" si="23"/>
        <v>4549</v>
      </c>
      <c r="H63" s="102">
        <f t="shared" si="23"/>
        <v>6479</v>
      </c>
      <c r="I63" s="102">
        <f t="shared" si="23"/>
        <v>8035</v>
      </c>
      <c r="J63" s="102">
        <f t="shared" si="23"/>
        <v>9921</v>
      </c>
      <c r="K63" s="102">
        <f t="shared" si="23"/>
        <v>11716</v>
      </c>
      <c r="L63" s="102">
        <f t="shared" si="23"/>
        <v>12994</v>
      </c>
      <c r="M63" s="102">
        <f t="shared" si="23"/>
        <v>14202</v>
      </c>
      <c r="N63" s="102">
        <f t="shared" si="23"/>
        <v>16025</v>
      </c>
      <c r="O63" s="102">
        <f t="shared" si="23"/>
        <v>16930</v>
      </c>
      <c r="P63" s="102">
        <f t="shared" si="23"/>
        <v>18624</v>
      </c>
      <c r="Q63" s="102">
        <f t="shared" si="23"/>
        <v>19939</v>
      </c>
      <c r="R63" s="102">
        <f t="shared" si="23"/>
        <v>21080</v>
      </c>
      <c r="S63" s="102">
        <f t="shared" si="23"/>
        <v>22422</v>
      </c>
      <c r="T63" s="102">
        <f t="shared" si="23"/>
        <v>23858</v>
      </c>
      <c r="U63" s="102">
        <f t="shared" si="23"/>
        <v>24970</v>
      </c>
      <c r="V63" s="102">
        <f t="shared" si="23"/>
        <v>26302</v>
      </c>
      <c r="W63" s="102">
        <f t="shared" si="23"/>
        <v>27784</v>
      </c>
      <c r="X63" s="102">
        <f t="shared" si="23"/>
        <v>29613</v>
      </c>
      <c r="Y63" s="102">
        <f t="shared" si="23"/>
        <v>31435</v>
      </c>
      <c r="Z63" s="102">
        <f t="shared" si="23"/>
        <v>32636</v>
      </c>
      <c r="AA63" s="102">
        <f t="shared" si="23"/>
        <v>33860</v>
      </c>
      <c r="AB63" s="102">
        <f t="shared" si="23"/>
        <v>35562</v>
      </c>
      <c r="AC63" s="102">
        <f t="shared" si="23"/>
        <v>37319</v>
      </c>
      <c r="AD63" s="102">
        <f t="shared" si="23"/>
        <v>39249</v>
      </c>
      <c r="AE63" s="102">
        <f t="shared" si="23"/>
        <v>41136</v>
      </c>
      <c r="AF63" s="102">
        <f t="shared" si="23"/>
        <v>42582</v>
      </c>
      <c r="AG63" s="102">
        <f t="shared" si="23"/>
        <v>43786</v>
      </c>
      <c r="AH63" s="102">
        <f t="shared" si="23"/>
        <v>44242</v>
      </c>
      <c r="AI63" s="102">
        <f>AG63+AI61</f>
        <v>88028</v>
      </c>
    </row>
    <row r="64" spans="1:37" ht="13" customHeight="1">
      <c r="A64" s="94"/>
      <c r="B64" s="27"/>
      <c r="C64" s="27"/>
      <c r="D64" s="10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</row>
    <row r="65" spans="1:37" ht="14.5" customHeight="1">
      <c r="A65" s="28" t="s">
        <v>133</v>
      </c>
      <c r="B65" s="28" t="s">
        <v>100</v>
      </c>
      <c r="C65" s="523" t="s">
        <v>101</v>
      </c>
      <c r="D65" s="50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103"/>
    </row>
    <row r="66" spans="1:37" ht="14.5" customHeight="1">
      <c r="A66" s="2">
        <v>1</v>
      </c>
      <c r="B66" s="2" t="s">
        <v>129</v>
      </c>
      <c r="C66" s="506" t="s">
        <v>119</v>
      </c>
      <c r="D66" s="501"/>
      <c r="E66" s="30">
        <f t="shared" ref="E66:AH66" si="24">E24-D24</f>
        <v>110</v>
      </c>
      <c r="F66" s="30">
        <f t="shared" si="24"/>
        <v>0</v>
      </c>
      <c r="G66" s="30">
        <f t="shared" si="24"/>
        <v>69</v>
      </c>
      <c r="H66" s="30">
        <f t="shared" si="24"/>
        <v>104</v>
      </c>
      <c r="I66" s="30">
        <f t="shared" si="24"/>
        <v>74</v>
      </c>
      <c r="J66" s="30">
        <f t="shared" si="24"/>
        <v>111</v>
      </c>
      <c r="K66" s="30">
        <f t="shared" si="24"/>
        <v>114</v>
      </c>
      <c r="L66" s="30">
        <f t="shared" si="24"/>
        <v>58</v>
      </c>
      <c r="M66" s="30">
        <f t="shared" si="24"/>
        <v>0</v>
      </c>
      <c r="N66" s="30">
        <f t="shared" si="24"/>
        <v>106</v>
      </c>
      <c r="O66" s="30">
        <f t="shared" si="24"/>
        <v>53</v>
      </c>
      <c r="P66" s="30">
        <f t="shared" si="24"/>
        <v>88</v>
      </c>
      <c r="Q66" s="30">
        <f t="shared" si="24"/>
        <v>61</v>
      </c>
      <c r="R66" s="30">
        <f t="shared" si="24"/>
        <v>50</v>
      </c>
      <c r="S66" s="30">
        <f t="shared" si="24"/>
        <v>53</v>
      </c>
      <c r="T66" s="30">
        <f t="shared" si="24"/>
        <v>0</v>
      </c>
      <c r="U66" s="30">
        <f t="shared" si="24"/>
        <v>16</v>
      </c>
      <c r="V66" s="30">
        <f t="shared" si="24"/>
        <v>79</v>
      </c>
      <c r="W66" s="30">
        <f t="shared" si="24"/>
        <v>83</v>
      </c>
      <c r="X66" s="30">
        <f t="shared" si="24"/>
        <v>109</v>
      </c>
      <c r="Y66" s="30">
        <f t="shared" si="24"/>
        <v>127</v>
      </c>
      <c r="Z66" s="30">
        <f t="shared" si="24"/>
        <v>70</v>
      </c>
      <c r="AA66" s="30">
        <f t="shared" si="24"/>
        <v>0</v>
      </c>
      <c r="AB66" s="30">
        <f t="shared" si="24"/>
        <v>124</v>
      </c>
      <c r="AC66" s="30">
        <f t="shared" si="24"/>
        <v>69</v>
      </c>
      <c r="AD66" s="30">
        <f t="shared" si="24"/>
        <v>46</v>
      </c>
      <c r="AE66" s="30">
        <f t="shared" si="24"/>
        <v>46</v>
      </c>
      <c r="AF66" s="30">
        <f t="shared" si="24"/>
        <v>48</v>
      </c>
      <c r="AG66" s="30">
        <f t="shared" si="24"/>
        <v>27</v>
      </c>
      <c r="AH66" s="30">
        <f t="shared" si="24"/>
        <v>0</v>
      </c>
      <c r="AI66" s="30">
        <f t="shared" ref="AI66:AI79" si="25">SUM(E66:AH66)</f>
        <v>1895</v>
      </c>
    </row>
    <row r="67" spans="1:37" ht="14.5" customHeight="1">
      <c r="A67" s="2"/>
      <c r="B67" s="2"/>
      <c r="C67" s="532" t="s">
        <v>22</v>
      </c>
      <c r="D67" s="501"/>
      <c r="E67" s="30">
        <f t="shared" ref="E67:AH67" si="26">E25-D25</f>
        <v>14</v>
      </c>
      <c r="F67" s="30">
        <f t="shared" si="26"/>
        <v>0</v>
      </c>
      <c r="G67" s="30">
        <f t="shared" si="26"/>
        <v>49</v>
      </c>
      <c r="H67" s="30">
        <f t="shared" si="26"/>
        <v>0</v>
      </c>
      <c r="I67" s="30">
        <f t="shared" si="26"/>
        <v>27</v>
      </c>
      <c r="J67" s="30">
        <f t="shared" si="26"/>
        <v>0</v>
      </c>
      <c r="K67" s="30">
        <f t="shared" si="26"/>
        <v>0</v>
      </c>
      <c r="L67" s="30">
        <f t="shared" si="26"/>
        <v>0</v>
      </c>
      <c r="M67" s="30">
        <f t="shared" si="26"/>
        <v>0</v>
      </c>
      <c r="N67" s="30">
        <f t="shared" si="26"/>
        <v>0</v>
      </c>
      <c r="O67" s="30">
        <f t="shared" si="26"/>
        <v>63</v>
      </c>
      <c r="P67" s="30">
        <f t="shared" si="26"/>
        <v>13</v>
      </c>
      <c r="Q67" s="30">
        <f t="shared" si="26"/>
        <v>44</v>
      </c>
      <c r="R67" s="30">
        <f t="shared" si="26"/>
        <v>49</v>
      </c>
      <c r="S67" s="30">
        <f t="shared" si="26"/>
        <v>0</v>
      </c>
      <c r="T67" s="30">
        <f t="shared" si="26"/>
        <v>0</v>
      </c>
      <c r="U67" s="30">
        <f t="shared" si="26"/>
        <v>3</v>
      </c>
      <c r="V67" s="30">
        <f t="shared" si="26"/>
        <v>37</v>
      </c>
      <c r="W67" s="30">
        <f t="shared" si="26"/>
        <v>35</v>
      </c>
      <c r="X67" s="30">
        <f t="shared" si="26"/>
        <v>0</v>
      </c>
      <c r="Y67" s="30">
        <f t="shared" si="26"/>
        <v>0</v>
      </c>
      <c r="Z67" s="30">
        <f t="shared" si="26"/>
        <v>0</v>
      </c>
      <c r="AA67" s="30">
        <f t="shared" si="26"/>
        <v>0</v>
      </c>
      <c r="AB67" s="30">
        <f t="shared" si="26"/>
        <v>6</v>
      </c>
      <c r="AC67" s="30">
        <f t="shared" si="26"/>
        <v>0</v>
      </c>
      <c r="AD67" s="30">
        <f t="shared" si="26"/>
        <v>0</v>
      </c>
      <c r="AE67" s="30">
        <f t="shared" si="26"/>
        <v>0</v>
      </c>
      <c r="AF67" s="30">
        <f t="shared" si="26"/>
        <v>0</v>
      </c>
      <c r="AG67" s="30">
        <f t="shared" si="26"/>
        <v>0</v>
      </c>
      <c r="AH67" s="30">
        <f t="shared" si="26"/>
        <v>0</v>
      </c>
      <c r="AI67" s="30">
        <f t="shared" si="25"/>
        <v>340</v>
      </c>
    </row>
    <row r="68" spans="1:37" ht="14.5" customHeight="1">
      <c r="A68" s="2">
        <v>2</v>
      </c>
      <c r="B68" s="2" t="s">
        <v>129</v>
      </c>
      <c r="C68" s="506" t="s">
        <v>120</v>
      </c>
      <c r="D68" s="501"/>
      <c r="E68" s="30">
        <f t="shared" ref="E68:AH68" si="27">E26-D26</f>
        <v>109</v>
      </c>
      <c r="F68" s="30">
        <f t="shared" si="27"/>
        <v>0</v>
      </c>
      <c r="G68" s="30">
        <f t="shared" si="27"/>
        <v>67</v>
      </c>
      <c r="H68" s="30">
        <f t="shared" si="27"/>
        <v>102</v>
      </c>
      <c r="I68" s="30">
        <f t="shared" si="27"/>
        <v>72</v>
      </c>
      <c r="J68" s="30">
        <f t="shared" si="27"/>
        <v>102</v>
      </c>
      <c r="K68" s="30">
        <f t="shared" si="27"/>
        <v>110</v>
      </c>
      <c r="L68" s="30">
        <f t="shared" si="27"/>
        <v>51</v>
      </c>
      <c r="M68" s="30">
        <f t="shared" si="27"/>
        <v>0</v>
      </c>
      <c r="N68" s="30">
        <f t="shared" si="27"/>
        <v>100</v>
      </c>
      <c r="O68" s="30">
        <f t="shared" si="27"/>
        <v>54</v>
      </c>
      <c r="P68" s="30">
        <f t="shared" si="27"/>
        <v>57</v>
      </c>
      <c r="Q68" s="30">
        <f t="shared" si="27"/>
        <v>91</v>
      </c>
      <c r="R68" s="30">
        <f t="shared" si="27"/>
        <v>47</v>
      </c>
      <c r="S68" s="30">
        <f t="shared" si="27"/>
        <v>49</v>
      </c>
      <c r="T68" s="30">
        <f t="shared" si="27"/>
        <v>0</v>
      </c>
      <c r="U68" s="30">
        <f t="shared" si="27"/>
        <v>17</v>
      </c>
      <c r="V68" s="30">
        <f t="shared" si="27"/>
        <v>81</v>
      </c>
      <c r="W68" s="30">
        <f t="shared" si="27"/>
        <v>84</v>
      </c>
      <c r="X68" s="30">
        <f t="shared" si="27"/>
        <v>99</v>
      </c>
      <c r="Y68" s="30">
        <f t="shared" si="27"/>
        <v>108</v>
      </c>
      <c r="Z68" s="30">
        <f t="shared" si="27"/>
        <v>59</v>
      </c>
      <c r="AA68" s="30">
        <f t="shared" si="27"/>
        <v>0</v>
      </c>
      <c r="AB68" s="30">
        <f t="shared" si="27"/>
        <v>121</v>
      </c>
      <c r="AC68" s="30">
        <f t="shared" si="27"/>
        <v>80</v>
      </c>
      <c r="AD68" s="30">
        <f t="shared" si="27"/>
        <v>137</v>
      </c>
      <c r="AE68" s="30">
        <f t="shared" si="27"/>
        <v>103</v>
      </c>
      <c r="AF68" s="30">
        <f t="shared" si="27"/>
        <v>83</v>
      </c>
      <c r="AG68" s="30">
        <f t="shared" si="27"/>
        <v>47</v>
      </c>
      <c r="AH68" s="30">
        <f t="shared" si="27"/>
        <v>0</v>
      </c>
      <c r="AI68" s="30">
        <f t="shared" si="25"/>
        <v>2030</v>
      </c>
    </row>
    <row r="69" spans="1:37" ht="14.5" customHeight="1">
      <c r="A69" s="2"/>
      <c r="B69" s="2"/>
      <c r="C69" s="532" t="s">
        <v>22</v>
      </c>
      <c r="D69" s="501"/>
      <c r="E69" s="30">
        <f t="shared" ref="E69:AH69" si="28">E27-D27</f>
        <v>13</v>
      </c>
      <c r="F69" s="30">
        <f t="shared" si="28"/>
        <v>0</v>
      </c>
      <c r="G69" s="30">
        <f t="shared" si="28"/>
        <v>50</v>
      </c>
      <c r="H69" s="30">
        <f t="shared" si="28"/>
        <v>0</v>
      </c>
      <c r="I69" s="30">
        <f t="shared" si="28"/>
        <v>26</v>
      </c>
      <c r="J69" s="30">
        <f t="shared" si="28"/>
        <v>0</v>
      </c>
      <c r="K69" s="30">
        <f t="shared" si="28"/>
        <v>0</v>
      </c>
      <c r="L69" s="30">
        <f t="shared" si="28"/>
        <v>0</v>
      </c>
      <c r="M69" s="30">
        <f t="shared" si="28"/>
        <v>0</v>
      </c>
      <c r="N69" s="30">
        <f t="shared" si="28"/>
        <v>0</v>
      </c>
      <c r="O69" s="30">
        <f t="shared" si="28"/>
        <v>57</v>
      </c>
      <c r="P69" s="30">
        <f t="shared" si="28"/>
        <v>13</v>
      </c>
      <c r="Q69" s="30">
        <f t="shared" si="28"/>
        <v>42</v>
      </c>
      <c r="R69" s="30">
        <f t="shared" si="28"/>
        <v>46</v>
      </c>
      <c r="S69" s="30">
        <f t="shared" si="28"/>
        <v>0</v>
      </c>
      <c r="T69" s="30">
        <f t="shared" si="28"/>
        <v>0</v>
      </c>
      <c r="U69" s="30">
        <f t="shared" si="28"/>
        <v>3</v>
      </c>
      <c r="V69" s="30">
        <f t="shared" si="28"/>
        <v>40</v>
      </c>
      <c r="W69" s="30">
        <f t="shared" si="28"/>
        <v>34</v>
      </c>
      <c r="X69" s="30">
        <f t="shared" si="28"/>
        <v>0</v>
      </c>
      <c r="Y69" s="30">
        <f t="shared" si="28"/>
        <v>0</v>
      </c>
      <c r="Z69" s="30">
        <f t="shared" si="28"/>
        <v>0</v>
      </c>
      <c r="AA69" s="30">
        <f t="shared" si="28"/>
        <v>0</v>
      </c>
      <c r="AB69" s="30">
        <f t="shared" si="28"/>
        <v>6</v>
      </c>
      <c r="AC69" s="30">
        <f t="shared" si="28"/>
        <v>0</v>
      </c>
      <c r="AD69" s="30">
        <f t="shared" si="28"/>
        <v>0</v>
      </c>
      <c r="AE69" s="30">
        <f t="shared" si="28"/>
        <v>0</v>
      </c>
      <c r="AF69" s="30">
        <f t="shared" si="28"/>
        <v>14</v>
      </c>
      <c r="AG69" s="30">
        <f t="shared" si="28"/>
        <v>2</v>
      </c>
      <c r="AH69" s="30">
        <f t="shared" si="28"/>
        <v>0</v>
      </c>
      <c r="AI69" s="30">
        <f t="shared" si="25"/>
        <v>346</v>
      </c>
    </row>
    <row r="70" spans="1:37" ht="14.5" customHeight="1">
      <c r="A70" s="2">
        <v>3</v>
      </c>
      <c r="B70" s="2" t="s">
        <v>129</v>
      </c>
      <c r="C70" s="506" t="s">
        <v>121</v>
      </c>
      <c r="D70" s="501"/>
      <c r="E70" s="30">
        <f t="shared" ref="E70:AH70" si="29">E28-D28</f>
        <v>75</v>
      </c>
      <c r="F70" s="30">
        <f t="shared" si="29"/>
        <v>0</v>
      </c>
      <c r="G70" s="30">
        <f t="shared" si="29"/>
        <v>73</v>
      </c>
      <c r="H70" s="30">
        <f t="shared" si="29"/>
        <v>131</v>
      </c>
      <c r="I70" s="30">
        <f t="shared" si="29"/>
        <v>87</v>
      </c>
      <c r="J70" s="30">
        <f t="shared" si="29"/>
        <v>124</v>
      </c>
      <c r="K70" s="30">
        <f t="shared" si="29"/>
        <v>122</v>
      </c>
      <c r="L70" s="30">
        <f t="shared" si="29"/>
        <v>62</v>
      </c>
      <c r="M70" s="30">
        <f t="shared" si="29"/>
        <v>0</v>
      </c>
      <c r="N70" s="30">
        <f t="shared" si="29"/>
        <v>155</v>
      </c>
      <c r="O70" s="30">
        <f t="shared" si="29"/>
        <v>21</v>
      </c>
      <c r="P70" s="30">
        <f t="shared" si="29"/>
        <v>100</v>
      </c>
      <c r="Q70" s="30">
        <f t="shared" si="29"/>
        <v>64</v>
      </c>
      <c r="R70" s="30">
        <f t="shared" si="29"/>
        <v>56</v>
      </c>
      <c r="S70" s="30">
        <f t="shared" si="29"/>
        <v>63</v>
      </c>
      <c r="T70" s="30">
        <f t="shared" si="29"/>
        <v>0</v>
      </c>
      <c r="U70" s="30">
        <f t="shared" si="29"/>
        <v>60</v>
      </c>
      <c r="V70" s="30">
        <f t="shared" si="29"/>
        <v>73</v>
      </c>
      <c r="W70" s="30">
        <f t="shared" si="29"/>
        <v>88</v>
      </c>
      <c r="X70" s="30">
        <f t="shared" si="29"/>
        <v>167</v>
      </c>
      <c r="Y70" s="30">
        <f t="shared" si="29"/>
        <v>83</v>
      </c>
      <c r="Z70" s="30">
        <f t="shared" si="29"/>
        <v>52</v>
      </c>
      <c r="AA70" s="30">
        <f t="shared" si="29"/>
        <v>0</v>
      </c>
      <c r="AB70" s="30">
        <f t="shared" si="29"/>
        <v>152</v>
      </c>
      <c r="AC70" s="30">
        <f t="shared" si="29"/>
        <v>57</v>
      </c>
      <c r="AD70" s="30">
        <f t="shared" si="29"/>
        <v>209</v>
      </c>
      <c r="AE70" s="30">
        <f t="shared" si="29"/>
        <v>115</v>
      </c>
      <c r="AF70" s="30">
        <f t="shared" si="29"/>
        <v>98</v>
      </c>
      <c r="AG70" s="30">
        <f t="shared" si="29"/>
        <v>55</v>
      </c>
      <c r="AH70" s="30">
        <f t="shared" si="29"/>
        <v>0</v>
      </c>
      <c r="AI70" s="30">
        <f t="shared" si="25"/>
        <v>2342</v>
      </c>
      <c r="AJ70" s="78"/>
      <c r="AK70" s="78"/>
    </row>
    <row r="71" spans="1:37" ht="14.5" customHeight="1">
      <c r="A71" s="2"/>
      <c r="B71" s="2"/>
      <c r="C71" s="532" t="s">
        <v>22</v>
      </c>
      <c r="D71" s="501"/>
      <c r="E71" s="30">
        <f t="shared" ref="E71:AH71" si="30">E29-D29</f>
        <v>13</v>
      </c>
      <c r="F71" s="30">
        <f t="shared" si="30"/>
        <v>0</v>
      </c>
      <c r="G71" s="30">
        <f t="shared" si="30"/>
        <v>54</v>
      </c>
      <c r="H71" s="30">
        <f t="shared" si="30"/>
        <v>0</v>
      </c>
      <c r="I71" s="30">
        <f t="shared" si="30"/>
        <v>31</v>
      </c>
      <c r="J71" s="30">
        <f t="shared" si="30"/>
        <v>0</v>
      </c>
      <c r="K71" s="30">
        <f t="shared" si="30"/>
        <v>0</v>
      </c>
      <c r="L71" s="30">
        <f t="shared" si="30"/>
        <v>0</v>
      </c>
      <c r="M71" s="30">
        <f t="shared" si="30"/>
        <v>0</v>
      </c>
      <c r="N71" s="30">
        <f t="shared" si="30"/>
        <v>0</v>
      </c>
      <c r="O71" s="30">
        <f t="shared" si="30"/>
        <v>0</v>
      </c>
      <c r="P71" s="30">
        <f t="shared" si="30"/>
        <v>87</v>
      </c>
      <c r="Q71" s="30">
        <f t="shared" si="30"/>
        <v>50</v>
      </c>
      <c r="R71" s="30">
        <f t="shared" si="30"/>
        <v>57</v>
      </c>
      <c r="S71" s="30">
        <f t="shared" si="30"/>
        <v>0</v>
      </c>
      <c r="T71" s="30">
        <f t="shared" si="30"/>
        <v>0</v>
      </c>
      <c r="U71" s="30">
        <f t="shared" si="30"/>
        <v>16</v>
      </c>
      <c r="V71" s="30">
        <f t="shared" si="30"/>
        <v>41</v>
      </c>
      <c r="W71" s="30">
        <f t="shared" si="30"/>
        <v>36</v>
      </c>
      <c r="X71" s="30">
        <f t="shared" si="30"/>
        <v>0</v>
      </c>
      <c r="Y71" s="30">
        <f t="shared" si="30"/>
        <v>0</v>
      </c>
      <c r="Z71" s="30">
        <f t="shared" si="30"/>
        <v>0</v>
      </c>
      <c r="AA71" s="30">
        <f t="shared" si="30"/>
        <v>0</v>
      </c>
      <c r="AB71" s="30">
        <f t="shared" si="30"/>
        <v>7</v>
      </c>
      <c r="AC71" s="30">
        <f t="shared" si="30"/>
        <v>0</v>
      </c>
      <c r="AD71" s="30">
        <f t="shared" si="30"/>
        <v>0</v>
      </c>
      <c r="AE71" s="30">
        <f t="shared" si="30"/>
        <v>0</v>
      </c>
      <c r="AF71" s="30">
        <f t="shared" si="30"/>
        <v>15</v>
      </c>
      <c r="AG71" s="30">
        <f t="shared" si="30"/>
        <v>3</v>
      </c>
      <c r="AH71" s="30">
        <f t="shared" si="30"/>
        <v>0</v>
      </c>
      <c r="AI71" s="30">
        <f t="shared" si="25"/>
        <v>410</v>
      </c>
      <c r="AJ71" s="78"/>
      <c r="AK71" s="78"/>
    </row>
    <row r="72" spans="1:37" ht="14.5" customHeight="1">
      <c r="A72" s="2">
        <v>4</v>
      </c>
      <c r="B72" s="2" t="s">
        <v>129</v>
      </c>
      <c r="C72" s="506" t="s">
        <v>122</v>
      </c>
      <c r="D72" s="501"/>
      <c r="E72" s="30">
        <f t="shared" ref="E72:AH72" si="31">E30-D30</f>
        <v>79</v>
      </c>
      <c r="F72" s="30">
        <f t="shared" si="31"/>
        <v>0</v>
      </c>
      <c r="G72" s="30">
        <f t="shared" si="31"/>
        <v>62</v>
      </c>
      <c r="H72" s="30">
        <f t="shared" si="31"/>
        <v>101</v>
      </c>
      <c r="I72" s="30">
        <f t="shared" si="31"/>
        <v>75</v>
      </c>
      <c r="J72" s="30">
        <f t="shared" si="31"/>
        <v>110</v>
      </c>
      <c r="K72" s="30">
        <f t="shared" si="31"/>
        <v>107</v>
      </c>
      <c r="L72" s="30">
        <f t="shared" si="31"/>
        <v>54</v>
      </c>
      <c r="M72" s="30">
        <f t="shared" si="31"/>
        <v>0</v>
      </c>
      <c r="N72" s="30">
        <f t="shared" si="31"/>
        <v>104</v>
      </c>
      <c r="O72" s="30">
        <f t="shared" si="31"/>
        <v>49</v>
      </c>
      <c r="P72" s="30">
        <f t="shared" si="31"/>
        <v>85</v>
      </c>
      <c r="Q72" s="30">
        <f t="shared" si="31"/>
        <v>56</v>
      </c>
      <c r="R72" s="30">
        <f t="shared" si="31"/>
        <v>47</v>
      </c>
      <c r="S72" s="30">
        <f t="shared" si="31"/>
        <v>50</v>
      </c>
      <c r="T72" s="30">
        <f t="shared" si="31"/>
        <v>0</v>
      </c>
      <c r="U72" s="30">
        <f t="shared" si="31"/>
        <v>15</v>
      </c>
      <c r="V72" s="30">
        <f t="shared" si="31"/>
        <v>71</v>
      </c>
      <c r="W72" s="30">
        <f t="shared" si="31"/>
        <v>77</v>
      </c>
      <c r="X72" s="30">
        <f t="shared" si="31"/>
        <v>109</v>
      </c>
      <c r="Y72" s="30">
        <f t="shared" si="31"/>
        <v>117</v>
      </c>
      <c r="Z72" s="30">
        <f t="shared" si="31"/>
        <v>67</v>
      </c>
      <c r="AA72" s="30">
        <f t="shared" si="31"/>
        <v>0</v>
      </c>
      <c r="AB72" s="30">
        <f t="shared" si="31"/>
        <v>109</v>
      </c>
      <c r="AC72" s="30">
        <f t="shared" si="31"/>
        <v>119</v>
      </c>
      <c r="AD72" s="30">
        <f t="shared" si="31"/>
        <v>113</v>
      </c>
      <c r="AE72" s="30">
        <f t="shared" si="31"/>
        <v>103</v>
      </c>
      <c r="AF72" s="30">
        <f t="shared" si="31"/>
        <v>100</v>
      </c>
      <c r="AG72" s="30">
        <f t="shared" si="31"/>
        <v>49</v>
      </c>
      <c r="AH72" s="30">
        <f t="shared" si="31"/>
        <v>0</v>
      </c>
      <c r="AI72" s="30">
        <f t="shared" si="25"/>
        <v>2028</v>
      </c>
      <c r="AK72" s="78"/>
    </row>
    <row r="73" spans="1:37" ht="14.5" customHeight="1">
      <c r="A73" s="2"/>
      <c r="B73" s="2"/>
      <c r="C73" s="532" t="s">
        <v>22</v>
      </c>
      <c r="D73" s="501"/>
      <c r="E73" s="30">
        <f t="shared" ref="E73:AH73" si="32">E31-D31</f>
        <v>11</v>
      </c>
      <c r="F73" s="30">
        <f t="shared" si="32"/>
        <v>0</v>
      </c>
      <c r="G73" s="30">
        <f t="shared" si="32"/>
        <v>46</v>
      </c>
      <c r="H73" s="30">
        <f t="shared" si="32"/>
        <v>0</v>
      </c>
      <c r="I73" s="30">
        <f t="shared" si="32"/>
        <v>27</v>
      </c>
      <c r="J73" s="30">
        <f t="shared" si="32"/>
        <v>0</v>
      </c>
      <c r="K73" s="30">
        <f t="shared" si="32"/>
        <v>0</v>
      </c>
      <c r="L73" s="30">
        <f t="shared" si="32"/>
        <v>0</v>
      </c>
      <c r="M73" s="30">
        <f t="shared" si="32"/>
        <v>0</v>
      </c>
      <c r="N73" s="30">
        <f t="shared" si="32"/>
        <v>0</v>
      </c>
      <c r="O73" s="30">
        <f t="shared" si="32"/>
        <v>61</v>
      </c>
      <c r="P73" s="30">
        <f t="shared" si="32"/>
        <v>13</v>
      </c>
      <c r="Q73" s="30">
        <f t="shared" si="32"/>
        <v>42</v>
      </c>
      <c r="R73" s="30">
        <f t="shared" si="32"/>
        <v>47</v>
      </c>
      <c r="S73" s="30">
        <f t="shared" si="32"/>
        <v>0</v>
      </c>
      <c r="T73" s="30">
        <f t="shared" si="32"/>
        <v>0</v>
      </c>
      <c r="U73" s="30">
        <f t="shared" si="32"/>
        <v>3</v>
      </c>
      <c r="V73" s="30">
        <f t="shared" si="32"/>
        <v>47</v>
      </c>
      <c r="W73" s="30">
        <f t="shared" si="32"/>
        <v>31</v>
      </c>
      <c r="X73" s="30">
        <f t="shared" si="32"/>
        <v>0</v>
      </c>
      <c r="Y73" s="30">
        <f t="shared" si="32"/>
        <v>0</v>
      </c>
      <c r="Z73" s="30">
        <f t="shared" si="32"/>
        <v>0</v>
      </c>
      <c r="AA73" s="30">
        <f t="shared" si="32"/>
        <v>0</v>
      </c>
      <c r="AB73" s="30">
        <f t="shared" si="32"/>
        <v>3</v>
      </c>
      <c r="AC73" s="30">
        <f t="shared" si="32"/>
        <v>0</v>
      </c>
      <c r="AD73" s="30">
        <f t="shared" si="32"/>
        <v>0</v>
      </c>
      <c r="AE73" s="30">
        <f t="shared" si="32"/>
        <v>0</v>
      </c>
      <c r="AF73" s="30">
        <f t="shared" si="32"/>
        <v>0</v>
      </c>
      <c r="AG73" s="30">
        <f t="shared" si="32"/>
        <v>0</v>
      </c>
      <c r="AH73" s="30">
        <f t="shared" si="32"/>
        <v>0</v>
      </c>
      <c r="AI73" s="30">
        <f t="shared" si="25"/>
        <v>331</v>
      </c>
    </row>
    <row r="74" spans="1:37" ht="25.5" customHeight="1">
      <c r="A74" s="99"/>
      <c r="B74" s="99"/>
      <c r="C74" s="500" t="s">
        <v>134</v>
      </c>
      <c r="D74" s="501"/>
      <c r="E74" s="23">
        <f t="shared" ref="E74:AH74" si="33">SUM(E66,E68,E70,E72)</f>
        <v>373</v>
      </c>
      <c r="F74" s="23">
        <f t="shared" si="33"/>
        <v>0</v>
      </c>
      <c r="G74" s="23">
        <f t="shared" si="33"/>
        <v>271</v>
      </c>
      <c r="H74" s="23">
        <f t="shared" si="33"/>
        <v>438</v>
      </c>
      <c r="I74" s="23">
        <f t="shared" si="33"/>
        <v>308</v>
      </c>
      <c r="J74" s="23">
        <f t="shared" si="33"/>
        <v>447</v>
      </c>
      <c r="K74" s="23">
        <f t="shared" si="33"/>
        <v>453</v>
      </c>
      <c r="L74" s="23">
        <f t="shared" si="33"/>
        <v>225</v>
      </c>
      <c r="M74" s="23">
        <f t="shared" si="33"/>
        <v>0</v>
      </c>
      <c r="N74" s="23">
        <f t="shared" si="33"/>
        <v>465</v>
      </c>
      <c r="O74" s="23">
        <f t="shared" si="33"/>
        <v>177</v>
      </c>
      <c r="P74" s="23">
        <f t="shared" si="33"/>
        <v>330</v>
      </c>
      <c r="Q74" s="23">
        <f t="shared" si="33"/>
        <v>272</v>
      </c>
      <c r="R74" s="23">
        <f t="shared" si="33"/>
        <v>200</v>
      </c>
      <c r="S74" s="23">
        <f t="shared" si="33"/>
        <v>215</v>
      </c>
      <c r="T74" s="23">
        <f t="shared" si="33"/>
        <v>0</v>
      </c>
      <c r="U74" s="23">
        <f t="shared" si="33"/>
        <v>108</v>
      </c>
      <c r="V74" s="23">
        <f t="shared" si="33"/>
        <v>304</v>
      </c>
      <c r="W74" s="23">
        <f t="shared" si="33"/>
        <v>332</v>
      </c>
      <c r="X74" s="23">
        <f t="shared" si="33"/>
        <v>484</v>
      </c>
      <c r="Y74" s="23">
        <f t="shared" si="33"/>
        <v>435</v>
      </c>
      <c r="Z74" s="23">
        <f t="shared" si="33"/>
        <v>248</v>
      </c>
      <c r="AA74" s="23">
        <f t="shared" si="33"/>
        <v>0</v>
      </c>
      <c r="AB74" s="23">
        <f t="shared" si="33"/>
        <v>506</v>
      </c>
      <c r="AC74" s="23">
        <f t="shared" si="33"/>
        <v>325</v>
      </c>
      <c r="AD74" s="23">
        <f t="shared" si="33"/>
        <v>505</v>
      </c>
      <c r="AE74" s="23">
        <f t="shared" si="33"/>
        <v>367</v>
      </c>
      <c r="AF74" s="23">
        <f t="shared" si="33"/>
        <v>329</v>
      </c>
      <c r="AG74" s="23">
        <f t="shared" si="33"/>
        <v>178</v>
      </c>
      <c r="AH74" s="23">
        <f t="shared" si="33"/>
        <v>0</v>
      </c>
      <c r="AI74" s="24">
        <f t="shared" si="25"/>
        <v>8295</v>
      </c>
    </row>
    <row r="75" spans="1:37" ht="25.5" customHeight="1">
      <c r="A75" s="99"/>
      <c r="B75" s="99"/>
      <c r="C75" s="513" t="s">
        <v>135</v>
      </c>
      <c r="D75" s="501"/>
      <c r="E75" s="23">
        <f t="shared" ref="E75:AH75" si="34">SUM(E67,E69,E71,E73)</f>
        <v>51</v>
      </c>
      <c r="F75" s="23">
        <f t="shared" si="34"/>
        <v>0</v>
      </c>
      <c r="G75" s="23">
        <f t="shared" si="34"/>
        <v>199</v>
      </c>
      <c r="H75" s="23">
        <f t="shared" si="34"/>
        <v>0</v>
      </c>
      <c r="I75" s="23">
        <f t="shared" si="34"/>
        <v>111</v>
      </c>
      <c r="J75" s="23">
        <f t="shared" si="34"/>
        <v>0</v>
      </c>
      <c r="K75" s="23">
        <f t="shared" si="34"/>
        <v>0</v>
      </c>
      <c r="L75" s="23">
        <f t="shared" si="34"/>
        <v>0</v>
      </c>
      <c r="M75" s="23">
        <f t="shared" si="34"/>
        <v>0</v>
      </c>
      <c r="N75" s="23">
        <f t="shared" si="34"/>
        <v>0</v>
      </c>
      <c r="O75" s="23">
        <f t="shared" si="34"/>
        <v>181</v>
      </c>
      <c r="P75" s="23">
        <f t="shared" si="34"/>
        <v>126</v>
      </c>
      <c r="Q75" s="23">
        <f t="shared" si="34"/>
        <v>178</v>
      </c>
      <c r="R75" s="23">
        <f t="shared" si="34"/>
        <v>199</v>
      </c>
      <c r="S75" s="23">
        <f t="shared" si="34"/>
        <v>0</v>
      </c>
      <c r="T75" s="23">
        <f t="shared" si="34"/>
        <v>0</v>
      </c>
      <c r="U75" s="23">
        <f t="shared" si="34"/>
        <v>25</v>
      </c>
      <c r="V75" s="23">
        <f t="shared" si="34"/>
        <v>165</v>
      </c>
      <c r="W75" s="23">
        <f t="shared" si="34"/>
        <v>136</v>
      </c>
      <c r="X75" s="23">
        <f t="shared" si="34"/>
        <v>0</v>
      </c>
      <c r="Y75" s="23">
        <f t="shared" si="34"/>
        <v>0</v>
      </c>
      <c r="Z75" s="23">
        <f t="shared" si="34"/>
        <v>0</v>
      </c>
      <c r="AA75" s="23">
        <f t="shared" si="34"/>
        <v>0</v>
      </c>
      <c r="AB75" s="23">
        <f t="shared" si="34"/>
        <v>22</v>
      </c>
      <c r="AC75" s="23">
        <f t="shared" si="34"/>
        <v>0</v>
      </c>
      <c r="AD75" s="23">
        <f t="shared" si="34"/>
        <v>0</v>
      </c>
      <c r="AE75" s="23">
        <f t="shared" si="34"/>
        <v>0</v>
      </c>
      <c r="AF75" s="23">
        <f t="shared" si="34"/>
        <v>29</v>
      </c>
      <c r="AG75" s="23">
        <f t="shared" si="34"/>
        <v>5</v>
      </c>
      <c r="AH75" s="23">
        <f t="shared" si="34"/>
        <v>0</v>
      </c>
      <c r="AI75" s="24">
        <f t="shared" si="25"/>
        <v>1427</v>
      </c>
    </row>
    <row r="76" spans="1:37" ht="14.5" customHeight="1">
      <c r="A76" s="2">
        <v>1</v>
      </c>
      <c r="B76" s="2" t="s">
        <v>129</v>
      </c>
      <c r="C76" s="503" t="s">
        <v>123</v>
      </c>
      <c r="D76" s="501"/>
      <c r="E76" s="30">
        <f t="shared" ref="E76:AH76" si="35">E33-D33</f>
        <v>639.30000000000291</v>
      </c>
      <c r="F76" s="30">
        <f t="shared" si="35"/>
        <v>0</v>
      </c>
      <c r="G76" s="30">
        <f t="shared" si="35"/>
        <v>1272.1299999999974</v>
      </c>
      <c r="H76" s="30">
        <f t="shared" si="35"/>
        <v>947.45999999999913</v>
      </c>
      <c r="I76" s="30">
        <f t="shared" si="35"/>
        <v>887.50999999999476</v>
      </c>
      <c r="J76" s="30">
        <f t="shared" si="35"/>
        <v>851.2100000000064</v>
      </c>
      <c r="K76" s="30">
        <f t="shared" si="35"/>
        <v>663.60000000000582</v>
      </c>
      <c r="L76" s="30">
        <f t="shared" si="35"/>
        <v>371.97999999999593</v>
      </c>
      <c r="M76" s="30">
        <f t="shared" si="35"/>
        <v>0</v>
      </c>
      <c r="N76" s="30">
        <f t="shared" si="35"/>
        <v>1153.6699999999983</v>
      </c>
      <c r="O76" s="30">
        <f t="shared" si="35"/>
        <v>949.91000000000349</v>
      </c>
      <c r="P76" s="30">
        <f t="shared" si="35"/>
        <v>924.33999999999651</v>
      </c>
      <c r="Q76" s="30">
        <f t="shared" si="35"/>
        <v>969.55000000000291</v>
      </c>
      <c r="R76" s="30">
        <f t="shared" si="35"/>
        <v>955.16999999999825</v>
      </c>
      <c r="S76" s="30">
        <f t="shared" si="35"/>
        <v>360.14999999999418</v>
      </c>
      <c r="T76" s="30">
        <f t="shared" si="35"/>
        <v>0</v>
      </c>
      <c r="U76" s="30">
        <f t="shared" si="35"/>
        <v>222.74000000000524</v>
      </c>
      <c r="V76" s="30">
        <f t="shared" si="35"/>
        <v>1377.7899999999936</v>
      </c>
      <c r="W76" s="30">
        <f t="shared" si="35"/>
        <v>1138.8000000000029</v>
      </c>
      <c r="X76" s="30">
        <f t="shared" si="35"/>
        <v>935.29000000000815</v>
      </c>
      <c r="Y76" s="30">
        <f t="shared" si="35"/>
        <v>867.83999999999651</v>
      </c>
      <c r="Z76" s="30">
        <f t="shared" si="35"/>
        <v>392.25</v>
      </c>
      <c r="AA76" s="30">
        <f t="shared" si="35"/>
        <v>0</v>
      </c>
      <c r="AB76" s="30">
        <f t="shared" si="35"/>
        <v>1243.9899999999907</v>
      </c>
      <c r="AC76" s="30">
        <f t="shared" si="35"/>
        <v>980.39000000001397</v>
      </c>
      <c r="AD76" s="30">
        <f t="shared" si="35"/>
        <v>983.59999999999127</v>
      </c>
      <c r="AE76" s="30">
        <f t="shared" si="35"/>
        <v>669.99000000000524</v>
      </c>
      <c r="AF76" s="30">
        <f t="shared" si="35"/>
        <v>481.11000000000058</v>
      </c>
      <c r="AG76" s="30">
        <f t="shared" si="35"/>
        <v>286.83000000000175</v>
      </c>
      <c r="AH76" s="30">
        <f t="shared" si="35"/>
        <v>0</v>
      </c>
      <c r="AI76" s="30">
        <f t="shared" si="25"/>
        <v>20526.600000000006</v>
      </c>
      <c r="AJ76" s="78"/>
    </row>
    <row r="77" spans="1:37" ht="14.5" customHeight="1">
      <c r="A77" s="2">
        <v>2</v>
      </c>
      <c r="B77" s="2" t="s">
        <v>129</v>
      </c>
      <c r="C77" s="503" t="s">
        <v>124</v>
      </c>
      <c r="D77" s="501"/>
      <c r="E77" s="30">
        <f t="shared" ref="E77:AH77" si="36">E34-D34</f>
        <v>974.0199999999968</v>
      </c>
      <c r="F77" s="30">
        <f t="shared" si="36"/>
        <v>0</v>
      </c>
      <c r="G77" s="30">
        <f t="shared" si="36"/>
        <v>1233.1300000000047</v>
      </c>
      <c r="H77" s="30">
        <f t="shared" si="36"/>
        <v>1152.5499999999956</v>
      </c>
      <c r="I77" s="30">
        <f t="shared" si="36"/>
        <v>992.19999999999709</v>
      </c>
      <c r="J77" s="30">
        <f t="shared" si="36"/>
        <v>1017.6200000000099</v>
      </c>
      <c r="K77" s="30">
        <f t="shared" si="36"/>
        <v>716.94999999999709</v>
      </c>
      <c r="L77" s="30">
        <f t="shared" si="36"/>
        <v>465.25</v>
      </c>
      <c r="M77" s="30">
        <f t="shared" si="36"/>
        <v>0</v>
      </c>
      <c r="N77" s="30">
        <f t="shared" si="36"/>
        <v>1196.2799999999988</v>
      </c>
      <c r="O77" s="30">
        <f t="shared" si="36"/>
        <v>972.58999999999651</v>
      </c>
      <c r="P77" s="30">
        <f t="shared" si="36"/>
        <v>1025.1900000000023</v>
      </c>
      <c r="Q77" s="30">
        <f t="shared" si="36"/>
        <v>1039.6199999999953</v>
      </c>
      <c r="R77" s="30">
        <f t="shared" si="36"/>
        <v>1000.8000000000029</v>
      </c>
      <c r="S77" s="30">
        <f t="shared" si="36"/>
        <v>501.97999999999593</v>
      </c>
      <c r="T77" s="30">
        <f t="shared" si="36"/>
        <v>0</v>
      </c>
      <c r="U77" s="30">
        <f t="shared" si="36"/>
        <v>223.69000000000233</v>
      </c>
      <c r="V77" s="30">
        <f t="shared" si="36"/>
        <v>1429.2000000000116</v>
      </c>
      <c r="W77" s="30">
        <f t="shared" si="36"/>
        <v>1249.0799999999872</v>
      </c>
      <c r="X77" s="30">
        <f t="shared" si="36"/>
        <v>1101.8300000000017</v>
      </c>
      <c r="Y77" s="30">
        <f t="shared" si="36"/>
        <v>812.34000000001106</v>
      </c>
      <c r="Z77" s="30">
        <f t="shared" si="36"/>
        <v>469.70999999999185</v>
      </c>
      <c r="AA77" s="30">
        <f t="shared" si="36"/>
        <v>0</v>
      </c>
      <c r="AB77" s="30">
        <f t="shared" si="36"/>
        <v>1142.9300000000076</v>
      </c>
      <c r="AC77" s="30">
        <f t="shared" si="36"/>
        <v>891.5399999999936</v>
      </c>
      <c r="AD77" s="30">
        <f t="shared" si="36"/>
        <v>750.32000000000698</v>
      </c>
      <c r="AE77" s="30">
        <f t="shared" si="36"/>
        <v>664.93999999998778</v>
      </c>
      <c r="AF77" s="30">
        <f t="shared" si="36"/>
        <v>683.90000000000873</v>
      </c>
      <c r="AG77" s="30">
        <f t="shared" si="36"/>
        <v>392.06999999999243</v>
      </c>
      <c r="AH77" s="30">
        <f t="shared" si="36"/>
        <v>0</v>
      </c>
      <c r="AI77" s="30">
        <f t="shared" si="25"/>
        <v>22099.729999999996</v>
      </c>
    </row>
    <row r="78" spans="1:37" ht="14.5" customHeight="1">
      <c r="A78" s="2">
        <v>3</v>
      </c>
      <c r="B78" s="2" t="s">
        <v>129</v>
      </c>
      <c r="C78" s="503" t="s">
        <v>125</v>
      </c>
      <c r="D78" s="501"/>
      <c r="E78" s="30">
        <f t="shared" ref="E78:AH78" si="37">E35-D35</f>
        <v>1008.1399999999994</v>
      </c>
      <c r="F78" s="30">
        <f t="shared" si="37"/>
        <v>0</v>
      </c>
      <c r="G78" s="30">
        <f t="shared" si="37"/>
        <v>1483.7900000000009</v>
      </c>
      <c r="H78" s="30">
        <f t="shared" si="37"/>
        <v>1331.5500000000029</v>
      </c>
      <c r="I78" s="30">
        <f t="shared" si="37"/>
        <v>1101.8199999999997</v>
      </c>
      <c r="J78" s="30">
        <f t="shared" si="37"/>
        <v>1252.0599999999977</v>
      </c>
      <c r="K78" s="30">
        <f t="shared" si="37"/>
        <v>866.66000000000349</v>
      </c>
      <c r="L78" s="30">
        <f t="shared" si="37"/>
        <v>530.83000000000175</v>
      </c>
      <c r="M78" s="30">
        <f t="shared" si="37"/>
        <v>0</v>
      </c>
      <c r="N78" s="30">
        <f t="shared" si="37"/>
        <v>1391.1699999999983</v>
      </c>
      <c r="O78" s="30">
        <f t="shared" si="37"/>
        <v>1158.8899999999994</v>
      </c>
      <c r="P78" s="30">
        <f t="shared" si="37"/>
        <v>1234.2699999999895</v>
      </c>
      <c r="Q78" s="30">
        <f t="shared" si="37"/>
        <v>1191.75</v>
      </c>
      <c r="R78" s="30">
        <f t="shared" si="37"/>
        <v>1221.820000000007</v>
      </c>
      <c r="S78" s="30">
        <f t="shared" si="37"/>
        <v>584.17999999999302</v>
      </c>
      <c r="T78" s="30">
        <f t="shared" si="37"/>
        <v>5.0000000002910383E-2</v>
      </c>
      <c r="U78" s="30">
        <f t="shared" si="37"/>
        <v>871.41999999999825</v>
      </c>
      <c r="V78" s="30">
        <f t="shared" si="37"/>
        <v>1599.4100000000035</v>
      </c>
      <c r="W78" s="30">
        <f t="shared" si="37"/>
        <v>1529.4400000000023</v>
      </c>
      <c r="X78" s="30">
        <f t="shared" si="37"/>
        <v>1288.1300000000047</v>
      </c>
      <c r="Y78" s="30">
        <f t="shared" si="37"/>
        <v>1086.3699999999953</v>
      </c>
      <c r="Z78" s="30">
        <f t="shared" si="37"/>
        <v>660.91000000000349</v>
      </c>
      <c r="AA78" s="30">
        <f t="shared" si="37"/>
        <v>0</v>
      </c>
      <c r="AB78" s="30">
        <f t="shared" si="37"/>
        <v>1483.8899999999994</v>
      </c>
      <c r="AC78" s="30">
        <f t="shared" si="37"/>
        <v>1181.8000000000029</v>
      </c>
      <c r="AD78" s="30">
        <f t="shared" si="37"/>
        <v>1010.7799999999988</v>
      </c>
      <c r="AE78" s="30">
        <f t="shared" si="37"/>
        <v>1107.9799999999959</v>
      </c>
      <c r="AF78" s="30">
        <f t="shared" si="37"/>
        <v>880.7899999999936</v>
      </c>
      <c r="AG78" s="30">
        <f t="shared" si="37"/>
        <v>497.70000000001164</v>
      </c>
      <c r="AH78" s="30">
        <f t="shared" si="37"/>
        <v>0</v>
      </c>
      <c r="AI78" s="30">
        <f t="shared" si="25"/>
        <v>27555.600000000006</v>
      </c>
    </row>
    <row r="79" spans="1:37" ht="14.5" customHeight="1">
      <c r="A79" s="2">
        <v>4</v>
      </c>
      <c r="B79" s="2" t="s">
        <v>129</v>
      </c>
      <c r="C79" s="503" t="s">
        <v>126</v>
      </c>
      <c r="D79" s="501"/>
      <c r="E79" s="30">
        <f t="shared" ref="E79:AH79" si="38">E36-D36</f>
        <v>939.88000000000466</v>
      </c>
      <c r="F79" s="30">
        <f t="shared" si="38"/>
        <v>0</v>
      </c>
      <c r="G79" s="30">
        <f t="shared" si="38"/>
        <v>1542.2200000000012</v>
      </c>
      <c r="H79" s="30">
        <f t="shared" si="38"/>
        <v>1280.4899999999907</v>
      </c>
      <c r="I79" s="30">
        <f t="shared" si="38"/>
        <v>1156.570000000007</v>
      </c>
      <c r="J79" s="30">
        <f t="shared" si="38"/>
        <v>999.19999999999709</v>
      </c>
      <c r="K79" s="30">
        <f t="shared" si="38"/>
        <v>841.63999999999942</v>
      </c>
      <c r="L79" s="30">
        <f t="shared" si="38"/>
        <v>472.52000000000407</v>
      </c>
      <c r="M79" s="30">
        <f t="shared" si="38"/>
        <v>0</v>
      </c>
      <c r="N79" s="30">
        <f t="shared" si="38"/>
        <v>1436.5</v>
      </c>
      <c r="O79" s="30">
        <f t="shared" si="38"/>
        <v>1215.0599999999977</v>
      </c>
      <c r="P79" s="30">
        <f t="shared" si="38"/>
        <v>1170.7299999999959</v>
      </c>
      <c r="Q79" s="30">
        <f t="shared" si="38"/>
        <v>1106.8500000000058</v>
      </c>
      <c r="R79" s="30">
        <f t="shared" si="38"/>
        <v>1141.6299999999901</v>
      </c>
      <c r="S79" s="30">
        <f t="shared" si="38"/>
        <v>467.22000000000116</v>
      </c>
      <c r="T79" s="30">
        <f t="shared" si="38"/>
        <v>0</v>
      </c>
      <c r="U79" s="30">
        <f t="shared" si="38"/>
        <v>361.69000000000233</v>
      </c>
      <c r="V79" s="30">
        <f t="shared" si="38"/>
        <v>1292.6399999999994</v>
      </c>
      <c r="W79" s="30">
        <f t="shared" si="38"/>
        <v>1613.0599999999977</v>
      </c>
      <c r="X79" s="30">
        <f t="shared" si="38"/>
        <v>1204.3100000000122</v>
      </c>
      <c r="Y79" s="30">
        <f t="shared" si="38"/>
        <v>1085.9399999999878</v>
      </c>
      <c r="Z79" s="30">
        <f t="shared" si="38"/>
        <v>497.01000000000931</v>
      </c>
      <c r="AA79" s="30">
        <f t="shared" si="38"/>
        <v>0</v>
      </c>
      <c r="AB79" s="30">
        <f t="shared" si="38"/>
        <v>1476.1499999999942</v>
      </c>
      <c r="AC79" s="30">
        <f t="shared" si="38"/>
        <v>1257.070000000007</v>
      </c>
      <c r="AD79" s="30">
        <f t="shared" si="38"/>
        <v>1067.8899999999994</v>
      </c>
      <c r="AE79" s="30">
        <f t="shared" si="38"/>
        <v>1043.8600000000006</v>
      </c>
      <c r="AF79" s="30">
        <f t="shared" si="38"/>
        <v>923.36000000000058</v>
      </c>
      <c r="AG79" s="30">
        <f t="shared" si="38"/>
        <v>395.63999999999942</v>
      </c>
      <c r="AH79" s="30">
        <f t="shared" si="38"/>
        <v>0</v>
      </c>
      <c r="AI79" s="30">
        <f t="shared" si="25"/>
        <v>25989.130000000005</v>
      </c>
    </row>
    <row r="80" spans="1:37" ht="15" customHeight="1">
      <c r="A80" s="99"/>
      <c r="B80" s="99"/>
      <c r="C80" s="500" t="s">
        <v>136</v>
      </c>
      <c r="D80" s="501"/>
      <c r="E80" s="23">
        <f t="shared" ref="E80:AI80" si="39">SUM(E76:E79)</f>
        <v>3561.3400000000038</v>
      </c>
      <c r="F80" s="23">
        <f t="shared" si="39"/>
        <v>0</v>
      </c>
      <c r="G80" s="23">
        <f t="shared" si="39"/>
        <v>5531.2700000000041</v>
      </c>
      <c r="H80" s="23">
        <f t="shared" si="39"/>
        <v>4712.0499999999884</v>
      </c>
      <c r="I80" s="23">
        <f t="shared" si="39"/>
        <v>4138.0999999999985</v>
      </c>
      <c r="J80" s="23">
        <f t="shared" si="39"/>
        <v>4120.0900000000111</v>
      </c>
      <c r="K80" s="23">
        <f t="shared" si="39"/>
        <v>3088.8500000000058</v>
      </c>
      <c r="L80" s="23">
        <f t="shared" si="39"/>
        <v>1840.5800000000017</v>
      </c>
      <c r="M80" s="23">
        <f t="shared" si="39"/>
        <v>0</v>
      </c>
      <c r="N80" s="23">
        <f t="shared" si="39"/>
        <v>5177.6199999999953</v>
      </c>
      <c r="O80" s="23">
        <f t="shared" si="39"/>
        <v>4296.4499999999971</v>
      </c>
      <c r="P80" s="23">
        <f t="shared" si="39"/>
        <v>4354.5299999999843</v>
      </c>
      <c r="Q80" s="23">
        <f t="shared" si="39"/>
        <v>4307.7700000000041</v>
      </c>
      <c r="R80" s="23">
        <f t="shared" si="39"/>
        <v>4319.4199999999983</v>
      </c>
      <c r="S80" s="23">
        <f t="shared" si="39"/>
        <v>1913.5299999999843</v>
      </c>
      <c r="T80" s="23">
        <f t="shared" si="39"/>
        <v>5.0000000002910383E-2</v>
      </c>
      <c r="U80" s="23">
        <f t="shared" si="39"/>
        <v>1679.5400000000081</v>
      </c>
      <c r="V80" s="23">
        <f t="shared" si="39"/>
        <v>5699.0400000000081</v>
      </c>
      <c r="W80" s="23">
        <f t="shared" si="39"/>
        <v>5530.3799999999901</v>
      </c>
      <c r="X80" s="23">
        <f t="shared" si="39"/>
        <v>4529.5600000000268</v>
      </c>
      <c r="Y80" s="23">
        <f t="shared" si="39"/>
        <v>3852.4899999999907</v>
      </c>
      <c r="Z80" s="23">
        <f t="shared" si="39"/>
        <v>2019.8800000000047</v>
      </c>
      <c r="AA80" s="23">
        <f t="shared" si="39"/>
        <v>0</v>
      </c>
      <c r="AB80" s="23">
        <f t="shared" si="39"/>
        <v>5346.9599999999919</v>
      </c>
      <c r="AC80" s="23">
        <f t="shared" si="39"/>
        <v>4310.8000000000175</v>
      </c>
      <c r="AD80" s="23">
        <f t="shared" si="39"/>
        <v>3812.5899999999965</v>
      </c>
      <c r="AE80" s="23">
        <f t="shared" si="39"/>
        <v>3486.7699999999895</v>
      </c>
      <c r="AF80" s="23">
        <f t="shared" si="39"/>
        <v>2969.1600000000035</v>
      </c>
      <c r="AG80" s="23">
        <f t="shared" si="39"/>
        <v>1572.2400000000052</v>
      </c>
      <c r="AH80" s="23">
        <f t="shared" si="39"/>
        <v>0</v>
      </c>
      <c r="AI80" s="24">
        <f t="shared" si="39"/>
        <v>96171.060000000012</v>
      </c>
    </row>
  </sheetData>
  <mergeCells count="49">
    <mergeCell ref="B3:B6"/>
    <mergeCell ref="C45:D45"/>
    <mergeCell ref="C74:D74"/>
    <mergeCell ref="C75:D75"/>
    <mergeCell ref="C50:D50"/>
    <mergeCell ref="B40:D40"/>
    <mergeCell ref="B41:B44"/>
    <mergeCell ref="C79:D79"/>
    <mergeCell ref="C73:D73"/>
    <mergeCell ref="C47:D47"/>
    <mergeCell ref="C54:D54"/>
    <mergeCell ref="C63:D63"/>
    <mergeCell ref="C65:D65"/>
    <mergeCell ref="C55:D55"/>
    <mergeCell ref="C77:D77"/>
    <mergeCell ref="C68:D68"/>
    <mergeCell ref="C58:D58"/>
    <mergeCell ref="C80:D80"/>
    <mergeCell ref="E2:AH2"/>
    <mergeCell ref="C56:D56"/>
    <mergeCell ref="C59:D59"/>
    <mergeCell ref="C46:D46"/>
    <mergeCell ref="C60:D60"/>
    <mergeCell ref="C51:D51"/>
    <mergeCell ref="C76:D76"/>
    <mergeCell ref="C71:D71"/>
    <mergeCell ref="D3:D6"/>
    <mergeCell ref="C61:D61"/>
    <mergeCell ref="C72:D72"/>
    <mergeCell ref="A2:D2"/>
    <mergeCell ref="C78:D78"/>
    <mergeCell ref="A41:A44"/>
    <mergeCell ref="A3:A6"/>
    <mergeCell ref="AI41:AI44"/>
    <mergeCell ref="AI3:AI6"/>
    <mergeCell ref="C70:D70"/>
    <mergeCell ref="C52:D52"/>
    <mergeCell ref="C48:D48"/>
    <mergeCell ref="A32:AI32"/>
    <mergeCell ref="C67:D67"/>
    <mergeCell ref="C57:D57"/>
    <mergeCell ref="A23:AI23"/>
    <mergeCell ref="C3:C6"/>
    <mergeCell ref="C66:D66"/>
    <mergeCell ref="C41:D44"/>
    <mergeCell ref="C53:D53"/>
    <mergeCell ref="B39:D39"/>
    <mergeCell ref="C69:D69"/>
    <mergeCell ref="C49:D4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N80"/>
  <sheetViews>
    <sheetView topLeftCell="Y50" zoomScale="91" workbookViewId="0">
      <selection activeCell="A22" sqref="A22:AJ22"/>
    </sheetView>
  </sheetViews>
  <sheetFormatPr defaultRowHeight="14.5"/>
  <cols>
    <col min="1" max="1" width="14" customWidth="1"/>
    <col min="2" max="2" width="27" customWidth="1"/>
    <col min="3" max="3" width="32" style="47" bestFit="1" customWidth="1"/>
    <col min="4" max="4" width="20" bestFit="1" customWidth="1"/>
    <col min="5" max="15" width="23" customWidth="1"/>
    <col min="16" max="17" width="23" bestFit="1" customWidth="1"/>
    <col min="18" max="22" width="23" customWidth="1"/>
    <col min="23" max="24" width="23" bestFit="1" customWidth="1"/>
    <col min="25" max="25" width="23" customWidth="1"/>
    <col min="26" max="27" width="23" bestFit="1" customWidth="1"/>
    <col min="28" max="29" width="23" customWidth="1"/>
    <col min="30" max="30" width="23" bestFit="1" customWidth="1"/>
    <col min="31" max="31" width="23" customWidth="1"/>
    <col min="32" max="32" width="23" bestFit="1" customWidth="1"/>
    <col min="33" max="33" width="23" customWidth="1"/>
    <col min="34" max="35" width="23" bestFit="1" customWidth="1"/>
    <col min="36" max="36" width="18" bestFit="1" customWidth="1"/>
    <col min="37" max="38" width="18" customWidth="1"/>
    <col min="39" max="40" width="14" customWidth="1"/>
  </cols>
  <sheetData>
    <row r="2" spans="1:37" ht="16.5" customHeight="1">
      <c r="A2" s="528"/>
      <c r="B2" s="526"/>
      <c r="C2" s="526"/>
      <c r="D2" s="527"/>
      <c r="E2" s="525" t="s">
        <v>140</v>
      </c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7"/>
      <c r="AJ2" s="50"/>
    </row>
    <row r="3" spans="1:37">
      <c r="A3" s="510" t="s">
        <v>99</v>
      </c>
      <c r="B3" s="510" t="s">
        <v>100</v>
      </c>
      <c r="C3" s="510" t="s">
        <v>101</v>
      </c>
      <c r="D3" s="516" t="s">
        <v>102</v>
      </c>
      <c r="E3" s="51">
        <v>45474</v>
      </c>
      <c r="F3" s="51">
        <v>45475</v>
      </c>
      <c r="G3" s="51">
        <v>45476</v>
      </c>
      <c r="H3" s="51">
        <v>45477</v>
      </c>
      <c r="I3" s="51">
        <v>45478</v>
      </c>
      <c r="J3" s="51">
        <v>45479</v>
      </c>
      <c r="K3" s="51">
        <v>45480</v>
      </c>
      <c r="L3" s="51">
        <v>45481</v>
      </c>
      <c r="M3" s="51">
        <v>45482</v>
      </c>
      <c r="N3" s="51">
        <v>45483</v>
      </c>
      <c r="O3" s="51">
        <v>45484</v>
      </c>
      <c r="P3" s="51">
        <v>45485</v>
      </c>
      <c r="Q3" s="51">
        <v>45486</v>
      </c>
      <c r="R3" s="51">
        <v>45487</v>
      </c>
      <c r="S3" s="51">
        <v>45488</v>
      </c>
      <c r="T3" s="51">
        <v>45489</v>
      </c>
      <c r="U3" s="51">
        <v>45490</v>
      </c>
      <c r="V3" s="51">
        <v>45491</v>
      </c>
      <c r="W3" s="51">
        <v>45492</v>
      </c>
      <c r="X3" s="51">
        <v>45493</v>
      </c>
      <c r="Y3" s="51">
        <v>45494</v>
      </c>
      <c r="Z3" s="51">
        <v>45495</v>
      </c>
      <c r="AA3" s="51">
        <v>45496</v>
      </c>
      <c r="AB3" s="51">
        <v>45497</v>
      </c>
      <c r="AC3" s="51">
        <v>45498</v>
      </c>
      <c r="AD3" s="51">
        <v>45499</v>
      </c>
      <c r="AE3" s="51">
        <v>45500</v>
      </c>
      <c r="AF3" s="51">
        <v>45501</v>
      </c>
      <c r="AG3" s="51">
        <v>45502</v>
      </c>
      <c r="AH3" s="51">
        <v>45503</v>
      </c>
      <c r="AI3" s="51">
        <v>45504</v>
      </c>
      <c r="AJ3" s="514" t="s">
        <v>1</v>
      </c>
    </row>
    <row r="4" spans="1:37">
      <c r="A4" s="511"/>
      <c r="B4" s="511"/>
      <c r="C4" s="511"/>
      <c r="D4" s="511"/>
      <c r="E4" s="52" t="s">
        <v>106</v>
      </c>
      <c r="F4" s="52" t="s">
        <v>107</v>
      </c>
      <c r="G4" s="52" t="s">
        <v>108</v>
      </c>
      <c r="H4" s="52" t="s">
        <v>109</v>
      </c>
      <c r="I4" s="52" t="s">
        <v>103</v>
      </c>
      <c r="J4" s="52" t="s">
        <v>104</v>
      </c>
      <c r="K4" s="52" t="s">
        <v>105</v>
      </c>
      <c r="L4" s="52" t="s">
        <v>106</v>
      </c>
      <c r="M4" s="52" t="s">
        <v>107</v>
      </c>
      <c r="N4" s="52" t="s">
        <v>108</v>
      </c>
      <c r="O4" s="52" t="s">
        <v>109</v>
      </c>
      <c r="P4" s="52" t="s">
        <v>103</v>
      </c>
      <c r="Q4" s="52" t="s">
        <v>104</v>
      </c>
      <c r="R4" s="52" t="s">
        <v>105</v>
      </c>
      <c r="S4" s="52" t="s">
        <v>106</v>
      </c>
      <c r="T4" s="52" t="s">
        <v>107</v>
      </c>
      <c r="U4" s="52" t="s">
        <v>108</v>
      </c>
      <c r="V4" s="52" t="s">
        <v>109</v>
      </c>
      <c r="W4" s="52" t="s">
        <v>103</v>
      </c>
      <c r="X4" s="52" t="s">
        <v>104</v>
      </c>
      <c r="Y4" s="52" t="s">
        <v>105</v>
      </c>
      <c r="Z4" s="52" t="s">
        <v>106</v>
      </c>
      <c r="AA4" s="52" t="s">
        <v>107</v>
      </c>
      <c r="AB4" s="52" t="s">
        <v>108</v>
      </c>
      <c r="AC4" s="52" t="s">
        <v>109</v>
      </c>
      <c r="AD4" s="52" t="s">
        <v>103</v>
      </c>
      <c r="AE4" s="52" t="s">
        <v>104</v>
      </c>
      <c r="AF4" s="52" t="s">
        <v>105</v>
      </c>
      <c r="AG4" s="52" t="s">
        <v>106</v>
      </c>
      <c r="AH4" s="52" t="s">
        <v>107</v>
      </c>
      <c r="AI4" s="52" t="s">
        <v>108</v>
      </c>
      <c r="AJ4" s="511"/>
    </row>
    <row r="5" spans="1:37">
      <c r="A5" s="511"/>
      <c r="B5" s="511"/>
      <c r="C5" s="511"/>
      <c r="D5" s="511"/>
      <c r="E5" s="52" t="s">
        <v>110</v>
      </c>
      <c r="F5" s="52" t="s">
        <v>110</v>
      </c>
      <c r="G5" s="52" t="s">
        <v>110</v>
      </c>
      <c r="H5" s="52" t="s">
        <v>110</v>
      </c>
      <c r="I5" s="52" t="s">
        <v>110</v>
      </c>
      <c r="J5" s="52" t="s">
        <v>110</v>
      </c>
      <c r="K5" s="52" t="s">
        <v>110</v>
      </c>
      <c r="L5" s="52" t="s">
        <v>110</v>
      </c>
      <c r="M5" s="52" t="s">
        <v>110</v>
      </c>
      <c r="N5" s="52" t="s">
        <v>110</v>
      </c>
      <c r="O5" s="52" t="s">
        <v>110</v>
      </c>
      <c r="P5" s="52" t="s">
        <v>110</v>
      </c>
      <c r="Q5" s="52" t="s">
        <v>110</v>
      </c>
      <c r="R5" s="52" t="s">
        <v>110</v>
      </c>
      <c r="S5" s="52" t="s">
        <v>110</v>
      </c>
      <c r="T5" s="52" t="s">
        <v>110</v>
      </c>
      <c r="U5" s="52" t="s">
        <v>110</v>
      </c>
      <c r="V5" s="52" t="s">
        <v>110</v>
      </c>
      <c r="W5" s="52" t="s">
        <v>110</v>
      </c>
      <c r="X5" s="52" t="s">
        <v>110</v>
      </c>
      <c r="Y5" s="52" t="s">
        <v>110</v>
      </c>
      <c r="Z5" s="52" t="s">
        <v>110</v>
      </c>
      <c r="AA5" s="52" t="s">
        <v>110</v>
      </c>
      <c r="AB5" s="52" t="s">
        <v>110</v>
      </c>
      <c r="AC5" s="52" t="s">
        <v>110</v>
      </c>
      <c r="AD5" s="52" t="s">
        <v>110</v>
      </c>
      <c r="AE5" s="52" t="s">
        <v>110</v>
      </c>
      <c r="AF5" s="52" t="s">
        <v>110</v>
      </c>
      <c r="AG5" s="52" t="s">
        <v>110</v>
      </c>
      <c r="AH5" s="52" t="s">
        <v>110</v>
      </c>
      <c r="AI5" s="52" t="s">
        <v>110</v>
      </c>
      <c r="AJ5" s="511"/>
    </row>
    <row r="6" spans="1:37">
      <c r="A6" s="512"/>
      <c r="B6" s="512"/>
      <c r="C6" s="512"/>
      <c r="D6" s="512"/>
      <c r="E6" s="53">
        <v>0.33333333333333331</v>
      </c>
      <c r="F6" s="53">
        <v>0.33333333333333331</v>
      </c>
      <c r="G6" s="53">
        <v>0.33333333333333331</v>
      </c>
      <c r="H6" s="53">
        <v>0.33333333333333331</v>
      </c>
      <c r="I6" s="53">
        <v>0.33333333333333331</v>
      </c>
      <c r="J6" s="53" t="e">
        <f>#REF!=AN73</f>
        <v>#REF!</v>
      </c>
      <c r="K6" s="53">
        <v>0.33333333333333331</v>
      </c>
      <c r="L6" s="53">
        <v>0.33333333333333331</v>
      </c>
      <c r="M6" s="53">
        <v>0.33333333333333331</v>
      </c>
      <c r="N6" s="53">
        <v>0.33333333333333331</v>
      </c>
      <c r="O6" s="53">
        <v>0.33333333333333331</v>
      </c>
      <c r="P6" s="53">
        <v>0.33333333333333331</v>
      </c>
      <c r="Q6" s="53">
        <v>0.33333333333333331</v>
      </c>
      <c r="R6" s="53">
        <v>0.33333333333333331</v>
      </c>
      <c r="S6" s="53">
        <v>0.33333333333333331</v>
      </c>
      <c r="T6" s="53">
        <v>0.33333333333333331</v>
      </c>
      <c r="U6" s="53">
        <v>0.33333333333333331</v>
      </c>
      <c r="V6" s="53">
        <v>0.33333333333333331</v>
      </c>
      <c r="W6" s="53">
        <v>0.33333333333333331</v>
      </c>
      <c r="X6" s="53">
        <v>0.33333333333333331</v>
      </c>
      <c r="Y6" s="53">
        <v>0.33333333333333331</v>
      </c>
      <c r="Z6" s="53">
        <v>0.33333333333333331</v>
      </c>
      <c r="AA6" s="53">
        <v>0.33333333333333331</v>
      </c>
      <c r="AB6" s="53">
        <v>0.33333333333333331</v>
      </c>
      <c r="AC6" s="53">
        <v>0.33333333333333331</v>
      </c>
      <c r="AD6" s="53">
        <v>0.33333333333333331</v>
      </c>
      <c r="AE6" s="53">
        <v>0.33333333333333331</v>
      </c>
      <c r="AF6" s="53">
        <v>0.33333333333333331</v>
      </c>
      <c r="AG6" s="53">
        <v>0.33333333333333331</v>
      </c>
      <c r="AH6" s="53">
        <v>0.33333333333333331</v>
      </c>
      <c r="AI6" s="53">
        <v>0.33333333333333331</v>
      </c>
      <c r="AJ6" s="512"/>
    </row>
    <row r="7" spans="1:37" ht="20.149999999999999" customHeight="1">
      <c r="A7" s="54">
        <v>1</v>
      </c>
      <c r="B7" s="54" t="s">
        <v>129</v>
      </c>
      <c r="C7" s="54" t="s">
        <v>111</v>
      </c>
      <c r="D7" s="55">
        <v>33984</v>
      </c>
      <c r="E7" s="48">
        <v>34325</v>
      </c>
      <c r="F7" s="48">
        <v>34584</v>
      </c>
      <c r="G7" s="56">
        <v>34840</v>
      </c>
      <c r="H7" s="56">
        <v>35100</v>
      </c>
      <c r="I7" s="48">
        <v>35331</v>
      </c>
      <c r="J7" s="48">
        <v>35537</v>
      </c>
      <c r="K7" s="48">
        <v>35740</v>
      </c>
      <c r="L7" s="48">
        <v>35959</v>
      </c>
      <c r="M7" s="48">
        <v>36232</v>
      </c>
      <c r="N7" s="48">
        <v>36449</v>
      </c>
      <c r="O7" s="48">
        <v>36753</v>
      </c>
      <c r="P7" s="48">
        <v>36947</v>
      </c>
      <c r="Q7" s="48">
        <v>37103</v>
      </c>
      <c r="R7" s="48">
        <v>37319</v>
      </c>
      <c r="S7" s="48">
        <v>37550</v>
      </c>
      <c r="T7" s="48">
        <v>37775</v>
      </c>
      <c r="U7" s="48">
        <v>37903</v>
      </c>
      <c r="V7" s="48">
        <v>38256</v>
      </c>
      <c r="W7" s="48">
        <v>38475</v>
      </c>
      <c r="X7" s="48">
        <v>38686</v>
      </c>
      <c r="Y7" s="48">
        <v>38886</v>
      </c>
      <c r="Z7" s="48">
        <v>39150</v>
      </c>
      <c r="AA7" s="48">
        <v>39390</v>
      </c>
      <c r="AB7" s="48">
        <v>39651</v>
      </c>
      <c r="AC7" s="48">
        <v>39894</v>
      </c>
      <c r="AD7" s="48">
        <v>40133</v>
      </c>
      <c r="AE7" s="48">
        <v>40341</v>
      </c>
      <c r="AF7" s="48">
        <v>40563</v>
      </c>
      <c r="AG7" s="48">
        <v>40784</v>
      </c>
      <c r="AH7" s="48">
        <v>40954</v>
      </c>
      <c r="AI7" s="48">
        <v>41074</v>
      </c>
      <c r="AJ7" s="57">
        <f t="shared" ref="AJ7:AJ22" si="0">AI7-D7</f>
        <v>7090</v>
      </c>
      <c r="AK7" s="64">
        <f>SUM(AJ7,AJ9,AJ11,AJ13,AJ15,AJ17,AJ19,AJ21)</f>
        <v>48713</v>
      </c>
    </row>
    <row r="8" spans="1:37" ht="20.149999999999999" customHeight="1">
      <c r="A8" s="49"/>
      <c r="B8" s="49"/>
      <c r="C8" s="61" t="s">
        <v>22</v>
      </c>
      <c r="D8" s="45">
        <v>1753</v>
      </c>
      <c r="E8" s="8">
        <v>1793</v>
      </c>
      <c r="F8" s="8">
        <v>1793</v>
      </c>
      <c r="G8" s="8">
        <v>1793</v>
      </c>
      <c r="H8" s="8">
        <v>1793</v>
      </c>
      <c r="I8" s="8">
        <v>1800</v>
      </c>
      <c r="J8" s="8">
        <v>1818</v>
      </c>
      <c r="K8" s="8">
        <v>1835</v>
      </c>
      <c r="L8" s="8">
        <v>1866</v>
      </c>
      <c r="M8" s="6">
        <v>1866</v>
      </c>
      <c r="N8" s="8">
        <v>1917</v>
      </c>
      <c r="O8" s="8">
        <v>1930</v>
      </c>
      <c r="P8" s="8">
        <v>1979</v>
      </c>
      <c r="Q8" s="6">
        <v>2044</v>
      </c>
      <c r="R8" s="8">
        <v>2044</v>
      </c>
      <c r="S8" s="8">
        <v>2059</v>
      </c>
      <c r="T8" s="8">
        <v>2097</v>
      </c>
      <c r="U8" s="8">
        <v>2131</v>
      </c>
      <c r="V8" s="6">
        <v>2131</v>
      </c>
      <c r="W8" s="8">
        <v>2150</v>
      </c>
      <c r="X8" s="8">
        <v>2165</v>
      </c>
      <c r="Y8" s="8">
        <v>2165</v>
      </c>
      <c r="Z8" s="8">
        <v>2165</v>
      </c>
      <c r="AA8" s="8">
        <v>2177</v>
      </c>
      <c r="AB8" s="8">
        <v>2177</v>
      </c>
      <c r="AC8" s="8">
        <v>2188</v>
      </c>
      <c r="AD8" s="8">
        <v>2188</v>
      </c>
      <c r="AE8" s="8">
        <v>2190</v>
      </c>
      <c r="AF8" s="8">
        <v>2190</v>
      </c>
      <c r="AG8" s="8">
        <v>2240</v>
      </c>
      <c r="AH8" s="8">
        <v>2322</v>
      </c>
      <c r="AI8" s="8">
        <v>2322</v>
      </c>
      <c r="AJ8" s="57">
        <f t="shared" si="0"/>
        <v>569</v>
      </c>
      <c r="AK8" s="64">
        <f>SUM(AJ8,AJ10,AJ12,AJ14,AJ16,AJ18,AJ20,AJ22)</f>
        <v>4105</v>
      </c>
    </row>
    <row r="9" spans="1:37" ht="20.149999999999999" customHeight="1">
      <c r="A9" s="2">
        <v>2</v>
      </c>
      <c r="B9" s="2" t="s">
        <v>129</v>
      </c>
      <c r="C9" s="2" t="s">
        <v>112</v>
      </c>
      <c r="D9" s="3">
        <v>1956</v>
      </c>
      <c r="E9" s="4">
        <v>1956</v>
      </c>
      <c r="F9" s="4">
        <v>1956</v>
      </c>
      <c r="G9" s="4">
        <v>1956</v>
      </c>
      <c r="H9" s="4">
        <v>1956</v>
      </c>
      <c r="I9" s="4">
        <v>1956</v>
      </c>
      <c r="J9" s="4">
        <v>1956</v>
      </c>
      <c r="K9" s="4">
        <v>1956</v>
      </c>
      <c r="L9" s="4">
        <v>1956</v>
      </c>
      <c r="M9" s="4">
        <v>1956</v>
      </c>
      <c r="N9" s="4">
        <v>1956</v>
      </c>
      <c r="O9" s="4">
        <v>1956</v>
      </c>
      <c r="P9" s="4">
        <v>1956</v>
      </c>
      <c r="Q9" s="4">
        <v>1956</v>
      </c>
      <c r="R9" s="4">
        <v>1956</v>
      </c>
      <c r="S9" s="4">
        <v>1956</v>
      </c>
      <c r="T9" s="4">
        <v>1956</v>
      </c>
      <c r="U9" s="4">
        <v>1956</v>
      </c>
      <c r="V9" s="4">
        <v>1956</v>
      </c>
      <c r="W9" s="4">
        <v>1956</v>
      </c>
      <c r="X9" s="4">
        <v>1956</v>
      </c>
      <c r="Y9" s="4">
        <v>1956</v>
      </c>
      <c r="Z9" s="4">
        <v>1956</v>
      </c>
      <c r="AA9" s="4">
        <v>1956</v>
      </c>
      <c r="AB9" s="4">
        <v>1956</v>
      </c>
      <c r="AC9" s="4">
        <v>1956</v>
      </c>
      <c r="AD9" s="4">
        <v>1956</v>
      </c>
      <c r="AE9" s="4">
        <v>1956</v>
      </c>
      <c r="AF9" s="4">
        <v>1956</v>
      </c>
      <c r="AG9" s="4">
        <v>1956</v>
      </c>
      <c r="AH9" s="4">
        <v>1956</v>
      </c>
      <c r="AI9" s="4">
        <v>1956</v>
      </c>
      <c r="AJ9" s="57">
        <f t="shared" si="0"/>
        <v>0</v>
      </c>
    </row>
    <row r="10" spans="1:37" ht="20.149999999999999" customHeight="1">
      <c r="A10" s="2"/>
      <c r="B10" s="2"/>
      <c r="C10" s="61" t="s">
        <v>22</v>
      </c>
      <c r="D10" s="45">
        <v>28.6</v>
      </c>
      <c r="E10" s="4">
        <v>28.6</v>
      </c>
      <c r="F10" s="4">
        <v>28.6</v>
      </c>
      <c r="G10" s="4">
        <v>28.6</v>
      </c>
      <c r="H10" s="4">
        <v>28.6</v>
      </c>
      <c r="I10" s="4">
        <v>28.6</v>
      </c>
      <c r="J10" s="4">
        <v>28.6</v>
      </c>
      <c r="K10" s="4">
        <v>28.6</v>
      </c>
      <c r="L10" s="4">
        <v>28.6</v>
      </c>
      <c r="M10" s="4">
        <v>28.6</v>
      </c>
      <c r="N10" s="4">
        <v>28.6</v>
      </c>
      <c r="O10" s="4">
        <v>28.6</v>
      </c>
      <c r="P10" s="4">
        <v>28.6</v>
      </c>
      <c r="Q10" s="4">
        <v>28.6</v>
      </c>
      <c r="R10" s="4">
        <v>28.6</v>
      </c>
      <c r="S10" s="4">
        <v>28.6</v>
      </c>
      <c r="T10" s="4">
        <v>28.6</v>
      </c>
      <c r="U10" s="4">
        <v>28.6</v>
      </c>
      <c r="V10" s="4">
        <v>28.6</v>
      </c>
      <c r="W10" s="4">
        <v>28.6</v>
      </c>
      <c r="X10" s="4">
        <v>28.6</v>
      </c>
      <c r="Y10" s="4">
        <v>28.6</v>
      </c>
      <c r="Z10" s="4">
        <v>28.6</v>
      </c>
      <c r="AA10" s="4">
        <v>28.6</v>
      </c>
      <c r="AB10" s="4">
        <v>28.6</v>
      </c>
      <c r="AC10" s="4">
        <v>28.6</v>
      </c>
      <c r="AD10" s="4">
        <v>28.6</v>
      </c>
      <c r="AE10" s="4">
        <v>28.6</v>
      </c>
      <c r="AF10" s="4">
        <v>28.6</v>
      </c>
      <c r="AG10" s="4">
        <v>28.6</v>
      </c>
      <c r="AH10" s="4">
        <v>28.6</v>
      </c>
      <c r="AI10" s="4">
        <v>28.6</v>
      </c>
      <c r="AJ10" s="57">
        <f t="shared" si="0"/>
        <v>0</v>
      </c>
    </row>
    <row r="11" spans="1:37" ht="20.149999999999999" customHeight="1">
      <c r="A11" s="2">
        <v>3</v>
      </c>
      <c r="B11" s="2" t="s">
        <v>129</v>
      </c>
      <c r="C11" s="2" t="s">
        <v>113</v>
      </c>
      <c r="D11" s="45">
        <v>54227</v>
      </c>
      <c r="E11" s="4">
        <v>54698</v>
      </c>
      <c r="F11" s="4">
        <v>55071</v>
      </c>
      <c r="G11" s="4">
        <v>55397</v>
      </c>
      <c r="H11" s="4">
        <v>55806</v>
      </c>
      <c r="I11" s="4">
        <v>56139</v>
      </c>
      <c r="J11" s="4">
        <v>56404</v>
      </c>
      <c r="K11" s="4">
        <v>56666</v>
      </c>
      <c r="L11" s="4">
        <v>56981</v>
      </c>
      <c r="M11" s="4">
        <v>57374</v>
      </c>
      <c r="N11" s="4">
        <v>57683</v>
      </c>
      <c r="O11" s="4">
        <v>58011</v>
      </c>
      <c r="P11" s="4">
        <v>58281</v>
      </c>
      <c r="Q11" s="4">
        <v>58486</v>
      </c>
      <c r="R11" s="4">
        <v>58767</v>
      </c>
      <c r="S11" s="4">
        <v>59102</v>
      </c>
      <c r="T11" s="4">
        <v>59418</v>
      </c>
      <c r="U11" s="4">
        <v>59731</v>
      </c>
      <c r="V11" s="4">
        <v>60102</v>
      </c>
      <c r="W11" s="4">
        <v>60404</v>
      </c>
      <c r="X11" s="4">
        <v>60682</v>
      </c>
      <c r="Y11" s="4">
        <v>60942</v>
      </c>
      <c r="Z11" s="4">
        <v>61319</v>
      </c>
      <c r="AA11" s="4">
        <v>61660</v>
      </c>
      <c r="AB11" s="4">
        <v>62030</v>
      </c>
      <c r="AC11" s="4">
        <v>62370</v>
      </c>
      <c r="AD11" s="4">
        <v>62705</v>
      </c>
      <c r="AE11" s="8">
        <v>62980</v>
      </c>
      <c r="AF11" s="8">
        <v>63280</v>
      </c>
      <c r="AG11" s="8">
        <v>63580</v>
      </c>
      <c r="AH11" s="8">
        <v>63817</v>
      </c>
      <c r="AI11" s="8">
        <v>63982</v>
      </c>
      <c r="AJ11" s="57">
        <f t="shared" si="0"/>
        <v>9755</v>
      </c>
    </row>
    <row r="12" spans="1:37" ht="20.149999999999999" customHeight="1">
      <c r="A12" s="2"/>
      <c r="B12" s="2"/>
      <c r="C12" s="61" t="s">
        <v>22</v>
      </c>
      <c r="D12" s="45">
        <v>2701</v>
      </c>
      <c r="E12" s="4">
        <v>2764</v>
      </c>
      <c r="F12" s="4">
        <v>2764</v>
      </c>
      <c r="G12" s="4">
        <v>2764</v>
      </c>
      <c r="H12" s="4">
        <v>2764</v>
      </c>
      <c r="I12" s="4">
        <v>2776</v>
      </c>
      <c r="J12" s="4">
        <v>2799</v>
      </c>
      <c r="K12" s="4">
        <v>2820</v>
      </c>
      <c r="L12" s="4">
        <v>2868</v>
      </c>
      <c r="M12" s="4">
        <v>2868</v>
      </c>
      <c r="N12" s="4">
        <v>2945</v>
      </c>
      <c r="O12" s="4">
        <v>2965</v>
      </c>
      <c r="P12" s="4">
        <v>3032</v>
      </c>
      <c r="Q12" s="4">
        <v>3117</v>
      </c>
      <c r="R12" s="4">
        <v>3117</v>
      </c>
      <c r="S12" s="4">
        <v>3138</v>
      </c>
      <c r="T12" s="4">
        <v>3197</v>
      </c>
      <c r="U12" s="4">
        <v>3249</v>
      </c>
      <c r="V12" s="4">
        <v>3249</v>
      </c>
      <c r="W12" s="4">
        <v>3276</v>
      </c>
      <c r="X12" s="4">
        <v>3296</v>
      </c>
      <c r="Y12" s="4">
        <v>3296</v>
      </c>
      <c r="Z12" s="4">
        <v>3296</v>
      </c>
      <c r="AA12" s="4">
        <v>3315</v>
      </c>
      <c r="AB12" s="4">
        <v>3315</v>
      </c>
      <c r="AC12" s="4">
        <v>3332</v>
      </c>
      <c r="AD12" s="4">
        <v>3332</v>
      </c>
      <c r="AE12" s="4">
        <v>3334</v>
      </c>
      <c r="AF12" s="8">
        <v>3334</v>
      </c>
      <c r="AG12" s="8">
        <v>3413</v>
      </c>
      <c r="AH12" s="8">
        <v>3540</v>
      </c>
      <c r="AI12" s="8">
        <v>3540</v>
      </c>
      <c r="AJ12" s="57">
        <f t="shared" si="0"/>
        <v>839</v>
      </c>
    </row>
    <row r="13" spans="1:37" ht="20.149999999999999" customHeight="1">
      <c r="A13" s="2">
        <v>4</v>
      </c>
      <c r="B13" s="2" t="s">
        <v>129</v>
      </c>
      <c r="C13" s="2" t="s">
        <v>114</v>
      </c>
      <c r="D13" s="3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57">
        <f t="shared" si="0"/>
        <v>0</v>
      </c>
    </row>
    <row r="14" spans="1:37" ht="20.149999999999999" customHeight="1">
      <c r="A14" s="2"/>
      <c r="B14" s="2"/>
      <c r="C14" s="61" t="s">
        <v>22</v>
      </c>
      <c r="D14" s="45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60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8">
        <v>0</v>
      </c>
      <c r="AH14" s="8">
        <v>0</v>
      </c>
      <c r="AI14" s="8">
        <v>0</v>
      </c>
      <c r="AJ14" s="57">
        <f t="shared" si="0"/>
        <v>0</v>
      </c>
    </row>
    <row r="15" spans="1:37" ht="20.149999999999999" customHeight="1">
      <c r="A15" s="2">
        <v>5</v>
      </c>
      <c r="B15" s="2" t="s">
        <v>129</v>
      </c>
      <c r="C15" s="2" t="s">
        <v>115</v>
      </c>
      <c r="D15" s="45">
        <v>20339</v>
      </c>
      <c r="E15" s="4">
        <v>20559</v>
      </c>
      <c r="F15" s="4">
        <v>20750</v>
      </c>
      <c r="G15" s="5">
        <v>20951</v>
      </c>
      <c r="H15" s="5">
        <v>21177</v>
      </c>
      <c r="I15" s="4">
        <v>21350</v>
      </c>
      <c r="J15" s="4">
        <v>21455</v>
      </c>
      <c r="K15" s="4">
        <v>21572</v>
      </c>
      <c r="L15" s="4">
        <v>21747</v>
      </c>
      <c r="M15" s="4">
        <v>21951</v>
      </c>
      <c r="N15" s="4">
        <v>22107</v>
      </c>
      <c r="O15" s="4">
        <v>22283</v>
      </c>
      <c r="P15" s="4">
        <v>22427</v>
      </c>
      <c r="Q15" s="4">
        <v>22521</v>
      </c>
      <c r="R15" s="4">
        <v>22633</v>
      </c>
      <c r="S15" s="4">
        <v>22803</v>
      </c>
      <c r="T15" s="4">
        <v>22963</v>
      </c>
      <c r="U15" s="4">
        <v>23120</v>
      </c>
      <c r="V15" s="4">
        <v>23315</v>
      </c>
      <c r="W15" s="4">
        <v>23472</v>
      </c>
      <c r="X15" s="58">
        <v>23572</v>
      </c>
      <c r="Y15" s="48">
        <v>23676</v>
      </c>
      <c r="Z15" s="59">
        <v>23884</v>
      </c>
      <c r="AA15" s="4">
        <v>24077</v>
      </c>
      <c r="AB15" s="4">
        <v>24280</v>
      </c>
      <c r="AC15" s="4">
        <v>24465</v>
      </c>
      <c r="AD15" s="4">
        <v>24642</v>
      </c>
      <c r="AE15" s="8">
        <v>24754</v>
      </c>
      <c r="AF15" s="8">
        <v>24872</v>
      </c>
      <c r="AG15" s="8">
        <v>25020</v>
      </c>
      <c r="AH15" s="8">
        <v>25136</v>
      </c>
      <c r="AI15" s="8">
        <v>25219</v>
      </c>
      <c r="AJ15" s="57">
        <f t="shared" si="0"/>
        <v>4880</v>
      </c>
    </row>
    <row r="16" spans="1:37" ht="20.149999999999999" customHeight="1">
      <c r="A16" s="2"/>
      <c r="B16" s="2"/>
      <c r="C16" s="61" t="s">
        <v>22</v>
      </c>
      <c r="D16" s="45">
        <v>1311</v>
      </c>
      <c r="E16" s="4">
        <v>1346</v>
      </c>
      <c r="F16" s="4">
        <v>1346</v>
      </c>
      <c r="G16" s="4">
        <v>1346</v>
      </c>
      <c r="H16" s="4">
        <v>1346</v>
      </c>
      <c r="I16" s="4">
        <v>1352</v>
      </c>
      <c r="J16" s="4">
        <v>1363</v>
      </c>
      <c r="K16" s="4">
        <v>1372</v>
      </c>
      <c r="L16" s="4">
        <v>1412</v>
      </c>
      <c r="M16" s="4">
        <v>1412</v>
      </c>
      <c r="N16" s="4">
        <v>1451</v>
      </c>
      <c r="O16" s="4">
        <v>1464</v>
      </c>
      <c r="P16" s="4">
        <v>1498</v>
      </c>
      <c r="Q16" s="4">
        <v>1534</v>
      </c>
      <c r="R16" s="4">
        <v>1534</v>
      </c>
      <c r="S16" s="4">
        <v>1546</v>
      </c>
      <c r="T16" s="4">
        <v>1579</v>
      </c>
      <c r="U16" s="4">
        <v>1610</v>
      </c>
      <c r="V16" s="4">
        <v>1610</v>
      </c>
      <c r="W16" s="4">
        <v>1628</v>
      </c>
      <c r="X16" s="58">
        <v>1637</v>
      </c>
      <c r="Y16" s="48">
        <v>1637</v>
      </c>
      <c r="Z16" s="59">
        <v>1637</v>
      </c>
      <c r="AA16" s="4">
        <v>1650</v>
      </c>
      <c r="AB16" s="60">
        <v>1650</v>
      </c>
      <c r="AC16" s="4">
        <v>1660</v>
      </c>
      <c r="AD16" s="4">
        <v>1660</v>
      </c>
      <c r="AE16" s="8">
        <v>1660</v>
      </c>
      <c r="AF16" s="8">
        <v>1660</v>
      </c>
      <c r="AG16" s="8">
        <v>1707</v>
      </c>
      <c r="AH16" s="8">
        <v>1771</v>
      </c>
      <c r="AI16" s="8">
        <v>1771</v>
      </c>
      <c r="AJ16" s="57">
        <f t="shared" si="0"/>
        <v>460</v>
      </c>
    </row>
    <row r="17" spans="1:36" ht="20.149999999999999" customHeight="1">
      <c r="A17" s="2">
        <v>6</v>
      </c>
      <c r="B17" s="2" t="s">
        <v>129</v>
      </c>
      <c r="C17" s="2" t="s">
        <v>116</v>
      </c>
      <c r="D17" s="45">
        <v>31779</v>
      </c>
      <c r="E17" s="4">
        <v>32033</v>
      </c>
      <c r="F17" s="4">
        <v>32273</v>
      </c>
      <c r="G17" s="4">
        <v>32474</v>
      </c>
      <c r="H17" s="4">
        <v>32689</v>
      </c>
      <c r="I17" s="4">
        <v>32877</v>
      </c>
      <c r="J17" s="4">
        <v>33011</v>
      </c>
      <c r="K17" s="4">
        <v>33102</v>
      </c>
      <c r="L17" s="4">
        <v>33298</v>
      </c>
      <c r="M17" s="4">
        <v>33528</v>
      </c>
      <c r="N17" s="4">
        <v>33715</v>
      </c>
      <c r="O17" s="4">
        <v>33928</v>
      </c>
      <c r="P17" s="4">
        <v>34105</v>
      </c>
      <c r="Q17" s="4">
        <v>34202</v>
      </c>
      <c r="R17" s="4">
        <v>34333</v>
      </c>
      <c r="S17" s="4">
        <v>34545</v>
      </c>
      <c r="T17" s="4">
        <v>34755</v>
      </c>
      <c r="U17" s="4">
        <v>34942</v>
      </c>
      <c r="V17" s="4">
        <v>35183</v>
      </c>
      <c r="W17" s="4">
        <v>35363</v>
      </c>
      <c r="X17" s="4">
        <v>35501</v>
      </c>
      <c r="Y17" s="8">
        <v>35615</v>
      </c>
      <c r="Z17" s="4">
        <v>35851</v>
      </c>
      <c r="AA17" s="58">
        <v>36029</v>
      </c>
      <c r="AB17" s="48">
        <v>36243</v>
      </c>
      <c r="AC17" s="59">
        <v>36441</v>
      </c>
      <c r="AD17" s="4">
        <v>36639</v>
      </c>
      <c r="AE17" s="4">
        <v>36745</v>
      </c>
      <c r="AF17" s="8">
        <v>36895</v>
      </c>
      <c r="AG17" s="4">
        <v>37080</v>
      </c>
      <c r="AH17" s="8">
        <v>37226</v>
      </c>
      <c r="AI17" s="8">
        <v>37338</v>
      </c>
      <c r="AJ17" s="57">
        <f t="shared" si="0"/>
        <v>5559</v>
      </c>
    </row>
    <row r="18" spans="1:36" ht="20.149999999999999" customHeight="1">
      <c r="A18" s="2"/>
      <c r="B18" s="2"/>
      <c r="C18" s="61" t="s">
        <v>22</v>
      </c>
      <c r="D18" s="45">
        <v>1999</v>
      </c>
      <c r="E18" s="4">
        <v>2043</v>
      </c>
      <c r="F18" s="4">
        <v>2043</v>
      </c>
      <c r="G18" s="4">
        <v>2043</v>
      </c>
      <c r="H18" s="4">
        <v>2043</v>
      </c>
      <c r="I18" s="4">
        <v>2050</v>
      </c>
      <c r="J18" s="4">
        <v>2062</v>
      </c>
      <c r="K18" s="4">
        <v>2066</v>
      </c>
      <c r="L18" s="4">
        <v>2103</v>
      </c>
      <c r="M18" s="4">
        <v>2103</v>
      </c>
      <c r="N18" s="4">
        <v>2156</v>
      </c>
      <c r="O18" s="4">
        <v>2171</v>
      </c>
      <c r="P18" s="4">
        <v>2218</v>
      </c>
      <c r="Q18" s="4">
        <v>2239</v>
      </c>
      <c r="R18" s="4">
        <v>2239</v>
      </c>
      <c r="S18" s="4">
        <v>2256</v>
      </c>
      <c r="T18" s="4">
        <v>2289</v>
      </c>
      <c r="U18" s="4">
        <v>2321</v>
      </c>
      <c r="V18" s="4">
        <v>2321</v>
      </c>
      <c r="W18" s="4">
        <v>2343</v>
      </c>
      <c r="X18" s="4">
        <v>2354</v>
      </c>
      <c r="Y18" s="4">
        <v>2354</v>
      </c>
      <c r="Z18" s="4">
        <v>2354</v>
      </c>
      <c r="AA18" s="4">
        <v>2366</v>
      </c>
      <c r="AB18" s="58">
        <v>2366</v>
      </c>
      <c r="AC18" s="48">
        <v>2376</v>
      </c>
      <c r="AD18" s="59">
        <v>2376</v>
      </c>
      <c r="AE18" s="8">
        <v>2376</v>
      </c>
      <c r="AF18" s="8">
        <v>2376</v>
      </c>
      <c r="AG18" s="8">
        <v>2428</v>
      </c>
      <c r="AH18" s="8">
        <v>2510</v>
      </c>
      <c r="AI18" s="8">
        <v>2510</v>
      </c>
      <c r="AJ18" s="57">
        <f t="shared" si="0"/>
        <v>511</v>
      </c>
    </row>
    <row r="19" spans="1:36" ht="20.149999999999999" customHeight="1">
      <c r="A19" s="2">
        <v>7</v>
      </c>
      <c r="B19" s="2" t="s">
        <v>129</v>
      </c>
      <c r="C19" s="2" t="s">
        <v>117</v>
      </c>
      <c r="D19" s="45">
        <v>109964</v>
      </c>
      <c r="E19" s="4">
        <v>110764</v>
      </c>
      <c r="F19" s="4">
        <v>111416</v>
      </c>
      <c r="G19" s="5">
        <v>112077</v>
      </c>
      <c r="H19" s="5">
        <v>112739</v>
      </c>
      <c r="I19" s="4">
        <v>113317</v>
      </c>
      <c r="J19" s="4">
        <v>113782</v>
      </c>
      <c r="K19" s="4">
        <v>114082</v>
      </c>
      <c r="L19" s="4">
        <v>114644</v>
      </c>
      <c r="M19" s="4">
        <v>115361</v>
      </c>
      <c r="N19" s="4">
        <v>115951</v>
      </c>
      <c r="O19" s="4">
        <v>116562</v>
      </c>
      <c r="P19" s="4">
        <v>117123</v>
      </c>
      <c r="Q19" s="4">
        <v>117600</v>
      </c>
      <c r="R19" s="5">
        <v>117970</v>
      </c>
      <c r="S19" s="4">
        <v>118563</v>
      </c>
      <c r="T19" s="4">
        <v>119149</v>
      </c>
      <c r="U19" s="4">
        <v>119733</v>
      </c>
      <c r="V19" s="4">
        <v>120427</v>
      </c>
      <c r="W19" s="5">
        <v>121003</v>
      </c>
      <c r="X19" s="4">
        <v>121482</v>
      </c>
      <c r="Y19" s="4">
        <v>121925</v>
      </c>
      <c r="Z19" s="4">
        <v>122610</v>
      </c>
      <c r="AA19" s="58">
        <v>123242</v>
      </c>
      <c r="AB19" s="48">
        <v>123975</v>
      </c>
      <c r="AC19" s="59">
        <v>124630</v>
      </c>
      <c r="AD19" s="4">
        <v>125296</v>
      </c>
      <c r="AE19" s="8">
        <v>125863</v>
      </c>
      <c r="AF19" s="8">
        <v>126392</v>
      </c>
      <c r="AG19" s="8">
        <v>126986</v>
      </c>
      <c r="AH19" s="8">
        <v>127494</v>
      </c>
      <c r="AI19" s="8">
        <v>127802</v>
      </c>
      <c r="AJ19" s="57">
        <f t="shared" si="0"/>
        <v>17838</v>
      </c>
    </row>
    <row r="20" spans="1:36" ht="20.149999999999999" customHeight="1">
      <c r="A20" s="2"/>
      <c r="B20" s="2"/>
      <c r="C20" s="61" t="s">
        <v>22</v>
      </c>
      <c r="D20" s="45">
        <v>5120</v>
      </c>
      <c r="E20" s="4">
        <v>5217</v>
      </c>
      <c r="F20" s="4">
        <v>5217</v>
      </c>
      <c r="G20" s="4">
        <v>5217</v>
      </c>
      <c r="H20" s="4">
        <v>5217</v>
      </c>
      <c r="I20" s="4">
        <v>5236</v>
      </c>
      <c r="J20" s="4">
        <v>5288</v>
      </c>
      <c r="K20" s="4">
        <v>5300</v>
      </c>
      <c r="L20" s="4">
        <v>5380</v>
      </c>
      <c r="M20" s="4">
        <v>5380</v>
      </c>
      <c r="N20" s="4">
        <v>5525</v>
      </c>
      <c r="O20" s="4">
        <v>5561</v>
      </c>
      <c r="P20" s="4">
        <v>5662</v>
      </c>
      <c r="Q20" s="4">
        <v>5796</v>
      </c>
      <c r="R20" s="5">
        <v>5796</v>
      </c>
      <c r="S20" s="4">
        <v>5845</v>
      </c>
      <c r="T20" s="4">
        <v>5951</v>
      </c>
      <c r="U20" s="4">
        <v>6051</v>
      </c>
      <c r="V20" s="4">
        <v>6051</v>
      </c>
      <c r="W20" s="5">
        <v>6109</v>
      </c>
      <c r="X20" s="4">
        <v>6152</v>
      </c>
      <c r="Y20" s="4">
        <v>6152</v>
      </c>
      <c r="Z20" s="4">
        <v>6152</v>
      </c>
      <c r="AA20" s="58">
        <v>6186</v>
      </c>
      <c r="AB20" s="48">
        <v>6186</v>
      </c>
      <c r="AC20" s="59">
        <v>6213</v>
      </c>
      <c r="AD20" s="4">
        <v>6213</v>
      </c>
      <c r="AE20" s="8">
        <v>6216</v>
      </c>
      <c r="AF20" s="8">
        <v>6216</v>
      </c>
      <c r="AG20" s="8">
        <v>6344</v>
      </c>
      <c r="AH20" s="8">
        <v>6554</v>
      </c>
      <c r="AI20" s="8">
        <v>6554</v>
      </c>
      <c r="AJ20" s="57">
        <f t="shared" si="0"/>
        <v>1434</v>
      </c>
    </row>
    <row r="21" spans="1:36" ht="20.149999999999999" customHeight="1">
      <c r="A21" s="2">
        <v>8</v>
      </c>
      <c r="B21" s="2" t="s">
        <v>129</v>
      </c>
      <c r="C21" s="2" t="s">
        <v>118</v>
      </c>
      <c r="D21" s="45">
        <v>23959</v>
      </c>
      <c r="E21" s="4">
        <v>24164</v>
      </c>
      <c r="F21" s="4">
        <v>24290</v>
      </c>
      <c r="G21" s="5">
        <v>24433</v>
      </c>
      <c r="H21" s="5">
        <v>24558</v>
      </c>
      <c r="I21" s="4">
        <v>24681</v>
      </c>
      <c r="J21" s="4">
        <v>24790</v>
      </c>
      <c r="K21" s="4">
        <v>24929</v>
      </c>
      <c r="L21" s="4">
        <v>25036</v>
      </c>
      <c r="M21" s="4">
        <v>25164</v>
      </c>
      <c r="N21" s="4">
        <v>25257</v>
      </c>
      <c r="O21" s="4">
        <v>25372</v>
      </c>
      <c r="P21" s="4">
        <v>25460</v>
      </c>
      <c r="Q21" s="4">
        <v>25564</v>
      </c>
      <c r="R21" s="4">
        <v>25675</v>
      </c>
      <c r="S21" s="4">
        <v>25800</v>
      </c>
      <c r="T21" s="4">
        <v>25883</v>
      </c>
      <c r="U21" s="4">
        <v>26009</v>
      </c>
      <c r="V21" s="4">
        <v>26114</v>
      </c>
      <c r="W21" s="4">
        <v>26232</v>
      </c>
      <c r="X21" s="4">
        <v>26332</v>
      </c>
      <c r="Y21" s="4">
        <v>26448</v>
      </c>
      <c r="Z21" s="4">
        <v>26583</v>
      </c>
      <c r="AA21" s="4">
        <v>26736</v>
      </c>
      <c r="AB21" s="8">
        <v>26866</v>
      </c>
      <c r="AC21" s="4">
        <v>26984</v>
      </c>
      <c r="AD21" s="4">
        <v>27102</v>
      </c>
      <c r="AE21" s="8">
        <v>27231</v>
      </c>
      <c r="AF21" s="8">
        <v>27310</v>
      </c>
      <c r="AG21" s="8">
        <v>27428</v>
      </c>
      <c r="AH21" s="8">
        <v>27512</v>
      </c>
      <c r="AI21" s="8">
        <v>27550</v>
      </c>
      <c r="AJ21" s="57">
        <f t="shared" si="0"/>
        <v>3591</v>
      </c>
    </row>
    <row r="22" spans="1:36" ht="20.149999999999999" customHeight="1">
      <c r="A22" s="2"/>
      <c r="B22" s="2"/>
      <c r="C22" s="61" t="s">
        <v>22</v>
      </c>
      <c r="D22" s="45">
        <v>969</v>
      </c>
      <c r="E22" s="4">
        <v>987</v>
      </c>
      <c r="F22" s="4">
        <v>987</v>
      </c>
      <c r="G22" s="4">
        <v>987</v>
      </c>
      <c r="H22" s="4">
        <v>987</v>
      </c>
      <c r="I22" s="4">
        <v>991</v>
      </c>
      <c r="J22" s="4">
        <v>1009</v>
      </c>
      <c r="K22" s="4">
        <v>1024</v>
      </c>
      <c r="L22" s="4">
        <v>1036</v>
      </c>
      <c r="M22" s="4">
        <v>1036</v>
      </c>
      <c r="N22" s="4">
        <v>1056</v>
      </c>
      <c r="O22" s="4">
        <v>1063</v>
      </c>
      <c r="P22" s="4">
        <v>1080</v>
      </c>
      <c r="Q22" s="4">
        <v>1135</v>
      </c>
      <c r="R22" s="5">
        <v>1135</v>
      </c>
      <c r="S22" s="4">
        <v>1141</v>
      </c>
      <c r="T22" s="4">
        <v>1168</v>
      </c>
      <c r="U22" s="4">
        <v>1184</v>
      </c>
      <c r="V22" s="4">
        <v>1184</v>
      </c>
      <c r="W22" s="5">
        <v>1187</v>
      </c>
      <c r="X22" s="4">
        <v>1192</v>
      </c>
      <c r="Y22" s="4">
        <v>1192</v>
      </c>
      <c r="Z22" s="4">
        <v>1192</v>
      </c>
      <c r="AA22" s="4">
        <v>1197</v>
      </c>
      <c r="AB22" s="33">
        <v>1197</v>
      </c>
      <c r="AC22" s="4">
        <v>1201</v>
      </c>
      <c r="AD22" s="4">
        <v>1201</v>
      </c>
      <c r="AE22" s="8">
        <v>1201</v>
      </c>
      <c r="AF22" s="8">
        <v>1201</v>
      </c>
      <c r="AG22" s="8">
        <v>1222</v>
      </c>
      <c r="AH22" s="8">
        <v>1261</v>
      </c>
      <c r="AI22" s="8">
        <v>1261</v>
      </c>
      <c r="AJ22" s="57">
        <f t="shared" si="0"/>
        <v>292</v>
      </c>
    </row>
    <row r="23" spans="1:36">
      <c r="A23" s="503"/>
      <c r="B23" s="504"/>
      <c r="C23" s="504"/>
      <c r="D23" s="504"/>
      <c r="E23" s="504"/>
      <c r="F23" s="504"/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4"/>
      <c r="AA23" s="504"/>
      <c r="AB23" s="504"/>
      <c r="AC23" s="504"/>
      <c r="AD23" s="504"/>
      <c r="AE23" s="504"/>
      <c r="AF23" s="504"/>
      <c r="AG23" s="504"/>
      <c r="AH23" s="504"/>
      <c r="AI23" s="504"/>
      <c r="AJ23" s="501"/>
    </row>
    <row r="24" spans="1:36">
      <c r="A24" s="2">
        <v>1</v>
      </c>
      <c r="B24" s="2" t="s">
        <v>129</v>
      </c>
      <c r="C24" s="2" t="s">
        <v>119</v>
      </c>
      <c r="D24" s="45">
        <v>10907</v>
      </c>
      <c r="E24" s="4">
        <v>10960</v>
      </c>
      <c r="F24" s="4">
        <v>11053</v>
      </c>
      <c r="G24" s="4">
        <v>11138</v>
      </c>
      <c r="H24" s="4">
        <v>11205</v>
      </c>
      <c r="I24" s="4">
        <v>11270</v>
      </c>
      <c r="J24" s="4">
        <v>11311</v>
      </c>
      <c r="K24" s="4">
        <v>11311</v>
      </c>
      <c r="L24" s="4">
        <v>11406</v>
      </c>
      <c r="M24" s="4">
        <v>11516</v>
      </c>
      <c r="N24" s="4">
        <v>11588</v>
      </c>
      <c r="O24" s="4">
        <v>11678</v>
      </c>
      <c r="P24" s="4">
        <v>11757</v>
      </c>
      <c r="Q24" s="4">
        <v>11797</v>
      </c>
      <c r="R24" s="4">
        <v>11797</v>
      </c>
      <c r="S24" s="4">
        <v>11883</v>
      </c>
      <c r="T24" s="4">
        <v>11973</v>
      </c>
      <c r="U24" s="4">
        <v>12059</v>
      </c>
      <c r="V24" s="4">
        <v>12180</v>
      </c>
      <c r="W24" s="4">
        <v>12289</v>
      </c>
      <c r="X24" s="4">
        <v>12344</v>
      </c>
      <c r="Y24" s="4">
        <v>12344</v>
      </c>
      <c r="Z24" s="4">
        <v>12476</v>
      </c>
      <c r="AA24" s="4">
        <v>12591</v>
      </c>
      <c r="AB24" s="4">
        <v>12706</v>
      </c>
      <c r="AC24" s="4">
        <v>12812</v>
      </c>
      <c r="AD24" s="4">
        <v>12926</v>
      </c>
      <c r="AE24" s="4">
        <v>12977</v>
      </c>
      <c r="AF24" s="4">
        <v>12977</v>
      </c>
      <c r="AG24" s="4">
        <v>13063</v>
      </c>
      <c r="AH24" s="8">
        <v>13118</v>
      </c>
      <c r="AI24" s="8">
        <v>13170</v>
      </c>
      <c r="AJ24" s="7">
        <f t="shared" ref="AJ24:AJ31" si="1">AI24-D24</f>
        <v>2263</v>
      </c>
    </row>
    <row r="25" spans="1:36" ht="18.5" customHeight="1">
      <c r="A25" s="2"/>
      <c r="B25" s="2"/>
      <c r="C25" s="62" t="s">
        <v>22</v>
      </c>
      <c r="D25" s="45">
        <v>895</v>
      </c>
      <c r="E25" s="4">
        <v>895</v>
      </c>
      <c r="F25" s="4">
        <v>895</v>
      </c>
      <c r="G25" s="4">
        <v>895</v>
      </c>
      <c r="H25" s="4">
        <v>895</v>
      </c>
      <c r="I25" s="4">
        <v>895</v>
      </c>
      <c r="J25" s="4">
        <v>895</v>
      </c>
      <c r="K25" s="4">
        <v>895</v>
      </c>
      <c r="L25" s="4">
        <v>913</v>
      </c>
      <c r="M25" s="4">
        <v>913</v>
      </c>
      <c r="N25" s="4">
        <v>943</v>
      </c>
      <c r="O25" s="4">
        <v>951</v>
      </c>
      <c r="P25" s="4">
        <v>967</v>
      </c>
      <c r="Q25" s="4">
        <v>982</v>
      </c>
      <c r="R25" s="4">
        <v>982</v>
      </c>
      <c r="S25" s="4">
        <v>991</v>
      </c>
      <c r="T25" s="4">
        <v>1016</v>
      </c>
      <c r="U25" s="4">
        <v>1039</v>
      </c>
      <c r="V25" s="4">
        <v>1039</v>
      </c>
      <c r="W25" s="4">
        <v>1052</v>
      </c>
      <c r="X25" s="4">
        <v>1066</v>
      </c>
      <c r="Y25" s="4">
        <v>1066</v>
      </c>
      <c r="Z25" s="4">
        <v>1066</v>
      </c>
      <c r="AA25" s="4">
        <v>1074</v>
      </c>
      <c r="AB25" s="4">
        <v>1074</v>
      </c>
      <c r="AC25" s="4">
        <v>1080</v>
      </c>
      <c r="AD25" s="4">
        <v>1080</v>
      </c>
      <c r="AE25" s="8">
        <v>1080</v>
      </c>
      <c r="AF25" s="8">
        <v>1080</v>
      </c>
      <c r="AG25" s="8">
        <v>1109</v>
      </c>
      <c r="AH25" s="8">
        <v>1153</v>
      </c>
      <c r="AI25" s="8">
        <v>1153</v>
      </c>
      <c r="AJ25" s="7">
        <f t="shared" si="1"/>
        <v>258</v>
      </c>
    </row>
    <row r="26" spans="1:36">
      <c r="A26" s="2">
        <v>2</v>
      </c>
      <c r="B26" s="2" t="s">
        <v>129</v>
      </c>
      <c r="C26" s="2" t="s">
        <v>120</v>
      </c>
      <c r="D26" s="45">
        <v>10321</v>
      </c>
      <c r="E26" s="4">
        <v>10416</v>
      </c>
      <c r="F26" s="4">
        <v>10520</v>
      </c>
      <c r="G26" s="5">
        <v>10618</v>
      </c>
      <c r="H26" s="5">
        <v>10712</v>
      </c>
      <c r="I26" s="4">
        <v>10798</v>
      </c>
      <c r="J26" s="4">
        <v>10855</v>
      </c>
      <c r="K26" s="4">
        <v>10855</v>
      </c>
      <c r="L26" s="4">
        <v>10959</v>
      </c>
      <c r="M26" s="4">
        <v>11068</v>
      </c>
      <c r="N26" s="4">
        <v>11142</v>
      </c>
      <c r="O26" s="4">
        <v>11234</v>
      </c>
      <c r="P26" s="4">
        <v>11291</v>
      </c>
      <c r="Q26" s="4">
        <v>11312</v>
      </c>
      <c r="R26" s="4">
        <v>11312</v>
      </c>
      <c r="S26" s="4">
        <v>11405</v>
      </c>
      <c r="T26" s="4">
        <v>11462</v>
      </c>
      <c r="U26" s="4">
        <v>11545</v>
      </c>
      <c r="V26" s="4">
        <v>11619</v>
      </c>
      <c r="W26" s="4">
        <v>11687</v>
      </c>
      <c r="X26" s="4">
        <v>11714</v>
      </c>
      <c r="Y26" s="4">
        <v>11714</v>
      </c>
      <c r="Z26" s="4">
        <v>11846</v>
      </c>
      <c r="AA26" s="4">
        <v>11930</v>
      </c>
      <c r="AB26" s="4">
        <v>12004</v>
      </c>
      <c r="AC26" s="4">
        <v>12070</v>
      </c>
      <c r="AD26" s="4">
        <v>12149</v>
      </c>
      <c r="AE26" s="8">
        <v>12187</v>
      </c>
      <c r="AF26" s="8">
        <v>12187</v>
      </c>
      <c r="AG26" s="8">
        <v>12266</v>
      </c>
      <c r="AH26" s="8">
        <v>12323</v>
      </c>
      <c r="AI26" s="8">
        <v>12367</v>
      </c>
      <c r="AJ26" s="7">
        <f t="shared" si="1"/>
        <v>2046</v>
      </c>
    </row>
    <row r="27" spans="1:36" ht="18.5" customHeight="1">
      <c r="A27" s="2"/>
      <c r="B27" s="2"/>
      <c r="C27" s="62" t="s">
        <v>22</v>
      </c>
      <c r="D27" s="45">
        <v>903</v>
      </c>
      <c r="E27" s="4">
        <v>926</v>
      </c>
      <c r="F27" s="4">
        <v>926</v>
      </c>
      <c r="G27" s="4">
        <v>926</v>
      </c>
      <c r="H27" s="4">
        <v>926</v>
      </c>
      <c r="I27" s="4">
        <v>930</v>
      </c>
      <c r="J27" s="4">
        <v>930</v>
      </c>
      <c r="K27" s="4">
        <v>930</v>
      </c>
      <c r="L27" s="4">
        <v>950</v>
      </c>
      <c r="M27" s="4">
        <v>950</v>
      </c>
      <c r="N27" s="4">
        <v>988</v>
      </c>
      <c r="O27" s="4">
        <v>996</v>
      </c>
      <c r="P27" s="4">
        <v>1010</v>
      </c>
      <c r="Q27" s="4">
        <v>1019</v>
      </c>
      <c r="R27" s="4">
        <v>1019</v>
      </c>
      <c r="S27" s="4">
        <v>1030</v>
      </c>
      <c r="T27" s="4">
        <v>1052</v>
      </c>
      <c r="U27" s="4">
        <v>1075</v>
      </c>
      <c r="V27" s="4">
        <v>1075</v>
      </c>
      <c r="W27" s="4">
        <v>1083</v>
      </c>
      <c r="X27" s="4">
        <v>1092</v>
      </c>
      <c r="Y27" s="4">
        <v>1092</v>
      </c>
      <c r="Z27" s="4">
        <v>1092</v>
      </c>
      <c r="AA27" s="4">
        <v>1097</v>
      </c>
      <c r="AB27" s="4">
        <v>1097</v>
      </c>
      <c r="AC27" s="4">
        <v>1101</v>
      </c>
      <c r="AD27" s="4">
        <v>1101</v>
      </c>
      <c r="AE27" s="8">
        <v>1101</v>
      </c>
      <c r="AF27" s="8">
        <v>1101</v>
      </c>
      <c r="AG27" s="8">
        <v>1128</v>
      </c>
      <c r="AH27" s="8">
        <v>1175</v>
      </c>
      <c r="AI27" s="8">
        <v>1175</v>
      </c>
      <c r="AJ27" s="7">
        <f t="shared" si="1"/>
        <v>272</v>
      </c>
    </row>
    <row r="28" spans="1:36">
      <c r="A28" s="2">
        <v>3</v>
      </c>
      <c r="B28" s="2" t="s">
        <v>129</v>
      </c>
      <c r="C28" s="2" t="s">
        <v>121</v>
      </c>
      <c r="D28" s="3">
        <v>8764</v>
      </c>
      <c r="E28" s="4">
        <v>8862</v>
      </c>
      <c r="F28" s="4">
        <v>8985</v>
      </c>
      <c r="G28" s="4">
        <v>9103</v>
      </c>
      <c r="H28" s="4">
        <v>9219</v>
      </c>
      <c r="I28" s="4">
        <v>9321</v>
      </c>
      <c r="J28" s="4">
        <v>9389</v>
      </c>
      <c r="K28" s="4">
        <v>9389</v>
      </c>
      <c r="L28" s="4">
        <v>9494</v>
      </c>
      <c r="M28" s="4">
        <v>9612</v>
      </c>
      <c r="N28" s="4">
        <v>9689</v>
      </c>
      <c r="O28" s="4">
        <v>9791</v>
      </c>
      <c r="P28" s="4">
        <v>9887</v>
      </c>
      <c r="Q28" s="4">
        <v>9930</v>
      </c>
      <c r="R28" s="4">
        <v>9930</v>
      </c>
      <c r="S28" s="4">
        <v>10039</v>
      </c>
      <c r="T28" s="4">
        <v>10124</v>
      </c>
      <c r="U28" s="4">
        <v>10210</v>
      </c>
      <c r="V28" s="4">
        <v>10332</v>
      </c>
      <c r="W28" s="4">
        <v>10444</v>
      </c>
      <c r="X28" s="4">
        <v>10489</v>
      </c>
      <c r="Y28" s="4">
        <v>10489</v>
      </c>
      <c r="Z28" s="4">
        <v>10624</v>
      </c>
      <c r="AA28" s="4">
        <v>10741</v>
      </c>
      <c r="AB28" s="4">
        <v>10862</v>
      </c>
      <c r="AC28" s="4">
        <v>10973</v>
      </c>
      <c r="AD28" s="4">
        <v>11089</v>
      </c>
      <c r="AE28" s="4">
        <v>11149</v>
      </c>
      <c r="AF28" s="4">
        <v>11149</v>
      </c>
      <c r="AG28" s="4">
        <v>11238</v>
      </c>
      <c r="AH28" s="4">
        <v>11296</v>
      </c>
      <c r="AI28" s="4">
        <v>11346</v>
      </c>
      <c r="AJ28" s="7">
        <f t="shared" si="1"/>
        <v>2582</v>
      </c>
    </row>
    <row r="29" spans="1:36" ht="18.5" customHeight="1">
      <c r="A29" s="2"/>
      <c r="B29" s="2"/>
      <c r="C29" s="62" t="s">
        <v>22</v>
      </c>
      <c r="D29" s="45">
        <v>923</v>
      </c>
      <c r="E29" s="4">
        <v>946</v>
      </c>
      <c r="F29" s="4">
        <v>946</v>
      </c>
      <c r="G29" s="4">
        <v>946</v>
      </c>
      <c r="H29" s="4">
        <v>946</v>
      </c>
      <c r="I29" s="4">
        <v>951</v>
      </c>
      <c r="J29" s="4">
        <v>951</v>
      </c>
      <c r="K29" s="4">
        <v>951</v>
      </c>
      <c r="L29" s="4">
        <v>970</v>
      </c>
      <c r="M29" s="4">
        <v>970</v>
      </c>
      <c r="N29" s="4">
        <v>993</v>
      </c>
      <c r="O29" s="4">
        <v>1002</v>
      </c>
      <c r="P29" s="4">
        <v>1021</v>
      </c>
      <c r="Q29" s="4">
        <v>1039</v>
      </c>
      <c r="R29" s="4">
        <v>1039</v>
      </c>
      <c r="S29" s="4">
        <v>1050</v>
      </c>
      <c r="T29" s="4">
        <v>1075</v>
      </c>
      <c r="U29" s="4">
        <v>1098</v>
      </c>
      <c r="V29" s="4">
        <v>1098</v>
      </c>
      <c r="W29" s="4">
        <v>1112</v>
      </c>
      <c r="X29" s="4">
        <v>1126</v>
      </c>
      <c r="Y29" s="4">
        <v>1126</v>
      </c>
      <c r="Z29" s="4">
        <v>1126</v>
      </c>
      <c r="AA29" s="4">
        <v>1134</v>
      </c>
      <c r="AB29" s="4">
        <v>1134</v>
      </c>
      <c r="AC29" s="4">
        <v>1141</v>
      </c>
      <c r="AD29" s="4">
        <v>1141</v>
      </c>
      <c r="AE29" s="4">
        <v>1141</v>
      </c>
      <c r="AF29" s="4">
        <v>1141</v>
      </c>
      <c r="AG29" s="4">
        <v>1171</v>
      </c>
      <c r="AH29" s="8">
        <v>1218</v>
      </c>
      <c r="AI29" s="8">
        <v>1218</v>
      </c>
      <c r="AJ29" s="7">
        <f t="shared" si="1"/>
        <v>295</v>
      </c>
    </row>
    <row r="30" spans="1:36">
      <c r="A30" s="2">
        <v>4</v>
      </c>
      <c r="B30" s="2" t="s">
        <v>129</v>
      </c>
      <c r="C30" s="2" t="s">
        <v>122</v>
      </c>
      <c r="D30" s="45">
        <v>8579</v>
      </c>
      <c r="E30" s="4">
        <v>8687</v>
      </c>
      <c r="F30" s="4">
        <v>8796</v>
      </c>
      <c r="G30" s="4">
        <v>8898</v>
      </c>
      <c r="H30" s="4">
        <v>9002</v>
      </c>
      <c r="I30" s="4">
        <v>9094</v>
      </c>
      <c r="J30" s="4">
        <v>9161</v>
      </c>
      <c r="K30" s="4">
        <v>9161</v>
      </c>
      <c r="L30" s="4">
        <v>9254</v>
      </c>
      <c r="M30" s="4">
        <v>9359</v>
      </c>
      <c r="N30" s="4">
        <v>9432</v>
      </c>
      <c r="O30" s="4">
        <v>9523</v>
      </c>
      <c r="P30" s="4">
        <v>9605</v>
      </c>
      <c r="Q30" s="4">
        <v>9641</v>
      </c>
      <c r="R30" s="4">
        <v>9641</v>
      </c>
      <c r="S30" s="4">
        <v>9738</v>
      </c>
      <c r="T30" s="4">
        <v>9825</v>
      </c>
      <c r="U30" s="4">
        <v>9908</v>
      </c>
      <c r="V30" s="4">
        <v>10022</v>
      </c>
      <c r="W30" s="4">
        <v>10126</v>
      </c>
      <c r="X30" s="4">
        <v>10168</v>
      </c>
      <c r="Y30" s="4">
        <v>10168</v>
      </c>
      <c r="Z30" s="4">
        <v>10305</v>
      </c>
      <c r="AA30" s="4">
        <v>10412</v>
      </c>
      <c r="AB30" s="4">
        <v>10519</v>
      </c>
      <c r="AC30" s="4">
        <v>10614</v>
      </c>
      <c r="AD30" s="4">
        <v>10719</v>
      </c>
      <c r="AE30" s="4">
        <v>10778</v>
      </c>
      <c r="AF30" s="4">
        <v>10778</v>
      </c>
      <c r="AG30" s="4">
        <v>10865</v>
      </c>
      <c r="AH30" s="8">
        <v>10920</v>
      </c>
      <c r="AI30" s="8">
        <v>10968</v>
      </c>
      <c r="AJ30" s="7">
        <f t="shared" si="1"/>
        <v>2389</v>
      </c>
    </row>
    <row r="31" spans="1:36" ht="18.5" customHeight="1">
      <c r="A31" s="2"/>
      <c r="B31" s="2"/>
      <c r="C31" s="62" t="s">
        <v>22</v>
      </c>
      <c r="D31" s="45">
        <v>782</v>
      </c>
      <c r="E31" s="4">
        <v>782</v>
      </c>
      <c r="F31" s="4">
        <v>782</v>
      </c>
      <c r="G31" s="4">
        <v>782</v>
      </c>
      <c r="H31" s="4">
        <v>782</v>
      </c>
      <c r="I31" s="4">
        <v>782</v>
      </c>
      <c r="J31" s="4">
        <v>782</v>
      </c>
      <c r="K31" s="4">
        <v>782</v>
      </c>
      <c r="L31" s="4">
        <v>800</v>
      </c>
      <c r="M31" s="4">
        <v>800</v>
      </c>
      <c r="N31" s="4">
        <v>831</v>
      </c>
      <c r="O31" s="4">
        <v>839</v>
      </c>
      <c r="P31" s="4">
        <v>855</v>
      </c>
      <c r="Q31" s="4">
        <v>870</v>
      </c>
      <c r="R31" s="4">
        <v>870</v>
      </c>
      <c r="S31" s="4">
        <v>881</v>
      </c>
      <c r="T31" s="4">
        <v>905</v>
      </c>
      <c r="U31" s="4">
        <v>927</v>
      </c>
      <c r="V31" s="4">
        <v>927</v>
      </c>
      <c r="W31" s="4">
        <v>939</v>
      </c>
      <c r="X31" s="4">
        <v>952</v>
      </c>
      <c r="Y31" s="4">
        <v>952</v>
      </c>
      <c r="Z31" s="4">
        <v>952</v>
      </c>
      <c r="AA31" s="4">
        <v>959</v>
      </c>
      <c r="AB31" s="4">
        <v>959</v>
      </c>
      <c r="AC31" s="4">
        <v>965</v>
      </c>
      <c r="AD31" s="4">
        <v>965</v>
      </c>
      <c r="AE31" s="4">
        <v>965</v>
      </c>
      <c r="AF31" s="4">
        <v>965</v>
      </c>
      <c r="AG31" s="4">
        <v>993</v>
      </c>
      <c r="AH31" s="8">
        <v>1038</v>
      </c>
      <c r="AI31" s="8">
        <v>1038</v>
      </c>
      <c r="AJ31" s="7">
        <f t="shared" si="1"/>
        <v>256</v>
      </c>
    </row>
    <row r="32" spans="1:36">
      <c r="A32" s="503"/>
      <c r="B32" s="504"/>
      <c r="C32" s="504"/>
      <c r="D32" s="504"/>
      <c r="E32" s="50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  <c r="R32" s="504"/>
      <c r="S32" s="504"/>
      <c r="T32" s="504"/>
      <c r="U32" s="504"/>
      <c r="V32" s="504"/>
      <c r="W32" s="504"/>
      <c r="X32" s="504"/>
      <c r="Y32" s="504"/>
      <c r="Z32" s="504"/>
      <c r="AA32" s="504"/>
      <c r="AB32" s="504"/>
      <c r="AC32" s="504"/>
      <c r="AD32" s="504"/>
      <c r="AE32" s="504"/>
      <c r="AF32" s="504"/>
      <c r="AG32" s="504"/>
      <c r="AH32" s="504"/>
      <c r="AI32" s="504"/>
      <c r="AJ32" s="501"/>
    </row>
    <row r="33" spans="1:36">
      <c r="A33" s="2">
        <v>1</v>
      </c>
      <c r="B33" s="2" t="s">
        <v>129</v>
      </c>
      <c r="C33" s="2" t="s">
        <v>123</v>
      </c>
      <c r="D33" s="46">
        <v>83302.600000000006</v>
      </c>
      <c r="E33" s="10">
        <v>84492.81</v>
      </c>
      <c r="F33" s="10">
        <v>85513.26</v>
      </c>
      <c r="G33" s="10">
        <v>86362.28</v>
      </c>
      <c r="H33" s="10">
        <v>87014.04</v>
      </c>
      <c r="I33" s="10">
        <v>87636.97</v>
      </c>
      <c r="J33" s="10">
        <v>88092.45</v>
      </c>
      <c r="K33" s="10">
        <v>88092.45</v>
      </c>
      <c r="L33" s="10">
        <v>89275.93</v>
      </c>
      <c r="M33" s="10">
        <v>90140.84</v>
      </c>
      <c r="N33" s="10">
        <v>91071.91</v>
      </c>
      <c r="O33" s="10">
        <v>91799.95</v>
      </c>
      <c r="P33" s="10">
        <v>92376.86</v>
      </c>
      <c r="Q33" s="10">
        <v>92727.48</v>
      </c>
      <c r="R33" s="11">
        <v>92727.48</v>
      </c>
      <c r="S33" s="11">
        <v>93836.99</v>
      </c>
      <c r="T33" s="11">
        <v>94902.87</v>
      </c>
      <c r="U33" s="11">
        <v>95903.87</v>
      </c>
      <c r="V33" s="11">
        <v>96822.71</v>
      </c>
      <c r="W33" s="11">
        <v>97676.98</v>
      </c>
      <c r="X33" s="11">
        <v>98086.94</v>
      </c>
      <c r="Y33" s="11">
        <v>98086.94</v>
      </c>
      <c r="Z33" s="11">
        <v>99242.89</v>
      </c>
      <c r="AA33" s="11">
        <v>100102.18</v>
      </c>
      <c r="AB33" s="11">
        <v>100772.31</v>
      </c>
      <c r="AC33" s="11">
        <v>101510.24</v>
      </c>
      <c r="AD33" s="11">
        <v>102180.17</v>
      </c>
      <c r="AE33" s="11">
        <v>102780.19</v>
      </c>
      <c r="AF33" s="11">
        <v>102780.19</v>
      </c>
      <c r="AG33" s="11">
        <v>103987.75</v>
      </c>
      <c r="AH33" s="40">
        <v>105032.88</v>
      </c>
      <c r="AI33" s="40">
        <v>105491.36</v>
      </c>
      <c r="AJ33" s="7">
        <f>AI33-D33</f>
        <v>22188.759999999995</v>
      </c>
    </row>
    <row r="34" spans="1:36">
      <c r="A34" s="2">
        <v>2</v>
      </c>
      <c r="B34" s="2" t="s">
        <v>129</v>
      </c>
      <c r="C34" s="2" t="s">
        <v>124</v>
      </c>
      <c r="D34" s="46">
        <v>84127.73</v>
      </c>
      <c r="E34" s="36">
        <v>85305.72</v>
      </c>
      <c r="F34" s="36">
        <v>86276.34</v>
      </c>
      <c r="G34" s="37">
        <v>86980.43</v>
      </c>
      <c r="H34" s="10">
        <v>87602.880000000005</v>
      </c>
      <c r="I34" s="10">
        <v>88229.4</v>
      </c>
      <c r="J34" s="10">
        <v>88611.63</v>
      </c>
      <c r="K34" s="10">
        <v>88611.63</v>
      </c>
      <c r="L34" s="10">
        <v>89579.5</v>
      </c>
      <c r="M34" s="10">
        <v>90300.59</v>
      </c>
      <c r="N34" s="10">
        <v>90966.53</v>
      </c>
      <c r="O34" s="10">
        <v>91644.45</v>
      </c>
      <c r="P34" s="10">
        <v>92346.13</v>
      </c>
      <c r="Q34" s="10">
        <v>92702.58</v>
      </c>
      <c r="R34" s="11">
        <v>92702.58</v>
      </c>
      <c r="S34" s="11">
        <v>93840.79</v>
      </c>
      <c r="T34" s="11">
        <v>95017.02</v>
      </c>
      <c r="U34" s="11">
        <v>96125.75</v>
      </c>
      <c r="V34" s="11">
        <v>97180.62</v>
      </c>
      <c r="W34" s="11">
        <v>98288.49</v>
      </c>
      <c r="X34" s="11">
        <v>98831.3</v>
      </c>
      <c r="Y34" s="11">
        <v>98831.3</v>
      </c>
      <c r="Z34" s="11">
        <v>99912.99</v>
      </c>
      <c r="AA34" s="11">
        <v>100776.4</v>
      </c>
      <c r="AB34" s="11">
        <v>101417.81</v>
      </c>
      <c r="AC34" s="11">
        <v>102127.1</v>
      </c>
      <c r="AD34" s="11">
        <v>102814.43</v>
      </c>
      <c r="AE34" s="11">
        <v>103407.45</v>
      </c>
      <c r="AF34" s="11">
        <v>103407.45</v>
      </c>
      <c r="AG34" s="11">
        <v>104749.8</v>
      </c>
      <c r="AH34" s="40">
        <v>105990.3</v>
      </c>
      <c r="AI34" s="40">
        <v>106652.85</v>
      </c>
      <c r="AJ34" s="7">
        <f>AI34-D34</f>
        <v>22525.12000000001</v>
      </c>
    </row>
    <row r="35" spans="1:36">
      <c r="A35" s="2">
        <v>3</v>
      </c>
      <c r="B35" s="2" t="s">
        <v>129</v>
      </c>
      <c r="C35" s="2" t="s">
        <v>125</v>
      </c>
      <c r="D35" s="46">
        <v>87129.600000000006</v>
      </c>
      <c r="E35" s="10">
        <v>88682.99</v>
      </c>
      <c r="F35" s="10">
        <v>90084.28</v>
      </c>
      <c r="G35" s="10">
        <v>91225.43</v>
      </c>
      <c r="H35" s="10">
        <v>92233.48</v>
      </c>
      <c r="I35" s="10">
        <v>92972.06</v>
      </c>
      <c r="J35" s="10">
        <v>93375.03</v>
      </c>
      <c r="K35" s="10">
        <v>93375.03</v>
      </c>
      <c r="L35" s="10">
        <v>94552.08</v>
      </c>
      <c r="M35" s="10">
        <v>95527</v>
      </c>
      <c r="N35" s="10">
        <v>96364.35</v>
      </c>
      <c r="O35" s="10">
        <v>97159.45</v>
      </c>
      <c r="P35" s="10">
        <v>97989.09</v>
      </c>
      <c r="Q35" s="10">
        <v>98468.28</v>
      </c>
      <c r="R35" s="10">
        <v>98468.28</v>
      </c>
      <c r="S35" s="11">
        <v>99710.67</v>
      </c>
      <c r="T35" s="11">
        <v>100924.95</v>
      </c>
      <c r="U35" s="11">
        <v>101985.66</v>
      </c>
      <c r="V35" s="11">
        <v>103070.78</v>
      </c>
      <c r="W35" s="11">
        <v>104231.5</v>
      </c>
      <c r="X35" s="11">
        <v>104721.24</v>
      </c>
      <c r="Y35" s="11">
        <v>104721.24</v>
      </c>
      <c r="Z35" s="11">
        <v>106078.15</v>
      </c>
      <c r="AA35" s="11">
        <v>107218.94</v>
      </c>
      <c r="AB35" s="11">
        <v>108099.17</v>
      </c>
      <c r="AC35" s="11">
        <v>109098.62</v>
      </c>
      <c r="AD35" s="11">
        <v>109972.01</v>
      </c>
      <c r="AE35" s="11">
        <v>110690.71</v>
      </c>
      <c r="AF35" s="11">
        <v>110690.71</v>
      </c>
      <c r="AG35" s="11">
        <v>111928.79</v>
      </c>
      <c r="AH35" s="40">
        <v>113016.93</v>
      </c>
      <c r="AI35" s="40">
        <v>113637.95</v>
      </c>
      <c r="AJ35" s="7">
        <f>AI35-D35</f>
        <v>26508.349999999991</v>
      </c>
    </row>
    <row r="36" spans="1:36">
      <c r="A36" s="2">
        <v>4</v>
      </c>
      <c r="B36" s="2" t="s">
        <v>129</v>
      </c>
      <c r="C36" s="2" t="s">
        <v>126</v>
      </c>
      <c r="D36" s="46">
        <v>103444.13</v>
      </c>
      <c r="E36" s="10">
        <v>105005.48</v>
      </c>
      <c r="F36" s="10">
        <v>106194</v>
      </c>
      <c r="G36" s="10">
        <v>107109.01</v>
      </c>
      <c r="H36" s="10">
        <v>107938.18</v>
      </c>
      <c r="I36" s="10">
        <v>108949.38</v>
      </c>
      <c r="J36" s="10">
        <v>109519.11</v>
      </c>
      <c r="K36" s="10">
        <v>109519.11</v>
      </c>
      <c r="L36" s="10">
        <v>110842.3</v>
      </c>
      <c r="M36" s="10">
        <v>111768.06</v>
      </c>
      <c r="N36" s="10">
        <v>112732.5</v>
      </c>
      <c r="O36" s="10">
        <v>113902.85</v>
      </c>
      <c r="P36" s="10">
        <v>114846.39999999999</v>
      </c>
      <c r="Q36" s="10">
        <v>115336.17</v>
      </c>
      <c r="R36" s="11">
        <v>115336.17</v>
      </c>
      <c r="S36" s="11">
        <v>116789.55</v>
      </c>
      <c r="T36" s="11">
        <v>118073.23</v>
      </c>
      <c r="U36" s="11">
        <v>119179.1</v>
      </c>
      <c r="V36" s="11">
        <v>120123.97</v>
      </c>
      <c r="W36" s="11">
        <v>121035.88</v>
      </c>
      <c r="X36" s="11">
        <v>121447.42</v>
      </c>
      <c r="Y36" s="11">
        <v>121447.42</v>
      </c>
      <c r="Z36" s="11">
        <v>122863.19</v>
      </c>
      <c r="AA36" s="11">
        <v>124003.25</v>
      </c>
      <c r="AB36" s="11">
        <v>124903.96</v>
      </c>
      <c r="AC36" s="11">
        <v>125819.93</v>
      </c>
      <c r="AD36" s="11">
        <v>126755.64</v>
      </c>
      <c r="AE36" s="11">
        <v>127503.13</v>
      </c>
      <c r="AF36" s="11">
        <v>127503.13</v>
      </c>
      <c r="AG36" s="11">
        <v>128925.27</v>
      </c>
      <c r="AH36" s="40">
        <v>130141.18</v>
      </c>
      <c r="AI36" s="40">
        <v>130737.1</v>
      </c>
      <c r="AJ36" s="7">
        <f>AI36-D36</f>
        <v>27292.97</v>
      </c>
    </row>
    <row r="37" spans="1:36">
      <c r="D37" s="13"/>
      <c r="E37" s="13"/>
      <c r="AD37" s="6"/>
    </row>
    <row r="38" spans="1:36" ht="18.5" customHeight="1">
      <c r="A38" s="14"/>
      <c r="B38" s="15"/>
      <c r="C38" s="15"/>
      <c r="D38" s="15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spans="1:36" ht="15.5" customHeight="1">
      <c r="A39" s="16"/>
      <c r="B39" s="522" t="s">
        <v>127</v>
      </c>
      <c r="C39" s="504"/>
      <c r="D39" s="501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</row>
    <row r="40" spans="1:36">
      <c r="A40" s="17"/>
      <c r="B40" s="515" t="s">
        <v>128</v>
      </c>
      <c r="C40" s="504"/>
      <c r="D40" s="501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</row>
    <row r="41" spans="1:36">
      <c r="A41" s="507" t="s">
        <v>99</v>
      </c>
      <c r="B41" s="507" t="s">
        <v>100</v>
      </c>
      <c r="C41" s="507" t="s">
        <v>101</v>
      </c>
      <c r="D41" s="517"/>
      <c r="E41" s="42">
        <f t="shared" ref="E41:AI41" si="2">E3</f>
        <v>45474</v>
      </c>
      <c r="F41" s="42">
        <f t="shared" si="2"/>
        <v>45475</v>
      </c>
      <c r="G41" s="42">
        <f t="shared" si="2"/>
        <v>45476</v>
      </c>
      <c r="H41" s="42">
        <f t="shared" si="2"/>
        <v>45477</v>
      </c>
      <c r="I41" s="42">
        <f t="shared" si="2"/>
        <v>45478</v>
      </c>
      <c r="J41" s="42">
        <f t="shared" si="2"/>
        <v>45479</v>
      </c>
      <c r="K41" s="42">
        <f t="shared" si="2"/>
        <v>45480</v>
      </c>
      <c r="L41" s="42">
        <f t="shared" si="2"/>
        <v>45481</v>
      </c>
      <c r="M41" s="42">
        <f t="shared" si="2"/>
        <v>45482</v>
      </c>
      <c r="N41" s="42">
        <f t="shared" si="2"/>
        <v>45483</v>
      </c>
      <c r="O41" s="42">
        <f t="shared" si="2"/>
        <v>45484</v>
      </c>
      <c r="P41" s="42">
        <f t="shared" si="2"/>
        <v>45485</v>
      </c>
      <c r="Q41" s="42">
        <f t="shared" si="2"/>
        <v>45486</v>
      </c>
      <c r="R41" s="42">
        <f t="shared" si="2"/>
        <v>45487</v>
      </c>
      <c r="S41" s="42">
        <f t="shared" si="2"/>
        <v>45488</v>
      </c>
      <c r="T41" s="42">
        <f t="shared" si="2"/>
        <v>45489</v>
      </c>
      <c r="U41" s="42">
        <f t="shared" si="2"/>
        <v>45490</v>
      </c>
      <c r="V41" s="42">
        <f t="shared" si="2"/>
        <v>45491</v>
      </c>
      <c r="W41" s="42">
        <f t="shared" si="2"/>
        <v>45492</v>
      </c>
      <c r="X41" s="42">
        <f t="shared" si="2"/>
        <v>45493</v>
      </c>
      <c r="Y41" s="42">
        <f t="shared" si="2"/>
        <v>45494</v>
      </c>
      <c r="Z41" s="42">
        <f t="shared" si="2"/>
        <v>45495</v>
      </c>
      <c r="AA41" s="42">
        <f t="shared" si="2"/>
        <v>45496</v>
      </c>
      <c r="AB41" s="42">
        <f t="shared" si="2"/>
        <v>45497</v>
      </c>
      <c r="AC41" s="42">
        <f t="shared" si="2"/>
        <v>45498</v>
      </c>
      <c r="AD41" s="42">
        <f t="shared" si="2"/>
        <v>45499</v>
      </c>
      <c r="AE41" s="42">
        <f t="shared" si="2"/>
        <v>45500</v>
      </c>
      <c r="AF41" s="42">
        <f t="shared" si="2"/>
        <v>45501</v>
      </c>
      <c r="AG41" s="42">
        <f t="shared" si="2"/>
        <v>45502</v>
      </c>
      <c r="AH41" s="42">
        <f t="shared" si="2"/>
        <v>45503</v>
      </c>
      <c r="AI41" s="42">
        <f t="shared" si="2"/>
        <v>45504</v>
      </c>
      <c r="AJ41" s="507" t="s">
        <v>1</v>
      </c>
    </row>
    <row r="42" spans="1:36">
      <c r="A42" s="508"/>
      <c r="B42" s="508"/>
      <c r="C42" s="518"/>
      <c r="D42" s="519"/>
      <c r="E42" s="1" t="str">
        <f t="shared" ref="E42:AI42" si="3">E4</f>
        <v>Mon</v>
      </c>
      <c r="F42" s="1" t="str">
        <f t="shared" si="3"/>
        <v>Tue</v>
      </c>
      <c r="G42" s="1" t="str">
        <f t="shared" si="3"/>
        <v>Wed</v>
      </c>
      <c r="H42" s="1" t="str">
        <f t="shared" si="3"/>
        <v>Thu</v>
      </c>
      <c r="I42" s="1" t="str">
        <f t="shared" si="3"/>
        <v>Fri</v>
      </c>
      <c r="J42" s="1" t="str">
        <f t="shared" si="3"/>
        <v>Sat</v>
      </c>
      <c r="K42" s="1" t="str">
        <f t="shared" si="3"/>
        <v>Sun</v>
      </c>
      <c r="L42" s="1" t="str">
        <f t="shared" si="3"/>
        <v>Mon</v>
      </c>
      <c r="M42" s="1" t="str">
        <f t="shared" si="3"/>
        <v>Tue</v>
      </c>
      <c r="N42" s="1" t="str">
        <f t="shared" si="3"/>
        <v>Wed</v>
      </c>
      <c r="O42" s="1" t="str">
        <f t="shared" si="3"/>
        <v>Thu</v>
      </c>
      <c r="P42" s="1" t="str">
        <f t="shared" si="3"/>
        <v>Fri</v>
      </c>
      <c r="Q42" s="1" t="str">
        <f t="shared" si="3"/>
        <v>Sat</v>
      </c>
      <c r="R42" s="1" t="str">
        <f t="shared" si="3"/>
        <v>Sun</v>
      </c>
      <c r="S42" s="1" t="str">
        <f t="shared" si="3"/>
        <v>Mon</v>
      </c>
      <c r="T42" s="1" t="str">
        <f t="shared" si="3"/>
        <v>Tue</v>
      </c>
      <c r="U42" s="1" t="str">
        <f t="shared" si="3"/>
        <v>Wed</v>
      </c>
      <c r="V42" s="1" t="str">
        <f t="shared" si="3"/>
        <v>Thu</v>
      </c>
      <c r="W42" s="1" t="str">
        <f t="shared" si="3"/>
        <v>Fri</v>
      </c>
      <c r="X42" s="1" t="str">
        <f t="shared" si="3"/>
        <v>Sat</v>
      </c>
      <c r="Y42" s="1" t="str">
        <f t="shared" si="3"/>
        <v>Sun</v>
      </c>
      <c r="Z42" s="1" t="str">
        <f t="shared" si="3"/>
        <v>Mon</v>
      </c>
      <c r="AA42" s="1" t="str">
        <f t="shared" si="3"/>
        <v>Tue</v>
      </c>
      <c r="AB42" s="1" t="str">
        <f t="shared" si="3"/>
        <v>Wed</v>
      </c>
      <c r="AC42" s="1" t="str">
        <f t="shared" si="3"/>
        <v>Thu</v>
      </c>
      <c r="AD42" s="1" t="str">
        <f t="shared" si="3"/>
        <v>Fri</v>
      </c>
      <c r="AE42" s="1" t="str">
        <f t="shared" si="3"/>
        <v>Sat</v>
      </c>
      <c r="AF42" s="1" t="str">
        <f t="shared" si="3"/>
        <v>Sun</v>
      </c>
      <c r="AG42" s="1" t="str">
        <f t="shared" si="3"/>
        <v>Mon</v>
      </c>
      <c r="AH42" s="1" t="str">
        <f t="shared" si="3"/>
        <v>Tue</v>
      </c>
      <c r="AI42" s="1" t="str">
        <f t="shared" si="3"/>
        <v>Wed</v>
      </c>
      <c r="AJ42" s="508"/>
    </row>
    <row r="43" spans="1:36">
      <c r="A43" s="508"/>
      <c r="B43" s="508"/>
      <c r="C43" s="518"/>
      <c r="D43" s="519"/>
      <c r="E43" s="18" t="s">
        <v>110</v>
      </c>
      <c r="F43" s="18" t="s">
        <v>110</v>
      </c>
      <c r="G43" s="18" t="s">
        <v>110</v>
      </c>
      <c r="H43" s="18" t="s">
        <v>110</v>
      </c>
      <c r="I43" s="18" t="s">
        <v>110</v>
      </c>
      <c r="J43" s="18" t="s">
        <v>110</v>
      </c>
      <c r="K43" s="18" t="s">
        <v>110</v>
      </c>
      <c r="L43" s="18" t="s">
        <v>110</v>
      </c>
      <c r="M43" s="18" t="s">
        <v>110</v>
      </c>
      <c r="N43" s="18" t="s">
        <v>110</v>
      </c>
      <c r="O43" s="18" t="s">
        <v>110</v>
      </c>
      <c r="P43" s="18" t="s">
        <v>110</v>
      </c>
      <c r="Q43" s="18" t="s">
        <v>110</v>
      </c>
      <c r="R43" s="18" t="s">
        <v>110</v>
      </c>
      <c r="S43" s="18" t="s">
        <v>110</v>
      </c>
      <c r="T43" s="18" t="s">
        <v>110</v>
      </c>
      <c r="U43" s="18" t="s">
        <v>110</v>
      </c>
      <c r="V43" s="18" t="s">
        <v>110</v>
      </c>
      <c r="W43" s="18" t="s">
        <v>110</v>
      </c>
      <c r="X43" s="18" t="s">
        <v>110</v>
      </c>
      <c r="Y43" s="18" t="s">
        <v>110</v>
      </c>
      <c r="Z43" s="18" t="s">
        <v>110</v>
      </c>
      <c r="AA43" s="18" t="s">
        <v>110</v>
      </c>
      <c r="AB43" s="18" t="s">
        <v>110</v>
      </c>
      <c r="AC43" s="18" t="s">
        <v>110</v>
      </c>
      <c r="AD43" s="18" t="s">
        <v>110</v>
      </c>
      <c r="AE43" s="18" t="s">
        <v>110</v>
      </c>
      <c r="AF43" s="18" t="s">
        <v>110</v>
      </c>
      <c r="AG43" s="18" t="s">
        <v>110</v>
      </c>
      <c r="AH43" s="18" t="s">
        <v>110</v>
      </c>
      <c r="AI43" s="18" t="s">
        <v>110</v>
      </c>
      <c r="AJ43" s="508"/>
    </row>
    <row r="44" spans="1:36">
      <c r="A44" s="509"/>
      <c r="B44" s="509"/>
      <c r="C44" s="520"/>
      <c r="D44" s="521"/>
      <c r="E44" s="19">
        <v>0.33333333333333331</v>
      </c>
      <c r="F44" s="19">
        <v>0.33333333333333331</v>
      </c>
      <c r="G44" s="19">
        <v>0.33333333333333331</v>
      </c>
      <c r="H44" s="19">
        <v>0.33333333333333331</v>
      </c>
      <c r="I44" s="19">
        <v>0.33333333333333331</v>
      </c>
      <c r="J44" s="19">
        <v>0.33333333333333331</v>
      </c>
      <c r="K44" s="19">
        <v>0.33333333333333331</v>
      </c>
      <c r="L44" s="19">
        <v>0.33333333333333331</v>
      </c>
      <c r="M44" s="19">
        <v>0.33333333333333331</v>
      </c>
      <c r="N44" s="19">
        <v>0.33333333333333331</v>
      </c>
      <c r="O44" s="19">
        <v>0.33333333333333331</v>
      </c>
      <c r="P44" s="19">
        <v>0.33333333333333331</v>
      </c>
      <c r="Q44" s="19">
        <v>0.33333333333333331</v>
      </c>
      <c r="R44" s="19">
        <v>0.33333333333333331</v>
      </c>
      <c r="S44" s="19">
        <v>0.33333333333333331</v>
      </c>
      <c r="T44" s="19">
        <v>0.33333333333333331</v>
      </c>
      <c r="U44" s="19">
        <v>0.33333333333333331</v>
      </c>
      <c r="V44" s="19">
        <v>0.33333333333333331</v>
      </c>
      <c r="W44" s="19">
        <v>0.33333333333333331</v>
      </c>
      <c r="X44" s="19">
        <v>0.33333333333333331</v>
      </c>
      <c r="Y44" s="19">
        <v>0.33333333333333331</v>
      </c>
      <c r="Z44" s="19">
        <v>0.33333333333333331</v>
      </c>
      <c r="AA44" s="19">
        <v>0.33333333333333331</v>
      </c>
      <c r="AB44" s="19">
        <v>0.33333333333333331</v>
      </c>
      <c r="AC44" s="19">
        <v>0.33333333333333331</v>
      </c>
      <c r="AD44" s="19">
        <v>0.33333333333333331</v>
      </c>
      <c r="AE44" s="19">
        <v>0.33333333333333331</v>
      </c>
      <c r="AF44" s="19">
        <v>0.33333333333333331</v>
      </c>
      <c r="AG44" s="19">
        <v>0.33333333333333331</v>
      </c>
      <c r="AH44" s="19">
        <v>0.33333333333333331</v>
      </c>
      <c r="AI44" s="19">
        <v>0.33333333333333331</v>
      </c>
      <c r="AJ44" s="509"/>
    </row>
    <row r="45" spans="1:36" ht="15" customHeight="1">
      <c r="A45" s="2">
        <v>1</v>
      </c>
      <c r="B45" s="2" t="s">
        <v>129</v>
      </c>
      <c r="C45" s="503" t="s">
        <v>111</v>
      </c>
      <c r="D45" s="501"/>
      <c r="E45" s="20">
        <f t="shared" ref="E45:AI45" si="4">E7-D7</f>
        <v>341</v>
      </c>
      <c r="F45" s="20">
        <f t="shared" si="4"/>
        <v>259</v>
      </c>
      <c r="G45" s="20">
        <f t="shared" si="4"/>
        <v>256</v>
      </c>
      <c r="H45" s="20">
        <f t="shared" si="4"/>
        <v>260</v>
      </c>
      <c r="I45" s="20">
        <f t="shared" si="4"/>
        <v>231</v>
      </c>
      <c r="J45" s="20">
        <f t="shared" si="4"/>
        <v>206</v>
      </c>
      <c r="K45" s="20">
        <f t="shared" si="4"/>
        <v>203</v>
      </c>
      <c r="L45" s="20">
        <f t="shared" si="4"/>
        <v>219</v>
      </c>
      <c r="M45" s="20">
        <f t="shared" si="4"/>
        <v>273</v>
      </c>
      <c r="N45" s="20">
        <f t="shared" si="4"/>
        <v>217</v>
      </c>
      <c r="O45" s="20">
        <f t="shared" si="4"/>
        <v>304</v>
      </c>
      <c r="P45" s="20">
        <f t="shared" si="4"/>
        <v>194</v>
      </c>
      <c r="Q45" s="20">
        <f t="shared" si="4"/>
        <v>156</v>
      </c>
      <c r="R45" s="20">
        <f t="shared" si="4"/>
        <v>216</v>
      </c>
      <c r="S45" s="20">
        <f t="shared" si="4"/>
        <v>231</v>
      </c>
      <c r="T45" s="20">
        <f t="shared" si="4"/>
        <v>225</v>
      </c>
      <c r="U45" s="20">
        <f t="shared" si="4"/>
        <v>128</v>
      </c>
      <c r="V45" s="20">
        <f t="shared" si="4"/>
        <v>353</v>
      </c>
      <c r="W45" s="20">
        <f t="shared" si="4"/>
        <v>219</v>
      </c>
      <c r="X45" s="20">
        <f t="shared" si="4"/>
        <v>211</v>
      </c>
      <c r="Y45" s="20">
        <f t="shared" si="4"/>
        <v>200</v>
      </c>
      <c r="Z45" s="20">
        <f t="shared" si="4"/>
        <v>264</v>
      </c>
      <c r="AA45" s="20">
        <f t="shared" si="4"/>
        <v>240</v>
      </c>
      <c r="AB45" s="20">
        <f t="shared" si="4"/>
        <v>261</v>
      </c>
      <c r="AC45" s="20">
        <f t="shared" si="4"/>
        <v>243</v>
      </c>
      <c r="AD45" s="20">
        <f t="shared" si="4"/>
        <v>239</v>
      </c>
      <c r="AE45" s="20">
        <f t="shared" si="4"/>
        <v>208</v>
      </c>
      <c r="AF45" s="20">
        <f t="shared" si="4"/>
        <v>222</v>
      </c>
      <c r="AG45" s="20">
        <f t="shared" si="4"/>
        <v>221</v>
      </c>
      <c r="AH45" s="20">
        <f t="shared" si="4"/>
        <v>170</v>
      </c>
      <c r="AI45" s="20">
        <f t="shared" si="4"/>
        <v>120</v>
      </c>
      <c r="AJ45" s="21">
        <f t="shared" ref="AJ45:AJ62" si="5">SUM(E45:AI45)</f>
        <v>7090</v>
      </c>
    </row>
    <row r="46" spans="1:36" ht="18.5" customHeight="1">
      <c r="A46" s="2"/>
      <c r="B46" s="2"/>
      <c r="C46" s="502" t="s">
        <v>22</v>
      </c>
      <c r="D46" s="501"/>
      <c r="E46" s="20">
        <f t="shared" ref="E46:AI46" si="6">E8-D8</f>
        <v>40</v>
      </c>
      <c r="F46" s="20">
        <f t="shared" si="6"/>
        <v>0</v>
      </c>
      <c r="G46" s="20">
        <f t="shared" si="6"/>
        <v>0</v>
      </c>
      <c r="H46" s="20">
        <f t="shared" si="6"/>
        <v>0</v>
      </c>
      <c r="I46" s="20">
        <f t="shared" si="6"/>
        <v>7</v>
      </c>
      <c r="J46" s="20">
        <f t="shared" si="6"/>
        <v>18</v>
      </c>
      <c r="K46" s="20">
        <f t="shared" si="6"/>
        <v>17</v>
      </c>
      <c r="L46" s="20">
        <f t="shared" si="6"/>
        <v>31</v>
      </c>
      <c r="M46" s="20">
        <f t="shared" si="6"/>
        <v>0</v>
      </c>
      <c r="N46" s="20">
        <f t="shared" si="6"/>
        <v>51</v>
      </c>
      <c r="O46" s="20">
        <f t="shared" si="6"/>
        <v>13</v>
      </c>
      <c r="P46" s="20">
        <f t="shared" si="6"/>
        <v>49</v>
      </c>
      <c r="Q46" s="20">
        <f t="shared" si="6"/>
        <v>65</v>
      </c>
      <c r="R46" s="20">
        <f t="shared" si="6"/>
        <v>0</v>
      </c>
      <c r="S46" s="20">
        <f t="shared" si="6"/>
        <v>15</v>
      </c>
      <c r="T46" s="20">
        <f t="shared" si="6"/>
        <v>38</v>
      </c>
      <c r="U46" s="20">
        <f t="shared" si="6"/>
        <v>34</v>
      </c>
      <c r="V46" s="20">
        <f t="shared" si="6"/>
        <v>0</v>
      </c>
      <c r="W46" s="20">
        <f t="shared" si="6"/>
        <v>19</v>
      </c>
      <c r="X46" s="20">
        <f t="shared" si="6"/>
        <v>15</v>
      </c>
      <c r="Y46" s="20">
        <f t="shared" si="6"/>
        <v>0</v>
      </c>
      <c r="Z46" s="20">
        <f t="shared" si="6"/>
        <v>0</v>
      </c>
      <c r="AA46" s="20">
        <f t="shared" si="6"/>
        <v>12</v>
      </c>
      <c r="AB46" s="20">
        <f t="shared" si="6"/>
        <v>0</v>
      </c>
      <c r="AC46" s="20">
        <f t="shared" si="6"/>
        <v>11</v>
      </c>
      <c r="AD46" s="20">
        <f t="shared" si="6"/>
        <v>0</v>
      </c>
      <c r="AE46" s="20">
        <f t="shared" si="6"/>
        <v>2</v>
      </c>
      <c r="AF46" s="20">
        <f t="shared" si="6"/>
        <v>0</v>
      </c>
      <c r="AG46" s="20">
        <f t="shared" si="6"/>
        <v>50</v>
      </c>
      <c r="AH46" s="20">
        <f t="shared" si="6"/>
        <v>82</v>
      </c>
      <c r="AI46" s="20">
        <f t="shared" si="6"/>
        <v>0</v>
      </c>
      <c r="AJ46" s="21">
        <f t="shared" si="5"/>
        <v>569</v>
      </c>
    </row>
    <row r="47" spans="1:36" ht="15" customHeight="1">
      <c r="A47" s="2">
        <v>2</v>
      </c>
      <c r="B47" s="2" t="s">
        <v>129</v>
      </c>
      <c r="C47" s="503" t="s">
        <v>112</v>
      </c>
      <c r="D47" s="501"/>
      <c r="E47" s="20">
        <f t="shared" ref="E47:AI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0">
        <f t="shared" si="7"/>
        <v>0</v>
      </c>
      <c r="AH47" s="20">
        <f t="shared" si="7"/>
        <v>0</v>
      </c>
      <c r="AI47" s="20">
        <f t="shared" si="7"/>
        <v>0</v>
      </c>
      <c r="AJ47" s="21">
        <f t="shared" si="5"/>
        <v>0</v>
      </c>
    </row>
    <row r="48" spans="1:36" ht="18.5" customHeight="1">
      <c r="A48" s="2"/>
      <c r="B48" s="2"/>
      <c r="C48" s="502" t="s">
        <v>22</v>
      </c>
      <c r="D48" s="501"/>
      <c r="E48" s="20">
        <f t="shared" ref="E48:AI48" si="8">E10-D10</f>
        <v>0</v>
      </c>
      <c r="F48" s="20">
        <f t="shared" si="8"/>
        <v>0</v>
      </c>
      <c r="G48" s="20">
        <f t="shared" si="8"/>
        <v>0</v>
      </c>
      <c r="H48" s="20">
        <f t="shared" si="8"/>
        <v>0</v>
      </c>
      <c r="I48" s="20">
        <f t="shared" si="8"/>
        <v>0</v>
      </c>
      <c r="J48" s="20">
        <f t="shared" si="8"/>
        <v>0</v>
      </c>
      <c r="K48" s="20">
        <f t="shared" si="8"/>
        <v>0</v>
      </c>
      <c r="L48" s="20">
        <f t="shared" si="8"/>
        <v>0</v>
      </c>
      <c r="M48" s="20">
        <f t="shared" si="8"/>
        <v>0</v>
      </c>
      <c r="N48" s="20">
        <f t="shared" si="8"/>
        <v>0</v>
      </c>
      <c r="O48" s="20">
        <f t="shared" si="8"/>
        <v>0</v>
      </c>
      <c r="P48" s="20">
        <f t="shared" si="8"/>
        <v>0</v>
      </c>
      <c r="Q48" s="20">
        <f t="shared" si="8"/>
        <v>0</v>
      </c>
      <c r="R48" s="20">
        <f t="shared" si="8"/>
        <v>0</v>
      </c>
      <c r="S48" s="20">
        <f t="shared" si="8"/>
        <v>0</v>
      </c>
      <c r="T48" s="20">
        <f t="shared" si="8"/>
        <v>0</v>
      </c>
      <c r="U48" s="20">
        <f t="shared" si="8"/>
        <v>0</v>
      </c>
      <c r="V48" s="20">
        <f t="shared" si="8"/>
        <v>0</v>
      </c>
      <c r="W48" s="20">
        <f t="shared" si="8"/>
        <v>0</v>
      </c>
      <c r="X48" s="20">
        <f t="shared" si="8"/>
        <v>0</v>
      </c>
      <c r="Y48" s="20">
        <f t="shared" si="8"/>
        <v>0</v>
      </c>
      <c r="Z48" s="20">
        <f t="shared" si="8"/>
        <v>0</v>
      </c>
      <c r="AA48" s="20">
        <f t="shared" si="8"/>
        <v>0</v>
      </c>
      <c r="AB48" s="20">
        <f t="shared" si="8"/>
        <v>0</v>
      </c>
      <c r="AC48" s="20">
        <f t="shared" si="8"/>
        <v>0</v>
      </c>
      <c r="AD48" s="20">
        <f t="shared" si="8"/>
        <v>0</v>
      </c>
      <c r="AE48" s="20">
        <f t="shared" si="8"/>
        <v>0</v>
      </c>
      <c r="AF48" s="20">
        <f t="shared" si="8"/>
        <v>0</v>
      </c>
      <c r="AG48" s="20">
        <f t="shared" si="8"/>
        <v>0</v>
      </c>
      <c r="AH48" s="20">
        <f t="shared" si="8"/>
        <v>0</v>
      </c>
      <c r="AI48" s="20">
        <f t="shared" si="8"/>
        <v>0</v>
      </c>
      <c r="AJ48" s="21">
        <f t="shared" si="5"/>
        <v>0</v>
      </c>
    </row>
    <row r="49" spans="1:38" ht="15" customHeight="1">
      <c r="A49" s="2">
        <v>3</v>
      </c>
      <c r="B49" s="2" t="s">
        <v>129</v>
      </c>
      <c r="C49" s="503" t="s">
        <v>113</v>
      </c>
      <c r="D49" s="501"/>
      <c r="E49" s="20">
        <f t="shared" ref="E49:AI49" si="9">E11-D11</f>
        <v>471</v>
      </c>
      <c r="F49" s="20">
        <f t="shared" si="9"/>
        <v>373</v>
      </c>
      <c r="G49" s="20">
        <f t="shared" si="9"/>
        <v>326</v>
      </c>
      <c r="H49" s="20">
        <f t="shared" si="9"/>
        <v>409</v>
      </c>
      <c r="I49" s="20">
        <f t="shared" si="9"/>
        <v>333</v>
      </c>
      <c r="J49" s="20">
        <f t="shared" si="9"/>
        <v>265</v>
      </c>
      <c r="K49" s="20">
        <f t="shared" si="9"/>
        <v>262</v>
      </c>
      <c r="L49" s="20">
        <f t="shared" si="9"/>
        <v>315</v>
      </c>
      <c r="M49" s="20">
        <f t="shared" si="9"/>
        <v>393</v>
      </c>
      <c r="N49" s="20">
        <f t="shared" si="9"/>
        <v>309</v>
      </c>
      <c r="O49" s="20">
        <f t="shared" si="9"/>
        <v>328</v>
      </c>
      <c r="P49" s="20">
        <f t="shared" si="9"/>
        <v>270</v>
      </c>
      <c r="Q49" s="20">
        <f t="shared" si="9"/>
        <v>205</v>
      </c>
      <c r="R49" s="20">
        <f t="shared" si="9"/>
        <v>281</v>
      </c>
      <c r="S49" s="20">
        <f t="shared" si="9"/>
        <v>335</v>
      </c>
      <c r="T49" s="20">
        <f t="shared" si="9"/>
        <v>316</v>
      </c>
      <c r="U49" s="20">
        <f t="shared" si="9"/>
        <v>313</v>
      </c>
      <c r="V49" s="20">
        <f t="shared" si="9"/>
        <v>371</v>
      </c>
      <c r="W49" s="20">
        <f t="shared" si="9"/>
        <v>302</v>
      </c>
      <c r="X49" s="20">
        <f t="shared" si="9"/>
        <v>278</v>
      </c>
      <c r="Y49" s="20">
        <f t="shared" si="9"/>
        <v>260</v>
      </c>
      <c r="Z49" s="20">
        <f t="shared" si="9"/>
        <v>377</v>
      </c>
      <c r="AA49" s="20">
        <f t="shared" si="9"/>
        <v>341</v>
      </c>
      <c r="AB49" s="20">
        <f t="shared" si="9"/>
        <v>370</v>
      </c>
      <c r="AC49" s="20">
        <f t="shared" si="9"/>
        <v>340</v>
      </c>
      <c r="AD49" s="20">
        <f t="shared" si="9"/>
        <v>335</v>
      </c>
      <c r="AE49" s="20">
        <f t="shared" si="9"/>
        <v>275</v>
      </c>
      <c r="AF49" s="20">
        <f t="shared" si="9"/>
        <v>300</v>
      </c>
      <c r="AG49" s="20">
        <f t="shared" si="9"/>
        <v>300</v>
      </c>
      <c r="AH49" s="20">
        <f t="shared" si="9"/>
        <v>237</v>
      </c>
      <c r="AI49" s="20">
        <f t="shared" si="9"/>
        <v>165</v>
      </c>
      <c r="AJ49" s="21">
        <f t="shared" si="5"/>
        <v>9755</v>
      </c>
    </row>
    <row r="50" spans="1:38" ht="18.5" customHeight="1">
      <c r="A50" s="2"/>
      <c r="B50" s="2"/>
      <c r="C50" s="502" t="s">
        <v>22</v>
      </c>
      <c r="D50" s="501"/>
      <c r="E50" s="20">
        <f t="shared" ref="E50:AI50" si="10">E12-D12</f>
        <v>63</v>
      </c>
      <c r="F50" s="20">
        <f t="shared" si="10"/>
        <v>0</v>
      </c>
      <c r="G50" s="20">
        <f t="shared" si="10"/>
        <v>0</v>
      </c>
      <c r="H50" s="20">
        <f t="shared" si="10"/>
        <v>0</v>
      </c>
      <c r="I50" s="20">
        <f t="shared" si="10"/>
        <v>12</v>
      </c>
      <c r="J50" s="20">
        <f t="shared" si="10"/>
        <v>23</v>
      </c>
      <c r="K50" s="20">
        <f t="shared" si="10"/>
        <v>21</v>
      </c>
      <c r="L50" s="20">
        <f t="shared" si="10"/>
        <v>48</v>
      </c>
      <c r="M50" s="20">
        <f t="shared" si="10"/>
        <v>0</v>
      </c>
      <c r="N50" s="20">
        <f t="shared" si="10"/>
        <v>77</v>
      </c>
      <c r="O50" s="20">
        <f t="shared" si="10"/>
        <v>20</v>
      </c>
      <c r="P50" s="20">
        <f t="shared" si="10"/>
        <v>67</v>
      </c>
      <c r="Q50" s="20">
        <f t="shared" si="10"/>
        <v>85</v>
      </c>
      <c r="R50" s="20">
        <f t="shared" si="10"/>
        <v>0</v>
      </c>
      <c r="S50" s="20">
        <f t="shared" si="10"/>
        <v>21</v>
      </c>
      <c r="T50" s="20">
        <f t="shared" si="10"/>
        <v>59</v>
      </c>
      <c r="U50" s="20">
        <f t="shared" si="10"/>
        <v>52</v>
      </c>
      <c r="V50" s="20">
        <f t="shared" si="10"/>
        <v>0</v>
      </c>
      <c r="W50" s="20">
        <f t="shared" si="10"/>
        <v>27</v>
      </c>
      <c r="X50" s="20">
        <f t="shared" si="10"/>
        <v>20</v>
      </c>
      <c r="Y50" s="20">
        <f t="shared" si="10"/>
        <v>0</v>
      </c>
      <c r="Z50" s="20">
        <f t="shared" si="10"/>
        <v>0</v>
      </c>
      <c r="AA50" s="20">
        <f t="shared" si="10"/>
        <v>19</v>
      </c>
      <c r="AB50" s="20">
        <f t="shared" si="10"/>
        <v>0</v>
      </c>
      <c r="AC50" s="20">
        <f t="shared" si="10"/>
        <v>17</v>
      </c>
      <c r="AD50" s="20">
        <f t="shared" si="10"/>
        <v>0</v>
      </c>
      <c r="AE50" s="20">
        <f t="shared" si="10"/>
        <v>2</v>
      </c>
      <c r="AF50" s="20">
        <f t="shared" si="10"/>
        <v>0</v>
      </c>
      <c r="AG50" s="20">
        <f t="shared" si="10"/>
        <v>79</v>
      </c>
      <c r="AH50" s="20">
        <f t="shared" si="10"/>
        <v>127</v>
      </c>
      <c r="AI50" s="20">
        <f t="shared" si="10"/>
        <v>0</v>
      </c>
      <c r="AJ50" s="21">
        <f t="shared" si="5"/>
        <v>839</v>
      </c>
    </row>
    <row r="51" spans="1:38" ht="15" customHeight="1">
      <c r="A51" s="2">
        <v>4</v>
      </c>
      <c r="B51" s="2" t="s">
        <v>129</v>
      </c>
      <c r="C51" s="503" t="s">
        <v>114</v>
      </c>
      <c r="D51" s="501"/>
      <c r="E51" s="20">
        <f t="shared" ref="E51:AI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0">
        <f t="shared" si="11"/>
        <v>0</v>
      </c>
      <c r="AH51" s="20">
        <f t="shared" si="11"/>
        <v>0</v>
      </c>
      <c r="AI51" s="20">
        <f t="shared" si="11"/>
        <v>0</v>
      </c>
      <c r="AJ51" s="21">
        <f t="shared" si="5"/>
        <v>0</v>
      </c>
    </row>
    <row r="52" spans="1:38" ht="18.5" customHeight="1">
      <c r="A52" s="2"/>
      <c r="B52" s="2"/>
      <c r="C52" s="502" t="s">
        <v>22</v>
      </c>
      <c r="D52" s="501"/>
      <c r="E52" s="20">
        <f t="shared" ref="E52:AI52" si="12">E14-D14</f>
        <v>0</v>
      </c>
      <c r="F52" s="20">
        <f t="shared" si="12"/>
        <v>0</v>
      </c>
      <c r="G52" s="20">
        <f t="shared" si="12"/>
        <v>0</v>
      </c>
      <c r="H52" s="20">
        <f t="shared" si="12"/>
        <v>0</v>
      </c>
      <c r="I52" s="20">
        <f t="shared" si="12"/>
        <v>0</v>
      </c>
      <c r="J52" s="20">
        <f t="shared" si="12"/>
        <v>0</v>
      </c>
      <c r="K52" s="20">
        <f t="shared" si="12"/>
        <v>0</v>
      </c>
      <c r="L52" s="20">
        <f t="shared" si="12"/>
        <v>0</v>
      </c>
      <c r="M52" s="20">
        <f t="shared" si="12"/>
        <v>0</v>
      </c>
      <c r="N52" s="20">
        <f t="shared" si="12"/>
        <v>0</v>
      </c>
      <c r="O52" s="20">
        <f t="shared" si="12"/>
        <v>0</v>
      </c>
      <c r="P52" s="20">
        <f t="shared" si="12"/>
        <v>0</v>
      </c>
      <c r="Q52" s="20">
        <f t="shared" si="12"/>
        <v>0</v>
      </c>
      <c r="R52" s="20">
        <f t="shared" si="12"/>
        <v>0</v>
      </c>
      <c r="S52" s="20">
        <f t="shared" si="12"/>
        <v>0</v>
      </c>
      <c r="T52" s="20">
        <f t="shared" si="12"/>
        <v>0</v>
      </c>
      <c r="U52" s="20">
        <f t="shared" si="12"/>
        <v>0</v>
      </c>
      <c r="V52" s="20">
        <f t="shared" si="12"/>
        <v>0</v>
      </c>
      <c r="W52" s="20">
        <f t="shared" si="12"/>
        <v>0</v>
      </c>
      <c r="X52" s="20">
        <f t="shared" si="12"/>
        <v>0</v>
      </c>
      <c r="Y52" s="20">
        <f t="shared" si="12"/>
        <v>0</v>
      </c>
      <c r="Z52" s="20">
        <f t="shared" si="12"/>
        <v>0</v>
      </c>
      <c r="AA52" s="20">
        <f t="shared" si="12"/>
        <v>0</v>
      </c>
      <c r="AB52" s="20">
        <f t="shared" si="12"/>
        <v>0</v>
      </c>
      <c r="AC52" s="20">
        <f t="shared" si="12"/>
        <v>0</v>
      </c>
      <c r="AD52" s="20">
        <f t="shared" si="12"/>
        <v>0</v>
      </c>
      <c r="AE52" s="20">
        <f t="shared" si="12"/>
        <v>0</v>
      </c>
      <c r="AF52" s="20">
        <f t="shared" si="12"/>
        <v>0</v>
      </c>
      <c r="AG52" s="20">
        <f t="shared" si="12"/>
        <v>0</v>
      </c>
      <c r="AH52" s="20">
        <f t="shared" si="12"/>
        <v>0</v>
      </c>
      <c r="AI52" s="20">
        <f t="shared" si="12"/>
        <v>0</v>
      </c>
      <c r="AJ52" s="21">
        <f t="shared" si="5"/>
        <v>0</v>
      </c>
    </row>
    <row r="53" spans="1:38" ht="15" customHeight="1">
      <c r="A53" s="2">
        <v>5</v>
      </c>
      <c r="B53" s="2" t="s">
        <v>129</v>
      </c>
      <c r="C53" s="503" t="s">
        <v>115</v>
      </c>
      <c r="D53" s="501"/>
      <c r="E53" s="20">
        <f t="shared" ref="E53:AI53" si="13">E15-D15</f>
        <v>220</v>
      </c>
      <c r="F53" s="20">
        <f t="shared" si="13"/>
        <v>191</v>
      </c>
      <c r="G53" s="20">
        <f t="shared" si="13"/>
        <v>201</v>
      </c>
      <c r="H53" s="20">
        <f t="shared" si="13"/>
        <v>226</v>
      </c>
      <c r="I53" s="20">
        <f t="shared" si="13"/>
        <v>173</v>
      </c>
      <c r="J53" s="20">
        <f t="shared" si="13"/>
        <v>105</v>
      </c>
      <c r="K53" s="20">
        <f t="shared" si="13"/>
        <v>117</v>
      </c>
      <c r="L53" s="20">
        <f t="shared" si="13"/>
        <v>175</v>
      </c>
      <c r="M53" s="20">
        <f t="shared" si="13"/>
        <v>204</v>
      </c>
      <c r="N53" s="20">
        <f t="shared" si="13"/>
        <v>156</v>
      </c>
      <c r="O53" s="20">
        <f t="shared" si="13"/>
        <v>176</v>
      </c>
      <c r="P53" s="20">
        <f t="shared" si="13"/>
        <v>144</v>
      </c>
      <c r="Q53" s="20">
        <f t="shared" si="13"/>
        <v>94</v>
      </c>
      <c r="R53" s="20">
        <f t="shared" si="13"/>
        <v>112</v>
      </c>
      <c r="S53" s="20">
        <f t="shared" si="13"/>
        <v>170</v>
      </c>
      <c r="T53" s="20">
        <f t="shared" si="13"/>
        <v>160</v>
      </c>
      <c r="U53" s="20">
        <f t="shared" si="13"/>
        <v>157</v>
      </c>
      <c r="V53" s="20">
        <f t="shared" si="13"/>
        <v>195</v>
      </c>
      <c r="W53" s="20">
        <f t="shared" si="13"/>
        <v>157</v>
      </c>
      <c r="X53" s="20">
        <f t="shared" si="13"/>
        <v>100</v>
      </c>
      <c r="Y53" s="20">
        <f t="shared" si="13"/>
        <v>104</v>
      </c>
      <c r="Z53" s="20">
        <f t="shared" si="13"/>
        <v>208</v>
      </c>
      <c r="AA53" s="20">
        <f t="shared" si="13"/>
        <v>193</v>
      </c>
      <c r="AB53" s="20">
        <f t="shared" si="13"/>
        <v>203</v>
      </c>
      <c r="AC53" s="20">
        <f t="shared" si="13"/>
        <v>185</v>
      </c>
      <c r="AD53" s="20">
        <f t="shared" si="13"/>
        <v>177</v>
      </c>
      <c r="AE53" s="20">
        <f t="shared" si="13"/>
        <v>112</v>
      </c>
      <c r="AF53" s="20">
        <f t="shared" si="13"/>
        <v>118</v>
      </c>
      <c r="AG53" s="20">
        <f t="shared" si="13"/>
        <v>148</v>
      </c>
      <c r="AH53" s="20">
        <f t="shared" si="13"/>
        <v>116</v>
      </c>
      <c r="AI53" s="20">
        <f t="shared" si="13"/>
        <v>83</v>
      </c>
      <c r="AJ53" s="21">
        <f t="shared" si="5"/>
        <v>4880</v>
      </c>
    </row>
    <row r="54" spans="1:38" ht="18.5" customHeight="1">
      <c r="A54" s="2"/>
      <c r="B54" s="2"/>
      <c r="C54" s="502" t="s">
        <v>22</v>
      </c>
      <c r="D54" s="501"/>
      <c r="E54" s="20">
        <f t="shared" ref="E54:AI54" si="14">E16-D16</f>
        <v>35</v>
      </c>
      <c r="F54" s="20">
        <f t="shared" si="14"/>
        <v>0</v>
      </c>
      <c r="G54" s="20">
        <f t="shared" si="14"/>
        <v>0</v>
      </c>
      <c r="H54" s="20">
        <f t="shared" si="14"/>
        <v>0</v>
      </c>
      <c r="I54" s="20">
        <f t="shared" si="14"/>
        <v>6</v>
      </c>
      <c r="J54" s="20">
        <f t="shared" si="14"/>
        <v>11</v>
      </c>
      <c r="K54" s="20">
        <f t="shared" si="14"/>
        <v>9</v>
      </c>
      <c r="L54" s="20">
        <f t="shared" si="14"/>
        <v>40</v>
      </c>
      <c r="M54" s="20">
        <f t="shared" si="14"/>
        <v>0</v>
      </c>
      <c r="N54" s="20">
        <f t="shared" si="14"/>
        <v>39</v>
      </c>
      <c r="O54" s="20">
        <f t="shared" si="14"/>
        <v>13</v>
      </c>
      <c r="P54" s="20">
        <f t="shared" si="14"/>
        <v>34</v>
      </c>
      <c r="Q54" s="20">
        <f t="shared" si="14"/>
        <v>36</v>
      </c>
      <c r="R54" s="20">
        <f t="shared" si="14"/>
        <v>0</v>
      </c>
      <c r="S54" s="20">
        <f t="shared" si="14"/>
        <v>12</v>
      </c>
      <c r="T54" s="20">
        <f t="shared" si="14"/>
        <v>33</v>
      </c>
      <c r="U54" s="20">
        <f t="shared" si="14"/>
        <v>31</v>
      </c>
      <c r="V54" s="20">
        <f t="shared" si="14"/>
        <v>0</v>
      </c>
      <c r="W54" s="20">
        <f t="shared" si="14"/>
        <v>18</v>
      </c>
      <c r="X54" s="20">
        <f t="shared" si="14"/>
        <v>9</v>
      </c>
      <c r="Y54" s="20">
        <f t="shared" si="14"/>
        <v>0</v>
      </c>
      <c r="Z54" s="20">
        <f t="shared" si="14"/>
        <v>0</v>
      </c>
      <c r="AA54" s="20">
        <f t="shared" si="14"/>
        <v>13</v>
      </c>
      <c r="AB54" s="20">
        <f t="shared" si="14"/>
        <v>0</v>
      </c>
      <c r="AC54" s="20">
        <f t="shared" si="14"/>
        <v>10</v>
      </c>
      <c r="AD54" s="20">
        <f t="shared" si="14"/>
        <v>0</v>
      </c>
      <c r="AE54" s="20">
        <f t="shared" si="14"/>
        <v>0</v>
      </c>
      <c r="AF54" s="20">
        <f t="shared" si="14"/>
        <v>0</v>
      </c>
      <c r="AG54" s="20">
        <f t="shared" si="14"/>
        <v>47</v>
      </c>
      <c r="AH54" s="20">
        <f t="shared" si="14"/>
        <v>64</v>
      </c>
      <c r="AI54" s="20">
        <f t="shared" si="14"/>
        <v>0</v>
      </c>
      <c r="AJ54" s="21">
        <f t="shared" si="5"/>
        <v>460</v>
      </c>
    </row>
    <row r="55" spans="1:38" ht="15" customHeight="1">
      <c r="A55" s="2">
        <v>6</v>
      </c>
      <c r="B55" s="2" t="s">
        <v>129</v>
      </c>
      <c r="C55" s="503" t="s">
        <v>116</v>
      </c>
      <c r="D55" s="501"/>
      <c r="E55" s="20">
        <f t="shared" ref="E55:AI55" si="15">E17-D17</f>
        <v>254</v>
      </c>
      <c r="F55" s="20">
        <f t="shared" si="15"/>
        <v>240</v>
      </c>
      <c r="G55" s="20">
        <f t="shared" si="15"/>
        <v>201</v>
      </c>
      <c r="H55" s="20">
        <f t="shared" si="15"/>
        <v>215</v>
      </c>
      <c r="I55" s="20">
        <f t="shared" si="15"/>
        <v>188</v>
      </c>
      <c r="J55" s="20">
        <f t="shared" si="15"/>
        <v>134</v>
      </c>
      <c r="K55" s="20">
        <f t="shared" si="15"/>
        <v>91</v>
      </c>
      <c r="L55" s="20">
        <f t="shared" si="15"/>
        <v>196</v>
      </c>
      <c r="M55" s="20">
        <f t="shared" si="15"/>
        <v>230</v>
      </c>
      <c r="N55" s="20">
        <f t="shared" si="15"/>
        <v>187</v>
      </c>
      <c r="O55" s="20">
        <f t="shared" si="15"/>
        <v>213</v>
      </c>
      <c r="P55" s="20">
        <f t="shared" si="15"/>
        <v>177</v>
      </c>
      <c r="Q55" s="20">
        <f t="shared" si="15"/>
        <v>97</v>
      </c>
      <c r="R55" s="20">
        <f t="shared" si="15"/>
        <v>131</v>
      </c>
      <c r="S55" s="20">
        <f t="shared" si="15"/>
        <v>212</v>
      </c>
      <c r="T55" s="20">
        <f t="shared" si="15"/>
        <v>210</v>
      </c>
      <c r="U55" s="20">
        <f t="shared" si="15"/>
        <v>187</v>
      </c>
      <c r="V55" s="20">
        <f t="shared" si="15"/>
        <v>241</v>
      </c>
      <c r="W55" s="20">
        <f t="shared" si="15"/>
        <v>180</v>
      </c>
      <c r="X55" s="20">
        <f t="shared" si="15"/>
        <v>138</v>
      </c>
      <c r="Y55" s="20">
        <f t="shared" si="15"/>
        <v>114</v>
      </c>
      <c r="Z55" s="20">
        <f t="shared" si="15"/>
        <v>236</v>
      </c>
      <c r="AA55" s="20">
        <f t="shared" si="15"/>
        <v>178</v>
      </c>
      <c r="AB55" s="20">
        <f t="shared" si="15"/>
        <v>214</v>
      </c>
      <c r="AC55" s="20">
        <f t="shared" si="15"/>
        <v>198</v>
      </c>
      <c r="AD55" s="20">
        <f t="shared" si="15"/>
        <v>198</v>
      </c>
      <c r="AE55" s="20">
        <f t="shared" si="15"/>
        <v>106</v>
      </c>
      <c r="AF55" s="20">
        <f t="shared" si="15"/>
        <v>150</v>
      </c>
      <c r="AG55" s="20">
        <f t="shared" si="15"/>
        <v>185</v>
      </c>
      <c r="AH55" s="20">
        <f t="shared" si="15"/>
        <v>146</v>
      </c>
      <c r="AI55" s="20">
        <f t="shared" si="15"/>
        <v>112</v>
      </c>
      <c r="AJ55" s="21">
        <f t="shared" si="5"/>
        <v>5559</v>
      </c>
    </row>
    <row r="56" spans="1:38" ht="18.5" customHeight="1">
      <c r="A56" s="2"/>
      <c r="B56" s="2"/>
      <c r="C56" s="502" t="s">
        <v>22</v>
      </c>
      <c r="D56" s="501"/>
      <c r="E56" s="20">
        <f t="shared" ref="E56:AI56" si="16">E18-D18</f>
        <v>44</v>
      </c>
      <c r="F56" s="20">
        <f t="shared" si="16"/>
        <v>0</v>
      </c>
      <c r="G56" s="20">
        <f t="shared" si="16"/>
        <v>0</v>
      </c>
      <c r="H56" s="20">
        <f t="shared" si="16"/>
        <v>0</v>
      </c>
      <c r="I56" s="20">
        <f t="shared" si="16"/>
        <v>7</v>
      </c>
      <c r="J56" s="20">
        <f t="shared" si="16"/>
        <v>12</v>
      </c>
      <c r="K56" s="20">
        <f t="shared" si="16"/>
        <v>4</v>
      </c>
      <c r="L56" s="20">
        <f t="shared" si="16"/>
        <v>37</v>
      </c>
      <c r="M56" s="20">
        <f t="shared" si="16"/>
        <v>0</v>
      </c>
      <c r="N56" s="20">
        <f t="shared" si="16"/>
        <v>53</v>
      </c>
      <c r="O56" s="20">
        <f t="shared" si="16"/>
        <v>15</v>
      </c>
      <c r="P56" s="20">
        <f t="shared" si="16"/>
        <v>47</v>
      </c>
      <c r="Q56" s="20">
        <f t="shared" si="16"/>
        <v>21</v>
      </c>
      <c r="R56" s="20">
        <f t="shared" si="16"/>
        <v>0</v>
      </c>
      <c r="S56" s="20">
        <f t="shared" si="16"/>
        <v>17</v>
      </c>
      <c r="T56" s="20">
        <f t="shared" si="16"/>
        <v>33</v>
      </c>
      <c r="U56" s="20">
        <f t="shared" si="16"/>
        <v>32</v>
      </c>
      <c r="V56" s="20">
        <f t="shared" si="16"/>
        <v>0</v>
      </c>
      <c r="W56" s="20">
        <f t="shared" si="16"/>
        <v>22</v>
      </c>
      <c r="X56" s="20">
        <f t="shared" si="16"/>
        <v>11</v>
      </c>
      <c r="Y56" s="20">
        <f t="shared" si="16"/>
        <v>0</v>
      </c>
      <c r="Z56" s="20">
        <f t="shared" si="16"/>
        <v>0</v>
      </c>
      <c r="AA56" s="20">
        <f t="shared" si="16"/>
        <v>12</v>
      </c>
      <c r="AB56" s="20">
        <f t="shared" si="16"/>
        <v>0</v>
      </c>
      <c r="AC56" s="20">
        <f t="shared" si="16"/>
        <v>10</v>
      </c>
      <c r="AD56" s="20">
        <f t="shared" si="16"/>
        <v>0</v>
      </c>
      <c r="AE56" s="20">
        <f t="shared" si="16"/>
        <v>0</v>
      </c>
      <c r="AF56" s="20">
        <f t="shared" si="16"/>
        <v>0</v>
      </c>
      <c r="AG56" s="20">
        <f t="shared" si="16"/>
        <v>52</v>
      </c>
      <c r="AH56" s="20">
        <f t="shared" si="16"/>
        <v>82</v>
      </c>
      <c r="AI56" s="20">
        <f t="shared" si="16"/>
        <v>0</v>
      </c>
      <c r="AJ56" s="21">
        <f t="shared" si="5"/>
        <v>511</v>
      </c>
    </row>
    <row r="57" spans="1:38" ht="15" customHeight="1">
      <c r="A57" s="2">
        <v>7</v>
      </c>
      <c r="B57" s="2" t="s">
        <v>129</v>
      </c>
      <c r="C57" s="503" t="s">
        <v>117</v>
      </c>
      <c r="D57" s="501"/>
      <c r="E57" s="20">
        <f t="shared" ref="E57:AI57" si="17">E19-D19</f>
        <v>800</v>
      </c>
      <c r="F57" s="20">
        <f t="shared" si="17"/>
        <v>652</v>
      </c>
      <c r="G57" s="20">
        <f t="shared" si="17"/>
        <v>661</v>
      </c>
      <c r="H57" s="20">
        <f t="shared" si="17"/>
        <v>662</v>
      </c>
      <c r="I57" s="20">
        <f t="shared" si="17"/>
        <v>578</v>
      </c>
      <c r="J57" s="20">
        <f t="shared" si="17"/>
        <v>465</v>
      </c>
      <c r="K57" s="20">
        <f t="shared" si="17"/>
        <v>300</v>
      </c>
      <c r="L57" s="20">
        <f t="shared" si="17"/>
        <v>562</v>
      </c>
      <c r="M57" s="20">
        <f t="shared" si="17"/>
        <v>717</v>
      </c>
      <c r="N57" s="20">
        <f t="shared" si="17"/>
        <v>590</v>
      </c>
      <c r="O57" s="20">
        <f t="shared" si="17"/>
        <v>611</v>
      </c>
      <c r="P57" s="20">
        <f t="shared" si="17"/>
        <v>561</v>
      </c>
      <c r="Q57" s="20">
        <f t="shared" si="17"/>
        <v>477</v>
      </c>
      <c r="R57" s="20">
        <f t="shared" si="17"/>
        <v>370</v>
      </c>
      <c r="S57" s="20">
        <f t="shared" si="17"/>
        <v>593</v>
      </c>
      <c r="T57" s="20">
        <f t="shared" si="17"/>
        <v>586</v>
      </c>
      <c r="U57" s="20">
        <f t="shared" si="17"/>
        <v>584</v>
      </c>
      <c r="V57" s="20">
        <f t="shared" si="17"/>
        <v>694</v>
      </c>
      <c r="W57" s="20">
        <f t="shared" si="17"/>
        <v>576</v>
      </c>
      <c r="X57" s="20">
        <f t="shared" si="17"/>
        <v>479</v>
      </c>
      <c r="Y57" s="20">
        <f t="shared" si="17"/>
        <v>443</v>
      </c>
      <c r="Z57" s="20">
        <f t="shared" si="17"/>
        <v>685</v>
      </c>
      <c r="AA57" s="20">
        <f t="shared" si="17"/>
        <v>632</v>
      </c>
      <c r="AB57" s="20">
        <f t="shared" si="17"/>
        <v>733</v>
      </c>
      <c r="AC57" s="20">
        <f t="shared" si="17"/>
        <v>655</v>
      </c>
      <c r="AD57" s="20">
        <f t="shared" si="17"/>
        <v>666</v>
      </c>
      <c r="AE57" s="20">
        <f t="shared" si="17"/>
        <v>567</v>
      </c>
      <c r="AF57" s="20">
        <f t="shared" si="17"/>
        <v>529</v>
      </c>
      <c r="AG57" s="20">
        <f t="shared" si="17"/>
        <v>594</v>
      </c>
      <c r="AH57" s="20">
        <f t="shared" si="17"/>
        <v>508</v>
      </c>
      <c r="AI57" s="20">
        <f t="shared" si="17"/>
        <v>308</v>
      </c>
      <c r="AJ57" s="21">
        <f t="shared" si="5"/>
        <v>17838</v>
      </c>
    </row>
    <row r="58" spans="1:38" ht="18.5" customHeight="1">
      <c r="A58" s="2"/>
      <c r="B58" s="2"/>
      <c r="C58" s="502" t="s">
        <v>22</v>
      </c>
      <c r="D58" s="501"/>
      <c r="E58" s="20">
        <f t="shared" ref="E58:AI58" si="18">E20-D20</f>
        <v>97</v>
      </c>
      <c r="F58" s="20">
        <f t="shared" si="18"/>
        <v>0</v>
      </c>
      <c r="G58" s="20">
        <f t="shared" si="18"/>
        <v>0</v>
      </c>
      <c r="H58" s="20">
        <f t="shared" si="18"/>
        <v>0</v>
      </c>
      <c r="I58" s="20">
        <f t="shared" si="18"/>
        <v>19</v>
      </c>
      <c r="J58" s="20">
        <f t="shared" si="18"/>
        <v>52</v>
      </c>
      <c r="K58" s="20">
        <f t="shared" si="18"/>
        <v>12</v>
      </c>
      <c r="L58" s="20">
        <f t="shared" si="18"/>
        <v>80</v>
      </c>
      <c r="M58" s="20">
        <f t="shared" si="18"/>
        <v>0</v>
      </c>
      <c r="N58" s="20">
        <f t="shared" si="18"/>
        <v>145</v>
      </c>
      <c r="O58" s="20">
        <f t="shared" si="18"/>
        <v>36</v>
      </c>
      <c r="P58" s="20">
        <f t="shared" si="18"/>
        <v>101</v>
      </c>
      <c r="Q58" s="20">
        <f t="shared" si="18"/>
        <v>134</v>
      </c>
      <c r="R58" s="20">
        <f t="shared" si="18"/>
        <v>0</v>
      </c>
      <c r="S58" s="20">
        <f t="shared" si="18"/>
        <v>49</v>
      </c>
      <c r="T58" s="20">
        <f t="shared" si="18"/>
        <v>106</v>
      </c>
      <c r="U58" s="20">
        <f t="shared" si="18"/>
        <v>100</v>
      </c>
      <c r="V58" s="20">
        <f t="shared" si="18"/>
        <v>0</v>
      </c>
      <c r="W58" s="20">
        <f t="shared" si="18"/>
        <v>58</v>
      </c>
      <c r="X58" s="20">
        <f t="shared" si="18"/>
        <v>43</v>
      </c>
      <c r="Y58" s="20">
        <f t="shared" si="18"/>
        <v>0</v>
      </c>
      <c r="Z58" s="20">
        <f t="shared" si="18"/>
        <v>0</v>
      </c>
      <c r="AA58" s="20">
        <f t="shared" si="18"/>
        <v>34</v>
      </c>
      <c r="AB58" s="20">
        <f t="shared" si="18"/>
        <v>0</v>
      </c>
      <c r="AC58" s="20">
        <f t="shared" si="18"/>
        <v>27</v>
      </c>
      <c r="AD58" s="20">
        <f t="shared" si="18"/>
        <v>0</v>
      </c>
      <c r="AE58" s="20">
        <f t="shared" si="18"/>
        <v>3</v>
      </c>
      <c r="AF58" s="20">
        <f t="shared" si="18"/>
        <v>0</v>
      </c>
      <c r="AG58" s="20">
        <f t="shared" si="18"/>
        <v>128</v>
      </c>
      <c r="AH58" s="20">
        <f t="shared" si="18"/>
        <v>210</v>
      </c>
      <c r="AI58" s="20">
        <f t="shared" si="18"/>
        <v>0</v>
      </c>
      <c r="AJ58" s="21">
        <f t="shared" si="5"/>
        <v>1434</v>
      </c>
    </row>
    <row r="59" spans="1:38" ht="15" customHeight="1">
      <c r="A59" s="2">
        <v>8</v>
      </c>
      <c r="B59" s="2" t="s">
        <v>129</v>
      </c>
      <c r="C59" s="503" t="s">
        <v>118</v>
      </c>
      <c r="D59" s="501"/>
      <c r="E59" s="20">
        <f t="shared" ref="E59:AI59" si="19">E21-D21</f>
        <v>205</v>
      </c>
      <c r="F59" s="20">
        <f t="shared" si="19"/>
        <v>126</v>
      </c>
      <c r="G59" s="20">
        <f t="shared" si="19"/>
        <v>143</v>
      </c>
      <c r="H59" s="20">
        <f t="shared" si="19"/>
        <v>125</v>
      </c>
      <c r="I59" s="20">
        <f t="shared" si="19"/>
        <v>123</v>
      </c>
      <c r="J59" s="20">
        <f t="shared" si="19"/>
        <v>109</v>
      </c>
      <c r="K59" s="20">
        <f t="shared" si="19"/>
        <v>139</v>
      </c>
      <c r="L59" s="20">
        <f t="shared" si="19"/>
        <v>107</v>
      </c>
      <c r="M59" s="20">
        <f t="shared" si="19"/>
        <v>128</v>
      </c>
      <c r="N59" s="20">
        <f t="shared" si="19"/>
        <v>93</v>
      </c>
      <c r="O59" s="20">
        <f t="shared" si="19"/>
        <v>115</v>
      </c>
      <c r="P59" s="20">
        <f t="shared" si="19"/>
        <v>88</v>
      </c>
      <c r="Q59" s="20">
        <f t="shared" si="19"/>
        <v>104</v>
      </c>
      <c r="R59" s="20">
        <f t="shared" si="19"/>
        <v>111</v>
      </c>
      <c r="S59" s="20">
        <f t="shared" si="19"/>
        <v>125</v>
      </c>
      <c r="T59" s="20">
        <f t="shared" si="19"/>
        <v>83</v>
      </c>
      <c r="U59" s="20">
        <f t="shared" si="19"/>
        <v>126</v>
      </c>
      <c r="V59" s="20">
        <f t="shared" si="19"/>
        <v>105</v>
      </c>
      <c r="W59" s="20">
        <f t="shared" si="19"/>
        <v>118</v>
      </c>
      <c r="X59" s="20">
        <f t="shared" si="19"/>
        <v>100</v>
      </c>
      <c r="Y59" s="20">
        <f t="shared" si="19"/>
        <v>116</v>
      </c>
      <c r="Z59" s="20">
        <f t="shared" si="19"/>
        <v>135</v>
      </c>
      <c r="AA59" s="20">
        <f t="shared" si="19"/>
        <v>153</v>
      </c>
      <c r="AB59" s="20">
        <f t="shared" si="19"/>
        <v>130</v>
      </c>
      <c r="AC59" s="20">
        <f t="shared" si="19"/>
        <v>118</v>
      </c>
      <c r="AD59" s="20">
        <f t="shared" si="19"/>
        <v>118</v>
      </c>
      <c r="AE59" s="20">
        <f t="shared" si="19"/>
        <v>129</v>
      </c>
      <c r="AF59" s="20">
        <f t="shared" si="19"/>
        <v>79</v>
      </c>
      <c r="AG59" s="20">
        <f t="shared" si="19"/>
        <v>118</v>
      </c>
      <c r="AH59" s="20">
        <f t="shared" si="19"/>
        <v>84</v>
      </c>
      <c r="AI59" s="20">
        <f t="shared" si="19"/>
        <v>38</v>
      </c>
      <c r="AJ59" s="21">
        <f t="shared" si="5"/>
        <v>3591</v>
      </c>
    </row>
    <row r="60" spans="1:38" ht="18.5" customHeight="1">
      <c r="A60" s="2"/>
      <c r="B60" s="2"/>
      <c r="C60" s="502" t="s">
        <v>22</v>
      </c>
      <c r="D60" s="501"/>
      <c r="E60" s="20">
        <f t="shared" ref="E60:AI60" si="20">E22-D22</f>
        <v>18</v>
      </c>
      <c r="F60" s="20">
        <f t="shared" si="20"/>
        <v>0</v>
      </c>
      <c r="G60" s="20">
        <f t="shared" si="20"/>
        <v>0</v>
      </c>
      <c r="H60" s="20">
        <f t="shared" si="20"/>
        <v>0</v>
      </c>
      <c r="I60" s="20">
        <f t="shared" si="20"/>
        <v>4</v>
      </c>
      <c r="J60" s="20">
        <f t="shared" si="20"/>
        <v>18</v>
      </c>
      <c r="K60" s="20">
        <f t="shared" si="20"/>
        <v>15</v>
      </c>
      <c r="L60" s="20">
        <f t="shared" si="20"/>
        <v>12</v>
      </c>
      <c r="M60" s="20">
        <f t="shared" si="20"/>
        <v>0</v>
      </c>
      <c r="N60" s="20">
        <f t="shared" si="20"/>
        <v>20</v>
      </c>
      <c r="O60" s="20">
        <f t="shared" si="20"/>
        <v>7</v>
      </c>
      <c r="P60" s="20">
        <f t="shared" si="20"/>
        <v>17</v>
      </c>
      <c r="Q60" s="20">
        <f t="shared" si="20"/>
        <v>55</v>
      </c>
      <c r="R60" s="20">
        <f t="shared" si="20"/>
        <v>0</v>
      </c>
      <c r="S60" s="20">
        <f t="shared" si="20"/>
        <v>6</v>
      </c>
      <c r="T60" s="20">
        <f t="shared" si="20"/>
        <v>27</v>
      </c>
      <c r="U60" s="20">
        <f t="shared" si="20"/>
        <v>16</v>
      </c>
      <c r="V60" s="20">
        <f t="shared" si="20"/>
        <v>0</v>
      </c>
      <c r="W60" s="20">
        <f t="shared" si="20"/>
        <v>3</v>
      </c>
      <c r="X60" s="20">
        <f t="shared" si="20"/>
        <v>5</v>
      </c>
      <c r="Y60" s="20">
        <f t="shared" si="20"/>
        <v>0</v>
      </c>
      <c r="Z60" s="20">
        <f t="shared" si="20"/>
        <v>0</v>
      </c>
      <c r="AA60" s="20">
        <f t="shared" si="20"/>
        <v>5</v>
      </c>
      <c r="AB60" s="20">
        <f t="shared" si="20"/>
        <v>0</v>
      </c>
      <c r="AC60" s="20">
        <f t="shared" si="20"/>
        <v>4</v>
      </c>
      <c r="AD60" s="20">
        <f t="shared" si="20"/>
        <v>0</v>
      </c>
      <c r="AE60" s="20">
        <f t="shared" si="20"/>
        <v>0</v>
      </c>
      <c r="AF60" s="20">
        <f t="shared" si="20"/>
        <v>0</v>
      </c>
      <c r="AG60" s="20">
        <f t="shared" si="20"/>
        <v>21</v>
      </c>
      <c r="AH60" s="20">
        <f t="shared" si="20"/>
        <v>39</v>
      </c>
      <c r="AI60" s="20">
        <f t="shared" si="20"/>
        <v>0</v>
      </c>
      <c r="AJ60" s="21">
        <f t="shared" si="5"/>
        <v>292</v>
      </c>
    </row>
    <row r="61" spans="1:38" ht="15" customHeight="1">
      <c r="A61" s="22"/>
      <c r="B61" s="22"/>
      <c r="C61" s="500" t="s">
        <v>130</v>
      </c>
      <c r="D61" s="501"/>
      <c r="E61" s="23">
        <f t="shared" ref="E61:AI61" si="21">SUM(E59,E57,E55,E53,E51,E49,E47,E45)</f>
        <v>2291</v>
      </c>
      <c r="F61" s="23">
        <f t="shared" si="21"/>
        <v>1841</v>
      </c>
      <c r="G61" s="23">
        <f t="shared" si="21"/>
        <v>1788</v>
      </c>
      <c r="H61" s="23">
        <f t="shared" si="21"/>
        <v>1897</v>
      </c>
      <c r="I61" s="23">
        <f t="shared" si="21"/>
        <v>1626</v>
      </c>
      <c r="J61" s="23">
        <f t="shared" si="21"/>
        <v>1284</v>
      </c>
      <c r="K61" s="23">
        <f t="shared" si="21"/>
        <v>1112</v>
      </c>
      <c r="L61" s="23">
        <f t="shared" si="21"/>
        <v>1574</v>
      </c>
      <c r="M61" s="23">
        <f t="shared" si="21"/>
        <v>1945</v>
      </c>
      <c r="N61" s="23">
        <f t="shared" si="21"/>
        <v>1552</v>
      </c>
      <c r="O61" s="23">
        <f t="shared" si="21"/>
        <v>1747</v>
      </c>
      <c r="P61" s="23">
        <f t="shared" si="21"/>
        <v>1434</v>
      </c>
      <c r="Q61" s="23">
        <f t="shared" si="21"/>
        <v>1133</v>
      </c>
      <c r="R61" s="23">
        <f t="shared" si="21"/>
        <v>1221</v>
      </c>
      <c r="S61" s="23">
        <f t="shared" si="21"/>
        <v>1666</v>
      </c>
      <c r="T61" s="23">
        <f t="shared" si="21"/>
        <v>1580</v>
      </c>
      <c r="U61" s="23">
        <f t="shared" si="21"/>
        <v>1495</v>
      </c>
      <c r="V61" s="23">
        <f t="shared" si="21"/>
        <v>1959</v>
      </c>
      <c r="W61" s="23">
        <f t="shared" si="21"/>
        <v>1552</v>
      </c>
      <c r="X61" s="23">
        <f t="shared" si="21"/>
        <v>1306</v>
      </c>
      <c r="Y61" s="23">
        <f t="shared" si="21"/>
        <v>1237</v>
      </c>
      <c r="Z61" s="23">
        <f t="shared" si="21"/>
        <v>1905</v>
      </c>
      <c r="AA61" s="23">
        <f t="shared" si="21"/>
        <v>1737</v>
      </c>
      <c r="AB61" s="23">
        <f t="shared" si="21"/>
        <v>1911</v>
      </c>
      <c r="AC61" s="23">
        <f t="shared" si="21"/>
        <v>1739</v>
      </c>
      <c r="AD61" s="23">
        <f t="shared" si="21"/>
        <v>1733</v>
      </c>
      <c r="AE61" s="23">
        <f t="shared" si="21"/>
        <v>1397</v>
      </c>
      <c r="AF61" s="23">
        <f t="shared" si="21"/>
        <v>1398</v>
      </c>
      <c r="AG61" s="23">
        <f t="shared" si="21"/>
        <v>1566</v>
      </c>
      <c r="AH61" s="23">
        <f t="shared" si="21"/>
        <v>1261</v>
      </c>
      <c r="AI61" s="23">
        <f t="shared" si="21"/>
        <v>826</v>
      </c>
      <c r="AJ61" s="111">
        <f t="shared" si="5"/>
        <v>48713</v>
      </c>
      <c r="AK61" s="121" t="s">
        <v>20</v>
      </c>
      <c r="AL61" s="122">
        <f>AJ61</f>
        <v>48713</v>
      </c>
    </row>
    <row r="62" spans="1:38" ht="15" customHeight="1">
      <c r="A62" s="22"/>
      <c r="B62" s="22"/>
      <c r="C62" s="63" t="s">
        <v>131</v>
      </c>
      <c r="D62" s="65"/>
      <c r="E62" s="23">
        <f t="shared" ref="E62:AI62" si="22">SUM(E46,E48,E50,E52,E54,E56,E58,E60)</f>
        <v>297</v>
      </c>
      <c r="F62" s="23">
        <f t="shared" si="22"/>
        <v>0</v>
      </c>
      <c r="G62" s="23">
        <f t="shared" si="22"/>
        <v>0</v>
      </c>
      <c r="H62" s="23">
        <f t="shared" si="22"/>
        <v>0</v>
      </c>
      <c r="I62" s="23">
        <f t="shared" si="22"/>
        <v>55</v>
      </c>
      <c r="J62" s="23">
        <f t="shared" si="22"/>
        <v>134</v>
      </c>
      <c r="K62" s="23">
        <f t="shared" si="22"/>
        <v>78</v>
      </c>
      <c r="L62" s="23">
        <f t="shared" si="22"/>
        <v>248</v>
      </c>
      <c r="M62" s="23">
        <f t="shared" si="22"/>
        <v>0</v>
      </c>
      <c r="N62" s="23">
        <f t="shared" si="22"/>
        <v>385</v>
      </c>
      <c r="O62" s="23">
        <f t="shared" si="22"/>
        <v>104</v>
      </c>
      <c r="P62" s="23">
        <f t="shared" si="22"/>
        <v>315</v>
      </c>
      <c r="Q62" s="23">
        <f t="shared" si="22"/>
        <v>396</v>
      </c>
      <c r="R62" s="23">
        <f t="shared" si="22"/>
        <v>0</v>
      </c>
      <c r="S62" s="23">
        <f t="shared" si="22"/>
        <v>120</v>
      </c>
      <c r="T62" s="23">
        <f t="shared" si="22"/>
        <v>296</v>
      </c>
      <c r="U62" s="23">
        <f t="shared" si="22"/>
        <v>265</v>
      </c>
      <c r="V62" s="23">
        <f t="shared" si="22"/>
        <v>0</v>
      </c>
      <c r="W62" s="23">
        <f t="shared" si="22"/>
        <v>147</v>
      </c>
      <c r="X62" s="23">
        <f t="shared" si="22"/>
        <v>103</v>
      </c>
      <c r="Y62" s="23">
        <f t="shared" si="22"/>
        <v>0</v>
      </c>
      <c r="Z62" s="23">
        <f t="shared" si="22"/>
        <v>0</v>
      </c>
      <c r="AA62" s="23">
        <f t="shared" si="22"/>
        <v>95</v>
      </c>
      <c r="AB62" s="23">
        <f t="shared" si="22"/>
        <v>0</v>
      </c>
      <c r="AC62" s="23">
        <f t="shared" si="22"/>
        <v>79</v>
      </c>
      <c r="AD62" s="23">
        <f t="shared" si="22"/>
        <v>0</v>
      </c>
      <c r="AE62" s="23">
        <f t="shared" si="22"/>
        <v>7</v>
      </c>
      <c r="AF62" s="23">
        <f t="shared" si="22"/>
        <v>0</v>
      </c>
      <c r="AG62" s="23">
        <f t="shared" si="22"/>
        <v>377</v>
      </c>
      <c r="AH62" s="23">
        <f t="shared" si="22"/>
        <v>604</v>
      </c>
      <c r="AI62" s="23">
        <f t="shared" si="22"/>
        <v>0</v>
      </c>
      <c r="AJ62" s="111">
        <f t="shared" si="5"/>
        <v>4105</v>
      </c>
      <c r="AK62" s="123" t="s">
        <v>21</v>
      </c>
      <c r="AL62" s="122">
        <f>AJ74</f>
        <v>9280</v>
      </c>
    </row>
    <row r="63" spans="1:38">
      <c r="A63" s="25"/>
      <c r="B63" s="25"/>
      <c r="C63" s="524" t="s">
        <v>132</v>
      </c>
      <c r="D63" s="501"/>
      <c r="E63" s="26">
        <f>E61</f>
        <v>2291</v>
      </c>
      <c r="F63" s="26">
        <f t="shared" ref="F63:AI63" si="23">E63+F61</f>
        <v>4132</v>
      </c>
      <c r="G63" s="26">
        <f t="shared" si="23"/>
        <v>5920</v>
      </c>
      <c r="H63" s="26">
        <f t="shared" si="23"/>
        <v>7817</v>
      </c>
      <c r="I63" s="26">
        <f t="shared" si="23"/>
        <v>9443</v>
      </c>
      <c r="J63" s="26">
        <f t="shared" si="23"/>
        <v>10727</v>
      </c>
      <c r="K63" s="26">
        <f t="shared" si="23"/>
        <v>11839</v>
      </c>
      <c r="L63" s="26">
        <f t="shared" si="23"/>
        <v>13413</v>
      </c>
      <c r="M63" s="26">
        <f t="shared" si="23"/>
        <v>15358</v>
      </c>
      <c r="N63" s="26">
        <f t="shared" si="23"/>
        <v>16910</v>
      </c>
      <c r="O63" s="26">
        <f t="shared" si="23"/>
        <v>18657</v>
      </c>
      <c r="P63" s="26">
        <f t="shared" si="23"/>
        <v>20091</v>
      </c>
      <c r="Q63" s="26">
        <f t="shared" si="23"/>
        <v>21224</v>
      </c>
      <c r="R63" s="26">
        <f t="shared" si="23"/>
        <v>22445</v>
      </c>
      <c r="S63" s="26">
        <f t="shared" si="23"/>
        <v>24111</v>
      </c>
      <c r="T63" s="26">
        <f t="shared" si="23"/>
        <v>25691</v>
      </c>
      <c r="U63" s="26">
        <f t="shared" si="23"/>
        <v>27186</v>
      </c>
      <c r="V63" s="26">
        <f t="shared" si="23"/>
        <v>29145</v>
      </c>
      <c r="W63" s="26">
        <f t="shared" si="23"/>
        <v>30697</v>
      </c>
      <c r="X63" s="26">
        <f t="shared" si="23"/>
        <v>32003</v>
      </c>
      <c r="Y63" s="26">
        <f t="shared" si="23"/>
        <v>33240</v>
      </c>
      <c r="Z63" s="26">
        <f t="shared" si="23"/>
        <v>35145</v>
      </c>
      <c r="AA63" s="26">
        <f t="shared" si="23"/>
        <v>36882</v>
      </c>
      <c r="AB63" s="26">
        <f t="shared" si="23"/>
        <v>38793</v>
      </c>
      <c r="AC63" s="26">
        <f t="shared" si="23"/>
        <v>40532</v>
      </c>
      <c r="AD63" s="26">
        <f t="shared" si="23"/>
        <v>42265</v>
      </c>
      <c r="AE63" s="26">
        <f t="shared" si="23"/>
        <v>43662</v>
      </c>
      <c r="AF63" s="26">
        <f t="shared" si="23"/>
        <v>45060</v>
      </c>
      <c r="AG63" s="26">
        <f t="shared" si="23"/>
        <v>46626</v>
      </c>
      <c r="AH63" s="26">
        <f t="shared" si="23"/>
        <v>47887</v>
      </c>
      <c r="AI63" s="26">
        <f t="shared" si="23"/>
        <v>48713</v>
      </c>
      <c r="AJ63" s="119">
        <f>AG63+AJ61</f>
        <v>95339</v>
      </c>
      <c r="AK63" s="123" t="s">
        <v>23</v>
      </c>
      <c r="AL63" s="124">
        <f>AJ80*40%</f>
        <v>39406.080000000002</v>
      </c>
    </row>
    <row r="64" spans="1:38">
      <c r="A64" s="17"/>
      <c r="B64" s="27"/>
      <c r="C64" s="2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20"/>
      <c r="AK64" s="123" t="s">
        <v>22</v>
      </c>
      <c r="AL64" s="122">
        <f>AJ62+AJ75</f>
        <v>5186</v>
      </c>
    </row>
    <row r="65" spans="1:40" ht="15" customHeight="1">
      <c r="A65" s="28" t="s">
        <v>133</v>
      </c>
      <c r="B65" s="28" t="s">
        <v>100</v>
      </c>
      <c r="C65" s="523" t="s">
        <v>101</v>
      </c>
      <c r="D65" s="50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9"/>
      <c r="AN65" s="66"/>
    </row>
    <row r="66" spans="1:40">
      <c r="A66" s="2">
        <v>1</v>
      </c>
      <c r="B66" s="2" t="s">
        <v>129</v>
      </c>
      <c r="C66" s="506" t="s">
        <v>119</v>
      </c>
      <c r="D66" s="501"/>
      <c r="E66" s="30">
        <f t="shared" ref="E66:AI66" si="24">E24-D24</f>
        <v>53</v>
      </c>
      <c r="F66" s="30">
        <f t="shared" si="24"/>
        <v>93</v>
      </c>
      <c r="G66" s="30">
        <f t="shared" si="24"/>
        <v>85</v>
      </c>
      <c r="H66" s="30">
        <f t="shared" si="24"/>
        <v>67</v>
      </c>
      <c r="I66" s="30">
        <f t="shared" si="24"/>
        <v>65</v>
      </c>
      <c r="J66" s="30">
        <f t="shared" si="24"/>
        <v>41</v>
      </c>
      <c r="K66" s="30">
        <f t="shared" si="24"/>
        <v>0</v>
      </c>
      <c r="L66" s="30">
        <f t="shared" si="24"/>
        <v>95</v>
      </c>
      <c r="M66" s="30">
        <f t="shared" si="24"/>
        <v>110</v>
      </c>
      <c r="N66" s="30">
        <f t="shared" si="24"/>
        <v>72</v>
      </c>
      <c r="O66" s="30">
        <f t="shared" si="24"/>
        <v>90</v>
      </c>
      <c r="P66" s="30">
        <f t="shared" si="24"/>
        <v>79</v>
      </c>
      <c r="Q66" s="30">
        <f t="shared" si="24"/>
        <v>40</v>
      </c>
      <c r="R66" s="30">
        <f t="shared" si="24"/>
        <v>0</v>
      </c>
      <c r="S66" s="30">
        <f t="shared" si="24"/>
        <v>86</v>
      </c>
      <c r="T66" s="30">
        <f t="shared" si="24"/>
        <v>90</v>
      </c>
      <c r="U66" s="30">
        <f t="shared" si="24"/>
        <v>86</v>
      </c>
      <c r="V66" s="30">
        <f t="shared" si="24"/>
        <v>121</v>
      </c>
      <c r="W66" s="30">
        <f t="shared" si="24"/>
        <v>109</v>
      </c>
      <c r="X66" s="30">
        <f t="shared" si="24"/>
        <v>55</v>
      </c>
      <c r="Y66" s="30">
        <f t="shared" si="24"/>
        <v>0</v>
      </c>
      <c r="Z66" s="30">
        <f t="shared" si="24"/>
        <v>132</v>
      </c>
      <c r="AA66" s="30">
        <f t="shared" si="24"/>
        <v>115</v>
      </c>
      <c r="AB66" s="30">
        <f t="shared" si="24"/>
        <v>115</v>
      </c>
      <c r="AC66" s="30">
        <f t="shared" si="24"/>
        <v>106</v>
      </c>
      <c r="AD66" s="30">
        <f t="shared" si="24"/>
        <v>114</v>
      </c>
      <c r="AE66" s="30">
        <f t="shared" si="24"/>
        <v>51</v>
      </c>
      <c r="AF66" s="30">
        <f t="shared" si="24"/>
        <v>0</v>
      </c>
      <c r="AG66" s="30">
        <f t="shared" si="24"/>
        <v>86</v>
      </c>
      <c r="AH66" s="30">
        <f t="shared" si="24"/>
        <v>55</v>
      </c>
      <c r="AI66" s="30">
        <f t="shared" si="24"/>
        <v>52</v>
      </c>
      <c r="AJ66" s="30">
        <f t="shared" ref="AJ66:AJ79" si="25">SUM(E66:AI66)</f>
        <v>2263</v>
      </c>
    </row>
    <row r="67" spans="1:40" ht="18.5" customHeight="1">
      <c r="A67" s="2"/>
      <c r="B67" s="2"/>
      <c r="C67" s="505" t="s">
        <v>22</v>
      </c>
      <c r="D67" s="501"/>
      <c r="E67" s="30">
        <f t="shared" ref="E67:AI67" si="26">E25-D25</f>
        <v>0</v>
      </c>
      <c r="F67" s="30">
        <f t="shared" si="26"/>
        <v>0</v>
      </c>
      <c r="G67" s="30">
        <f t="shared" si="26"/>
        <v>0</v>
      </c>
      <c r="H67" s="30">
        <f t="shared" si="26"/>
        <v>0</v>
      </c>
      <c r="I67" s="30">
        <f t="shared" si="26"/>
        <v>0</v>
      </c>
      <c r="J67" s="30">
        <f t="shared" si="26"/>
        <v>0</v>
      </c>
      <c r="K67" s="30">
        <f t="shared" si="26"/>
        <v>0</v>
      </c>
      <c r="L67" s="30">
        <f t="shared" si="26"/>
        <v>18</v>
      </c>
      <c r="M67" s="30">
        <f t="shared" si="26"/>
        <v>0</v>
      </c>
      <c r="N67" s="30">
        <f t="shared" si="26"/>
        <v>30</v>
      </c>
      <c r="O67" s="30">
        <f t="shared" si="26"/>
        <v>8</v>
      </c>
      <c r="P67" s="30">
        <f t="shared" si="26"/>
        <v>16</v>
      </c>
      <c r="Q67" s="30">
        <f t="shared" si="26"/>
        <v>15</v>
      </c>
      <c r="R67" s="30">
        <f t="shared" si="26"/>
        <v>0</v>
      </c>
      <c r="S67" s="30">
        <f t="shared" si="26"/>
        <v>9</v>
      </c>
      <c r="T67" s="30">
        <f t="shared" si="26"/>
        <v>25</v>
      </c>
      <c r="U67" s="30">
        <f t="shared" si="26"/>
        <v>23</v>
      </c>
      <c r="V67" s="30">
        <f t="shared" si="26"/>
        <v>0</v>
      </c>
      <c r="W67" s="30">
        <f t="shared" si="26"/>
        <v>13</v>
      </c>
      <c r="X67" s="30">
        <f t="shared" si="26"/>
        <v>14</v>
      </c>
      <c r="Y67" s="30">
        <f t="shared" si="26"/>
        <v>0</v>
      </c>
      <c r="Z67" s="30">
        <f t="shared" si="26"/>
        <v>0</v>
      </c>
      <c r="AA67" s="30">
        <f t="shared" si="26"/>
        <v>8</v>
      </c>
      <c r="AB67" s="30">
        <f t="shared" si="26"/>
        <v>0</v>
      </c>
      <c r="AC67" s="30">
        <f t="shared" si="26"/>
        <v>6</v>
      </c>
      <c r="AD67" s="30">
        <f t="shared" si="26"/>
        <v>0</v>
      </c>
      <c r="AE67" s="30">
        <f t="shared" si="26"/>
        <v>0</v>
      </c>
      <c r="AF67" s="30">
        <f t="shared" si="26"/>
        <v>0</v>
      </c>
      <c r="AG67" s="30">
        <f t="shared" si="26"/>
        <v>29</v>
      </c>
      <c r="AH67" s="30">
        <f t="shared" si="26"/>
        <v>44</v>
      </c>
      <c r="AI67" s="30">
        <f t="shared" si="26"/>
        <v>0</v>
      </c>
      <c r="AJ67" s="30">
        <f t="shared" si="25"/>
        <v>258</v>
      </c>
    </row>
    <row r="68" spans="1:40">
      <c r="A68" s="2">
        <v>2</v>
      </c>
      <c r="B68" s="2" t="s">
        <v>129</v>
      </c>
      <c r="C68" s="506" t="s">
        <v>120</v>
      </c>
      <c r="D68" s="501"/>
      <c r="E68" s="30">
        <f t="shared" ref="E68:AI68" si="27">E26-D26</f>
        <v>95</v>
      </c>
      <c r="F68" s="30">
        <f t="shared" si="27"/>
        <v>104</v>
      </c>
      <c r="G68" s="30">
        <f t="shared" si="27"/>
        <v>98</v>
      </c>
      <c r="H68" s="30">
        <f t="shared" si="27"/>
        <v>94</v>
      </c>
      <c r="I68" s="30">
        <f t="shared" si="27"/>
        <v>86</v>
      </c>
      <c r="J68" s="30">
        <f t="shared" si="27"/>
        <v>57</v>
      </c>
      <c r="K68" s="30">
        <f t="shared" si="27"/>
        <v>0</v>
      </c>
      <c r="L68" s="30">
        <f t="shared" si="27"/>
        <v>104</v>
      </c>
      <c r="M68" s="30">
        <f t="shared" si="27"/>
        <v>109</v>
      </c>
      <c r="N68" s="30">
        <f t="shared" si="27"/>
        <v>74</v>
      </c>
      <c r="O68" s="30">
        <f t="shared" si="27"/>
        <v>92</v>
      </c>
      <c r="P68" s="30">
        <f t="shared" si="27"/>
        <v>57</v>
      </c>
      <c r="Q68" s="30">
        <f t="shared" si="27"/>
        <v>21</v>
      </c>
      <c r="R68" s="30">
        <f t="shared" si="27"/>
        <v>0</v>
      </c>
      <c r="S68" s="30">
        <f t="shared" si="27"/>
        <v>93</v>
      </c>
      <c r="T68" s="30">
        <f t="shared" si="27"/>
        <v>57</v>
      </c>
      <c r="U68" s="30">
        <f t="shared" si="27"/>
        <v>83</v>
      </c>
      <c r="V68" s="30">
        <f t="shared" si="27"/>
        <v>74</v>
      </c>
      <c r="W68" s="30">
        <f t="shared" si="27"/>
        <v>68</v>
      </c>
      <c r="X68" s="30">
        <f t="shared" si="27"/>
        <v>27</v>
      </c>
      <c r="Y68" s="30">
        <f t="shared" si="27"/>
        <v>0</v>
      </c>
      <c r="Z68" s="30">
        <f t="shared" si="27"/>
        <v>132</v>
      </c>
      <c r="AA68" s="30">
        <f t="shared" si="27"/>
        <v>84</v>
      </c>
      <c r="AB68" s="30">
        <f t="shared" si="27"/>
        <v>74</v>
      </c>
      <c r="AC68" s="30">
        <f t="shared" si="27"/>
        <v>66</v>
      </c>
      <c r="AD68" s="30">
        <f t="shared" si="27"/>
        <v>79</v>
      </c>
      <c r="AE68" s="30">
        <f t="shared" si="27"/>
        <v>38</v>
      </c>
      <c r="AF68" s="30">
        <f t="shared" si="27"/>
        <v>0</v>
      </c>
      <c r="AG68" s="30">
        <f t="shared" si="27"/>
        <v>79</v>
      </c>
      <c r="AH68" s="30">
        <f t="shared" si="27"/>
        <v>57</v>
      </c>
      <c r="AI68" s="30">
        <f t="shared" si="27"/>
        <v>44</v>
      </c>
      <c r="AJ68" s="30">
        <f t="shared" si="25"/>
        <v>2046</v>
      </c>
    </row>
    <row r="69" spans="1:40" ht="18.5" customHeight="1">
      <c r="A69" s="2"/>
      <c r="B69" s="2"/>
      <c r="C69" s="505" t="s">
        <v>22</v>
      </c>
      <c r="D69" s="501"/>
      <c r="E69" s="30">
        <f t="shared" ref="E69:AI69" si="28">E27-D27</f>
        <v>23</v>
      </c>
      <c r="F69" s="30">
        <f t="shared" si="28"/>
        <v>0</v>
      </c>
      <c r="G69" s="30">
        <f t="shared" si="28"/>
        <v>0</v>
      </c>
      <c r="H69" s="30">
        <f t="shared" si="28"/>
        <v>0</v>
      </c>
      <c r="I69" s="30">
        <f t="shared" si="28"/>
        <v>4</v>
      </c>
      <c r="J69" s="30">
        <f t="shared" si="28"/>
        <v>0</v>
      </c>
      <c r="K69" s="30">
        <f t="shared" si="28"/>
        <v>0</v>
      </c>
      <c r="L69" s="30">
        <f t="shared" si="28"/>
        <v>20</v>
      </c>
      <c r="M69" s="30">
        <f t="shared" si="28"/>
        <v>0</v>
      </c>
      <c r="N69" s="30">
        <f t="shared" si="28"/>
        <v>38</v>
      </c>
      <c r="O69" s="30">
        <f t="shared" si="28"/>
        <v>8</v>
      </c>
      <c r="P69" s="30">
        <f t="shared" si="28"/>
        <v>14</v>
      </c>
      <c r="Q69" s="30">
        <f t="shared" si="28"/>
        <v>9</v>
      </c>
      <c r="R69" s="30">
        <f t="shared" si="28"/>
        <v>0</v>
      </c>
      <c r="S69" s="30">
        <f t="shared" si="28"/>
        <v>11</v>
      </c>
      <c r="T69" s="30">
        <f t="shared" si="28"/>
        <v>22</v>
      </c>
      <c r="U69" s="30">
        <f t="shared" si="28"/>
        <v>23</v>
      </c>
      <c r="V69" s="30">
        <f t="shared" si="28"/>
        <v>0</v>
      </c>
      <c r="W69" s="30">
        <f t="shared" si="28"/>
        <v>8</v>
      </c>
      <c r="X69" s="30">
        <f t="shared" si="28"/>
        <v>9</v>
      </c>
      <c r="Y69" s="30">
        <f t="shared" si="28"/>
        <v>0</v>
      </c>
      <c r="Z69" s="30">
        <f t="shared" si="28"/>
        <v>0</v>
      </c>
      <c r="AA69" s="30">
        <f t="shared" si="28"/>
        <v>5</v>
      </c>
      <c r="AB69" s="30">
        <f t="shared" si="28"/>
        <v>0</v>
      </c>
      <c r="AC69" s="30">
        <f t="shared" si="28"/>
        <v>4</v>
      </c>
      <c r="AD69" s="30">
        <f t="shared" si="28"/>
        <v>0</v>
      </c>
      <c r="AE69" s="30">
        <f t="shared" si="28"/>
        <v>0</v>
      </c>
      <c r="AF69" s="30">
        <f t="shared" si="28"/>
        <v>0</v>
      </c>
      <c r="AG69" s="30">
        <f t="shared" si="28"/>
        <v>27</v>
      </c>
      <c r="AH69" s="30">
        <f t="shared" si="28"/>
        <v>47</v>
      </c>
      <c r="AI69" s="30">
        <f t="shared" si="28"/>
        <v>0</v>
      </c>
      <c r="AJ69" s="30">
        <f t="shared" si="25"/>
        <v>272</v>
      </c>
    </row>
    <row r="70" spans="1:40">
      <c r="A70" s="2">
        <v>3</v>
      </c>
      <c r="B70" s="2" t="s">
        <v>129</v>
      </c>
      <c r="C70" s="506" t="s">
        <v>121</v>
      </c>
      <c r="D70" s="501"/>
      <c r="E70" s="30">
        <f t="shared" ref="E70:AI70" si="29">E28-D28</f>
        <v>98</v>
      </c>
      <c r="F70" s="30">
        <f t="shared" si="29"/>
        <v>123</v>
      </c>
      <c r="G70" s="30">
        <f t="shared" si="29"/>
        <v>118</v>
      </c>
      <c r="H70" s="30">
        <f t="shared" si="29"/>
        <v>116</v>
      </c>
      <c r="I70" s="30">
        <f t="shared" si="29"/>
        <v>102</v>
      </c>
      <c r="J70" s="30">
        <f t="shared" si="29"/>
        <v>68</v>
      </c>
      <c r="K70" s="30">
        <f t="shared" si="29"/>
        <v>0</v>
      </c>
      <c r="L70" s="30">
        <f t="shared" si="29"/>
        <v>105</v>
      </c>
      <c r="M70" s="30">
        <f t="shared" si="29"/>
        <v>118</v>
      </c>
      <c r="N70" s="30">
        <f t="shared" si="29"/>
        <v>77</v>
      </c>
      <c r="O70" s="30">
        <f t="shared" si="29"/>
        <v>102</v>
      </c>
      <c r="P70" s="30">
        <f t="shared" si="29"/>
        <v>96</v>
      </c>
      <c r="Q70" s="30">
        <f t="shared" si="29"/>
        <v>43</v>
      </c>
      <c r="R70" s="30">
        <f t="shared" si="29"/>
        <v>0</v>
      </c>
      <c r="S70" s="30">
        <f t="shared" si="29"/>
        <v>109</v>
      </c>
      <c r="T70" s="30">
        <f t="shared" si="29"/>
        <v>85</v>
      </c>
      <c r="U70" s="30">
        <f t="shared" si="29"/>
        <v>86</v>
      </c>
      <c r="V70" s="30">
        <f t="shared" si="29"/>
        <v>122</v>
      </c>
      <c r="W70" s="30">
        <f t="shared" si="29"/>
        <v>112</v>
      </c>
      <c r="X70" s="30">
        <f t="shared" si="29"/>
        <v>45</v>
      </c>
      <c r="Y70" s="30">
        <f t="shared" si="29"/>
        <v>0</v>
      </c>
      <c r="Z70" s="30">
        <f t="shared" si="29"/>
        <v>135</v>
      </c>
      <c r="AA70" s="30">
        <f t="shared" si="29"/>
        <v>117</v>
      </c>
      <c r="AB70" s="30">
        <f t="shared" si="29"/>
        <v>121</v>
      </c>
      <c r="AC70" s="30">
        <f t="shared" si="29"/>
        <v>111</v>
      </c>
      <c r="AD70" s="30">
        <f t="shared" si="29"/>
        <v>116</v>
      </c>
      <c r="AE70" s="30">
        <f t="shared" si="29"/>
        <v>60</v>
      </c>
      <c r="AF70" s="30">
        <f t="shared" si="29"/>
        <v>0</v>
      </c>
      <c r="AG70" s="30">
        <f t="shared" si="29"/>
        <v>89</v>
      </c>
      <c r="AH70" s="30">
        <f t="shared" si="29"/>
        <v>58</v>
      </c>
      <c r="AI70" s="30">
        <f t="shared" si="29"/>
        <v>50</v>
      </c>
      <c r="AJ70" s="30">
        <f t="shared" si="25"/>
        <v>2582</v>
      </c>
    </row>
    <row r="71" spans="1:40" ht="18.5" customHeight="1">
      <c r="A71" s="2"/>
      <c r="B71" s="2"/>
      <c r="C71" s="505" t="s">
        <v>22</v>
      </c>
      <c r="D71" s="501"/>
      <c r="E71" s="30">
        <f t="shared" ref="E71:AI71" si="30">E29-D29</f>
        <v>23</v>
      </c>
      <c r="F71" s="30">
        <f t="shared" si="30"/>
        <v>0</v>
      </c>
      <c r="G71" s="30">
        <f t="shared" si="30"/>
        <v>0</v>
      </c>
      <c r="H71" s="30">
        <f t="shared" si="30"/>
        <v>0</v>
      </c>
      <c r="I71" s="30">
        <f t="shared" si="30"/>
        <v>5</v>
      </c>
      <c r="J71" s="30">
        <f t="shared" si="30"/>
        <v>0</v>
      </c>
      <c r="K71" s="30">
        <f t="shared" si="30"/>
        <v>0</v>
      </c>
      <c r="L71" s="30">
        <f t="shared" si="30"/>
        <v>19</v>
      </c>
      <c r="M71" s="30">
        <f t="shared" si="30"/>
        <v>0</v>
      </c>
      <c r="N71" s="30">
        <f t="shared" si="30"/>
        <v>23</v>
      </c>
      <c r="O71" s="30">
        <f t="shared" si="30"/>
        <v>9</v>
      </c>
      <c r="P71" s="30">
        <f t="shared" si="30"/>
        <v>19</v>
      </c>
      <c r="Q71" s="30">
        <f t="shared" si="30"/>
        <v>18</v>
      </c>
      <c r="R71" s="30">
        <f t="shared" si="30"/>
        <v>0</v>
      </c>
      <c r="S71" s="30">
        <f t="shared" si="30"/>
        <v>11</v>
      </c>
      <c r="T71" s="30">
        <f t="shared" si="30"/>
        <v>25</v>
      </c>
      <c r="U71" s="30">
        <f t="shared" si="30"/>
        <v>23</v>
      </c>
      <c r="V71" s="30">
        <f t="shared" si="30"/>
        <v>0</v>
      </c>
      <c r="W71" s="30">
        <f t="shared" si="30"/>
        <v>14</v>
      </c>
      <c r="X71" s="30">
        <f t="shared" si="30"/>
        <v>14</v>
      </c>
      <c r="Y71" s="30">
        <f t="shared" si="30"/>
        <v>0</v>
      </c>
      <c r="Z71" s="30">
        <f t="shared" si="30"/>
        <v>0</v>
      </c>
      <c r="AA71" s="30">
        <f t="shared" si="30"/>
        <v>8</v>
      </c>
      <c r="AB71" s="30">
        <f t="shared" si="30"/>
        <v>0</v>
      </c>
      <c r="AC71" s="30">
        <f t="shared" si="30"/>
        <v>7</v>
      </c>
      <c r="AD71" s="30">
        <f t="shared" si="30"/>
        <v>0</v>
      </c>
      <c r="AE71" s="30">
        <f t="shared" si="30"/>
        <v>0</v>
      </c>
      <c r="AF71" s="30">
        <f t="shared" si="30"/>
        <v>0</v>
      </c>
      <c r="AG71" s="30">
        <f t="shared" si="30"/>
        <v>30</v>
      </c>
      <c r="AH71" s="30">
        <f t="shared" si="30"/>
        <v>47</v>
      </c>
      <c r="AI71" s="30">
        <f t="shared" si="30"/>
        <v>0</v>
      </c>
      <c r="AJ71" s="30">
        <f t="shared" si="25"/>
        <v>295</v>
      </c>
    </row>
    <row r="72" spans="1:40">
      <c r="A72" s="2">
        <v>4</v>
      </c>
      <c r="B72" s="2" t="s">
        <v>129</v>
      </c>
      <c r="C72" s="506" t="s">
        <v>122</v>
      </c>
      <c r="D72" s="501"/>
      <c r="E72" s="30">
        <f t="shared" ref="E72:AI72" si="31">E30-D30</f>
        <v>108</v>
      </c>
      <c r="F72" s="30">
        <f t="shared" si="31"/>
        <v>109</v>
      </c>
      <c r="G72" s="30">
        <f t="shared" si="31"/>
        <v>102</v>
      </c>
      <c r="H72" s="30">
        <f t="shared" si="31"/>
        <v>104</v>
      </c>
      <c r="I72" s="30">
        <f t="shared" si="31"/>
        <v>92</v>
      </c>
      <c r="J72" s="30">
        <f t="shared" si="31"/>
        <v>67</v>
      </c>
      <c r="K72" s="30">
        <f t="shared" si="31"/>
        <v>0</v>
      </c>
      <c r="L72" s="30">
        <f t="shared" si="31"/>
        <v>93</v>
      </c>
      <c r="M72" s="30">
        <f t="shared" si="31"/>
        <v>105</v>
      </c>
      <c r="N72" s="30">
        <f t="shared" si="31"/>
        <v>73</v>
      </c>
      <c r="O72" s="30">
        <f t="shared" si="31"/>
        <v>91</v>
      </c>
      <c r="P72" s="30">
        <f t="shared" si="31"/>
        <v>82</v>
      </c>
      <c r="Q72" s="30">
        <f t="shared" si="31"/>
        <v>36</v>
      </c>
      <c r="R72" s="30">
        <f t="shared" si="31"/>
        <v>0</v>
      </c>
      <c r="S72" s="30">
        <f t="shared" si="31"/>
        <v>97</v>
      </c>
      <c r="T72" s="30">
        <f t="shared" si="31"/>
        <v>87</v>
      </c>
      <c r="U72" s="30">
        <f t="shared" si="31"/>
        <v>83</v>
      </c>
      <c r="V72" s="30">
        <f t="shared" si="31"/>
        <v>114</v>
      </c>
      <c r="W72" s="30">
        <f t="shared" si="31"/>
        <v>104</v>
      </c>
      <c r="X72" s="30">
        <f t="shared" si="31"/>
        <v>42</v>
      </c>
      <c r="Y72" s="30">
        <f t="shared" si="31"/>
        <v>0</v>
      </c>
      <c r="Z72" s="30">
        <f t="shared" si="31"/>
        <v>137</v>
      </c>
      <c r="AA72" s="30">
        <f t="shared" si="31"/>
        <v>107</v>
      </c>
      <c r="AB72" s="30">
        <f t="shared" si="31"/>
        <v>107</v>
      </c>
      <c r="AC72" s="30">
        <f t="shared" si="31"/>
        <v>95</v>
      </c>
      <c r="AD72" s="30">
        <f t="shared" si="31"/>
        <v>105</v>
      </c>
      <c r="AE72" s="30">
        <f t="shared" si="31"/>
        <v>59</v>
      </c>
      <c r="AF72" s="30">
        <f t="shared" si="31"/>
        <v>0</v>
      </c>
      <c r="AG72" s="30">
        <f t="shared" si="31"/>
        <v>87</v>
      </c>
      <c r="AH72" s="30">
        <f t="shared" si="31"/>
        <v>55</v>
      </c>
      <c r="AI72" s="30">
        <f t="shared" si="31"/>
        <v>48</v>
      </c>
      <c r="AJ72" s="30">
        <f t="shared" si="25"/>
        <v>2389</v>
      </c>
    </row>
    <row r="73" spans="1:40" ht="18.5" customHeight="1">
      <c r="A73" s="2"/>
      <c r="B73" s="2"/>
      <c r="C73" s="505" t="s">
        <v>22</v>
      </c>
      <c r="D73" s="501"/>
      <c r="E73" s="30">
        <f t="shared" ref="E73:AI73" si="32">E31-D31</f>
        <v>0</v>
      </c>
      <c r="F73" s="30">
        <f t="shared" si="32"/>
        <v>0</v>
      </c>
      <c r="G73" s="30">
        <f t="shared" si="32"/>
        <v>0</v>
      </c>
      <c r="H73" s="30">
        <f t="shared" si="32"/>
        <v>0</v>
      </c>
      <c r="I73" s="30">
        <f t="shared" si="32"/>
        <v>0</v>
      </c>
      <c r="J73" s="30">
        <f t="shared" si="32"/>
        <v>0</v>
      </c>
      <c r="K73" s="30">
        <f t="shared" si="32"/>
        <v>0</v>
      </c>
      <c r="L73" s="30">
        <f t="shared" si="32"/>
        <v>18</v>
      </c>
      <c r="M73" s="30">
        <f t="shared" si="32"/>
        <v>0</v>
      </c>
      <c r="N73" s="30">
        <f t="shared" si="32"/>
        <v>31</v>
      </c>
      <c r="O73" s="30">
        <f t="shared" si="32"/>
        <v>8</v>
      </c>
      <c r="P73" s="30">
        <f t="shared" si="32"/>
        <v>16</v>
      </c>
      <c r="Q73" s="30">
        <f t="shared" si="32"/>
        <v>15</v>
      </c>
      <c r="R73" s="30">
        <f t="shared" si="32"/>
        <v>0</v>
      </c>
      <c r="S73" s="30">
        <f t="shared" si="32"/>
        <v>11</v>
      </c>
      <c r="T73" s="30">
        <f t="shared" si="32"/>
        <v>24</v>
      </c>
      <c r="U73" s="30">
        <f t="shared" si="32"/>
        <v>22</v>
      </c>
      <c r="V73" s="30">
        <f t="shared" si="32"/>
        <v>0</v>
      </c>
      <c r="W73" s="30">
        <f t="shared" si="32"/>
        <v>12</v>
      </c>
      <c r="X73" s="30">
        <f t="shared" si="32"/>
        <v>13</v>
      </c>
      <c r="Y73" s="30">
        <f t="shared" si="32"/>
        <v>0</v>
      </c>
      <c r="Z73" s="30">
        <f t="shared" si="32"/>
        <v>0</v>
      </c>
      <c r="AA73" s="30">
        <f t="shared" si="32"/>
        <v>7</v>
      </c>
      <c r="AB73" s="30">
        <f t="shared" si="32"/>
        <v>0</v>
      </c>
      <c r="AC73" s="30">
        <f t="shared" si="32"/>
        <v>6</v>
      </c>
      <c r="AD73" s="30">
        <f t="shared" si="32"/>
        <v>0</v>
      </c>
      <c r="AE73" s="30">
        <f t="shared" si="32"/>
        <v>0</v>
      </c>
      <c r="AF73" s="30">
        <f t="shared" si="32"/>
        <v>0</v>
      </c>
      <c r="AG73" s="30">
        <f t="shared" si="32"/>
        <v>28</v>
      </c>
      <c r="AH73" s="30">
        <f t="shared" si="32"/>
        <v>45</v>
      </c>
      <c r="AI73" s="30">
        <f t="shared" si="32"/>
        <v>0</v>
      </c>
      <c r="AJ73" s="30">
        <f t="shared" si="25"/>
        <v>256</v>
      </c>
    </row>
    <row r="74" spans="1:40" ht="25.5" customHeight="1">
      <c r="A74" s="22"/>
      <c r="B74" s="22"/>
      <c r="C74" s="500" t="s">
        <v>134</v>
      </c>
      <c r="D74" s="501"/>
      <c r="E74" s="23">
        <f t="shared" ref="E74:AI74" si="33">SUM(E66,E68,E70,E72)</f>
        <v>354</v>
      </c>
      <c r="F74" s="23">
        <f t="shared" si="33"/>
        <v>429</v>
      </c>
      <c r="G74" s="23">
        <f t="shared" si="33"/>
        <v>403</v>
      </c>
      <c r="H74" s="23">
        <f t="shared" si="33"/>
        <v>381</v>
      </c>
      <c r="I74" s="23">
        <f t="shared" si="33"/>
        <v>345</v>
      </c>
      <c r="J74" s="23">
        <f t="shared" si="33"/>
        <v>233</v>
      </c>
      <c r="K74" s="23">
        <f t="shared" si="33"/>
        <v>0</v>
      </c>
      <c r="L74" s="23">
        <f t="shared" si="33"/>
        <v>397</v>
      </c>
      <c r="M74" s="23">
        <f t="shared" si="33"/>
        <v>442</v>
      </c>
      <c r="N74" s="23">
        <f t="shared" si="33"/>
        <v>296</v>
      </c>
      <c r="O74" s="23">
        <f t="shared" si="33"/>
        <v>375</v>
      </c>
      <c r="P74" s="23">
        <f t="shared" si="33"/>
        <v>314</v>
      </c>
      <c r="Q74" s="23">
        <f t="shared" si="33"/>
        <v>140</v>
      </c>
      <c r="R74" s="23">
        <f t="shared" si="33"/>
        <v>0</v>
      </c>
      <c r="S74" s="23">
        <f t="shared" si="33"/>
        <v>385</v>
      </c>
      <c r="T74" s="23">
        <f t="shared" si="33"/>
        <v>319</v>
      </c>
      <c r="U74" s="23">
        <f t="shared" si="33"/>
        <v>338</v>
      </c>
      <c r="V74" s="23">
        <f t="shared" si="33"/>
        <v>431</v>
      </c>
      <c r="W74" s="23">
        <f t="shared" si="33"/>
        <v>393</v>
      </c>
      <c r="X74" s="23">
        <f t="shared" si="33"/>
        <v>169</v>
      </c>
      <c r="Y74" s="23">
        <f t="shared" si="33"/>
        <v>0</v>
      </c>
      <c r="Z74" s="23">
        <f t="shared" si="33"/>
        <v>536</v>
      </c>
      <c r="AA74" s="23">
        <f t="shared" si="33"/>
        <v>423</v>
      </c>
      <c r="AB74" s="23">
        <f t="shared" si="33"/>
        <v>417</v>
      </c>
      <c r="AC74" s="23">
        <f t="shared" si="33"/>
        <v>378</v>
      </c>
      <c r="AD74" s="23">
        <f t="shared" si="33"/>
        <v>414</v>
      </c>
      <c r="AE74" s="23">
        <f t="shared" si="33"/>
        <v>208</v>
      </c>
      <c r="AF74" s="23">
        <f t="shared" si="33"/>
        <v>0</v>
      </c>
      <c r="AG74" s="23">
        <f t="shared" si="33"/>
        <v>341</v>
      </c>
      <c r="AH74" s="23">
        <f t="shared" si="33"/>
        <v>225</v>
      </c>
      <c r="AI74" s="23">
        <f t="shared" si="33"/>
        <v>194</v>
      </c>
      <c r="AJ74" s="24">
        <f t="shared" si="25"/>
        <v>9280</v>
      </c>
      <c r="AK74" s="64"/>
      <c r="AL74" s="64"/>
    </row>
    <row r="75" spans="1:40" ht="25.5" customHeight="1">
      <c r="A75" s="22"/>
      <c r="B75" s="22"/>
      <c r="C75" s="513" t="s">
        <v>135</v>
      </c>
      <c r="D75" s="501"/>
      <c r="E75" s="23">
        <f t="shared" ref="E75:AI75" si="34">SUM(E67,E69,E71,E73)</f>
        <v>46</v>
      </c>
      <c r="F75" s="23">
        <f t="shared" si="34"/>
        <v>0</v>
      </c>
      <c r="G75" s="23">
        <f t="shared" si="34"/>
        <v>0</v>
      </c>
      <c r="H75" s="23">
        <f t="shared" si="34"/>
        <v>0</v>
      </c>
      <c r="I75" s="23">
        <f t="shared" si="34"/>
        <v>9</v>
      </c>
      <c r="J75" s="23">
        <f t="shared" si="34"/>
        <v>0</v>
      </c>
      <c r="K75" s="23">
        <f t="shared" si="34"/>
        <v>0</v>
      </c>
      <c r="L75" s="23">
        <f t="shared" si="34"/>
        <v>75</v>
      </c>
      <c r="M75" s="23">
        <f t="shared" si="34"/>
        <v>0</v>
      </c>
      <c r="N75" s="23">
        <f t="shared" si="34"/>
        <v>122</v>
      </c>
      <c r="O75" s="23">
        <f t="shared" si="34"/>
        <v>33</v>
      </c>
      <c r="P75" s="23">
        <f t="shared" si="34"/>
        <v>65</v>
      </c>
      <c r="Q75" s="23">
        <f t="shared" si="34"/>
        <v>57</v>
      </c>
      <c r="R75" s="23">
        <f t="shared" si="34"/>
        <v>0</v>
      </c>
      <c r="S75" s="23">
        <f t="shared" si="34"/>
        <v>42</v>
      </c>
      <c r="T75" s="23">
        <f t="shared" si="34"/>
        <v>96</v>
      </c>
      <c r="U75" s="23">
        <f t="shared" si="34"/>
        <v>91</v>
      </c>
      <c r="V75" s="23">
        <f t="shared" si="34"/>
        <v>0</v>
      </c>
      <c r="W75" s="23">
        <f t="shared" si="34"/>
        <v>47</v>
      </c>
      <c r="X75" s="23">
        <f t="shared" si="34"/>
        <v>50</v>
      </c>
      <c r="Y75" s="23">
        <f t="shared" si="34"/>
        <v>0</v>
      </c>
      <c r="Z75" s="23">
        <f t="shared" si="34"/>
        <v>0</v>
      </c>
      <c r="AA75" s="23">
        <f t="shared" si="34"/>
        <v>28</v>
      </c>
      <c r="AB75" s="23">
        <f t="shared" si="34"/>
        <v>0</v>
      </c>
      <c r="AC75" s="23">
        <f t="shared" si="34"/>
        <v>23</v>
      </c>
      <c r="AD75" s="23">
        <f t="shared" si="34"/>
        <v>0</v>
      </c>
      <c r="AE75" s="23">
        <f t="shared" si="34"/>
        <v>0</v>
      </c>
      <c r="AF75" s="23">
        <f t="shared" si="34"/>
        <v>0</v>
      </c>
      <c r="AG75" s="23">
        <f t="shared" si="34"/>
        <v>114</v>
      </c>
      <c r="AH75" s="23">
        <f t="shared" si="34"/>
        <v>183</v>
      </c>
      <c r="AI75" s="23">
        <f t="shared" si="34"/>
        <v>0</v>
      </c>
      <c r="AJ75" s="24">
        <f t="shared" si="25"/>
        <v>1081</v>
      </c>
      <c r="AK75" s="64"/>
      <c r="AL75" s="64"/>
    </row>
    <row r="76" spans="1:40">
      <c r="A76" s="2">
        <v>1</v>
      </c>
      <c r="B76" s="2" t="s">
        <v>129</v>
      </c>
      <c r="C76" s="503" t="s">
        <v>123</v>
      </c>
      <c r="D76" s="501"/>
      <c r="E76" s="30">
        <f t="shared" ref="E76:AI76" si="35">E33-D33</f>
        <v>1190.2099999999919</v>
      </c>
      <c r="F76" s="30">
        <f t="shared" si="35"/>
        <v>1020.4499999999971</v>
      </c>
      <c r="G76" s="30">
        <f t="shared" si="35"/>
        <v>849.02000000000407</v>
      </c>
      <c r="H76" s="30">
        <f t="shared" si="35"/>
        <v>651.75999999999476</v>
      </c>
      <c r="I76" s="30">
        <f t="shared" si="35"/>
        <v>622.93000000000757</v>
      </c>
      <c r="J76" s="30">
        <f t="shared" si="35"/>
        <v>455.47999999999593</v>
      </c>
      <c r="K76" s="30">
        <f t="shared" si="35"/>
        <v>0</v>
      </c>
      <c r="L76" s="30">
        <f t="shared" si="35"/>
        <v>1183.4799999999959</v>
      </c>
      <c r="M76" s="30">
        <f t="shared" si="35"/>
        <v>864.91000000000349</v>
      </c>
      <c r="N76" s="30">
        <f t="shared" si="35"/>
        <v>931.07000000000698</v>
      </c>
      <c r="O76" s="30">
        <f t="shared" si="35"/>
        <v>728.0399999999936</v>
      </c>
      <c r="P76" s="30">
        <f t="shared" si="35"/>
        <v>576.91000000000349</v>
      </c>
      <c r="Q76" s="30">
        <f t="shared" si="35"/>
        <v>350.61999999999534</v>
      </c>
      <c r="R76" s="30">
        <f t="shared" si="35"/>
        <v>0</v>
      </c>
      <c r="S76" s="30">
        <f t="shared" si="35"/>
        <v>1109.5100000000093</v>
      </c>
      <c r="T76" s="30">
        <f t="shared" si="35"/>
        <v>1065.8799999999901</v>
      </c>
      <c r="U76" s="30">
        <f t="shared" si="35"/>
        <v>1001</v>
      </c>
      <c r="V76" s="30">
        <f t="shared" si="35"/>
        <v>918.84000000001106</v>
      </c>
      <c r="W76" s="30">
        <f t="shared" si="35"/>
        <v>854.26999999998952</v>
      </c>
      <c r="X76" s="30">
        <f t="shared" si="35"/>
        <v>409.9600000000064</v>
      </c>
      <c r="Y76" s="30">
        <f t="shared" si="35"/>
        <v>0</v>
      </c>
      <c r="Z76" s="30">
        <f t="shared" si="35"/>
        <v>1155.9499999999971</v>
      </c>
      <c r="AA76" s="30">
        <f t="shared" si="35"/>
        <v>859.2899999999936</v>
      </c>
      <c r="AB76" s="30">
        <f t="shared" si="35"/>
        <v>670.13000000000466</v>
      </c>
      <c r="AC76" s="30">
        <f t="shared" si="35"/>
        <v>737.93000000000757</v>
      </c>
      <c r="AD76" s="30">
        <f t="shared" si="35"/>
        <v>669.92999999999302</v>
      </c>
      <c r="AE76" s="30">
        <f t="shared" si="35"/>
        <v>600.02000000000407</v>
      </c>
      <c r="AF76" s="30">
        <f t="shared" si="35"/>
        <v>0</v>
      </c>
      <c r="AG76" s="30">
        <f t="shared" si="35"/>
        <v>1207.5599999999977</v>
      </c>
      <c r="AH76" s="30">
        <f t="shared" si="35"/>
        <v>1045.1300000000047</v>
      </c>
      <c r="AI76" s="30">
        <f t="shared" si="35"/>
        <v>458.47999999999593</v>
      </c>
      <c r="AJ76" s="30">
        <f t="shared" si="25"/>
        <v>22188.759999999995</v>
      </c>
    </row>
    <row r="77" spans="1:40">
      <c r="A77" s="2">
        <v>2</v>
      </c>
      <c r="B77" s="2" t="s">
        <v>129</v>
      </c>
      <c r="C77" s="503" t="s">
        <v>124</v>
      </c>
      <c r="D77" s="501"/>
      <c r="E77" s="30">
        <f t="shared" ref="E77:AI77" si="36">E34-D34</f>
        <v>1177.9900000000052</v>
      </c>
      <c r="F77" s="30">
        <f t="shared" si="36"/>
        <v>970.61999999999534</v>
      </c>
      <c r="G77" s="30">
        <f t="shared" si="36"/>
        <v>704.08999999999651</v>
      </c>
      <c r="H77" s="30">
        <f t="shared" si="36"/>
        <v>622.45000000001164</v>
      </c>
      <c r="I77" s="30">
        <f t="shared" si="36"/>
        <v>626.51999999998952</v>
      </c>
      <c r="J77" s="30">
        <f t="shared" si="36"/>
        <v>382.23000000001048</v>
      </c>
      <c r="K77" s="30">
        <f t="shared" si="36"/>
        <v>0</v>
      </c>
      <c r="L77" s="30">
        <f t="shared" si="36"/>
        <v>967.86999999999534</v>
      </c>
      <c r="M77" s="30">
        <f t="shared" si="36"/>
        <v>721.08999999999651</v>
      </c>
      <c r="N77" s="30">
        <f t="shared" si="36"/>
        <v>665.94000000000233</v>
      </c>
      <c r="O77" s="30">
        <f t="shared" si="36"/>
        <v>677.91999999999825</v>
      </c>
      <c r="P77" s="30">
        <f t="shared" si="36"/>
        <v>701.68000000000757</v>
      </c>
      <c r="Q77" s="30">
        <f t="shared" si="36"/>
        <v>356.44999999999709</v>
      </c>
      <c r="R77" s="30">
        <f t="shared" si="36"/>
        <v>0</v>
      </c>
      <c r="S77" s="30">
        <f t="shared" si="36"/>
        <v>1138.2099999999919</v>
      </c>
      <c r="T77" s="30">
        <f t="shared" si="36"/>
        <v>1176.2300000000105</v>
      </c>
      <c r="U77" s="30">
        <f t="shared" si="36"/>
        <v>1108.7299999999959</v>
      </c>
      <c r="V77" s="30">
        <f t="shared" si="36"/>
        <v>1054.8699999999953</v>
      </c>
      <c r="W77" s="30">
        <f t="shared" si="36"/>
        <v>1107.8700000000099</v>
      </c>
      <c r="X77" s="30">
        <f t="shared" si="36"/>
        <v>542.80999999999767</v>
      </c>
      <c r="Y77" s="30">
        <f t="shared" si="36"/>
        <v>0</v>
      </c>
      <c r="Z77" s="30">
        <f t="shared" si="36"/>
        <v>1081.6900000000023</v>
      </c>
      <c r="AA77" s="30">
        <f t="shared" si="36"/>
        <v>863.40999999998894</v>
      </c>
      <c r="AB77" s="30">
        <f t="shared" si="36"/>
        <v>641.41000000000349</v>
      </c>
      <c r="AC77" s="30">
        <f t="shared" si="36"/>
        <v>709.29000000000815</v>
      </c>
      <c r="AD77" s="30">
        <f t="shared" si="36"/>
        <v>687.32999999998719</v>
      </c>
      <c r="AE77" s="30">
        <f t="shared" si="36"/>
        <v>593.02000000000407</v>
      </c>
      <c r="AF77" s="30">
        <f t="shared" si="36"/>
        <v>0</v>
      </c>
      <c r="AG77" s="30">
        <f t="shared" si="36"/>
        <v>1342.3500000000058</v>
      </c>
      <c r="AH77" s="30">
        <f t="shared" si="36"/>
        <v>1240.5</v>
      </c>
      <c r="AI77" s="30">
        <f t="shared" si="36"/>
        <v>662.55000000000291</v>
      </c>
      <c r="AJ77" s="30">
        <f t="shared" si="25"/>
        <v>22525.12000000001</v>
      </c>
    </row>
    <row r="78" spans="1:40">
      <c r="A78" s="2">
        <v>3</v>
      </c>
      <c r="B78" s="2" t="s">
        <v>129</v>
      </c>
      <c r="C78" s="503" t="s">
        <v>125</v>
      </c>
      <c r="D78" s="501"/>
      <c r="E78" s="30">
        <f t="shared" ref="E78:AI78" si="37">E35-D35</f>
        <v>1553.3899999999994</v>
      </c>
      <c r="F78" s="30">
        <f t="shared" si="37"/>
        <v>1401.2899999999936</v>
      </c>
      <c r="G78" s="30">
        <f t="shared" si="37"/>
        <v>1141.1499999999942</v>
      </c>
      <c r="H78" s="30">
        <f t="shared" si="37"/>
        <v>1008.0500000000029</v>
      </c>
      <c r="I78" s="30">
        <f t="shared" si="37"/>
        <v>738.58000000000175</v>
      </c>
      <c r="J78" s="30">
        <f t="shared" si="37"/>
        <v>402.97000000000116</v>
      </c>
      <c r="K78" s="30">
        <f t="shared" si="37"/>
        <v>0</v>
      </c>
      <c r="L78" s="30">
        <f t="shared" si="37"/>
        <v>1177.0500000000029</v>
      </c>
      <c r="M78" s="30">
        <f t="shared" si="37"/>
        <v>974.91999999999825</v>
      </c>
      <c r="N78" s="30">
        <f t="shared" si="37"/>
        <v>837.35000000000582</v>
      </c>
      <c r="O78" s="30">
        <f t="shared" si="37"/>
        <v>795.09999999999127</v>
      </c>
      <c r="P78" s="30">
        <f t="shared" si="37"/>
        <v>829.63999999999942</v>
      </c>
      <c r="Q78" s="30">
        <f t="shared" si="37"/>
        <v>479.19000000000233</v>
      </c>
      <c r="R78" s="30">
        <f t="shared" si="37"/>
        <v>0</v>
      </c>
      <c r="S78" s="30">
        <f t="shared" si="37"/>
        <v>1242.3899999999994</v>
      </c>
      <c r="T78" s="30">
        <f t="shared" si="37"/>
        <v>1214.2799999999988</v>
      </c>
      <c r="U78" s="30">
        <f t="shared" si="37"/>
        <v>1060.7100000000064</v>
      </c>
      <c r="V78" s="30">
        <f t="shared" si="37"/>
        <v>1085.1199999999953</v>
      </c>
      <c r="W78" s="30">
        <f t="shared" si="37"/>
        <v>1160.7200000000012</v>
      </c>
      <c r="X78" s="30">
        <f t="shared" si="37"/>
        <v>489.74000000000524</v>
      </c>
      <c r="Y78" s="30">
        <f t="shared" si="37"/>
        <v>0</v>
      </c>
      <c r="Z78" s="30">
        <f t="shared" si="37"/>
        <v>1356.9099999999889</v>
      </c>
      <c r="AA78" s="30">
        <f t="shared" si="37"/>
        <v>1140.7900000000081</v>
      </c>
      <c r="AB78" s="30">
        <f t="shared" si="37"/>
        <v>880.22999999999593</v>
      </c>
      <c r="AC78" s="30">
        <f t="shared" si="37"/>
        <v>999.44999999999709</v>
      </c>
      <c r="AD78" s="30">
        <f t="shared" si="37"/>
        <v>873.38999999999942</v>
      </c>
      <c r="AE78" s="30">
        <f t="shared" si="37"/>
        <v>718.70000000001164</v>
      </c>
      <c r="AF78" s="30">
        <f t="shared" si="37"/>
        <v>0</v>
      </c>
      <c r="AG78" s="30">
        <f t="shared" si="37"/>
        <v>1238.0799999999872</v>
      </c>
      <c r="AH78" s="30">
        <f t="shared" si="37"/>
        <v>1088.1399999999994</v>
      </c>
      <c r="AI78" s="30">
        <f t="shared" si="37"/>
        <v>621.02000000000407</v>
      </c>
      <c r="AJ78" s="30">
        <f t="shared" si="25"/>
        <v>26508.349999999991</v>
      </c>
    </row>
    <row r="79" spans="1:40">
      <c r="A79" s="2">
        <v>4</v>
      </c>
      <c r="B79" s="2" t="s">
        <v>129</v>
      </c>
      <c r="C79" s="503" t="s">
        <v>126</v>
      </c>
      <c r="D79" s="501"/>
      <c r="E79" s="30">
        <f t="shared" ref="E79:AI79" si="38">E36-D36</f>
        <v>1561.3499999999913</v>
      </c>
      <c r="F79" s="30">
        <f t="shared" si="38"/>
        <v>1188.5200000000041</v>
      </c>
      <c r="G79" s="30">
        <f t="shared" si="38"/>
        <v>915.00999999999476</v>
      </c>
      <c r="H79" s="30">
        <f t="shared" si="38"/>
        <v>829.16999999999825</v>
      </c>
      <c r="I79" s="30">
        <f t="shared" si="38"/>
        <v>1011.2000000000116</v>
      </c>
      <c r="J79" s="30">
        <f t="shared" si="38"/>
        <v>569.72999999999593</v>
      </c>
      <c r="K79" s="30">
        <f t="shared" si="38"/>
        <v>0</v>
      </c>
      <c r="L79" s="30">
        <f t="shared" si="38"/>
        <v>1323.1900000000023</v>
      </c>
      <c r="M79" s="30">
        <f t="shared" si="38"/>
        <v>925.75999999999476</v>
      </c>
      <c r="N79" s="30">
        <f t="shared" si="38"/>
        <v>964.44000000000233</v>
      </c>
      <c r="O79" s="30">
        <f t="shared" si="38"/>
        <v>1170.3500000000058</v>
      </c>
      <c r="P79" s="30">
        <f t="shared" si="38"/>
        <v>943.54999999998836</v>
      </c>
      <c r="Q79" s="30">
        <f t="shared" si="38"/>
        <v>489.77000000000407</v>
      </c>
      <c r="R79" s="30">
        <f t="shared" si="38"/>
        <v>0</v>
      </c>
      <c r="S79" s="30">
        <f t="shared" si="38"/>
        <v>1453.3800000000047</v>
      </c>
      <c r="T79" s="30">
        <f t="shared" si="38"/>
        <v>1283.679999999993</v>
      </c>
      <c r="U79" s="30">
        <f t="shared" si="38"/>
        <v>1105.8700000000099</v>
      </c>
      <c r="V79" s="30">
        <f t="shared" si="38"/>
        <v>944.86999999999534</v>
      </c>
      <c r="W79" s="30">
        <f t="shared" si="38"/>
        <v>911.91000000000349</v>
      </c>
      <c r="X79" s="30">
        <f t="shared" si="38"/>
        <v>411.5399999999936</v>
      </c>
      <c r="Y79" s="30">
        <f t="shared" si="38"/>
        <v>0</v>
      </c>
      <c r="Z79" s="30">
        <f t="shared" si="38"/>
        <v>1415.7700000000041</v>
      </c>
      <c r="AA79" s="30">
        <f t="shared" si="38"/>
        <v>1140.0599999999977</v>
      </c>
      <c r="AB79" s="30">
        <f t="shared" si="38"/>
        <v>900.7100000000064</v>
      </c>
      <c r="AC79" s="30">
        <f t="shared" si="38"/>
        <v>915.96999999998661</v>
      </c>
      <c r="AD79" s="30">
        <f t="shared" si="38"/>
        <v>935.7100000000064</v>
      </c>
      <c r="AE79" s="30">
        <f t="shared" si="38"/>
        <v>747.49000000000524</v>
      </c>
      <c r="AF79" s="30">
        <f t="shared" si="38"/>
        <v>0</v>
      </c>
      <c r="AG79" s="30">
        <f t="shared" si="38"/>
        <v>1422.1399999999994</v>
      </c>
      <c r="AH79" s="30">
        <f t="shared" si="38"/>
        <v>1215.9099999999889</v>
      </c>
      <c r="AI79" s="30">
        <f t="shared" si="38"/>
        <v>595.92000000001281</v>
      </c>
      <c r="AJ79" s="30">
        <f t="shared" si="25"/>
        <v>27292.97</v>
      </c>
    </row>
    <row r="80" spans="1:40" ht="15" customHeight="1">
      <c r="A80" s="22"/>
      <c r="B80" s="22"/>
      <c r="C80" s="500" t="s">
        <v>136</v>
      </c>
      <c r="D80" s="501"/>
      <c r="E80" s="23">
        <f t="shared" ref="E80:AJ80" si="39">SUM(E76:E79)</f>
        <v>5482.9399999999878</v>
      </c>
      <c r="F80" s="23">
        <f t="shared" si="39"/>
        <v>4580.8799999999901</v>
      </c>
      <c r="G80" s="23">
        <f t="shared" si="39"/>
        <v>3609.2699999999895</v>
      </c>
      <c r="H80" s="23">
        <f t="shared" si="39"/>
        <v>3111.4300000000076</v>
      </c>
      <c r="I80" s="23">
        <f t="shared" si="39"/>
        <v>2999.2300000000105</v>
      </c>
      <c r="J80" s="23">
        <f t="shared" si="39"/>
        <v>1810.4100000000035</v>
      </c>
      <c r="K80" s="23">
        <f t="shared" si="39"/>
        <v>0</v>
      </c>
      <c r="L80" s="23">
        <f t="shared" si="39"/>
        <v>4651.5899999999965</v>
      </c>
      <c r="M80" s="23">
        <f t="shared" si="39"/>
        <v>3486.679999999993</v>
      </c>
      <c r="N80" s="23">
        <f t="shared" si="39"/>
        <v>3398.8000000000175</v>
      </c>
      <c r="O80" s="23">
        <f t="shared" si="39"/>
        <v>3371.4099999999889</v>
      </c>
      <c r="P80" s="23">
        <f t="shared" si="39"/>
        <v>3051.7799999999988</v>
      </c>
      <c r="Q80" s="23">
        <f t="shared" si="39"/>
        <v>1676.0299999999988</v>
      </c>
      <c r="R80" s="23">
        <f t="shared" si="39"/>
        <v>0</v>
      </c>
      <c r="S80" s="23">
        <f t="shared" si="39"/>
        <v>4943.4900000000052</v>
      </c>
      <c r="T80" s="23">
        <f t="shared" si="39"/>
        <v>4740.0699999999924</v>
      </c>
      <c r="U80" s="23">
        <f t="shared" si="39"/>
        <v>4276.3100000000122</v>
      </c>
      <c r="V80" s="23">
        <f t="shared" si="39"/>
        <v>4003.6999999999971</v>
      </c>
      <c r="W80" s="23">
        <f t="shared" si="39"/>
        <v>4034.7700000000041</v>
      </c>
      <c r="X80" s="23">
        <f t="shared" si="39"/>
        <v>1854.0500000000029</v>
      </c>
      <c r="Y80" s="23">
        <f t="shared" si="39"/>
        <v>0</v>
      </c>
      <c r="Z80" s="23">
        <f t="shared" si="39"/>
        <v>5010.3199999999924</v>
      </c>
      <c r="AA80" s="23">
        <f t="shared" si="39"/>
        <v>4003.5499999999884</v>
      </c>
      <c r="AB80" s="23">
        <f t="shared" si="39"/>
        <v>3092.4800000000105</v>
      </c>
      <c r="AC80" s="23">
        <f t="shared" si="39"/>
        <v>3362.6399999999994</v>
      </c>
      <c r="AD80" s="23">
        <f t="shared" si="39"/>
        <v>3166.359999999986</v>
      </c>
      <c r="AE80" s="23">
        <f t="shared" si="39"/>
        <v>2659.230000000025</v>
      </c>
      <c r="AF80" s="23">
        <f t="shared" si="39"/>
        <v>0</v>
      </c>
      <c r="AG80" s="23">
        <f t="shared" si="39"/>
        <v>5210.1299999999901</v>
      </c>
      <c r="AH80" s="23">
        <f t="shared" si="39"/>
        <v>4589.679999999993</v>
      </c>
      <c r="AI80" s="23">
        <f t="shared" si="39"/>
        <v>2337.9700000000157</v>
      </c>
      <c r="AJ80" s="24">
        <f t="shared" si="39"/>
        <v>98515.199999999997</v>
      </c>
      <c r="AK80" s="64"/>
    </row>
  </sheetData>
  <mergeCells count="49">
    <mergeCell ref="E2:AI2"/>
    <mergeCell ref="C58:D58"/>
    <mergeCell ref="B3:B6"/>
    <mergeCell ref="C45:D45"/>
    <mergeCell ref="C74:D74"/>
    <mergeCell ref="A2:D2"/>
    <mergeCell ref="C79:D79"/>
    <mergeCell ref="C73:D73"/>
    <mergeCell ref="C47:D47"/>
    <mergeCell ref="C54:D54"/>
    <mergeCell ref="C63:D63"/>
    <mergeCell ref="C65:D65"/>
    <mergeCell ref="C55:D55"/>
    <mergeCell ref="C78:D78"/>
    <mergeCell ref="C49:D49"/>
    <mergeCell ref="C77:D77"/>
    <mergeCell ref="C68:D68"/>
    <mergeCell ref="A41:A44"/>
    <mergeCell ref="A3:A6"/>
    <mergeCell ref="C50:D50"/>
    <mergeCell ref="AJ3:AJ6"/>
    <mergeCell ref="C75:D75"/>
    <mergeCell ref="B40:D40"/>
    <mergeCell ref="D3:D6"/>
    <mergeCell ref="C72:D72"/>
    <mergeCell ref="C67:D67"/>
    <mergeCell ref="C57:D57"/>
    <mergeCell ref="C3:C6"/>
    <mergeCell ref="C66:D66"/>
    <mergeCell ref="C41:D44"/>
    <mergeCell ref="C53:D53"/>
    <mergeCell ref="B39:D39"/>
    <mergeCell ref="C69:D69"/>
    <mergeCell ref="C80:D80"/>
    <mergeCell ref="C56:D56"/>
    <mergeCell ref="C59:D59"/>
    <mergeCell ref="A23:AJ23"/>
    <mergeCell ref="A32:AJ32"/>
    <mergeCell ref="AJ41:AJ44"/>
    <mergeCell ref="C46:D46"/>
    <mergeCell ref="C60:D60"/>
    <mergeCell ref="C51:D51"/>
    <mergeCell ref="C76:D76"/>
    <mergeCell ref="C71:D71"/>
    <mergeCell ref="C61:D61"/>
    <mergeCell ref="C52:D52"/>
    <mergeCell ref="C70:D70"/>
    <mergeCell ref="C48:D48"/>
    <mergeCell ref="B41:B44"/>
  </mergeCells>
  <pageMargins left="0.7" right="0.7" top="0.75" bottom="0.75" header="0.3" footer="0.3"/>
  <pageSetup paperSize="9" orientation="landscape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AL80"/>
  <sheetViews>
    <sheetView topLeftCell="A43" workbookViewId="0">
      <selection activeCell="A22" sqref="A22:AJ22"/>
    </sheetView>
  </sheetViews>
  <sheetFormatPr defaultColWidth="18" defaultRowHeight="14.5"/>
  <cols>
    <col min="1" max="1" width="14" style="70" bestFit="1" customWidth="1"/>
    <col min="2" max="2" width="27" style="70" bestFit="1" customWidth="1"/>
    <col min="3" max="3" width="32" style="89" bestFit="1" customWidth="1"/>
    <col min="4" max="4" width="20" style="70" bestFit="1" customWidth="1"/>
    <col min="5" max="32" width="23" customWidth="1"/>
    <col min="33" max="35" width="23" style="70" bestFit="1" customWidth="1"/>
    <col min="36" max="36" width="18" style="70" bestFit="1" customWidth="1"/>
    <col min="37" max="37" width="14" style="70" customWidth="1"/>
    <col min="38" max="39" width="18" style="70" customWidth="1"/>
    <col min="40" max="16384" width="18" style="70"/>
  </cols>
  <sheetData>
    <row r="2" spans="1:37" ht="16.5" customHeight="1">
      <c r="A2" s="537"/>
      <c r="B2" s="526"/>
      <c r="C2" s="526"/>
      <c r="D2" s="527"/>
      <c r="E2" s="535" t="s">
        <v>141</v>
      </c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7"/>
      <c r="AJ2" s="69"/>
    </row>
    <row r="3" spans="1:37" ht="13" customHeight="1">
      <c r="A3" s="533" t="s">
        <v>99</v>
      </c>
      <c r="B3" s="533" t="s">
        <v>100</v>
      </c>
      <c r="C3" s="533" t="s">
        <v>101</v>
      </c>
      <c r="D3" s="540" t="s">
        <v>102</v>
      </c>
      <c r="E3" s="71">
        <v>45505</v>
      </c>
      <c r="F3" s="71">
        <v>45506</v>
      </c>
      <c r="G3" s="71">
        <v>45507</v>
      </c>
      <c r="H3" s="71">
        <v>45508</v>
      </c>
      <c r="I3" s="71">
        <v>45509</v>
      </c>
      <c r="J3" s="71">
        <v>45510</v>
      </c>
      <c r="K3" s="71">
        <v>45511</v>
      </c>
      <c r="L3" s="71">
        <v>45512</v>
      </c>
      <c r="M3" s="71">
        <v>45513</v>
      </c>
      <c r="N3" s="71">
        <v>45514</v>
      </c>
      <c r="O3" s="71">
        <v>45515</v>
      </c>
      <c r="P3" s="71">
        <v>45516</v>
      </c>
      <c r="Q3" s="71">
        <v>45517</v>
      </c>
      <c r="R3" s="71">
        <v>45518</v>
      </c>
      <c r="S3" s="71">
        <v>45519</v>
      </c>
      <c r="T3" s="71">
        <v>45520</v>
      </c>
      <c r="U3" s="71">
        <v>45521</v>
      </c>
      <c r="V3" s="71">
        <v>45522</v>
      </c>
      <c r="W3" s="71">
        <v>45523</v>
      </c>
      <c r="X3" s="71">
        <v>45524</v>
      </c>
      <c r="Y3" s="71">
        <v>45525</v>
      </c>
      <c r="Z3" s="71">
        <v>45526</v>
      </c>
      <c r="AA3" s="71">
        <v>45527</v>
      </c>
      <c r="AB3" s="71">
        <v>45528</v>
      </c>
      <c r="AC3" s="71">
        <v>45529</v>
      </c>
      <c r="AD3" s="71">
        <v>45530</v>
      </c>
      <c r="AE3" s="71">
        <v>45531</v>
      </c>
      <c r="AF3" s="71">
        <v>45532</v>
      </c>
      <c r="AG3" s="71">
        <v>45533</v>
      </c>
      <c r="AH3" s="71">
        <v>45534</v>
      </c>
      <c r="AI3" s="71">
        <v>45535</v>
      </c>
      <c r="AJ3" s="530" t="s">
        <v>1</v>
      </c>
    </row>
    <row r="4" spans="1:37" ht="13" customHeight="1">
      <c r="A4" s="511"/>
      <c r="B4" s="511"/>
      <c r="C4" s="511"/>
      <c r="D4" s="511"/>
      <c r="E4" s="72" t="s">
        <v>109</v>
      </c>
      <c r="F4" s="72" t="s">
        <v>103</v>
      </c>
      <c r="G4" s="72" t="s">
        <v>104</v>
      </c>
      <c r="H4" s="72" t="s">
        <v>105</v>
      </c>
      <c r="I4" s="72" t="s">
        <v>106</v>
      </c>
      <c r="J4" s="72" t="s">
        <v>107</v>
      </c>
      <c r="K4" s="72" t="s">
        <v>108</v>
      </c>
      <c r="L4" s="72" t="s">
        <v>109</v>
      </c>
      <c r="M4" s="72" t="s">
        <v>103</v>
      </c>
      <c r="N4" s="72" t="s">
        <v>104</v>
      </c>
      <c r="O4" s="72" t="s">
        <v>105</v>
      </c>
      <c r="P4" s="72" t="s">
        <v>106</v>
      </c>
      <c r="Q4" s="72" t="s">
        <v>107</v>
      </c>
      <c r="R4" s="72" t="s">
        <v>108</v>
      </c>
      <c r="S4" s="72" t="s">
        <v>109</v>
      </c>
      <c r="T4" s="72" t="s">
        <v>103</v>
      </c>
      <c r="U4" s="72" t="s">
        <v>104</v>
      </c>
      <c r="V4" s="72" t="s">
        <v>105</v>
      </c>
      <c r="W4" s="72" t="s">
        <v>106</v>
      </c>
      <c r="X4" s="72" t="s">
        <v>107</v>
      </c>
      <c r="Y4" s="72" t="s">
        <v>108</v>
      </c>
      <c r="Z4" s="72" t="s">
        <v>109</v>
      </c>
      <c r="AA4" s="72" t="s">
        <v>103</v>
      </c>
      <c r="AB4" s="72" t="s">
        <v>104</v>
      </c>
      <c r="AC4" s="72" t="s">
        <v>105</v>
      </c>
      <c r="AD4" s="72" t="s">
        <v>106</v>
      </c>
      <c r="AE4" s="72" t="s">
        <v>107</v>
      </c>
      <c r="AF4" s="72" t="s">
        <v>108</v>
      </c>
      <c r="AG4" s="72" t="s">
        <v>109</v>
      </c>
      <c r="AH4" s="72" t="s">
        <v>103</v>
      </c>
      <c r="AI4" s="72" t="s">
        <v>104</v>
      </c>
      <c r="AJ4" s="511"/>
    </row>
    <row r="5" spans="1:37" ht="13" customHeight="1">
      <c r="A5" s="511"/>
      <c r="B5" s="511"/>
      <c r="C5" s="511"/>
      <c r="D5" s="511"/>
      <c r="E5" s="72" t="s">
        <v>110</v>
      </c>
      <c r="F5" s="72" t="s">
        <v>110</v>
      </c>
      <c r="G5" s="72" t="s">
        <v>110</v>
      </c>
      <c r="H5" s="72" t="s">
        <v>110</v>
      </c>
      <c r="I5" s="72" t="s">
        <v>110</v>
      </c>
      <c r="J5" s="72" t="s">
        <v>110</v>
      </c>
      <c r="K5" s="72" t="s">
        <v>110</v>
      </c>
      <c r="L5" s="72" t="s">
        <v>110</v>
      </c>
      <c r="M5" s="72" t="s">
        <v>110</v>
      </c>
      <c r="N5" s="72" t="s">
        <v>110</v>
      </c>
      <c r="O5" s="72" t="s">
        <v>110</v>
      </c>
      <c r="P5" s="72" t="s">
        <v>110</v>
      </c>
      <c r="Q5" s="72" t="s">
        <v>110</v>
      </c>
      <c r="R5" s="72" t="s">
        <v>110</v>
      </c>
      <c r="S5" s="72" t="s">
        <v>110</v>
      </c>
      <c r="T5" s="72" t="s">
        <v>110</v>
      </c>
      <c r="U5" s="72" t="s">
        <v>110</v>
      </c>
      <c r="V5" s="72" t="s">
        <v>110</v>
      </c>
      <c r="W5" s="72" t="s">
        <v>110</v>
      </c>
      <c r="X5" s="72" t="s">
        <v>110</v>
      </c>
      <c r="Y5" s="72" t="s">
        <v>110</v>
      </c>
      <c r="Z5" s="72" t="s">
        <v>110</v>
      </c>
      <c r="AA5" s="72" t="s">
        <v>110</v>
      </c>
      <c r="AB5" s="72" t="s">
        <v>110</v>
      </c>
      <c r="AC5" s="72" t="s">
        <v>110</v>
      </c>
      <c r="AD5" s="72" t="s">
        <v>110</v>
      </c>
      <c r="AE5" s="72" t="s">
        <v>110</v>
      </c>
      <c r="AF5" s="72" t="s">
        <v>110</v>
      </c>
      <c r="AG5" s="72" t="s">
        <v>110</v>
      </c>
      <c r="AH5" s="72" t="s">
        <v>110</v>
      </c>
      <c r="AI5" s="72" t="s">
        <v>110</v>
      </c>
      <c r="AJ5" s="511"/>
    </row>
    <row r="6" spans="1:37" ht="13" customHeight="1">
      <c r="A6" s="512"/>
      <c r="B6" s="512"/>
      <c r="C6" s="512"/>
      <c r="D6" s="512"/>
      <c r="E6" s="73">
        <v>0.33333333333333331</v>
      </c>
      <c r="F6" s="73">
        <v>0.33333333333333331</v>
      </c>
      <c r="G6" s="73">
        <v>0.33333333333333331</v>
      </c>
      <c r="H6" s="73">
        <v>0.33333333333333331</v>
      </c>
      <c r="I6" s="73">
        <v>0.33333333333333331</v>
      </c>
      <c r="J6" s="73">
        <v>0.33333333333333331</v>
      </c>
      <c r="K6" s="73">
        <v>0.33333333333333331</v>
      </c>
      <c r="L6" s="73">
        <v>0.33333333333333331</v>
      </c>
      <c r="M6" s="73">
        <v>0.33333333333333331</v>
      </c>
      <c r="N6" s="73">
        <v>0.33333333333333331</v>
      </c>
      <c r="O6" s="73">
        <v>0.33333333333333331</v>
      </c>
      <c r="P6" s="73">
        <v>0.33333333333333331</v>
      </c>
      <c r="Q6" s="73">
        <v>0.33333333333333331</v>
      </c>
      <c r="R6" s="73">
        <v>0.33333333333333331</v>
      </c>
      <c r="S6" s="73">
        <v>0.33333333333333331</v>
      </c>
      <c r="T6" s="73">
        <v>0.33333333333333331</v>
      </c>
      <c r="U6" s="73">
        <v>0.33333333333333331</v>
      </c>
      <c r="V6" s="73">
        <v>0.33333333333333331</v>
      </c>
      <c r="W6" s="73">
        <v>0.33333333333333331</v>
      </c>
      <c r="X6" s="73">
        <v>0.33333333333333331</v>
      </c>
      <c r="Y6" s="73">
        <v>0.33333333333333331</v>
      </c>
      <c r="Z6" s="73">
        <v>0.33333333333333331</v>
      </c>
      <c r="AA6" s="73">
        <v>0.33333333333333331</v>
      </c>
      <c r="AB6" s="73">
        <v>0.33333333333333331</v>
      </c>
      <c r="AC6" s="73">
        <v>0.33333333333333331</v>
      </c>
      <c r="AD6" s="73">
        <v>0.33333333333333331</v>
      </c>
      <c r="AE6" s="73">
        <v>0.33333333333333331</v>
      </c>
      <c r="AF6" s="73">
        <v>0.33333333333333331</v>
      </c>
      <c r="AG6" s="73">
        <v>0.33333333333333331</v>
      </c>
      <c r="AH6" s="73">
        <v>0.33333333333333331</v>
      </c>
      <c r="AI6" s="73">
        <v>0.33333333333333331</v>
      </c>
      <c r="AJ6" s="512"/>
    </row>
    <row r="7" spans="1:37" ht="20.149999999999999" customHeight="1">
      <c r="A7" s="54">
        <v>1</v>
      </c>
      <c r="B7" s="54" t="s">
        <v>129</v>
      </c>
      <c r="C7" s="54" t="s">
        <v>111</v>
      </c>
      <c r="D7" s="74">
        <v>41074</v>
      </c>
      <c r="E7" s="2">
        <v>41292</v>
      </c>
      <c r="F7" s="2">
        <v>41545</v>
      </c>
      <c r="G7" s="75">
        <v>41745</v>
      </c>
      <c r="H7" s="75">
        <v>41958</v>
      </c>
      <c r="I7" s="2">
        <v>42213</v>
      </c>
      <c r="J7" s="2">
        <v>42455</v>
      </c>
      <c r="K7" s="2">
        <v>42726</v>
      </c>
      <c r="L7" s="67">
        <v>42987</v>
      </c>
      <c r="M7" s="54">
        <v>43247</v>
      </c>
      <c r="N7" s="68">
        <v>43388</v>
      </c>
      <c r="O7" s="2">
        <v>43608</v>
      </c>
      <c r="P7" s="67">
        <v>43857</v>
      </c>
      <c r="Q7" s="54">
        <v>44134</v>
      </c>
      <c r="R7" s="68">
        <v>44350</v>
      </c>
      <c r="S7" s="2">
        <v>44572</v>
      </c>
      <c r="T7" s="2">
        <v>44798</v>
      </c>
      <c r="U7" s="2">
        <v>45018</v>
      </c>
      <c r="V7" s="76">
        <v>45239</v>
      </c>
      <c r="W7" s="2">
        <v>45475</v>
      </c>
      <c r="X7" s="2">
        <v>45714</v>
      </c>
      <c r="Y7" s="2">
        <v>45930</v>
      </c>
      <c r="Z7" s="2">
        <v>46195</v>
      </c>
      <c r="AA7" s="2">
        <v>46460</v>
      </c>
      <c r="AB7" s="2">
        <v>46675</v>
      </c>
      <c r="AC7" s="2">
        <v>46884</v>
      </c>
      <c r="AD7" s="2">
        <v>47000</v>
      </c>
      <c r="AE7" s="2">
        <v>47266</v>
      </c>
      <c r="AF7" s="2">
        <v>47531</v>
      </c>
      <c r="AG7" s="54">
        <v>47790</v>
      </c>
      <c r="AH7" s="54">
        <v>48054</v>
      </c>
      <c r="AI7" s="54">
        <v>48175</v>
      </c>
      <c r="AJ7" s="77">
        <f t="shared" ref="AJ7:AJ22" si="0">AI7-D7</f>
        <v>7101</v>
      </c>
      <c r="AK7" s="78"/>
    </row>
    <row r="8" spans="1:37" ht="20.149999999999999" customHeight="1">
      <c r="A8" s="49"/>
      <c r="B8" s="49"/>
      <c r="C8" s="79" t="s">
        <v>22</v>
      </c>
      <c r="D8" s="79">
        <v>2322</v>
      </c>
      <c r="E8" s="49">
        <v>2496</v>
      </c>
      <c r="F8" s="49">
        <v>2496</v>
      </c>
      <c r="G8" s="49">
        <v>2507</v>
      </c>
      <c r="H8" s="49">
        <v>2510</v>
      </c>
      <c r="I8" s="49">
        <v>2510</v>
      </c>
      <c r="J8" s="49">
        <v>2537</v>
      </c>
      <c r="K8" s="49">
        <v>2537</v>
      </c>
      <c r="L8" s="49">
        <v>2537</v>
      </c>
      <c r="M8" s="76">
        <v>2537</v>
      </c>
      <c r="N8" s="49">
        <v>2553</v>
      </c>
      <c r="O8" s="49">
        <v>2553</v>
      </c>
      <c r="P8" s="49">
        <v>2553</v>
      </c>
      <c r="Q8" s="49">
        <v>2553</v>
      </c>
      <c r="R8" s="49">
        <v>2627</v>
      </c>
      <c r="S8" s="49">
        <v>2627</v>
      </c>
      <c r="T8" s="49">
        <v>2627</v>
      </c>
      <c r="U8" s="49">
        <v>2627</v>
      </c>
      <c r="V8" s="49">
        <v>2627</v>
      </c>
      <c r="W8" s="49">
        <v>2627</v>
      </c>
      <c r="X8" s="49">
        <v>2646</v>
      </c>
      <c r="Y8" s="49">
        <v>2677</v>
      </c>
      <c r="Z8" s="49">
        <v>2677</v>
      </c>
      <c r="AA8" s="49">
        <v>2677</v>
      </c>
      <c r="AB8" s="49">
        <v>2677</v>
      </c>
      <c r="AC8" s="49">
        <v>2680</v>
      </c>
      <c r="AD8" s="49">
        <v>2836</v>
      </c>
      <c r="AE8" s="49">
        <v>2836</v>
      </c>
      <c r="AF8" s="49">
        <v>2836</v>
      </c>
      <c r="AG8" s="49">
        <v>2836</v>
      </c>
      <c r="AH8" s="49">
        <v>2836</v>
      </c>
      <c r="AI8" s="49">
        <v>2836</v>
      </c>
      <c r="AJ8" s="77">
        <f t="shared" si="0"/>
        <v>514</v>
      </c>
      <c r="AK8" s="78"/>
    </row>
    <row r="9" spans="1:37" ht="20.149999999999999" customHeight="1">
      <c r="A9" s="2">
        <v>2</v>
      </c>
      <c r="B9" s="2" t="s">
        <v>129</v>
      </c>
      <c r="C9" s="2" t="s">
        <v>112</v>
      </c>
      <c r="D9" s="80">
        <v>1956</v>
      </c>
      <c r="E9" s="2">
        <v>1956</v>
      </c>
      <c r="F9" s="2">
        <v>1956</v>
      </c>
      <c r="G9" s="2">
        <v>1956</v>
      </c>
      <c r="H9" s="2">
        <v>1956</v>
      </c>
      <c r="I9" s="2">
        <v>1956</v>
      </c>
      <c r="J9" s="2">
        <v>1956</v>
      </c>
      <c r="K9" s="2">
        <v>1956</v>
      </c>
      <c r="L9" s="2">
        <v>1956</v>
      </c>
      <c r="M9" s="2">
        <v>1956</v>
      </c>
      <c r="N9" s="2">
        <v>1956</v>
      </c>
      <c r="O9" s="2">
        <v>1956</v>
      </c>
      <c r="P9" s="2">
        <v>1956</v>
      </c>
      <c r="Q9" s="2">
        <v>1956</v>
      </c>
      <c r="R9" s="2">
        <v>1956</v>
      </c>
      <c r="S9" s="2">
        <v>1956</v>
      </c>
      <c r="T9" s="2">
        <v>1956</v>
      </c>
      <c r="U9" s="2">
        <v>1956</v>
      </c>
      <c r="V9" s="2">
        <v>1956</v>
      </c>
      <c r="W9" s="2">
        <v>1956</v>
      </c>
      <c r="X9" s="2">
        <v>1956</v>
      </c>
      <c r="Y9" s="2">
        <v>1956</v>
      </c>
      <c r="Z9" s="2">
        <v>1956</v>
      </c>
      <c r="AA9" s="2">
        <v>1956</v>
      </c>
      <c r="AB9" s="2">
        <v>1956</v>
      </c>
      <c r="AC9" s="2">
        <v>1956</v>
      </c>
      <c r="AD9" s="2">
        <v>1956</v>
      </c>
      <c r="AE9" s="2">
        <v>1956</v>
      </c>
      <c r="AF9" s="2">
        <v>1956</v>
      </c>
      <c r="AG9" s="2">
        <v>1956</v>
      </c>
      <c r="AH9" s="2">
        <v>1956</v>
      </c>
      <c r="AI9" s="2">
        <v>1956</v>
      </c>
      <c r="AJ9" s="77">
        <f t="shared" si="0"/>
        <v>0</v>
      </c>
    </row>
    <row r="10" spans="1:37" ht="20.149999999999999" customHeight="1">
      <c r="A10" s="2"/>
      <c r="B10" s="2"/>
      <c r="C10" s="79" t="s">
        <v>22</v>
      </c>
      <c r="D10" s="79">
        <v>28.6</v>
      </c>
      <c r="E10" s="2">
        <v>28.6</v>
      </c>
      <c r="F10" s="2">
        <v>28.6</v>
      </c>
      <c r="G10" s="2">
        <v>28.6</v>
      </c>
      <c r="H10" s="2">
        <v>28.6</v>
      </c>
      <c r="I10" s="2">
        <v>28.6</v>
      </c>
      <c r="J10" s="2">
        <v>28.6</v>
      </c>
      <c r="K10" s="2">
        <v>28.6</v>
      </c>
      <c r="L10" s="2">
        <v>28.6</v>
      </c>
      <c r="M10" s="2">
        <v>28.6</v>
      </c>
      <c r="N10" s="2">
        <v>28.6</v>
      </c>
      <c r="O10" s="2">
        <v>28.6</v>
      </c>
      <c r="P10" s="2">
        <v>28.6</v>
      </c>
      <c r="Q10" s="2">
        <v>28.6</v>
      </c>
      <c r="R10" s="2">
        <v>28.6</v>
      </c>
      <c r="S10" s="2">
        <v>28.6</v>
      </c>
      <c r="T10" s="2">
        <v>28.6</v>
      </c>
      <c r="U10" s="2">
        <v>28.6</v>
      </c>
      <c r="V10" s="2">
        <v>28.6</v>
      </c>
      <c r="W10" s="2">
        <v>28.6</v>
      </c>
      <c r="X10" s="2">
        <v>28.6</v>
      </c>
      <c r="Y10" s="2">
        <v>28.6</v>
      </c>
      <c r="Z10" s="2">
        <v>28.6</v>
      </c>
      <c r="AA10" s="2">
        <v>28.6</v>
      </c>
      <c r="AB10" s="2">
        <v>28.6</v>
      </c>
      <c r="AC10" s="2">
        <v>28.6</v>
      </c>
      <c r="AD10" s="2">
        <v>28.6</v>
      </c>
      <c r="AE10" s="2">
        <v>28.6</v>
      </c>
      <c r="AF10" s="2">
        <v>28.6</v>
      </c>
      <c r="AG10" s="2">
        <v>28.6</v>
      </c>
      <c r="AH10" s="2">
        <v>28.6</v>
      </c>
      <c r="AI10" s="2">
        <v>28.6</v>
      </c>
      <c r="AJ10" s="77">
        <f t="shared" si="0"/>
        <v>0</v>
      </c>
    </row>
    <row r="11" spans="1:37" ht="20.149999999999999" customHeight="1">
      <c r="A11" s="2">
        <v>3</v>
      </c>
      <c r="B11" s="2" t="s">
        <v>129</v>
      </c>
      <c r="C11" s="2" t="s">
        <v>113</v>
      </c>
      <c r="D11" s="79">
        <v>63982</v>
      </c>
      <c r="E11" s="2">
        <v>64304</v>
      </c>
      <c r="F11" s="2">
        <v>64662</v>
      </c>
      <c r="G11" s="2">
        <v>64937</v>
      </c>
      <c r="H11" s="2">
        <v>65202</v>
      </c>
      <c r="I11" s="2">
        <v>65567</v>
      </c>
      <c r="J11" s="2">
        <v>65911</v>
      </c>
      <c r="K11" s="2">
        <v>66298</v>
      </c>
      <c r="L11" s="2">
        <v>66669</v>
      </c>
      <c r="M11" s="2">
        <v>67003</v>
      </c>
      <c r="N11" s="2">
        <v>67211</v>
      </c>
      <c r="O11" s="2">
        <v>67499</v>
      </c>
      <c r="P11" s="2">
        <v>67852</v>
      </c>
      <c r="Q11" s="2">
        <v>68253</v>
      </c>
      <c r="R11" s="2">
        <v>68559</v>
      </c>
      <c r="S11" s="2">
        <v>68848</v>
      </c>
      <c r="T11" s="2">
        <v>69160</v>
      </c>
      <c r="U11" s="2">
        <v>69449</v>
      </c>
      <c r="V11" s="2">
        <v>69739</v>
      </c>
      <c r="W11" s="2">
        <v>70055</v>
      </c>
      <c r="X11" s="2">
        <v>70397</v>
      </c>
      <c r="Y11" s="2">
        <v>70708</v>
      </c>
      <c r="Z11" s="2">
        <v>71088</v>
      </c>
      <c r="AA11" s="2">
        <v>71457</v>
      </c>
      <c r="AB11" s="2">
        <v>71751</v>
      </c>
      <c r="AC11" s="2">
        <v>72031</v>
      </c>
      <c r="AD11" s="2">
        <v>72143</v>
      </c>
      <c r="AE11" s="49">
        <v>72563</v>
      </c>
      <c r="AF11" s="49">
        <v>72953</v>
      </c>
      <c r="AG11" s="49">
        <v>73330</v>
      </c>
      <c r="AH11" s="49">
        <v>73700</v>
      </c>
      <c r="AI11" s="49">
        <v>73860</v>
      </c>
      <c r="AJ11" s="77">
        <f t="shared" si="0"/>
        <v>9878</v>
      </c>
    </row>
    <row r="12" spans="1:37" ht="20.149999999999999" customHeight="1">
      <c r="A12" s="2"/>
      <c r="B12" s="2"/>
      <c r="C12" s="79" t="s">
        <v>22</v>
      </c>
      <c r="D12" s="79">
        <v>3540</v>
      </c>
      <c r="E12" s="2">
        <v>3782</v>
      </c>
      <c r="F12" s="2">
        <v>3782</v>
      </c>
      <c r="G12" s="2">
        <v>3791</v>
      </c>
      <c r="H12" s="2">
        <v>3801</v>
      </c>
      <c r="I12" s="2">
        <v>3801</v>
      </c>
      <c r="J12" s="2">
        <v>3845</v>
      </c>
      <c r="K12" s="2">
        <v>3845</v>
      </c>
      <c r="L12" s="2">
        <v>3845</v>
      </c>
      <c r="M12" s="2">
        <v>3845</v>
      </c>
      <c r="N12" s="2">
        <v>3918</v>
      </c>
      <c r="O12" s="2">
        <v>3918</v>
      </c>
      <c r="P12" s="2">
        <v>3918</v>
      </c>
      <c r="Q12" s="2">
        <v>3918</v>
      </c>
      <c r="R12" s="2">
        <v>3971</v>
      </c>
      <c r="S12" s="2">
        <v>3971</v>
      </c>
      <c r="T12" s="2">
        <v>3971</v>
      </c>
      <c r="U12" s="2">
        <v>3971</v>
      </c>
      <c r="V12" s="2">
        <v>3971</v>
      </c>
      <c r="W12" s="2">
        <v>3971</v>
      </c>
      <c r="X12" s="2">
        <v>3996</v>
      </c>
      <c r="Y12" s="2">
        <v>4045</v>
      </c>
      <c r="Z12" s="2">
        <v>4045</v>
      </c>
      <c r="AA12" s="2">
        <v>4045</v>
      </c>
      <c r="AB12" s="2">
        <v>4045</v>
      </c>
      <c r="AC12" s="2">
        <v>4048</v>
      </c>
      <c r="AD12" s="2">
        <v>4287</v>
      </c>
      <c r="AE12" s="2">
        <v>4287</v>
      </c>
      <c r="AF12" s="2">
        <v>4287</v>
      </c>
      <c r="AG12" s="2">
        <v>4287</v>
      </c>
      <c r="AH12" s="2">
        <v>4287</v>
      </c>
      <c r="AI12" s="2">
        <v>4287</v>
      </c>
      <c r="AJ12" s="77">
        <f t="shared" si="0"/>
        <v>747</v>
      </c>
    </row>
    <row r="13" spans="1:37" ht="20.149999999999999" customHeight="1">
      <c r="A13" s="2">
        <v>4</v>
      </c>
      <c r="B13" s="2" t="s">
        <v>129</v>
      </c>
      <c r="C13" s="2" t="s">
        <v>114</v>
      </c>
      <c r="D13" s="80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77">
        <f t="shared" si="0"/>
        <v>0</v>
      </c>
    </row>
    <row r="14" spans="1:37" ht="20.149999999999999" customHeight="1">
      <c r="A14" s="2"/>
      <c r="B14" s="2"/>
      <c r="C14" s="79" t="s">
        <v>22</v>
      </c>
      <c r="D14" s="79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77">
        <f t="shared" si="0"/>
        <v>0</v>
      </c>
    </row>
    <row r="15" spans="1:37" ht="20.149999999999999" customHeight="1">
      <c r="A15" s="2">
        <v>5</v>
      </c>
      <c r="B15" s="2" t="s">
        <v>129</v>
      </c>
      <c r="C15" s="2" t="s">
        <v>115</v>
      </c>
      <c r="D15" s="79">
        <v>25219</v>
      </c>
      <c r="E15" s="2">
        <v>25390</v>
      </c>
      <c r="F15" s="2">
        <v>25572</v>
      </c>
      <c r="G15" s="75">
        <v>25672</v>
      </c>
      <c r="H15" s="75">
        <v>25772</v>
      </c>
      <c r="I15" s="2">
        <v>25965</v>
      </c>
      <c r="J15" s="2">
        <v>26141</v>
      </c>
      <c r="K15" s="2">
        <v>26340</v>
      </c>
      <c r="L15" s="2">
        <v>26534</v>
      </c>
      <c r="M15" s="2">
        <v>26716</v>
      </c>
      <c r="N15" s="2">
        <v>26799</v>
      </c>
      <c r="O15" s="2">
        <v>26922</v>
      </c>
      <c r="P15" s="2">
        <v>27180</v>
      </c>
      <c r="Q15" s="2">
        <v>27319</v>
      </c>
      <c r="R15" s="2">
        <v>27472</v>
      </c>
      <c r="S15" s="2">
        <v>27576</v>
      </c>
      <c r="T15" s="2">
        <v>27745</v>
      </c>
      <c r="U15" s="2">
        <v>27845</v>
      </c>
      <c r="V15" s="2">
        <v>27949</v>
      </c>
      <c r="W15" s="2">
        <v>28106</v>
      </c>
      <c r="X15" s="2">
        <v>28297</v>
      </c>
      <c r="Y15" s="41">
        <v>28458</v>
      </c>
      <c r="Z15" s="2">
        <v>28637</v>
      </c>
      <c r="AA15" s="2">
        <v>28817</v>
      </c>
      <c r="AB15" s="2">
        <v>28922</v>
      </c>
      <c r="AC15" s="2">
        <v>29025</v>
      </c>
      <c r="AD15" s="2">
        <v>29089</v>
      </c>
      <c r="AE15" s="49">
        <v>29290</v>
      </c>
      <c r="AF15" s="49">
        <v>29498</v>
      </c>
      <c r="AG15" s="49">
        <v>29699</v>
      </c>
      <c r="AH15" s="49">
        <v>29895</v>
      </c>
      <c r="AI15" s="49">
        <v>29957</v>
      </c>
      <c r="AJ15" s="77">
        <f t="shared" si="0"/>
        <v>4738</v>
      </c>
    </row>
    <row r="16" spans="1:37" ht="20.149999999999999" customHeight="1">
      <c r="A16" s="2"/>
      <c r="B16" s="2"/>
      <c r="C16" s="79" t="s">
        <v>22</v>
      </c>
      <c r="D16" s="79">
        <v>1771</v>
      </c>
      <c r="E16" s="2">
        <v>1882</v>
      </c>
      <c r="F16" s="2">
        <v>1882</v>
      </c>
      <c r="G16" s="2">
        <v>1885</v>
      </c>
      <c r="H16" s="2">
        <v>1888</v>
      </c>
      <c r="I16" s="2">
        <v>1888</v>
      </c>
      <c r="J16" s="2">
        <v>1910</v>
      </c>
      <c r="K16" s="2">
        <v>1910</v>
      </c>
      <c r="L16" s="2">
        <v>1910</v>
      </c>
      <c r="M16" s="2">
        <v>1910</v>
      </c>
      <c r="N16" s="2">
        <v>1944</v>
      </c>
      <c r="O16" s="2">
        <v>1944</v>
      </c>
      <c r="P16" s="2">
        <v>1944</v>
      </c>
      <c r="Q16" s="2">
        <v>1944</v>
      </c>
      <c r="R16" s="2">
        <v>1971</v>
      </c>
      <c r="S16" s="2">
        <v>1971</v>
      </c>
      <c r="T16" s="2">
        <v>1971</v>
      </c>
      <c r="U16" s="2">
        <v>1971</v>
      </c>
      <c r="V16" s="2">
        <v>1971</v>
      </c>
      <c r="W16" s="2">
        <v>1971</v>
      </c>
      <c r="X16" s="67">
        <v>1982</v>
      </c>
      <c r="Y16" s="54">
        <v>2012</v>
      </c>
      <c r="Z16" s="68">
        <v>2012</v>
      </c>
      <c r="AA16" s="2">
        <v>2012</v>
      </c>
      <c r="AB16" s="81">
        <v>2012</v>
      </c>
      <c r="AC16" s="2">
        <v>2014</v>
      </c>
      <c r="AD16" s="2">
        <v>2151</v>
      </c>
      <c r="AE16" s="2">
        <v>2151</v>
      </c>
      <c r="AF16" s="2">
        <v>2151</v>
      </c>
      <c r="AG16" s="2">
        <v>2151</v>
      </c>
      <c r="AH16" s="2">
        <v>2151</v>
      </c>
      <c r="AI16" s="2">
        <v>2151</v>
      </c>
      <c r="AJ16" s="77">
        <f t="shared" si="0"/>
        <v>380</v>
      </c>
    </row>
    <row r="17" spans="1:36" ht="20.149999999999999" customHeight="1">
      <c r="A17" s="2">
        <v>6</v>
      </c>
      <c r="B17" s="2" t="s">
        <v>129</v>
      </c>
      <c r="C17" s="2" t="s">
        <v>142</v>
      </c>
      <c r="D17" s="79">
        <v>37338</v>
      </c>
      <c r="E17" s="2">
        <v>37540</v>
      </c>
      <c r="F17" s="2">
        <v>37743</v>
      </c>
      <c r="G17" s="2">
        <v>37847</v>
      </c>
      <c r="H17" s="2">
        <v>37945</v>
      </c>
      <c r="I17" s="2">
        <v>38158</v>
      </c>
      <c r="J17" s="2">
        <v>38386</v>
      </c>
      <c r="K17" s="2">
        <v>38620</v>
      </c>
      <c r="L17" s="2">
        <v>38835</v>
      </c>
      <c r="M17" s="2">
        <v>39036</v>
      </c>
      <c r="N17" s="2">
        <v>39099</v>
      </c>
      <c r="O17" s="2">
        <v>39191</v>
      </c>
      <c r="P17" s="2">
        <v>39377</v>
      </c>
      <c r="Q17" s="2">
        <v>39601</v>
      </c>
      <c r="R17" s="2">
        <v>39768</v>
      </c>
      <c r="S17" s="2">
        <v>39866</v>
      </c>
      <c r="T17" s="2">
        <v>40049</v>
      </c>
      <c r="U17" s="2">
        <v>40185</v>
      </c>
      <c r="V17" s="2">
        <v>40310</v>
      </c>
      <c r="W17" s="2">
        <v>40531</v>
      </c>
      <c r="X17" s="2">
        <v>40742</v>
      </c>
      <c r="Y17" s="2">
        <v>40915</v>
      </c>
      <c r="Z17" s="2">
        <v>41138</v>
      </c>
      <c r="AA17" s="2">
        <v>41366</v>
      </c>
      <c r="AB17" s="2">
        <v>41483</v>
      </c>
      <c r="AC17" s="2">
        <v>41611</v>
      </c>
      <c r="AD17" s="2">
        <v>41663</v>
      </c>
      <c r="AE17" s="2">
        <v>41884</v>
      </c>
      <c r="AF17" s="49">
        <v>42089</v>
      </c>
      <c r="AG17" s="2">
        <v>42301</v>
      </c>
      <c r="AH17" s="49">
        <v>42507</v>
      </c>
      <c r="AI17" s="49">
        <v>42580</v>
      </c>
      <c r="AJ17" s="77">
        <f t="shared" si="0"/>
        <v>5242</v>
      </c>
    </row>
    <row r="18" spans="1:36" ht="20.149999999999999" customHeight="1">
      <c r="A18" s="2"/>
      <c r="B18" s="2"/>
      <c r="C18" s="79" t="s">
        <v>22</v>
      </c>
      <c r="D18" s="79">
        <v>2510</v>
      </c>
      <c r="E18" s="2">
        <v>2624</v>
      </c>
      <c r="F18" s="2">
        <v>2624</v>
      </c>
      <c r="G18" s="2">
        <v>2625</v>
      </c>
      <c r="H18" s="2">
        <v>2633</v>
      </c>
      <c r="I18" s="2">
        <v>2633</v>
      </c>
      <c r="J18" s="2">
        <v>2665</v>
      </c>
      <c r="K18" s="2">
        <v>2665</v>
      </c>
      <c r="L18" s="2">
        <v>2665</v>
      </c>
      <c r="M18" s="2">
        <v>2665</v>
      </c>
      <c r="N18" s="2">
        <v>2700</v>
      </c>
      <c r="O18" s="2">
        <v>2700</v>
      </c>
      <c r="P18" s="2">
        <v>2700</v>
      </c>
      <c r="Q18" s="2">
        <v>2700</v>
      </c>
      <c r="R18" s="2">
        <v>2730</v>
      </c>
      <c r="S18" s="2">
        <v>2730</v>
      </c>
      <c r="T18" s="2">
        <v>2730</v>
      </c>
      <c r="U18" s="2">
        <v>2730</v>
      </c>
      <c r="V18" s="2">
        <v>2730</v>
      </c>
      <c r="W18" s="2">
        <v>2730</v>
      </c>
      <c r="X18" s="2">
        <v>2734</v>
      </c>
      <c r="Y18" s="2">
        <v>2767</v>
      </c>
      <c r="Z18" s="2">
        <v>2767</v>
      </c>
      <c r="AA18" s="2">
        <v>2767</v>
      </c>
      <c r="AB18" s="2">
        <v>2767</v>
      </c>
      <c r="AC18" s="54">
        <v>2768</v>
      </c>
      <c r="AD18" s="68">
        <v>2930</v>
      </c>
      <c r="AE18" s="68">
        <v>2930</v>
      </c>
      <c r="AF18" s="68">
        <v>2930</v>
      </c>
      <c r="AG18" s="68">
        <v>2930</v>
      </c>
      <c r="AH18" s="68">
        <v>2930</v>
      </c>
      <c r="AI18" s="68">
        <v>2930</v>
      </c>
      <c r="AJ18" s="77">
        <f t="shared" si="0"/>
        <v>420</v>
      </c>
    </row>
    <row r="19" spans="1:36" ht="20.149999999999999" customHeight="1">
      <c r="A19" s="2">
        <v>7</v>
      </c>
      <c r="B19" s="2" t="s">
        <v>129</v>
      </c>
      <c r="C19" s="2" t="s">
        <v>117</v>
      </c>
      <c r="D19" s="79">
        <v>127802</v>
      </c>
      <c r="E19" s="2">
        <v>128427</v>
      </c>
      <c r="F19" s="2">
        <v>129091</v>
      </c>
      <c r="G19" s="75">
        <v>129579</v>
      </c>
      <c r="H19" s="75">
        <v>130035</v>
      </c>
      <c r="I19" s="2">
        <v>130676</v>
      </c>
      <c r="J19" s="2">
        <v>131286</v>
      </c>
      <c r="K19" s="2">
        <v>132012</v>
      </c>
      <c r="L19" s="2">
        <v>132712</v>
      </c>
      <c r="M19" s="2">
        <v>133384</v>
      </c>
      <c r="N19" s="2">
        <v>133764</v>
      </c>
      <c r="O19" s="2">
        <v>134284</v>
      </c>
      <c r="P19" s="2">
        <v>134875</v>
      </c>
      <c r="Q19" s="2">
        <v>135663</v>
      </c>
      <c r="R19" s="75">
        <v>136252</v>
      </c>
      <c r="S19" s="2">
        <v>136421</v>
      </c>
      <c r="T19" s="2">
        <v>136974</v>
      </c>
      <c r="U19" s="2">
        <v>137523</v>
      </c>
      <c r="V19" s="2">
        <v>138070</v>
      </c>
      <c r="W19" s="75">
        <v>138736</v>
      </c>
      <c r="X19" s="2">
        <v>139410</v>
      </c>
      <c r="Y19" s="2">
        <v>139972</v>
      </c>
      <c r="Z19" s="2">
        <v>140644</v>
      </c>
      <c r="AA19" s="2">
        <v>141324</v>
      </c>
      <c r="AB19" s="41">
        <v>141882</v>
      </c>
      <c r="AC19" s="2">
        <v>142364</v>
      </c>
      <c r="AD19" s="2">
        <v>142601</v>
      </c>
      <c r="AE19" s="49">
        <v>143300</v>
      </c>
      <c r="AF19" s="49">
        <v>143982</v>
      </c>
      <c r="AG19" s="49">
        <v>144684</v>
      </c>
      <c r="AH19" s="49">
        <v>145419</v>
      </c>
      <c r="AI19" s="49">
        <v>145691</v>
      </c>
      <c r="AJ19" s="77">
        <f t="shared" si="0"/>
        <v>17889</v>
      </c>
    </row>
    <row r="20" spans="1:36" ht="20.149999999999999" customHeight="1">
      <c r="A20" s="2"/>
      <c r="B20" s="2"/>
      <c r="C20" s="79" t="s">
        <v>22</v>
      </c>
      <c r="D20" s="79">
        <v>6554</v>
      </c>
      <c r="E20" s="2">
        <v>7051</v>
      </c>
      <c r="F20" s="2">
        <v>7051</v>
      </c>
      <c r="G20" s="2">
        <v>7075</v>
      </c>
      <c r="H20" s="2">
        <v>7091</v>
      </c>
      <c r="I20" s="2">
        <v>7091</v>
      </c>
      <c r="J20" s="2">
        <v>7155</v>
      </c>
      <c r="K20" s="2">
        <v>7155</v>
      </c>
      <c r="L20" s="2">
        <v>7155</v>
      </c>
      <c r="M20" s="2">
        <v>7155</v>
      </c>
      <c r="N20" s="2">
        <v>7336</v>
      </c>
      <c r="O20" s="2">
        <v>7336</v>
      </c>
      <c r="P20" s="2">
        <v>7336</v>
      </c>
      <c r="Q20" s="2">
        <v>7336</v>
      </c>
      <c r="R20" s="75">
        <v>7421</v>
      </c>
      <c r="S20" s="75">
        <v>7421</v>
      </c>
      <c r="T20" s="75">
        <v>7421</v>
      </c>
      <c r="U20" s="75">
        <v>7421</v>
      </c>
      <c r="V20" s="75">
        <v>7421</v>
      </c>
      <c r="W20" s="75">
        <v>7421</v>
      </c>
      <c r="X20" s="2">
        <v>7452</v>
      </c>
      <c r="Y20" s="2">
        <v>7534</v>
      </c>
      <c r="Z20" s="2">
        <v>7534</v>
      </c>
      <c r="AA20" s="2">
        <v>7534</v>
      </c>
      <c r="AB20" s="2">
        <v>7534</v>
      </c>
      <c r="AC20" s="68">
        <v>7543</v>
      </c>
      <c r="AD20" s="2">
        <v>7987</v>
      </c>
      <c r="AE20" s="2">
        <v>7987</v>
      </c>
      <c r="AF20" s="2">
        <v>7987</v>
      </c>
      <c r="AG20" s="2">
        <v>7987</v>
      </c>
      <c r="AH20" s="2">
        <v>7987</v>
      </c>
      <c r="AI20" s="2">
        <v>7987</v>
      </c>
      <c r="AJ20" s="77">
        <f t="shared" si="0"/>
        <v>1433</v>
      </c>
    </row>
    <row r="21" spans="1:36" ht="20.149999999999999" customHeight="1">
      <c r="A21" s="2">
        <v>8</v>
      </c>
      <c r="B21" s="2" t="s">
        <v>129</v>
      </c>
      <c r="C21" s="2" t="s">
        <v>118</v>
      </c>
      <c r="D21" s="79">
        <v>27550</v>
      </c>
      <c r="E21" s="2">
        <v>27652</v>
      </c>
      <c r="F21" s="2">
        <v>27772</v>
      </c>
      <c r="G21" s="75">
        <v>27908</v>
      </c>
      <c r="H21" s="75">
        <v>28025</v>
      </c>
      <c r="I21" s="2">
        <v>28167</v>
      </c>
      <c r="J21" s="2">
        <v>28236</v>
      </c>
      <c r="K21" s="2">
        <v>28370</v>
      </c>
      <c r="L21" s="2">
        <v>28532</v>
      </c>
      <c r="M21" s="2">
        <v>28691</v>
      </c>
      <c r="N21" s="2">
        <v>28820</v>
      </c>
      <c r="O21" s="2">
        <v>28985</v>
      </c>
      <c r="P21" s="2">
        <v>29164</v>
      </c>
      <c r="Q21" s="2">
        <v>29312</v>
      </c>
      <c r="R21" s="2">
        <v>29455</v>
      </c>
      <c r="S21" s="2">
        <v>29585</v>
      </c>
      <c r="T21" s="2">
        <v>29759</v>
      </c>
      <c r="U21" s="2">
        <v>29873</v>
      </c>
      <c r="V21" s="2">
        <v>30035</v>
      </c>
      <c r="W21" s="2">
        <v>30187</v>
      </c>
      <c r="X21" s="2">
        <v>30335</v>
      </c>
      <c r="Y21" s="2">
        <v>30455</v>
      </c>
      <c r="Z21" s="2">
        <v>30619</v>
      </c>
      <c r="AA21" s="2">
        <v>30744</v>
      </c>
      <c r="AB21" s="2">
        <v>30901</v>
      </c>
      <c r="AC21" s="2">
        <v>31015</v>
      </c>
      <c r="AD21" s="2">
        <v>31118</v>
      </c>
      <c r="AE21" s="49">
        <v>31261</v>
      </c>
      <c r="AF21" s="49">
        <v>31452</v>
      </c>
      <c r="AG21" s="49">
        <v>31590</v>
      </c>
      <c r="AH21" s="49">
        <v>31792</v>
      </c>
      <c r="AI21" s="49">
        <v>31846</v>
      </c>
      <c r="AJ21" s="77">
        <f t="shared" si="0"/>
        <v>4296</v>
      </c>
    </row>
    <row r="22" spans="1:36" ht="20.149999999999999" customHeight="1">
      <c r="A22" s="2"/>
      <c r="B22" s="2"/>
      <c r="C22" s="79" t="s">
        <v>22</v>
      </c>
      <c r="D22" s="79">
        <v>1261</v>
      </c>
      <c r="E22" s="2">
        <v>1360</v>
      </c>
      <c r="F22" s="2">
        <v>1360</v>
      </c>
      <c r="G22" s="2">
        <v>1366</v>
      </c>
      <c r="H22" s="2">
        <v>1368</v>
      </c>
      <c r="I22" s="2">
        <v>1368</v>
      </c>
      <c r="J22" s="2">
        <v>1376</v>
      </c>
      <c r="K22" s="2">
        <v>1376</v>
      </c>
      <c r="L22" s="2">
        <v>1376</v>
      </c>
      <c r="M22" s="2">
        <v>1376</v>
      </c>
      <c r="N22" s="2">
        <v>1433</v>
      </c>
      <c r="O22" s="2">
        <v>1433</v>
      </c>
      <c r="P22" s="2">
        <v>1433</v>
      </c>
      <c r="Q22" s="2">
        <v>1433</v>
      </c>
      <c r="R22" s="75">
        <v>1456</v>
      </c>
      <c r="S22" s="75">
        <v>1456</v>
      </c>
      <c r="T22" s="75">
        <v>1456</v>
      </c>
      <c r="U22" s="75">
        <v>1456</v>
      </c>
      <c r="V22" s="75">
        <v>1456</v>
      </c>
      <c r="W22" s="75">
        <v>1456</v>
      </c>
      <c r="X22" s="2">
        <v>1479</v>
      </c>
      <c r="Y22" s="2">
        <v>1489</v>
      </c>
      <c r="Z22" s="2">
        <v>1489</v>
      </c>
      <c r="AA22" s="2">
        <v>1489</v>
      </c>
      <c r="AB22" s="2">
        <v>1489</v>
      </c>
      <c r="AC22" s="2">
        <v>1491</v>
      </c>
      <c r="AD22" s="2">
        <v>1584</v>
      </c>
      <c r="AE22" s="2">
        <v>1584</v>
      </c>
      <c r="AF22" s="2">
        <v>1584</v>
      </c>
      <c r="AG22" s="2">
        <v>1584</v>
      </c>
      <c r="AH22" s="2">
        <v>1584</v>
      </c>
      <c r="AI22" s="2">
        <v>1584</v>
      </c>
      <c r="AJ22" s="77">
        <f t="shared" si="0"/>
        <v>323</v>
      </c>
    </row>
    <row r="23" spans="1:36" ht="14.5" customHeight="1">
      <c r="A23" s="503"/>
      <c r="B23" s="504"/>
      <c r="C23" s="504"/>
      <c r="D23" s="504"/>
      <c r="E23" s="504"/>
      <c r="F23" s="504"/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4"/>
      <c r="AA23" s="504"/>
      <c r="AB23" s="504"/>
      <c r="AC23" s="504"/>
      <c r="AD23" s="504"/>
      <c r="AE23" s="504"/>
      <c r="AF23" s="504"/>
      <c r="AG23" s="504"/>
      <c r="AH23" s="504"/>
      <c r="AI23" s="504"/>
      <c r="AJ23" s="501"/>
    </row>
    <row r="24" spans="1:36" ht="13" customHeight="1">
      <c r="A24" s="2">
        <v>1</v>
      </c>
      <c r="B24" s="2" t="s">
        <v>129</v>
      </c>
      <c r="C24" s="2" t="s">
        <v>119</v>
      </c>
      <c r="D24" s="79">
        <v>13170</v>
      </c>
      <c r="E24" s="2">
        <v>13266</v>
      </c>
      <c r="F24" s="2">
        <v>13367</v>
      </c>
      <c r="G24" s="2">
        <v>13418</v>
      </c>
      <c r="H24" s="2">
        <v>13418</v>
      </c>
      <c r="I24" s="2">
        <v>13532</v>
      </c>
      <c r="J24" s="2">
        <v>13630</v>
      </c>
      <c r="K24" s="2">
        <v>13734</v>
      </c>
      <c r="L24" s="2">
        <v>13836</v>
      </c>
      <c r="M24" s="2">
        <v>13933</v>
      </c>
      <c r="N24" s="2">
        <v>13951</v>
      </c>
      <c r="O24" s="2">
        <v>13951</v>
      </c>
      <c r="P24" s="2">
        <v>14051</v>
      </c>
      <c r="Q24" s="2">
        <v>14146</v>
      </c>
      <c r="R24" s="2">
        <v>14216</v>
      </c>
      <c r="S24" s="2">
        <v>14216</v>
      </c>
      <c r="T24" s="2">
        <v>14301</v>
      </c>
      <c r="U24" s="2">
        <v>14350</v>
      </c>
      <c r="V24" s="2">
        <v>14350</v>
      </c>
      <c r="W24" s="2">
        <v>14433</v>
      </c>
      <c r="X24" s="2">
        <v>14526</v>
      </c>
      <c r="Y24" s="2">
        <v>14595</v>
      </c>
      <c r="Z24" s="2">
        <v>14684</v>
      </c>
      <c r="AA24" s="2">
        <v>14770</v>
      </c>
      <c r="AB24" s="2">
        <v>14817</v>
      </c>
      <c r="AC24" s="2">
        <v>14817</v>
      </c>
      <c r="AD24" s="2">
        <v>14827</v>
      </c>
      <c r="AE24" s="2">
        <v>14920</v>
      </c>
      <c r="AF24" s="2">
        <v>15015</v>
      </c>
      <c r="AG24" s="2">
        <v>15110</v>
      </c>
      <c r="AH24" s="49">
        <v>15208</v>
      </c>
      <c r="AI24" s="49">
        <v>15229</v>
      </c>
      <c r="AJ24" s="82">
        <f t="shared" ref="AJ24:AJ31" si="1">AI24-D24</f>
        <v>2059</v>
      </c>
    </row>
    <row r="25" spans="1:36" ht="13" customHeight="1">
      <c r="A25" s="2"/>
      <c r="B25" s="2"/>
      <c r="C25" s="80" t="s">
        <v>22</v>
      </c>
      <c r="D25" s="79">
        <v>1153</v>
      </c>
      <c r="E25" s="2">
        <v>1206</v>
      </c>
      <c r="F25" s="2">
        <v>1206</v>
      </c>
      <c r="G25" s="2">
        <v>1212</v>
      </c>
      <c r="H25" s="2">
        <v>1212</v>
      </c>
      <c r="I25" s="2">
        <v>1212</v>
      </c>
      <c r="J25" s="2">
        <v>1225</v>
      </c>
      <c r="K25" s="2">
        <v>1225</v>
      </c>
      <c r="L25" s="2">
        <v>1225</v>
      </c>
      <c r="M25" s="2">
        <v>1225</v>
      </c>
      <c r="N25" s="2">
        <v>1264</v>
      </c>
      <c r="O25" s="2">
        <v>1264</v>
      </c>
      <c r="P25" s="2">
        <v>1264</v>
      </c>
      <c r="Q25" s="2">
        <v>1264</v>
      </c>
      <c r="R25" s="2">
        <v>1282</v>
      </c>
      <c r="S25" s="2">
        <v>1282</v>
      </c>
      <c r="T25" s="2">
        <v>1282</v>
      </c>
      <c r="U25" s="2">
        <v>1282</v>
      </c>
      <c r="V25" s="2">
        <v>1282</v>
      </c>
      <c r="W25" s="2">
        <v>1282</v>
      </c>
      <c r="X25" s="2">
        <v>1282</v>
      </c>
      <c r="Y25" s="2">
        <v>1297</v>
      </c>
      <c r="Z25" s="2">
        <v>1297</v>
      </c>
      <c r="AA25" s="2">
        <v>1297</v>
      </c>
      <c r="AB25" s="2">
        <v>1297</v>
      </c>
      <c r="AC25" s="2">
        <v>1297</v>
      </c>
      <c r="AD25" s="2">
        <v>1394</v>
      </c>
      <c r="AE25" s="2">
        <v>1394</v>
      </c>
      <c r="AF25" s="2">
        <v>1394</v>
      </c>
      <c r="AG25" s="2">
        <v>1394</v>
      </c>
      <c r="AH25" s="2">
        <v>1394</v>
      </c>
      <c r="AI25" s="2">
        <v>1394</v>
      </c>
      <c r="AJ25" s="82">
        <f t="shared" si="1"/>
        <v>241</v>
      </c>
    </row>
    <row r="26" spans="1:36" ht="13" customHeight="1">
      <c r="A26" s="2">
        <v>2</v>
      </c>
      <c r="B26" s="2" t="s">
        <v>129</v>
      </c>
      <c r="C26" s="2" t="s">
        <v>120</v>
      </c>
      <c r="D26" s="79">
        <v>12367</v>
      </c>
      <c r="E26" s="2">
        <v>12430</v>
      </c>
      <c r="F26" s="2">
        <v>12507</v>
      </c>
      <c r="G26" s="75">
        <v>12531</v>
      </c>
      <c r="H26" s="75">
        <v>12531</v>
      </c>
      <c r="I26" s="2">
        <v>12601</v>
      </c>
      <c r="J26" s="2">
        <v>12662</v>
      </c>
      <c r="K26" s="2">
        <v>12725</v>
      </c>
      <c r="L26" s="2">
        <v>12788</v>
      </c>
      <c r="M26" s="2">
        <v>12850</v>
      </c>
      <c r="N26" s="2">
        <v>12863</v>
      </c>
      <c r="O26" s="2">
        <v>12863</v>
      </c>
      <c r="P26" s="2">
        <v>12936</v>
      </c>
      <c r="Q26" s="2">
        <v>13001</v>
      </c>
      <c r="R26" s="2">
        <v>13050</v>
      </c>
      <c r="S26" s="2">
        <v>13050</v>
      </c>
      <c r="T26" s="2">
        <v>13107</v>
      </c>
      <c r="U26" s="2">
        <v>13140</v>
      </c>
      <c r="V26" s="2">
        <v>13140</v>
      </c>
      <c r="W26" s="2">
        <v>13223</v>
      </c>
      <c r="X26" s="2">
        <v>13316</v>
      </c>
      <c r="Y26" s="2">
        <v>13391</v>
      </c>
      <c r="Z26" s="2">
        <v>13480</v>
      </c>
      <c r="AA26" s="2">
        <v>13561</v>
      </c>
      <c r="AB26" s="2">
        <v>13595</v>
      </c>
      <c r="AC26" s="2">
        <v>13595</v>
      </c>
      <c r="AD26" s="2">
        <v>13605</v>
      </c>
      <c r="AE26" s="49">
        <v>13708</v>
      </c>
      <c r="AF26" s="49">
        <v>13812</v>
      </c>
      <c r="AG26" s="49">
        <v>13913</v>
      </c>
      <c r="AH26" s="49">
        <v>14015</v>
      </c>
      <c r="AI26" s="49">
        <v>14037</v>
      </c>
      <c r="AJ26" s="82">
        <f t="shared" si="1"/>
        <v>1670</v>
      </c>
    </row>
    <row r="27" spans="1:36" ht="13" customHeight="1">
      <c r="A27" s="2"/>
      <c r="B27" s="2"/>
      <c r="C27" s="80" t="s">
        <v>22</v>
      </c>
      <c r="D27" s="79">
        <v>1175</v>
      </c>
      <c r="E27" s="2">
        <v>1211</v>
      </c>
      <c r="F27" s="2">
        <v>1211</v>
      </c>
      <c r="G27" s="2">
        <v>1214</v>
      </c>
      <c r="H27" s="2">
        <v>1214</v>
      </c>
      <c r="I27" s="2">
        <v>1214</v>
      </c>
      <c r="J27" s="2">
        <v>1222</v>
      </c>
      <c r="K27" s="2">
        <v>1222</v>
      </c>
      <c r="L27" s="2">
        <v>1222</v>
      </c>
      <c r="M27" s="2">
        <v>1222</v>
      </c>
      <c r="N27" s="2">
        <v>1247</v>
      </c>
      <c r="O27" s="2">
        <v>1247</v>
      </c>
      <c r="P27" s="2">
        <v>1247</v>
      </c>
      <c r="Q27" s="2">
        <v>1247</v>
      </c>
      <c r="R27" s="2">
        <v>1258</v>
      </c>
      <c r="S27" s="2">
        <v>1258</v>
      </c>
      <c r="T27" s="2">
        <v>1258</v>
      </c>
      <c r="U27" s="2">
        <v>1258</v>
      </c>
      <c r="V27" s="2">
        <v>1258</v>
      </c>
      <c r="W27" s="2">
        <v>1258</v>
      </c>
      <c r="X27" s="2">
        <v>1258</v>
      </c>
      <c r="Y27" s="2">
        <v>1275</v>
      </c>
      <c r="Z27" s="2">
        <v>1275</v>
      </c>
      <c r="AA27" s="2">
        <v>1275</v>
      </c>
      <c r="AB27" s="2">
        <v>1275</v>
      </c>
      <c r="AC27" s="2">
        <v>1275</v>
      </c>
      <c r="AD27" s="2">
        <v>1377</v>
      </c>
      <c r="AE27" s="2">
        <v>1377</v>
      </c>
      <c r="AF27" s="2">
        <v>1377</v>
      </c>
      <c r="AG27" s="49">
        <v>1377</v>
      </c>
      <c r="AH27" s="49">
        <v>1377</v>
      </c>
      <c r="AI27" s="49">
        <v>1377</v>
      </c>
      <c r="AJ27" s="82">
        <f t="shared" si="1"/>
        <v>202</v>
      </c>
    </row>
    <row r="28" spans="1:36" ht="13" customHeight="1">
      <c r="A28" s="2">
        <v>3</v>
      </c>
      <c r="B28" s="2" t="s">
        <v>129</v>
      </c>
      <c r="C28" s="2" t="s">
        <v>121</v>
      </c>
      <c r="D28" s="80">
        <v>11346</v>
      </c>
      <c r="E28" s="2">
        <v>11456</v>
      </c>
      <c r="F28" s="2">
        <v>11539</v>
      </c>
      <c r="G28" s="2">
        <v>11616</v>
      </c>
      <c r="H28" s="2">
        <v>11616</v>
      </c>
      <c r="I28" s="2">
        <v>11732</v>
      </c>
      <c r="J28" s="2">
        <v>11834</v>
      </c>
      <c r="K28" s="2">
        <v>11942</v>
      </c>
      <c r="L28" s="2">
        <v>12052</v>
      </c>
      <c r="M28" s="2">
        <v>12164</v>
      </c>
      <c r="N28" s="2">
        <v>12185</v>
      </c>
      <c r="O28" s="2">
        <v>12185</v>
      </c>
      <c r="P28" s="2">
        <v>12300</v>
      </c>
      <c r="Q28" s="2">
        <v>12407</v>
      </c>
      <c r="R28" s="2">
        <v>12495</v>
      </c>
      <c r="S28" s="2">
        <v>12495</v>
      </c>
      <c r="T28" s="2">
        <v>12604</v>
      </c>
      <c r="U28" s="2">
        <v>12669</v>
      </c>
      <c r="V28" s="2">
        <v>12669</v>
      </c>
      <c r="W28" s="2">
        <v>12759</v>
      </c>
      <c r="X28" s="2">
        <v>12853</v>
      </c>
      <c r="Y28" s="2">
        <v>12928</v>
      </c>
      <c r="Z28" s="2">
        <v>13026</v>
      </c>
      <c r="AA28" s="2">
        <v>13122</v>
      </c>
      <c r="AB28" s="2">
        <v>13157</v>
      </c>
      <c r="AC28" s="2">
        <v>13157</v>
      </c>
      <c r="AD28" s="2">
        <v>13167</v>
      </c>
      <c r="AE28" s="2">
        <v>13264</v>
      </c>
      <c r="AF28" s="2">
        <v>13358</v>
      </c>
      <c r="AG28" s="2">
        <v>13455</v>
      </c>
      <c r="AH28" s="2">
        <v>13559</v>
      </c>
      <c r="AI28" s="2">
        <v>13582</v>
      </c>
      <c r="AJ28" s="82">
        <f t="shared" si="1"/>
        <v>2236</v>
      </c>
    </row>
    <row r="29" spans="1:36" ht="13" customHeight="1">
      <c r="A29" s="2"/>
      <c r="B29" s="2"/>
      <c r="C29" s="80" t="s">
        <v>22</v>
      </c>
      <c r="D29" s="79">
        <v>1218</v>
      </c>
      <c r="E29" s="2">
        <v>1279</v>
      </c>
      <c r="F29" s="2">
        <v>1279</v>
      </c>
      <c r="G29" s="2">
        <v>1285</v>
      </c>
      <c r="H29" s="2">
        <v>1285</v>
      </c>
      <c r="I29" s="2">
        <v>1285</v>
      </c>
      <c r="J29" s="2">
        <v>1298</v>
      </c>
      <c r="K29" s="2">
        <v>1298</v>
      </c>
      <c r="L29" s="2">
        <v>1298</v>
      </c>
      <c r="M29" s="2">
        <v>1298</v>
      </c>
      <c r="N29" s="2">
        <v>1341</v>
      </c>
      <c r="O29" s="2">
        <v>1341</v>
      </c>
      <c r="P29" s="2">
        <v>1341</v>
      </c>
      <c r="Q29" s="2">
        <v>1341</v>
      </c>
      <c r="R29" s="2">
        <v>1362</v>
      </c>
      <c r="S29" s="2">
        <v>1362</v>
      </c>
      <c r="T29" s="2">
        <v>1362</v>
      </c>
      <c r="U29" s="2">
        <v>1362</v>
      </c>
      <c r="V29" s="2">
        <v>1362</v>
      </c>
      <c r="W29" s="2">
        <v>1362</v>
      </c>
      <c r="X29" s="2">
        <v>1362</v>
      </c>
      <c r="Y29" s="2">
        <v>1378</v>
      </c>
      <c r="Z29" s="2">
        <v>1378</v>
      </c>
      <c r="AA29" s="2">
        <v>1378</v>
      </c>
      <c r="AB29" s="2">
        <v>1378</v>
      </c>
      <c r="AC29" s="2">
        <v>1378</v>
      </c>
      <c r="AD29" s="2">
        <v>1472</v>
      </c>
      <c r="AE29" s="2">
        <v>1472</v>
      </c>
      <c r="AF29" s="2">
        <v>1472</v>
      </c>
      <c r="AG29" s="2">
        <v>1472</v>
      </c>
      <c r="AH29" s="49">
        <v>1472</v>
      </c>
      <c r="AI29" s="49">
        <v>1472</v>
      </c>
      <c r="AJ29" s="82">
        <f t="shared" si="1"/>
        <v>254</v>
      </c>
    </row>
    <row r="30" spans="1:36" ht="13" customHeight="1">
      <c r="A30" s="2">
        <v>4</v>
      </c>
      <c r="B30" s="2" t="s">
        <v>129</v>
      </c>
      <c r="C30" s="2" t="s">
        <v>122</v>
      </c>
      <c r="D30" s="79">
        <v>10968</v>
      </c>
      <c r="E30" s="2">
        <v>11069</v>
      </c>
      <c r="F30" s="2">
        <v>11171</v>
      </c>
      <c r="G30" s="2">
        <v>11223</v>
      </c>
      <c r="H30" s="2">
        <v>11223</v>
      </c>
      <c r="I30" s="2">
        <v>11334</v>
      </c>
      <c r="J30" s="2">
        <v>11430</v>
      </c>
      <c r="K30" s="2">
        <v>11535</v>
      </c>
      <c r="L30" s="2">
        <v>11637</v>
      </c>
      <c r="M30" s="2">
        <v>11736</v>
      </c>
      <c r="N30" s="2">
        <v>11755</v>
      </c>
      <c r="O30" s="2">
        <v>11755</v>
      </c>
      <c r="P30" s="2">
        <v>11859</v>
      </c>
      <c r="Q30" s="2">
        <v>11960</v>
      </c>
      <c r="R30" s="2">
        <v>12040</v>
      </c>
      <c r="S30" s="2">
        <v>12040</v>
      </c>
      <c r="T30" s="2">
        <v>12147</v>
      </c>
      <c r="U30" s="2">
        <v>12202</v>
      </c>
      <c r="V30" s="2">
        <v>12202</v>
      </c>
      <c r="W30" s="2">
        <v>12287</v>
      </c>
      <c r="X30" s="2">
        <v>12387</v>
      </c>
      <c r="Y30" s="2">
        <v>12467</v>
      </c>
      <c r="Z30" s="2">
        <v>12564</v>
      </c>
      <c r="AA30" s="2">
        <v>12661</v>
      </c>
      <c r="AB30" s="2">
        <v>12711</v>
      </c>
      <c r="AC30" s="2">
        <v>12711</v>
      </c>
      <c r="AD30" s="2">
        <v>12718</v>
      </c>
      <c r="AE30" s="2">
        <v>12833</v>
      </c>
      <c r="AF30" s="2">
        <v>12914</v>
      </c>
      <c r="AG30" s="2">
        <v>12958</v>
      </c>
      <c r="AH30" s="49">
        <v>13007</v>
      </c>
      <c r="AI30" s="49">
        <v>13023</v>
      </c>
      <c r="AJ30" s="82">
        <f t="shared" si="1"/>
        <v>2055</v>
      </c>
    </row>
    <row r="31" spans="1:36" ht="13" customHeight="1">
      <c r="A31" s="2"/>
      <c r="B31" s="2"/>
      <c r="C31" s="80" t="s">
        <v>22</v>
      </c>
      <c r="D31" s="79">
        <v>1038</v>
      </c>
      <c r="E31" s="2">
        <v>1096</v>
      </c>
      <c r="F31" s="2">
        <v>1096</v>
      </c>
      <c r="G31" s="2">
        <v>1102</v>
      </c>
      <c r="H31" s="2">
        <v>1102</v>
      </c>
      <c r="I31" s="2">
        <v>1102</v>
      </c>
      <c r="J31" s="2">
        <v>1118</v>
      </c>
      <c r="K31" s="2">
        <v>1118</v>
      </c>
      <c r="L31" s="2">
        <v>1118</v>
      </c>
      <c r="M31" s="2">
        <v>1118</v>
      </c>
      <c r="N31" s="2">
        <v>1157</v>
      </c>
      <c r="O31" s="2">
        <v>1157</v>
      </c>
      <c r="P31" s="2">
        <v>1157</v>
      </c>
      <c r="Q31" s="2">
        <v>1157</v>
      </c>
      <c r="R31" s="2">
        <v>1175</v>
      </c>
      <c r="S31" s="2">
        <v>1175</v>
      </c>
      <c r="T31" s="2">
        <v>1175</v>
      </c>
      <c r="U31" s="2">
        <v>1175</v>
      </c>
      <c r="V31" s="2">
        <v>1175</v>
      </c>
      <c r="W31" s="2">
        <v>1175</v>
      </c>
      <c r="X31" s="2">
        <v>1175</v>
      </c>
      <c r="Y31" s="2">
        <v>1192</v>
      </c>
      <c r="Z31" s="2">
        <v>1192</v>
      </c>
      <c r="AA31" s="2">
        <v>1192</v>
      </c>
      <c r="AB31" s="2">
        <v>1192</v>
      </c>
      <c r="AC31" s="2">
        <v>1192</v>
      </c>
      <c r="AD31" s="2">
        <v>1287</v>
      </c>
      <c r="AE31" s="2">
        <v>1287</v>
      </c>
      <c r="AF31" s="2">
        <v>1287</v>
      </c>
      <c r="AG31" s="2">
        <v>1287</v>
      </c>
      <c r="AH31" s="2">
        <v>1287</v>
      </c>
      <c r="AI31" s="2">
        <v>1287</v>
      </c>
      <c r="AJ31" s="82">
        <f t="shared" si="1"/>
        <v>249</v>
      </c>
    </row>
    <row r="32" spans="1:36" ht="14.5" customHeight="1">
      <c r="A32" s="503"/>
      <c r="B32" s="504"/>
      <c r="C32" s="504"/>
      <c r="D32" s="504"/>
      <c r="E32" s="50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  <c r="R32" s="504"/>
      <c r="S32" s="504"/>
      <c r="T32" s="504"/>
      <c r="U32" s="504"/>
      <c r="V32" s="504"/>
      <c r="W32" s="504"/>
      <c r="X32" s="504"/>
      <c r="Y32" s="504"/>
      <c r="Z32" s="504"/>
      <c r="AA32" s="504"/>
      <c r="AB32" s="504"/>
      <c r="AC32" s="504"/>
      <c r="AD32" s="504"/>
      <c r="AE32" s="504"/>
      <c r="AF32" s="504"/>
      <c r="AG32" s="504"/>
      <c r="AH32" s="504"/>
      <c r="AI32" s="504"/>
      <c r="AJ32" s="501"/>
    </row>
    <row r="33" spans="1:36" ht="13" customHeight="1">
      <c r="A33" s="2">
        <v>1</v>
      </c>
      <c r="B33" s="2" t="s">
        <v>129</v>
      </c>
      <c r="C33" s="2" t="s">
        <v>123</v>
      </c>
      <c r="D33" s="83">
        <v>105491.36</v>
      </c>
      <c r="E33" s="84">
        <v>106681.66</v>
      </c>
      <c r="F33" s="84">
        <v>107328.37</v>
      </c>
      <c r="G33" s="84">
        <v>107774.45</v>
      </c>
      <c r="H33" s="84">
        <v>107774.45</v>
      </c>
      <c r="I33" s="84">
        <v>108807.72</v>
      </c>
      <c r="J33" s="84">
        <v>109643.75</v>
      </c>
      <c r="K33" s="84">
        <v>110409.85</v>
      </c>
      <c r="L33" s="84">
        <v>111051.93</v>
      </c>
      <c r="M33" s="84">
        <v>111705.25</v>
      </c>
      <c r="N33" s="84">
        <v>112033.31</v>
      </c>
      <c r="O33" s="84">
        <v>112033.31</v>
      </c>
      <c r="P33" s="84">
        <v>113020.91</v>
      </c>
      <c r="Q33" s="84">
        <v>114019.42</v>
      </c>
      <c r="R33" s="85">
        <v>114932.74</v>
      </c>
      <c r="S33" s="85">
        <v>114932.74</v>
      </c>
      <c r="T33" s="85">
        <v>115860.72</v>
      </c>
      <c r="U33" s="85">
        <v>116271.87</v>
      </c>
      <c r="V33" s="85">
        <v>116271.87</v>
      </c>
      <c r="W33" s="85">
        <v>117228.87</v>
      </c>
      <c r="X33" s="85">
        <v>118297.95</v>
      </c>
      <c r="Y33" s="85">
        <v>119087.81</v>
      </c>
      <c r="Z33" s="85">
        <v>119872.3</v>
      </c>
      <c r="AA33" s="85">
        <v>120483.17</v>
      </c>
      <c r="AB33" s="85">
        <v>120915.77</v>
      </c>
      <c r="AC33" s="85">
        <v>120915.77</v>
      </c>
      <c r="AD33" s="85">
        <v>122207.02</v>
      </c>
      <c r="AE33" s="85">
        <v>123312.55</v>
      </c>
      <c r="AF33" s="85">
        <v>124219.4</v>
      </c>
      <c r="AG33" s="85">
        <v>124794.27</v>
      </c>
      <c r="AH33" s="86">
        <v>125476.67</v>
      </c>
      <c r="AI33" s="86">
        <v>125611</v>
      </c>
      <c r="AJ33" s="82">
        <f>AI33-D33</f>
        <v>20119.64</v>
      </c>
    </row>
    <row r="34" spans="1:36" ht="13" customHeight="1">
      <c r="A34" s="2">
        <v>2</v>
      </c>
      <c r="B34" s="2" t="s">
        <v>129</v>
      </c>
      <c r="C34" s="2" t="s">
        <v>124</v>
      </c>
      <c r="D34" s="83">
        <v>106652.85</v>
      </c>
      <c r="E34" s="87">
        <v>108172.67</v>
      </c>
      <c r="F34" s="87">
        <v>109044.47</v>
      </c>
      <c r="G34" s="88">
        <v>109623.23</v>
      </c>
      <c r="H34" s="84">
        <v>109623.23</v>
      </c>
      <c r="I34" s="84">
        <v>110705.24</v>
      </c>
      <c r="J34" s="84">
        <v>111558.07</v>
      </c>
      <c r="K34" s="84">
        <v>112478.65</v>
      </c>
      <c r="L34" s="84">
        <v>113126.42</v>
      </c>
      <c r="M34" s="84">
        <v>113851.7</v>
      </c>
      <c r="N34" s="84">
        <v>114346.31</v>
      </c>
      <c r="O34" s="84">
        <v>114346.31</v>
      </c>
      <c r="P34" s="84">
        <v>115248.36</v>
      </c>
      <c r="Q34" s="84">
        <v>116117.64</v>
      </c>
      <c r="R34" s="85">
        <v>116928.92</v>
      </c>
      <c r="S34" s="85">
        <v>116928.92</v>
      </c>
      <c r="T34" s="85">
        <v>118010.57</v>
      </c>
      <c r="U34" s="85">
        <v>118622.32</v>
      </c>
      <c r="V34" s="85">
        <v>118622.32</v>
      </c>
      <c r="W34" s="85">
        <v>119779.91</v>
      </c>
      <c r="X34" s="85">
        <v>120997.48</v>
      </c>
      <c r="Y34" s="85">
        <v>122224.54</v>
      </c>
      <c r="Z34" s="85">
        <v>123253.37</v>
      </c>
      <c r="AA34" s="85">
        <v>124618.44</v>
      </c>
      <c r="AB34" s="85">
        <v>125477.95</v>
      </c>
      <c r="AC34" s="85">
        <v>125477.95</v>
      </c>
      <c r="AD34" s="85">
        <v>125691.09</v>
      </c>
      <c r="AE34" s="85">
        <v>126529.22</v>
      </c>
      <c r="AF34" s="85">
        <v>127454.33</v>
      </c>
      <c r="AG34" s="85">
        <v>128290.49</v>
      </c>
      <c r="AH34" s="86">
        <v>129289.71</v>
      </c>
      <c r="AI34" s="86">
        <v>129491</v>
      </c>
      <c r="AJ34" s="82">
        <f>AI34-D34</f>
        <v>22838.149999999994</v>
      </c>
    </row>
    <row r="35" spans="1:36" ht="13" customHeight="1">
      <c r="A35" s="2">
        <v>3</v>
      </c>
      <c r="B35" s="2" t="s">
        <v>129</v>
      </c>
      <c r="C35" s="2" t="s">
        <v>125</v>
      </c>
      <c r="D35" s="83">
        <v>113637.95</v>
      </c>
      <c r="E35" s="84">
        <v>115077.08</v>
      </c>
      <c r="F35" s="84">
        <v>115934.9</v>
      </c>
      <c r="G35" s="84">
        <v>116414.63</v>
      </c>
      <c r="H35" s="84">
        <v>116414.63</v>
      </c>
      <c r="I35" s="84">
        <v>117562.07</v>
      </c>
      <c r="J35" s="84">
        <v>118517.4</v>
      </c>
      <c r="K35" s="84">
        <v>119492.19</v>
      </c>
      <c r="L35" s="84">
        <v>120335.4</v>
      </c>
      <c r="M35" s="84">
        <v>121135.42</v>
      </c>
      <c r="N35" s="84">
        <v>121669.78</v>
      </c>
      <c r="O35" s="84">
        <v>121669.78</v>
      </c>
      <c r="P35" s="84">
        <v>122678.96</v>
      </c>
      <c r="Q35" s="84">
        <v>123637.49</v>
      </c>
      <c r="R35" s="84">
        <v>124450.24000000001</v>
      </c>
      <c r="S35" s="85">
        <v>124450.24000000001</v>
      </c>
      <c r="T35" s="85">
        <v>125384.11</v>
      </c>
      <c r="U35" s="85">
        <v>125869.23</v>
      </c>
      <c r="V35" s="85">
        <v>125869.23</v>
      </c>
      <c r="W35" s="85">
        <v>126955.12</v>
      </c>
      <c r="X35" s="85">
        <v>128117.06</v>
      </c>
      <c r="Y35" s="85">
        <v>129126.9</v>
      </c>
      <c r="Z35" s="85">
        <v>129977.56</v>
      </c>
      <c r="AA35" s="85">
        <v>130794.35</v>
      </c>
      <c r="AB35" s="85">
        <v>131206.81</v>
      </c>
      <c r="AC35" s="85">
        <v>131206.81</v>
      </c>
      <c r="AD35" s="85">
        <v>132399.57</v>
      </c>
      <c r="AE35" s="85">
        <v>133468.99</v>
      </c>
      <c r="AF35" s="85">
        <v>134564.20000000001</v>
      </c>
      <c r="AG35" s="85">
        <v>135502.54</v>
      </c>
      <c r="AH35" s="86">
        <v>136412.24</v>
      </c>
      <c r="AI35" s="86">
        <v>136638</v>
      </c>
      <c r="AJ35" s="82">
        <f>AI35-D35</f>
        <v>23000.050000000003</v>
      </c>
    </row>
    <row r="36" spans="1:36" ht="13" customHeight="1">
      <c r="A36" s="2">
        <v>4</v>
      </c>
      <c r="B36" s="2" t="s">
        <v>129</v>
      </c>
      <c r="C36" s="2" t="s">
        <v>126</v>
      </c>
      <c r="D36" s="83">
        <v>130737.1</v>
      </c>
      <c r="E36" s="84">
        <v>132032.14000000001</v>
      </c>
      <c r="F36" s="84">
        <v>132902.89000000001</v>
      </c>
      <c r="G36" s="84">
        <v>133355.68</v>
      </c>
      <c r="H36" s="84">
        <v>133355.68</v>
      </c>
      <c r="I36" s="84">
        <v>134790.24</v>
      </c>
      <c r="J36" s="84">
        <v>135822.31</v>
      </c>
      <c r="K36" s="84">
        <v>136733.19</v>
      </c>
      <c r="L36" s="84">
        <v>137604.6</v>
      </c>
      <c r="M36" s="84">
        <v>138436.45000000001</v>
      </c>
      <c r="N36" s="84">
        <v>138949.32999999999</v>
      </c>
      <c r="O36" s="84">
        <v>138949.32999999999</v>
      </c>
      <c r="P36" s="84">
        <v>140202.45000000001</v>
      </c>
      <c r="Q36" s="84">
        <v>141236.04</v>
      </c>
      <c r="R36" s="85">
        <v>142125.01</v>
      </c>
      <c r="S36" s="85">
        <v>142125.01</v>
      </c>
      <c r="T36" s="85">
        <v>143166.62</v>
      </c>
      <c r="U36" s="85">
        <v>143517.28</v>
      </c>
      <c r="V36" s="85">
        <v>143517.28</v>
      </c>
      <c r="W36" s="85">
        <v>144693.45000000001</v>
      </c>
      <c r="X36" s="85">
        <v>145910.46</v>
      </c>
      <c r="Y36" s="85">
        <v>146900.60999999999</v>
      </c>
      <c r="Z36" s="85">
        <v>147911.42000000001</v>
      </c>
      <c r="AA36" s="85">
        <v>148890.74</v>
      </c>
      <c r="AB36" s="85">
        <v>149419.9</v>
      </c>
      <c r="AC36" s="85">
        <v>149419.9</v>
      </c>
      <c r="AD36" s="85">
        <v>150780.46</v>
      </c>
      <c r="AE36" s="85">
        <v>151765.21</v>
      </c>
      <c r="AF36" s="85">
        <v>152990.79999999999</v>
      </c>
      <c r="AG36" s="85">
        <v>153819.54</v>
      </c>
      <c r="AH36" s="86">
        <v>154837.29</v>
      </c>
      <c r="AI36" s="86">
        <v>155000</v>
      </c>
      <c r="AJ36" s="82">
        <f>AI36-D36</f>
        <v>24262.899999999994</v>
      </c>
    </row>
    <row r="37" spans="1:36">
      <c r="D37" s="90"/>
      <c r="E37" s="90"/>
      <c r="AD37" s="76"/>
    </row>
    <row r="38" spans="1:36" ht="13" customHeight="1">
      <c r="A38" s="91"/>
      <c r="B38" s="92"/>
      <c r="C38" s="92"/>
      <c r="D38" s="92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</row>
    <row r="39" spans="1:36" ht="14.5" customHeight="1">
      <c r="A39" s="93"/>
      <c r="B39" s="534" t="s">
        <v>127</v>
      </c>
      <c r="C39" s="504"/>
      <c r="D39" s="501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</row>
    <row r="40" spans="1:36" ht="14.5" customHeight="1">
      <c r="A40" s="94"/>
      <c r="B40" s="538" t="s">
        <v>128</v>
      </c>
      <c r="C40" s="504"/>
      <c r="D40" s="501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</row>
    <row r="41" spans="1:36" ht="13" customHeight="1">
      <c r="A41" s="529" t="s">
        <v>99</v>
      </c>
      <c r="B41" s="529" t="s">
        <v>100</v>
      </c>
      <c r="C41" s="529" t="s">
        <v>101</v>
      </c>
      <c r="D41" s="517"/>
      <c r="E41" s="95">
        <f t="shared" ref="E41:AI41" si="2">E3</f>
        <v>45505</v>
      </c>
      <c r="F41" s="95">
        <f t="shared" si="2"/>
        <v>45506</v>
      </c>
      <c r="G41" s="95">
        <f t="shared" si="2"/>
        <v>45507</v>
      </c>
      <c r="H41" s="95">
        <f t="shared" si="2"/>
        <v>45508</v>
      </c>
      <c r="I41" s="95">
        <f t="shared" si="2"/>
        <v>45509</v>
      </c>
      <c r="J41" s="95">
        <f t="shared" si="2"/>
        <v>45510</v>
      </c>
      <c r="K41" s="95">
        <f t="shared" si="2"/>
        <v>45511</v>
      </c>
      <c r="L41" s="95">
        <f t="shared" si="2"/>
        <v>45512</v>
      </c>
      <c r="M41" s="95">
        <f t="shared" si="2"/>
        <v>45513</v>
      </c>
      <c r="N41" s="95">
        <f t="shared" si="2"/>
        <v>45514</v>
      </c>
      <c r="O41" s="95">
        <f t="shared" si="2"/>
        <v>45515</v>
      </c>
      <c r="P41" s="95">
        <f t="shared" si="2"/>
        <v>45516</v>
      </c>
      <c r="Q41" s="95">
        <f t="shared" si="2"/>
        <v>45517</v>
      </c>
      <c r="R41" s="95">
        <f t="shared" si="2"/>
        <v>45518</v>
      </c>
      <c r="S41" s="95">
        <f t="shared" si="2"/>
        <v>45519</v>
      </c>
      <c r="T41" s="95">
        <f t="shared" si="2"/>
        <v>45520</v>
      </c>
      <c r="U41" s="95">
        <f t="shared" si="2"/>
        <v>45521</v>
      </c>
      <c r="V41" s="95">
        <f t="shared" si="2"/>
        <v>45522</v>
      </c>
      <c r="W41" s="95">
        <f t="shared" si="2"/>
        <v>45523</v>
      </c>
      <c r="X41" s="95">
        <f t="shared" si="2"/>
        <v>45524</v>
      </c>
      <c r="Y41" s="95">
        <f t="shared" si="2"/>
        <v>45525</v>
      </c>
      <c r="Z41" s="95">
        <f t="shared" si="2"/>
        <v>45526</v>
      </c>
      <c r="AA41" s="95">
        <f t="shared" si="2"/>
        <v>45527</v>
      </c>
      <c r="AB41" s="95">
        <f t="shared" si="2"/>
        <v>45528</v>
      </c>
      <c r="AC41" s="95">
        <f t="shared" si="2"/>
        <v>45529</v>
      </c>
      <c r="AD41" s="95">
        <f t="shared" si="2"/>
        <v>45530</v>
      </c>
      <c r="AE41" s="95">
        <f t="shared" si="2"/>
        <v>45531</v>
      </c>
      <c r="AF41" s="95">
        <f t="shared" si="2"/>
        <v>45532</v>
      </c>
      <c r="AG41" s="95">
        <f t="shared" si="2"/>
        <v>45533</v>
      </c>
      <c r="AH41" s="95">
        <f t="shared" si="2"/>
        <v>45534</v>
      </c>
      <c r="AI41" s="95">
        <f t="shared" si="2"/>
        <v>45535</v>
      </c>
      <c r="AJ41" s="529" t="s">
        <v>1</v>
      </c>
    </row>
    <row r="42" spans="1:36" ht="13" customHeight="1">
      <c r="A42" s="508"/>
      <c r="B42" s="508"/>
      <c r="C42" s="518"/>
      <c r="D42" s="519"/>
      <c r="E42" s="96" t="str">
        <f t="shared" ref="E42:AI42" si="3">E4</f>
        <v>Thu</v>
      </c>
      <c r="F42" s="96" t="str">
        <f t="shared" si="3"/>
        <v>Fri</v>
      </c>
      <c r="G42" s="96" t="str">
        <f t="shared" si="3"/>
        <v>Sat</v>
      </c>
      <c r="H42" s="96" t="str">
        <f t="shared" si="3"/>
        <v>Sun</v>
      </c>
      <c r="I42" s="96" t="str">
        <f t="shared" si="3"/>
        <v>Mon</v>
      </c>
      <c r="J42" s="96" t="str">
        <f t="shared" si="3"/>
        <v>Tue</v>
      </c>
      <c r="K42" s="96" t="str">
        <f t="shared" si="3"/>
        <v>Wed</v>
      </c>
      <c r="L42" s="96" t="str">
        <f t="shared" si="3"/>
        <v>Thu</v>
      </c>
      <c r="M42" s="96" t="str">
        <f t="shared" si="3"/>
        <v>Fri</v>
      </c>
      <c r="N42" s="96" t="str">
        <f t="shared" si="3"/>
        <v>Sat</v>
      </c>
      <c r="O42" s="96" t="str">
        <f t="shared" si="3"/>
        <v>Sun</v>
      </c>
      <c r="P42" s="96" t="str">
        <f t="shared" si="3"/>
        <v>Mon</v>
      </c>
      <c r="Q42" s="96" t="str">
        <f t="shared" si="3"/>
        <v>Tue</v>
      </c>
      <c r="R42" s="96" t="str">
        <f t="shared" si="3"/>
        <v>Wed</v>
      </c>
      <c r="S42" s="96" t="str">
        <f t="shared" si="3"/>
        <v>Thu</v>
      </c>
      <c r="T42" s="96" t="str">
        <f t="shared" si="3"/>
        <v>Fri</v>
      </c>
      <c r="U42" s="96" t="str">
        <f t="shared" si="3"/>
        <v>Sat</v>
      </c>
      <c r="V42" s="96" t="str">
        <f t="shared" si="3"/>
        <v>Sun</v>
      </c>
      <c r="W42" s="96" t="str">
        <f t="shared" si="3"/>
        <v>Mon</v>
      </c>
      <c r="X42" s="96" t="str">
        <f t="shared" si="3"/>
        <v>Tue</v>
      </c>
      <c r="Y42" s="96" t="str">
        <f t="shared" si="3"/>
        <v>Wed</v>
      </c>
      <c r="Z42" s="96" t="str">
        <f t="shared" si="3"/>
        <v>Thu</v>
      </c>
      <c r="AA42" s="96" t="str">
        <f t="shared" si="3"/>
        <v>Fri</v>
      </c>
      <c r="AB42" s="96" t="str">
        <f t="shared" si="3"/>
        <v>Sat</v>
      </c>
      <c r="AC42" s="96" t="str">
        <f t="shared" si="3"/>
        <v>Sun</v>
      </c>
      <c r="AD42" s="96" t="str">
        <f t="shared" si="3"/>
        <v>Mon</v>
      </c>
      <c r="AE42" s="96" t="str">
        <f t="shared" si="3"/>
        <v>Tue</v>
      </c>
      <c r="AF42" s="96" t="str">
        <f t="shared" si="3"/>
        <v>Wed</v>
      </c>
      <c r="AG42" s="96" t="str">
        <f t="shared" si="3"/>
        <v>Thu</v>
      </c>
      <c r="AH42" s="96" t="str">
        <f t="shared" si="3"/>
        <v>Fri</v>
      </c>
      <c r="AI42" s="96" t="str">
        <f t="shared" si="3"/>
        <v>Sat</v>
      </c>
      <c r="AJ42" s="508"/>
    </row>
    <row r="43" spans="1:36" ht="13" customHeight="1">
      <c r="A43" s="508"/>
      <c r="B43" s="508"/>
      <c r="C43" s="518"/>
      <c r="D43" s="519"/>
      <c r="E43" s="97" t="s">
        <v>110</v>
      </c>
      <c r="F43" s="97" t="s">
        <v>110</v>
      </c>
      <c r="G43" s="97" t="s">
        <v>110</v>
      </c>
      <c r="H43" s="97" t="s">
        <v>110</v>
      </c>
      <c r="I43" s="97" t="s">
        <v>110</v>
      </c>
      <c r="J43" s="97" t="s">
        <v>110</v>
      </c>
      <c r="K43" s="97" t="s">
        <v>110</v>
      </c>
      <c r="L43" s="97" t="s">
        <v>110</v>
      </c>
      <c r="M43" s="97" t="s">
        <v>110</v>
      </c>
      <c r="N43" s="97" t="s">
        <v>110</v>
      </c>
      <c r="O43" s="97" t="s">
        <v>110</v>
      </c>
      <c r="P43" s="97" t="s">
        <v>110</v>
      </c>
      <c r="Q43" s="97" t="s">
        <v>110</v>
      </c>
      <c r="R43" s="97" t="s">
        <v>110</v>
      </c>
      <c r="S43" s="97" t="s">
        <v>110</v>
      </c>
      <c r="T43" s="97" t="s">
        <v>110</v>
      </c>
      <c r="U43" s="97" t="s">
        <v>110</v>
      </c>
      <c r="V43" s="97" t="s">
        <v>110</v>
      </c>
      <c r="W43" s="97" t="s">
        <v>110</v>
      </c>
      <c r="X43" s="97" t="s">
        <v>110</v>
      </c>
      <c r="Y43" s="97" t="s">
        <v>110</v>
      </c>
      <c r="Z43" s="97" t="s">
        <v>110</v>
      </c>
      <c r="AA43" s="97" t="s">
        <v>110</v>
      </c>
      <c r="AB43" s="97" t="s">
        <v>110</v>
      </c>
      <c r="AC43" s="97" t="s">
        <v>110</v>
      </c>
      <c r="AD43" s="97" t="s">
        <v>110</v>
      </c>
      <c r="AE43" s="97" t="s">
        <v>110</v>
      </c>
      <c r="AF43" s="97" t="s">
        <v>110</v>
      </c>
      <c r="AG43" s="97" t="s">
        <v>110</v>
      </c>
      <c r="AH43" s="97" t="s">
        <v>110</v>
      </c>
      <c r="AI43" s="97" t="s">
        <v>110</v>
      </c>
      <c r="AJ43" s="508"/>
    </row>
    <row r="44" spans="1:36" ht="13" customHeight="1">
      <c r="A44" s="509"/>
      <c r="B44" s="509"/>
      <c r="C44" s="520"/>
      <c r="D44" s="521"/>
      <c r="E44" s="98">
        <v>0.33333333333333331</v>
      </c>
      <c r="F44" s="98">
        <v>0.33333333333333331</v>
      </c>
      <c r="G44" s="98">
        <v>0.33333333333333331</v>
      </c>
      <c r="H44" s="98">
        <v>0.33333333333333331</v>
      </c>
      <c r="I44" s="98">
        <v>0.33333333333333331</v>
      </c>
      <c r="J44" s="98">
        <v>0.33333333333333331</v>
      </c>
      <c r="K44" s="98">
        <v>0.33333333333333331</v>
      </c>
      <c r="L44" s="98">
        <v>0.33333333333333331</v>
      </c>
      <c r="M44" s="98">
        <v>0.33333333333333331</v>
      </c>
      <c r="N44" s="98">
        <v>0.33333333333333331</v>
      </c>
      <c r="O44" s="98">
        <v>0.33333333333333331</v>
      </c>
      <c r="P44" s="98">
        <v>0.33333333333333331</v>
      </c>
      <c r="Q44" s="98">
        <v>0.33333333333333331</v>
      </c>
      <c r="R44" s="98">
        <v>0.33333333333333331</v>
      </c>
      <c r="S44" s="98">
        <v>0.33333333333333331</v>
      </c>
      <c r="T44" s="98">
        <v>0.33333333333333331</v>
      </c>
      <c r="U44" s="98">
        <v>0.33333333333333331</v>
      </c>
      <c r="V44" s="98">
        <v>0.33333333333333331</v>
      </c>
      <c r="W44" s="98">
        <v>0.33333333333333331</v>
      </c>
      <c r="X44" s="98">
        <v>0.33333333333333331</v>
      </c>
      <c r="Y44" s="98">
        <v>0.33333333333333331</v>
      </c>
      <c r="Z44" s="98">
        <v>0.33333333333333331</v>
      </c>
      <c r="AA44" s="98">
        <v>0.33333333333333331</v>
      </c>
      <c r="AB44" s="98">
        <v>0.33333333333333331</v>
      </c>
      <c r="AC44" s="98">
        <v>0.33333333333333331</v>
      </c>
      <c r="AD44" s="98">
        <v>0.33333333333333331</v>
      </c>
      <c r="AE44" s="98">
        <v>0.33333333333333331</v>
      </c>
      <c r="AF44" s="98">
        <v>0.33333333333333331</v>
      </c>
      <c r="AG44" s="98">
        <v>0.33333333333333331</v>
      </c>
      <c r="AH44" s="98">
        <v>0.33333333333333331</v>
      </c>
      <c r="AI44" s="98">
        <v>0.33333333333333331</v>
      </c>
      <c r="AJ44" s="509"/>
    </row>
    <row r="45" spans="1:36" ht="15" customHeight="1">
      <c r="A45" s="2">
        <v>1</v>
      </c>
      <c r="B45" s="2" t="s">
        <v>129</v>
      </c>
      <c r="C45" s="503" t="s">
        <v>111</v>
      </c>
      <c r="D45" s="501"/>
      <c r="E45" s="20">
        <f t="shared" ref="E45:AI45" si="4">E7-D7</f>
        <v>218</v>
      </c>
      <c r="F45" s="20">
        <f t="shared" si="4"/>
        <v>253</v>
      </c>
      <c r="G45" s="20">
        <f t="shared" si="4"/>
        <v>200</v>
      </c>
      <c r="H45" s="20">
        <f t="shared" si="4"/>
        <v>213</v>
      </c>
      <c r="I45" s="20">
        <f t="shared" si="4"/>
        <v>255</v>
      </c>
      <c r="J45" s="20">
        <f t="shared" si="4"/>
        <v>242</v>
      </c>
      <c r="K45" s="20">
        <f t="shared" si="4"/>
        <v>271</v>
      </c>
      <c r="L45" s="20">
        <f t="shared" si="4"/>
        <v>261</v>
      </c>
      <c r="M45" s="20">
        <f t="shared" si="4"/>
        <v>260</v>
      </c>
      <c r="N45" s="20">
        <f t="shared" si="4"/>
        <v>141</v>
      </c>
      <c r="O45" s="20">
        <f t="shared" si="4"/>
        <v>220</v>
      </c>
      <c r="P45" s="20">
        <f t="shared" si="4"/>
        <v>249</v>
      </c>
      <c r="Q45" s="20">
        <f t="shared" si="4"/>
        <v>277</v>
      </c>
      <c r="R45" s="20">
        <f t="shared" si="4"/>
        <v>216</v>
      </c>
      <c r="S45" s="20">
        <f t="shared" si="4"/>
        <v>222</v>
      </c>
      <c r="T45" s="20">
        <f t="shared" si="4"/>
        <v>226</v>
      </c>
      <c r="U45" s="20">
        <f t="shared" si="4"/>
        <v>220</v>
      </c>
      <c r="V45" s="20">
        <f t="shared" si="4"/>
        <v>221</v>
      </c>
      <c r="W45" s="20">
        <f t="shared" si="4"/>
        <v>236</v>
      </c>
      <c r="X45" s="20">
        <f t="shared" si="4"/>
        <v>239</v>
      </c>
      <c r="Y45" s="20">
        <f t="shared" si="4"/>
        <v>216</v>
      </c>
      <c r="Z45" s="20">
        <f t="shared" si="4"/>
        <v>265</v>
      </c>
      <c r="AA45" s="20">
        <f t="shared" si="4"/>
        <v>265</v>
      </c>
      <c r="AB45" s="20">
        <f t="shared" si="4"/>
        <v>215</v>
      </c>
      <c r="AC45" s="20">
        <f t="shared" si="4"/>
        <v>209</v>
      </c>
      <c r="AD45" s="20">
        <f t="shared" si="4"/>
        <v>116</v>
      </c>
      <c r="AE45" s="20">
        <f t="shared" si="4"/>
        <v>266</v>
      </c>
      <c r="AF45" s="20">
        <f t="shared" si="4"/>
        <v>265</v>
      </c>
      <c r="AG45" s="20">
        <f t="shared" si="4"/>
        <v>259</v>
      </c>
      <c r="AH45" s="20">
        <f t="shared" si="4"/>
        <v>264</v>
      </c>
      <c r="AI45" s="20">
        <f t="shared" si="4"/>
        <v>121</v>
      </c>
      <c r="AJ45" s="21">
        <f t="shared" ref="AJ45:AJ62" si="5">SUM(E45:AI45)</f>
        <v>7101</v>
      </c>
    </row>
    <row r="46" spans="1:36" ht="15" customHeight="1">
      <c r="A46" s="2"/>
      <c r="B46" s="2"/>
      <c r="C46" s="531" t="s">
        <v>22</v>
      </c>
      <c r="D46" s="501"/>
      <c r="E46" s="20">
        <f t="shared" ref="E46:AI46" si="6">E8-D8</f>
        <v>174</v>
      </c>
      <c r="F46" s="20">
        <f t="shared" si="6"/>
        <v>0</v>
      </c>
      <c r="G46" s="20">
        <f t="shared" si="6"/>
        <v>11</v>
      </c>
      <c r="H46" s="20">
        <f t="shared" si="6"/>
        <v>3</v>
      </c>
      <c r="I46" s="20">
        <f t="shared" si="6"/>
        <v>0</v>
      </c>
      <c r="J46" s="20">
        <f t="shared" si="6"/>
        <v>27</v>
      </c>
      <c r="K46" s="20">
        <f t="shared" si="6"/>
        <v>0</v>
      </c>
      <c r="L46" s="20">
        <f t="shared" si="6"/>
        <v>0</v>
      </c>
      <c r="M46" s="20">
        <f t="shared" si="6"/>
        <v>0</v>
      </c>
      <c r="N46" s="20">
        <f t="shared" si="6"/>
        <v>16</v>
      </c>
      <c r="O46" s="20">
        <f t="shared" si="6"/>
        <v>0</v>
      </c>
      <c r="P46" s="20">
        <f t="shared" si="6"/>
        <v>0</v>
      </c>
      <c r="Q46" s="20">
        <f t="shared" si="6"/>
        <v>0</v>
      </c>
      <c r="R46" s="20">
        <f t="shared" si="6"/>
        <v>74</v>
      </c>
      <c r="S46" s="20">
        <f t="shared" si="6"/>
        <v>0</v>
      </c>
      <c r="T46" s="20">
        <f t="shared" si="6"/>
        <v>0</v>
      </c>
      <c r="U46" s="20">
        <f t="shared" si="6"/>
        <v>0</v>
      </c>
      <c r="V46" s="20">
        <f t="shared" si="6"/>
        <v>0</v>
      </c>
      <c r="W46" s="20">
        <f t="shared" si="6"/>
        <v>0</v>
      </c>
      <c r="X46" s="20">
        <f t="shared" si="6"/>
        <v>19</v>
      </c>
      <c r="Y46" s="20">
        <f t="shared" si="6"/>
        <v>31</v>
      </c>
      <c r="Z46" s="20">
        <f t="shared" si="6"/>
        <v>0</v>
      </c>
      <c r="AA46" s="20">
        <f t="shared" si="6"/>
        <v>0</v>
      </c>
      <c r="AB46" s="20">
        <f t="shared" si="6"/>
        <v>0</v>
      </c>
      <c r="AC46" s="20">
        <f t="shared" si="6"/>
        <v>3</v>
      </c>
      <c r="AD46" s="20">
        <f t="shared" si="6"/>
        <v>156</v>
      </c>
      <c r="AE46" s="20">
        <f t="shared" si="6"/>
        <v>0</v>
      </c>
      <c r="AF46" s="20">
        <f t="shared" si="6"/>
        <v>0</v>
      </c>
      <c r="AG46" s="20">
        <f t="shared" si="6"/>
        <v>0</v>
      </c>
      <c r="AH46" s="20">
        <f t="shared" si="6"/>
        <v>0</v>
      </c>
      <c r="AI46" s="20">
        <f t="shared" si="6"/>
        <v>0</v>
      </c>
      <c r="AJ46" s="21">
        <f t="shared" si="5"/>
        <v>514</v>
      </c>
    </row>
    <row r="47" spans="1:36" ht="15" customHeight="1">
      <c r="A47" s="2">
        <v>2</v>
      </c>
      <c r="B47" s="2" t="s">
        <v>129</v>
      </c>
      <c r="C47" s="503" t="s">
        <v>112</v>
      </c>
      <c r="D47" s="501"/>
      <c r="E47" s="20">
        <f t="shared" ref="E47:AI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0">
        <f t="shared" si="7"/>
        <v>0</v>
      </c>
      <c r="AH47" s="20">
        <f t="shared" si="7"/>
        <v>0</v>
      </c>
      <c r="AI47" s="20">
        <f t="shared" si="7"/>
        <v>0</v>
      </c>
      <c r="AJ47" s="21">
        <f t="shared" si="5"/>
        <v>0</v>
      </c>
    </row>
    <row r="48" spans="1:36" ht="15" customHeight="1">
      <c r="A48" s="2"/>
      <c r="B48" s="2"/>
      <c r="C48" s="531" t="s">
        <v>22</v>
      </c>
      <c r="D48" s="501"/>
      <c r="E48" s="20">
        <f t="shared" ref="E48:AI48" si="8">E10-D10</f>
        <v>0</v>
      </c>
      <c r="F48" s="20">
        <f t="shared" si="8"/>
        <v>0</v>
      </c>
      <c r="G48" s="20">
        <f t="shared" si="8"/>
        <v>0</v>
      </c>
      <c r="H48" s="20">
        <f t="shared" si="8"/>
        <v>0</v>
      </c>
      <c r="I48" s="20">
        <f t="shared" si="8"/>
        <v>0</v>
      </c>
      <c r="J48" s="20">
        <f t="shared" si="8"/>
        <v>0</v>
      </c>
      <c r="K48" s="20">
        <f t="shared" si="8"/>
        <v>0</v>
      </c>
      <c r="L48" s="20">
        <f t="shared" si="8"/>
        <v>0</v>
      </c>
      <c r="M48" s="20">
        <f t="shared" si="8"/>
        <v>0</v>
      </c>
      <c r="N48" s="20">
        <f t="shared" si="8"/>
        <v>0</v>
      </c>
      <c r="O48" s="20">
        <f t="shared" si="8"/>
        <v>0</v>
      </c>
      <c r="P48" s="20">
        <f t="shared" si="8"/>
        <v>0</v>
      </c>
      <c r="Q48" s="20">
        <f t="shared" si="8"/>
        <v>0</v>
      </c>
      <c r="R48" s="20">
        <f t="shared" si="8"/>
        <v>0</v>
      </c>
      <c r="S48" s="20">
        <f t="shared" si="8"/>
        <v>0</v>
      </c>
      <c r="T48" s="20">
        <f t="shared" si="8"/>
        <v>0</v>
      </c>
      <c r="U48" s="20">
        <f t="shared" si="8"/>
        <v>0</v>
      </c>
      <c r="V48" s="20">
        <f t="shared" si="8"/>
        <v>0</v>
      </c>
      <c r="W48" s="20">
        <f t="shared" si="8"/>
        <v>0</v>
      </c>
      <c r="X48" s="20">
        <f t="shared" si="8"/>
        <v>0</v>
      </c>
      <c r="Y48" s="20">
        <f t="shared" si="8"/>
        <v>0</v>
      </c>
      <c r="Z48" s="20">
        <f t="shared" si="8"/>
        <v>0</v>
      </c>
      <c r="AA48" s="20">
        <f t="shared" si="8"/>
        <v>0</v>
      </c>
      <c r="AB48" s="20">
        <f t="shared" si="8"/>
        <v>0</v>
      </c>
      <c r="AC48" s="20">
        <f t="shared" si="8"/>
        <v>0</v>
      </c>
      <c r="AD48" s="20">
        <f t="shared" si="8"/>
        <v>0</v>
      </c>
      <c r="AE48" s="20">
        <f t="shared" si="8"/>
        <v>0</v>
      </c>
      <c r="AF48" s="20">
        <f t="shared" si="8"/>
        <v>0</v>
      </c>
      <c r="AG48" s="20">
        <f t="shared" si="8"/>
        <v>0</v>
      </c>
      <c r="AH48" s="20">
        <f t="shared" si="8"/>
        <v>0</v>
      </c>
      <c r="AI48" s="20">
        <f t="shared" si="8"/>
        <v>0</v>
      </c>
      <c r="AJ48" s="21">
        <f t="shared" si="5"/>
        <v>0</v>
      </c>
    </row>
    <row r="49" spans="1:38" ht="15" customHeight="1">
      <c r="A49" s="2">
        <v>3</v>
      </c>
      <c r="B49" s="2" t="s">
        <v>129</v>
      </c>
      <c r="C49" s="503" t="s">
        <v>113</v>
      </c>
      <c r="D49" s="501"/>
      <c r="E49" s="20">
        <f t="shared" ref="E49:AI49" si="9">E11-D11</f>
        <v>322</v>
      </c>
      <c r="F49" s="20">
        <f t="shared" si="9"/>
        <v>358</v>
      </c>
      <c r="G49" s="20">
        <f t="shared" si="9"/>
        <v>275</v>
      </c>
      <c r="H49" s="20">
        <f t="shared" si="9"/>
        <v>265</v>
      </c>
      <c r="I49" s="20">
        <f t="shared" si="9"/>
        <v>365</v>
      </c>
      <c r="J49" s="20">
        <f t="shared" si="9"/>
        <v>344</v>
      </c>
      <c r="K49" s="20">
        <f t="shared" si="9"/>
        <v>387</v>
      </c>
      <c r="L49" s="20">
        <f t="shared" si="9"/>
        <v>371</v>
      </c>
      <c r="M49" s="20">
        <f t="shared" si="9"/>
        <v>334</v>
      </c>
      <c r="N49" s="20">
        <f t="shared" si="9"/>
        <v>208</v>
      </c>
      <c r="O49" s="20">
        <f t="shared" si="9"/>
        <v>288</v>
      </c>
      <c r="P49" s="20">
        <f t="shared" si="9"/>
        <v>353</v>
      </c>
      <c r="Q49" s="20">
        <f t="shared" si="9"/>
        <v>401</v>
      </c>
      <c r="R49" s="20">
        <f t="shared" si="9"/>
        <v>306</v>
      </c>
      <c r="S49" s="20">
        <f t="shared" si="9"/>
        <v>289</v>
      </c>
      <c r="T49" s="20">
        <f t="shared" si="9"/>
        <v>312</v>
      </c>
      <c r="U49" s="20">
        <f t="shared" si="9"/>
        <v>289</v>
      </c>
      <c r="V49" s="20">
        <f t="shared" si="9"/>
        <v>290</v>
      </c>
      <c r="W49" s="20">
        <f t="shared" si="9"/>
        <v>316</v>
      </c>
      <c r="X49" s="20">
        <f t="shared" si="9"/>
        <v>342</v>
      </c>
      <c r="Y49" s="20">
        <f t="shared" si="9"/>
        <v>311</v>
      </c>
      <c r="Z49" s="20">
        <f t="shared" si="9"/>
        <v>380</v>
      </c>
      <c r="AA49" s="20">
        <f t="shared" si="9"/>
        <v>369</v>
      </c>
      <c r="AB49" s="20">
        <f t="shared" si="9"/>
        <v>294</v>
      </c>
      <c r="AC49" s="20">
        <f t="shared" si="9"/>
        <v>280</v>
      </c>
      <c r="AD49" s="20">
        <f t="shared" si="9"/>
        <v>112</v>
      </c>
      <c r="AE49" s="20">
        <f t="shared" si="9"/>
        <v>420</v>
      </c>
      <c r="AF49" s="20">
        <f t="shared" si="9"/>
        <v>390</v>
      </c>
      <c r="AG49" s="20">
        <f t="shared" si="9"/>
        <v>377</v>
      </c>
      <c r="AH49" s="20">
        <f t="shared" si="9"/>
        <v>370</v>
      </c>
      <c r="AI49" s="20">
        <f t="shared" si="9"/>
        <v>160</v>
      </c>
      <c r="AJ49" s="21">
        <f t="shared" si="5"/>
        <v>9878</v>
      </c>
    </row>
    <row r="50" spans="1:38" ht="15" customHeight="1">
      <c r="A50" s="2"/>
      <c r="B50" s="2"/>
      <c r="C50" s="531" t="s">
        <v>22</v>
      </c>
      <c r="D50" s="501"/>
      <c r="E50" s="20">
        <f t="shared" ref="E50:AI50" si="10">E12-D12</f>
        <v>242</v>
      </c>
      <c r="F50" s="20">
        <f t="shared" si="10"/>
        <v>0</v>
      </c>
      <c r="G50" s="20">
        <f t="shared" si="10"/>
        <v>9</v>
      </c>
      <c r="H50" s="20">
        <f t="shared" si="10"/>
        <v>10</v>
      </c>
      <c r="I50" s="20">
        <f t="shared" si="10"/>
        <v>0</v>
      </c>
      <c r="J50" s="20">
        <f t="shared" si="10"/>
        <v>44</v>
      </c>
      <c r="K50" s="20">
        <f t="shared" si="10"/>
        <v>0</v>
      </c>
      <c r="L50" s="20">
        <f t="shared" si="10"/>
        <v>0</v>
      </c>
      <c r="M50" s="20">
        <f t="shared" si="10"/>
        <v>0</v>
      </c>
      <c r="N50" s="20">
        <f t="shared" si="10"/>
        <v>73</v>
      </c>
      <c r="O50" s="20">
        <f t="shared" si="10"/>
        <v>0</v>
      </c>
      <c r="P50" s="20">
        <f t="shared" si="10"/>
        <v>0</v>
      </c>
      <c r="Q50" s="20">
        <f t="shared" si="10"/>
        <v>0</v>
      </c>
      <c r="R50" s="20">
        <f t="shared" si="10"/>
        <v>53</v>
      </c>
      <c r="S50" s="20">
        <f t="shared" si="10"/>
        <v>0</v>
      </c>
      <c r="T50" s="20">
        <f t="shared" si="10"/>
        <v>0</v>
      </c>
      <c r="U50" s="20">
        <f t="shared" si="10"/>
        <v>0</v>
      </c>
      <c r="V50" s="20">
        <f t="shared" si="10"/>
        <v>0</v>
      </c>
      <c r="W50" s="20">
        <f t="shared" si="10"/>
        <v>0</v>
      </c>
      <c r="X50" s="20">
        <f t="shared" si="10"/>
        <v>25</v>
      </c>
      <c r="Y50" s="20">
        <f t="shared" si="10"/>
        <v>49</v>
      </c>
      <c r="Z50" s="20">
        <f t="shared" si="10"/>
        <v>0</v>
      </c>
      <c r="AA50" s="20">
        <f t="shared" si="10"/>
        <v>0</v>
      </c>
      <c r="AB50" s="20">
        <f t="shared" si="10"/>
        <v>0</v>
      </c>
      <c r="AC50" s="20">
        <f t="shared" si="10"/>
        <v>3</v>
      </c>
      <c r="AD50" s="20">
        <f t="shared" si="10"/>
        <v>239</v>
      </c>
      <c r="AE50" s="20">
        <f t="shared" si="10"/>
        <v>0</v>
      </c>
      <c r="AF50" s="20">
        <f t="shared" si="10"/>
        <v>0</v>
      </c>
      <c r="AG50" s="20">
        <f t="shared" si="10"/>
        <v>0</v>
      </c>
      <c r="AH50" s="20">
        <f t="shared" si="10"/>
        <v>0</v>
      </c>
      <c r="AI50" s="20">
        <f t="shared" si="10"/>
        <v>0</v>
      </c>
      <c r="AJ50" s="21">
        <f t="shared" si="5"/>
        <v>747</v>
      </c>
    </row>
    <row r="51" spans="1:38" ht="15" customHeight="1">
      <c r="A51" s="2">
        <v>4</v>
      </c>
      <c r="B51" s="2" t="s">
        <v>129</v>
      </c>
      <c r="C51" s="503" t="s">
        <v>114</v>
      </c>
      <c r="D51" s="501"/>
      <c r="E51" s="20">
        <f t="shared" ref="E51:AI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0">
        <f t="shared" si="11"/>
        <v>0</v>
      </c>
      <c r="AH51" s="20">
        <f t="shared" si="11"/>
        <v>0</v>
      </c>
      <c r="AI51" s="20">
        <f t="shared" si="11"/>
        <v>0</v>
      </c>
      <c r="AJ51" s="21">
        <f t="shared" si="5"/>
        <v>0</v>
      </c>
    </row>
    <row r="52" spans="1:38" ht="15" customHeight="1">
      <c r="A52" s="2"/>
      <c r="B52" s="2"/>
      <c r="C52" s="531" t="s">
        <v>22</v>
      </c>
      <c r="D52" s="501"/>
      <c r="E52" s="20">
        <f t="shared" ref="E52:AI52" si="12">E14-D14</f>
        <v>0</v>
      </c>
      <c r="F52" s="20">
        <f t="shared" si="12"/>
        <v>0</v>
      </c>
      <c r="G52" s="20">
        <f t="shared" si="12"/>
        <v>0</v>
      </c>
      <c r="H52" s="20">
        <f t="shared" si="12"/>
        <v>0</v>
      </c>
      <c r="I52" s="20">
        <f t="shared" si="12"/>
        <v>0</v>
      </c>
      <c r="J52" s="20">
        <f t="shared" si="12"/>
        <v>0</v>
      </c>
      <c r="K52" s="20">
        <f t="shared" si="12"/>
        <v>0</v>
      </c>
      <c r="L52" s="20">
        <f t="shared" si="12"/>
        <v>0</v>
      </c>
      <c r="M52" s="20">
        <f t="shared" si="12"/>
        <v>0</v>
      </c>
      <c r="N52" s="20">
        <f t="shared" si="12"/>
        <v>0</v>
      </c>
      <c r="O52" s="20">
        <f t="shared" si="12"/>
        <v>0</v>
      </c>
      <c r="P52" s="20">
        <f t="shared" si="12"/>
        <v>0</v>
      </c>
      <c r="Q52" s="20">
        <f t="shared" si="12"/>
        <v>0</v>
      </c>
      <c r="R52" s="20">
        <f t="shared" si="12"/>
        <v>0</v>
      </c>
      <c r="S52" s="20">
        <f t="shared" si="12"/>
        <v>0</v>
      </c>
      <c r="T52" s="20">
        <f t="shared" si="12"/>
        <v>0</v>
      </c>
      <c r="U52" s="20">
        <f t="shared" si="12"/>
        <v>0</v>
      </c>
      <c r="V52" s="20">
        <f t="shared" si="12"/>
        <v>0</v>
      </c>
      <c r="W52" s="20">
        <f t="shared" si="12"/>
        <v>0</v>
      </c>
      <c r="X52" s="20">
        <f t="shared" si="12"/>
        <v>0</v>
      </c>
      <c r="Y52" s="20">
        <f t="shared" si="12"/>
        <v>0</v>
      </c>
      <c r="Z52" s="20">
        <f t="shared" si="12"/>
        <v>0</v>
      </c>
      <c r="AA52" s="20">
        <f t="shared" si="12"/>
        <v>0</v>
      </c>
      <c r="AB52" s="20">
        <f t="shared" si="12"/>
        <v>0</v>
      </c>
      <c r="AC52" s="20">
        <f t="shared" si="12"/>
        <v>0</v>
      </c>
      <c r="AD52" s="20">
        <f t="shared" si="12"/>
        <v>0</v>
      </c>
      <c r="AE52" s="20">
        <f t="shared" si="12"/>
        <v>0</v>
      </c>
      <c r="AF52" s="20">
        <f t="shared" si="12"/>
        <v>0</v>
      </c>
      <c r="AG52" s="20">
        <f t="shared" si="12"/>
        <v>0</v>
      </c>
      <c r="AH52" s="20">
        <f t="shared" si="12"/>
        <v>0</v>
      </c>
      <c r="AI52" s="20">
        <f t="shared" si="12"/>
        <v>0</v>
      </c>
      <c r="AJ52" s="21">
        <f t="shared" si="5"/>
        <v>0</v>
      </c>
    </row>
    <row r="53" spans="1:38" ht="15" customHeight="1">
      <c r="A53" s="2">
        <v>5</v>
      </c>
      <c r="B53" s="2" t="s">
        <v>129</v>
      </c>
      <c r="C53" s="503" t="s">
        <v>115</v>
      </c>
      <c r="D53" s="501"/>
      <c r="E53" s="20">
        <f t="shared" ref="E53:AI53" si="13">E15-D15</f>
        <v>171</v>
      </c>
      <c r="F53" s="20">
        <f t="shared" si="13"/>
        <v>182</v>
      </c>
      <c r="G53" s="20">
        <f t="shared" si="13"/>
        <v>100</v>
      </c>
      <c r="H53" s="20">
        <f t="shared" si="13"/>
        <v>100</v>
      </c>
      <c r="I53" s="20">
        <f t="shared" si="13"/>
        <v>193</v>
      </c>
      <c r="J53" s="20">
        <f t="shared" si="13"/>
        <v>176</v>
      </c>
      <c r="K53" s="20">
        <f t="shared" si="13"/>
        <v>199</v>
      </c>
      <c r="L53" s="20">
        <f t="shared" si="13"/>
        <v>194</v>
      </c>
      <c r="M53" s="20">
        <f t="shared" si="13"/>
        <v>182</v>
      </c>
      <c r="N53" s="20">
        <f t="shared" si="13"/>
        <v>83</v>
      </c>
      <c r="O53" s="20">
        <f t="shared" si="13"/>
        <v>123</v>
      </c>
      <c r="P53" s="20">
        <f t="shared" si="13"/>
        <v>258</v>
      </c>
      <c r="Q53" s="20">
        <f t="shared" si="13"/>
        <v>139</v>
      </c>
      <c r="R53" s="20">
        <f t="shared" si="13"/>
        <v>153</v>
      </c>
      <c r="S53" s="20">
        <f t="shared" si="13"/>
        <v>104</v>
      </c>
      <c r="T53" s="20">
        <f t="shared" si="13"/>
        <v>169</v>
      </c>
      <c r="U53" s="20">
        <f t="shared" si="13"/>
        <v>100</v>
      </c>
      <c r="V53" s="20">
        <f t="shared" si="13"/>
        <v>104</v>
      </c>
      <c r="W53" s="20">
        <f t="shared" si="13"/>
        <v>157</v>
      </c>
      <c r="X53" s="20">
        <f t="shared" si="13"/>
        <v>191</v>
      </c>
      <c r="Y53" s="20">
        <f t="shared" si="13"/>
        <v>161</v>
      </c>
      <c r="Z53" s="20">
        <f t="shared" si="13"/>
        <v>179</v>
      </c>
      <c r="AA53" s="20">
        <f t="shared" si="13"/>
        <v>180</v>
      </c>
      <c r="AB53" s="20">
        <f t="shared" si="13"/>
        <v>105</v>
      </c>
      <c r="AC53" s="20">
        <f t="shared" si="13"/>
        <v>103</v>
      </c>
      <c r="AD53" s="20">
        <f t="shared" si="13"/>
        <v>64</v>
      </c>
      <c r="AE53" s="20">
        <f t="shared" si="13"/>
        <v>201</v>
      </c>
      <c r="AF53" s="20">
        <f t="shared" si="13"/>
        <v>208</v>
      </c>
      <c r="AG53" s="20">
        <f t="shared" si="13"/>
        <v>201</v>
      </c>
      <c r="AH53" s="20">
        <f t="shared" si="13"/>
        <v>196</v>
      </c>
      <c r="AI53" s="20">
        <f t="shared" si="13"/>
        <v>62</v>
      </c>
      <c r="AJ53" s="21">
        <f t="shared" si="5"/>
        <v>4738</v>
      </c>
    </row>
    <row r="54" spans="1:38" ht="15" customHeight="1">
      <c r="A54" s="2"/>
      <c r="B54" s="2"/>
      <c r="C54" s="531" t="s">
        <v>22</v>
      </c>
      <c r="D54" s="501"/>
      <c r="E54" s="20">
        <f t="shared" ref="E54:AI54" si="14">E16-D16</f>
        <v>111</v>
      </c>
      <c r="F54" s="20">
        <f t="shared" si="14"/>
        <v>0</v>
      </c>
      <c r="G54" s="20">
        <f t="shared" si="14"/>
        <v>3</v>
      </c>
      <c r="H54" s="20">
        <f t="shared" si="14"/>
        <v>3</v>
      </c>
      <c r="I54" s="20">
        <f t="shared" si="14"/>
        <v>0</v>
      </c>
      <c r="J54" s="20">
        <f t="shared" si="14"/>
        <v>22</v>
      </c>
      <c r="K54" s="20">
        <f t="shared" si="14"/>
        <v>0</v>
      </c>
      <c r="L54" s="20">
        <f t="shared" si="14"/>
        <v>0</v>
      </c>
      <c r="M54" s="20">
        <f t="shared" si="14"/>
        <v>0</v>
      </c>
      <c r="N54" s="20">
        <f t="shared" si="14"/>
        <v>34</v>
      </c>
      <c r="O54" s="20">
        <f t="shared" si="14"/>
        <v>0</v>
      </c>
      <c r="P54" s="20">
        <f t="shared" si="14"/>
        <v>0</v>
      </c>
      <c r="Q54" s="20">
        <f t="shared" si="14"/>
        <v>0</v>
      </c>
      <c r="R54" s="20">
        <f t="shared" si="14"/>
        <v>27</v>
      </c>
      <c r="S54" s="20">
        <f t="shared" si="14"/>
        <v>0</v>
      </c>
      <c r="T54" s="20">
        <f t="shared" si="14"/>
        <v>0</v>
      </c>
      <c r="U54" s="20">
        <f t="shared" si="14"/>
        <v>0</v>
      </c>
      <c r="V54" s="20">
        <f t="shared" si="14"/>
        <v>0</v>
      </c>
      <c r="W54" s="20">
        <f t="shared" si="14"/>
        <v>0</v>
      </c>
      <c r="X54" s="20">
        <f t="shared" si="14"/>
        <v>11</v>
      </c>
      <c r="Y54" s="20">
        <f t="shared" si="14"/>
        <v>30</v>
      </c>
      <c r="Z54" s="20">
        <f t="shared" si="14"/>
        <v>0</v>
      </c>
      <c r="AA54" s="20">
        <f t="shared" si="14"/>
        <v>0</v>
      </c>
      <c r="AB54" s="20">
        <f t="shared" si="14"/>
        <v>0</v>
      </c>
      <c r="AC54" s="20">
        <f t="shared" si="14"/>
        <v>2</v>
      </c>
      <c r="AD54" s="20">
        <f t="shared" si="14"/>
        <v>137</v>
      </c>
      <c r="AE54" s="20">
        <f t="shared" si="14"/>
        <v>0</v>
      </c>
      <c r="AF54" s="20">
        <f t="shared" si="14"/>
        <v>0</v>
      </c>
      <c r="AG54" s="20">
        <f t="shared" si="14"/>
        <v>0</v>
      </c>
      <c r="AH54" s="20">
        <f t="shared" si="14"/>
        <v>0</v>
      </c>
      <c r="AI54" s="20">
        <f t="shared" si="14"/>
        <v>0</v>
      </c>
      <c r="AJ54" s="105">
        <f t="shared" si="5"/>
        <v>380</v>
      </c>
    </row>
    <row r="55" spans="1:38" ht="15" customHeight="1">
      <c r="A55" s="2">
        <v>6</v>
      </c>
      <c r="B55" s="2" t="s">
        <v>129</v>
      </c>
      <c r="C55" s="503" t="s">
        <v>116</v>
      </c>
      <c r="D55" s="501"/>
      <c r="E55" s="20">
        <f t="shared" ref="E55:AI55" si="15">E17-D17</f>
        <v>202</v>
      </c>
      <c r="F55" s="20">
        <f t="shared" si="15"/>
        <v>203</v>
      </c>
      <c r="G55" s="20">
        <f t="shared" si="15"/>
        <v>104</v>
      </c>
      <c r="H55" s="20">
        <f t="shared" si="15"/>
        <v>98</v>
      </c>
      <c r="I55" s="20">
        <f t="shared" si="15"/>
        <v>213</v>
      </c>
      <c r="J55" s="20">
        <f t="shared" si="15"/>
        <v>228</v>
      </c>
      <c r="K55" s="20">
        <f t="shared" si="15"/>
        <v>234</v>
      </c>
      <c r="L55" s="20">
        <f t="shared" si="15"/>
        <v>215</v>
      </c>
      <c r="M55" s="20">
        <f t="shared" si="15"/>
        <v>201</v>
      </c>
      <c r="N55" s="20">
        <f t="shared" si="15"/>
        <v>63</v>
      </c>
      <c r="O55" s="20">
        <f t="shared" si="15"/>
        <v>92</v>
      </c>
      <c r="P55" s="20">
        <f t="shared" si="15"/>
        <v>186</v>
      </c>
      <c r="Q55" s="20">
        <f t="shared" si="15"/>
        <v>224</v>
      </c>
      <c r="R55" s="20">
        <f t="shared" si="15"/>
        <v>167</v>
      </c>
      <c r="S55" s="20">
        <f t="shared" si="15"/>
        <v>98</v>
      </c>
      <c r="T55" s="20">
        <f t="shared" si="15"/>
        <v>183</v>
      </c>
      <c r="U55" s="20">
        <f t="shared" si="15"/>
        <v>136</v>
      </c>
      <c r="V55" s="20">
        <f t="shared" si="15"/>
        <v>125</v>
      </c>
      <c r="W55" s="20">
        <f t="shared" si="15"/>
        <v>221</v>
      </c>
      <c r="X55" s="20">
        <f t="shared" si="15"/>
        <v>211</v>
      </c>
      <c r="Y55" s="20">
        <f t="shared" si="15"/>
        <v>173</v>
      </c>
      <c r="Z55" s="20">
        <f t="shared" si="15"/>
        <v>223</v>
      </c>
      <c r="AA55" s="20">
        <f t="shared" si="15"/>
        <v>228</v>
      </c>
      <c r="AB55" s="20">
        <f t="shared" si="15"/>
        <v>117</v>
      </c>
      <c r="AC55" s="20">
        <f t="shared" si="15"/>
        <v>128</v>
      </c>
      <c r="AD55" s="20">
        <f t="shared" si="15"/>
        <v>52</v>
      </c>
      <c r="AE55" s="20">
        <f t="shared" si="15"/>
        <v>221</v>
      </c>
      <c r="AF55" s="20">
        <f t="shared" si="15"/>
        <v>205</v>
      </c>
      <c r="AG55" s="20">
        <f t="shared" si="15"/>
        <v>212</v>
      </c>
      <c r="AH55" s="20">
        <f t="shared" si="15"/>
        <v>206</v>
      </c>
      <c r="AI55" s="20">
        <f t="shared" si="15"/>
        <v>73</v>
      </c>
      <c r="AJ55" s="105">
        <f t="shared" si="5"/>
        <v>5242</v>
      </c>
    </row>
    <row r="56" spans="1:38" ht="15" customHeight="1">
      <c r="A56" s="2"/>
      <c r="B56" s="2"/>
      <c r="C56" s="531" t="s">
        <v>22</v>
      </c>
      <c r="D56" s="501"/>
      <c r="E56" s="20">
        <f t="shared" ref="E56:AI56" si="16">E18-D18</f>
        <v>114</v>
      </c>
      <c r="F56" s="20">
        <f t="shared" si="16"/>
        <v>0</v>
      </c>
      <c r="G56" s="20">
        <f t="shared" si="16"/>
        <v>1</v>
      </c>
      <c r="H56" s="20">
        <f t="shared" si="16"/>
        <v>8</v>
      </c>
      <c r="I56" s="20">
        <f t="shared" si="16"/>
        <v>0</v>
      </c>
      <c r="J56" s="20">
        <f t="shared" si="16"/>
        <v>32</v>
      </c>
      <c r="K56" s="20">
        <f t="shared" si="16"/>
        <v>0</v>
      </c>
      <c r="L56" s="20">
        <f t="shared" si="16"/>
        <v>0</v>
      </c>
      <c r="M56" s="20">
        <f t="shared" si="16"/>
        <v>0</v>
      </c>
      <c r="N56" s="20">
        <f t="shared" si="16"/>
        <v>35</v>
      </c>
      <c r="O56" s="20">
        <f t="shared" si="16"/>
        <v>0</v>
      </c>
      <c r="P56" s="20">
        <f t="shared" si="16"/>
        <v>0</v>
      </c>
      <c r="Q56" s="20">
        <f t="shared" si="16"/>
        <v>0</v>
      </c>
      <c r="R56" s="20">
        <f t="shared" si="16"/>
        <v>30</v>
      </c>
      <c r="S56" s="20">
        <f t="shared" si="16"/>
        <v>0</v>
      </c>
      <c r="T56" s="20">
        <f t="shared" si="16"/>
        <v>0</v>
      </c>
      <c r="U56" s="20">
        <f t="shared" si="16"/>
        <v>0</v>
      </c>
      <c r="V56" s="20">
        <f t="shared" si="16"/>
        <v>0</v>
      </c>
      <c r="W56" s="20">
        <f t="shared" si="16"/>
        <v>0</v>
      </c>
      <c r="X56" s="20">
        <f t="shared" si="16"/>
        <v>4</v>
      </c>
      <c r="Y56" s="20">
        <f t="shared" si="16"/>
        <v>33</v>
      </c>
      <c r="Z56" s="20">
        <f t="shared" si="16"/>
        <v>0</v>
      </c>
      <c r="AA56" s="20">
        <f t="shared" si="16"/>
        <v>0</v>
      </c>
      <c r="AB56" s="20">
        <f t="shared" si="16"/>
        <v>0</v>
      </c>
      <c r="AC56" s="20">
        <f t="shared" si="16"/>
        <v>1</v>
      </c>
      <c r="AD56" s="20">
        <f t="shared" si="16"/>
        <v>162</v>
      </c>
      <c r="AE56" s="20">
        <f t="shared" si="16"/>
        <v>0</v>
      </c>
      <c r="AF56" s="20">
        <f t="shared" si="16"/>
        <v>0</v>
      </c>
      <c r="AG56" s="20">
        <f t="shared" si="16"/>
        <v>0</v>
      </c>
      <c r="AH56" s="20">
        <f t="shared" si="16"/>
        <v>0</v>
      </c>
      <c r="AI56" s="20">
        <f t="shared" si="16"/>
        <v>0</v>
      </c>
      <c r="AJ56" s="105">
        <f t="shared" si="5"/>
        <v>420</v>
      </c>
      <c r="AK56" s="113" t="s">
        <v>20</v>
      </c>
      <c r="AL56" s="114">
        <f>AJ61</f>
        <v>49144</v>
      </c>
    </row>
    <row r="57" spans="1:38" ht="15" customHeight="1">
      <c r="A57" s="2">
        <v>7</v>
      </c>
      <c r="B57" s="2" t="s">
        <v>129</v>
      </c>
      <c r="C57" s="503" t="s">
        <v>117</v>
      </c>
      <c r="D57" s="501"/>
      <c r="E57" s="20">
        <f t="shared" ref="E57:AI57" si="17">E19-D19</f>
        <v>625</v>
      </c>
      <c r="F57" s="20">
        <f t="shared" si="17"/>
        <v>664</v>
      </c>
      <c r="G57" s="20">
        <f t="shared" si="17"/>
        <v>488</v>
      </c>
      <c r="H57" s="20">
        <f t="shared" si="17"/>
        <v>456</v>
      </c>
      <c r="I57" s="20">
        <f t="shared" si="17"/>
        <v>641</v>
      </c>
      <c r="J57" s="20">
        <f t="shared" si="17"/>
        <v>610</v>
      </c>
      <c r="K57" s="20">
        <f t="shared" si="17"/>
        <v>726</v>
      </c>
      <c r="L57" s="20">
        <f t="shared" si="17"/>
        <v>700</v>
      </c>
      <c r="M57" s="20">
        <f t="shared" si="17"/>
        <v>672</v>
      </c>
      <c r="N57" s="20">
        <f t="shared" si="17"/>
        <v>380</v>
      </c>
      <c r="O57" s="20">
        <f t="shared" si="17"/>
        <v>520</v>
      </c>
      <c r="P57" s="20">
        <f t="shared" si="17"/>
        <v>591</v>
      </c>
      <c r="Q57" s="20">
        <f t="shared" si="17"/>
        <v>788</v>
      </c>
      <c r="R57" s="20">
        <f t="shared" si="17"/>
        <v>589</v>
      </c>
      <c r="S57" s="20">
        <f t="shared" si="17"/>
        <v>169</v>
      </c>
      <c r="T57" s="20">
        <f t="shared" si="17"/>
        <v>553</v>
      </c>
      <c r="U57" s="20">
        <f t="shared" si="17"/>
        <v>549</v>
      </c>
      <c r="V57" s="20">
        <f t="shared" si="17"/>
        <v>547</v>
      </c>
      <c r="W57" s="20">
        <f t="shared" si="17"/>
        <v>666</v>
      </c>
      <c r="X57" s="20">
        <f t="shared" si="17"/>
        <v>674</v>
      </c>
      <c r="Y57" s="20">
        <f t="shared" si="17"/>
        <v>562</v>
      </c>
      <c r="Z57" s="20">
        <f t="shared" si="17"/>
        <v>672</v>
      </c>
      <c r="AA57" s="20">
        <f t="shared" si="17"/>
        <v>680</v>
      </c>
      <c r="AB57" s="20">
        <f t="shared" si="17"/>
        <v>558</v>
      </c>
      <c r="AC57" s="20">
        <f t="shared" si="17"/>
        <v>482</v>
      </c>
      <c r="AD57" s="20">
        <f t="shared" si="17"/>
        <v>237</v>
      </c>
      <c r="AE57" s="20">
        <f t="shared" si="17"/>
        <v>699</v>
      </c>
      <c r="AF57" s="20">
        <f t="shared" si="17"/>
        <v>682</v>
      </c>
      <c r="AG57" s="20">
        <f t="shared" si="17"/>
        <v>702</v>
      </c>
      <c r="AH57" s="20">
        <f t="shared" si="17"/>
        <v>735</v>
      </c>
      <c r="AI57" s="20">
        <f t="shared" si="17"/>
        <v>272</v>
      </c>
      <c r="AJ57" s="21">
        <f t="shared" si="5"/>
        <v>17889</v>
      </c>
      <c r="AK57" s="114" t="s">
        <v>21</v>
      </c>
      <c r="AL57" s="114">
        <f>AJ74</f>
        <v>8020</v>
      </c>
    </row>
    <row r="58" spans="1:38" ht="15" customHeight="1">
      <c r="A58" s="2"/>
      <c r="B58" s="2"/>
      <c r="C58" s="531" t="s">
        <v>22</v>
      </c>
      <c r="D58" s="501"/>
      <c r="E58" s="20">
        <f t="shared" ref="E58:AI58" si="18">E20-D20</f>
        <v>497</v>
      </c>
      <c r="F58" s="20">
        <f t="shared" si="18"/>
        <v>0</v>
      </c>
      <c r="G58" s="20">
        <f t="shared" si="18"/>
        <v>24</v>
      </c>
      <c r="H58" s="20">
        <f t="shared" si="18"/>
        <v>16</v>
      </c>
      <c r="I58" s="20">
        <f t="shared" si="18"/>
        <v>0</v>
      </c>
      <c r="J58" s="20">
        <f t="shared" si="18"/>
        <v>64</v>
      </c>
      <c r="K58" s="20">
        <f t="shared" si="18"/>
        <v>0</v>
      </c>
      <c r="L58" s="20">
        <f t="shared" si="18"/>
        <v>0</v>
      </c>
      <c r="M58" s="20">
        <f t="shared" si="18"/>
        <v>0</v>
      </c>
      <c r="N58" s="20">
        <f t="shared" si="18"/>
        <v>181</v>
      </c>
      <c r="O58" s="20">
        <f t="shared" si="18"/>
        <v>0</v>
      </c>
      <c r="P58" s="20">
        <f t="shared" si="18"/>
        <v>0</v>
      </c>
      <c r="Q58" s="20">
        <f t="shared" si="18"/>
        <v>0</v>
      </c>
      <c r="R58" s="20">
        <f t="shared" si="18"/>
        <v>85</v>
      </c>
      <c r="S58" s="20">
        <f t="shared" si="18"/>
        <v>0</v>
      </c>
      <c r="T58" s="20">
        <f t="shared" si="18"/>
        <v>0</v>
      </c>
      <c r="U58" s="20">
        <f t="shared" si="18"/>
        <v>0</v>
      </c>
      <c r="V58" s="20">
        <f t="shared" si="18"/>
        <v>0</v>
      </c>
      <c r="W58" s="20">
        <f t="shared" si="18"/>
        <v>0</v>
      </c>
      <c r="X58" s="20">
        <f t="shared" si="18"/>
        <v>31</v>
      </c>
      <c r="Y58" s="20">
        <f t="shared" si="18"/>
        <v>82</v>
      </c>
      <c r="Z58" s="20">
        <f t="shared" si="18"/>
        <v>0</v>
      </c>
      <c r="AA58" s="20">
        <f t="shared" si="18"/>
        <v>0</v>
      </c>
      <c r="AB58" s="20">
        <f t="shared" si="18"/>
        <v>0</v>
      </c>
      <c r="AC58" s="20">
        <f t="shared" si="18"/>
        <v>9</v>
      </c>
      <c r="AD58" s="20">
        <f t="shared" si="18"/>
        <v>444</v>
      </c>
      <c r="AE58" s="20">
        <f t="shared" si="18"/>
        <v>0</v>
      </c>
      <c r="AF58" s="20">
        <f t="shared" si="18"/>
        <v>0</v>
      </c>
      <c r="AG58" s="20">
        <f t="shared" si="18"/>
        <v>0</v>
      </c>
      <c r="AH58" s="20">
        <f t="shared" si="18"/>
        <v>0</v>
      </c>
      <c r="AI58" s="20">
        <f t="shared" si="18"/>
        <v>0</v>
      </c>
      <c r="AJ58" s="21">
        <f t="shared" si="5"/>
        <v>1433</v>
      </c>
      <c r="AK58" s="113" t="s">
        <v>23</v>
      </c>
      <c r="AL58" s="113">
        <f>AJ80*40%</f>
        <v>36088.295999999995</v>
      </c>
    </row>
    <row r="59" spans="1:38" ht="15" customHeight="1">
      <c r="A59" s="2">
        <v>8</v>
      </c>
      <c r="B59" s="2" t="s">
        <v>129</v>
      </c>
      <c r="C59" s="503" t="s">
        <v>118</v>
      </c>
      <c r="D59" s="501"/>
      <c r="E59" s="20">
        <f t="shared" ref="E59:AI59" si="19">E21-D21</f>
        <v>102</v>
      </c>
      <c r="F59" s="20">
        <f t="shared" si="19"/>
        <v>120</v>
      </c>
      <c r="G59" s="20">
        <f t="shared" si="19"/>
        <v>136</v>
      </c>
      <c r="H59" s="20">
        <f t="shared" si="19"/>
        <v>117</v>
      </c>
      <c r="I59" s="20">
        <f t="shared" si="19"/>
        <v>142</v>
      </c>
      <c r="J59" s="20">
        <f t="shared" si="19"/>
        <v>69</v>
      </c>
      <c r="K59" s="20">
        <f t="shared" si="19"/>
        <v>134</v>
      </c>
      <c r="L59" s="20">
        <f t="shared" si="19"/>
        <v>162</v>
      </c>
      <c r="M59" s="20">
        <f t="shared" si="19"/>
        <v>159</v>
      </c>
      <c r="N59" s="20">
        <f t="shared" si="19"/>
        <v>129</v>
      </c>
      <c r="O59" s="20">
        <f t="shared" si="19"/>
        <v>165</v>
      </c>
      <c r="P59" s="20">
        <f t="shared" si="19"/>
        <v>179</v>
      </c>
      <c r="Q59" s="20">
        <f t="shared" si="19"/>
        <v>148</v>
      </c>
      <c r="R59" s="20">
        <f t="shared" si="19"/>
        <v>143</v>
      </c>
      <c r="S59" s="20">
        <f t="shared" si="19"/>
        <v>130</v>
      </c>
      <c r="T59" s="20">
        <f t="shared" si="19"/>
        <v>174</v>
      </c>
      <c r="U59" s="20">
        <f t="shared" si="19"/>
        <v>114</v>
      </c>
      <c r="V59" s="20">
        <f t="shared" si="19"/>
        <v>162</v>
      </c>
      <c r="W59" s="20">
        <f t="shared" si="19"/>
        <v>152</v>
      </c>
      <c r="X59" s="20">
        <f t="shared" si="19"/>
        <v>148</v>
      </c>
      <c r="Y59" s="20">
        <f t="shared" si="19"/>
        <v>120</v>
      </c>
      <c r="Z59" s="20">
        <f t="shared" si="19"/>
        <v>164</v>
      </c>
      <c r="AA59" s="20">
        <f t="shared" si="19"/>
        <v>125</v>
      </c>
      <c r="AB59" s="20">
        <f t="shared" si="19"/>
        <v>157</v>
      </c>
      <c r="AC59" s="20">
        <f t="shared" si="19"/>
        <v>114</v>
      </c>
      <c r="AD59" s="20">
        <f t="shared" si="19"/>
        <v>103</v>
      </c>
      <c r="AE59" s="20">
        <f t="shared" si="19"/>
        <v>143</v>
      </c>
      <c r="AF59" s="20">
        <f t="shared" si="19"/>
        <v>191</v>
      </c>
      <c r="AG59" s="20">
        <f t="shared" si="19"/>
        <v>138</v>
      </c>
      <c r="AH59" s="20">
        <f t="shared" si="19"/>
        <v>202</v>
      </c>
      <c r="AI59" s="20">
        <f t="shared" si="19"/>
        <v>54</v>
      </c>
      <c r="AJ59" s="21">
        <f t="shared" si="5"/>
        <v>4296</v>
      </c>
      <c r="AK59" s="113" t="s">
        <v>22</v>
      </c>
      <c r="AL59" s="114">
        <f>AJ62+AJ75</f>
        <v>4763</v>
      </c>
    </row>
    <row r="60" spans="1:38" ht="15" customHeight="1">
      <c r="A60" s="2"/>
      <c r="B60" s="2"/>
      <c r="C60" s="531" t="s">
        <v>22</v>
      </c>
      <c r="D60" s="501"/>
      <c r="E60" s="20">
        <f t="shared" ref="E60:AI60" si="20">E22-D22</f>
        <v>99</v>
      </c>
      <c r="F60" s="20">
        <f t="shared" si="20"/>
        <v>0</v>
      </c>
      <c r="G60" s="20">
        <f t="shared" si="20"/>
        <v>6</v>
      </c>
      <c r="H60" s="20">
        <f t="shared" si="20"/>
        <v>2</v>
      </c>
      <c r="I60" s="20">
        <f t="shared" si="20"/>
        <v>0</v>
      </c>
      <c r="J60" s="20">
        <f t="shared" si="20"/>
        <v>8</v>
      </c>
      <c r="K60" s="20">
        <f t="shared" si="20"/>
        <v>0</v>
      </c>
      <c r="L60" s="20">
        <f t="shared" si="20"/>
        <v>0</v>
      </c>
      <c r="M60" s="20">
        <f t="shared" si="20"/>
        <v>0</v>
      </c>
      <c r="N60" s="20">
        <f t="shared" si="20"/>
        <v>57</v>
      </c>
      <c r="O60" s="20">
        <f t="shared" si="20"/>
        <v>0</v>
      </c>
      <c r="P60" s="20">
        <f t="shared" si="20"/>
        <v>0</v>
      </c>
      <c r="Q60" s="20">
        <f t="shared" si="20"/>
        <v>0</v>
      </c>
      <c r="R60" s="20">
        <f t="shared" si="20"/>
        <v>23</v>
      </c>
      <c r="S60" s="20">
        <f t="shared" si="20"/>
        <v>0</v>
      </c>
      <c r="T60" s="20">
        <f t="shared" si="20"/>
        <v>0</v>
      </c>
      <c r="U60" s="20">
        <f t="shared" si="20"/>
        <v>0</v>
      </c>
      <c r="V60" s="20">
        <f t="shared" si="20"/>
        <v>0</v>
      </c>
      <c r="W60" s="20">
        <f t="shared" si="20"/>
        <v>0</v>
      </c>
      <c r="X60" s="20">
        <f t="shared" si="20"/>
        <v>23</v>
      </c>
      <c r="Y60" s="20">
        <f t="shared" si="20"/>
        <v>10</v>
      </c>
      <c r="Z60" s="20">
        <f t="shared" si="20"/>
        <v>0</v>
      </c>
      <c r="AA60" s="20">
        <f t="shared" si="20"/>
        <v>0</v>
      </c>
      <c r="AB60" s="20">
        <f t="shared" si="20"/>
        <v>0</v>
      </c>
      <c r="AC60" s="20">
        <f t="shared" si="20"/>
        <v>2</v>
      </c>
      <c r="AD60" s="20">
        <f t="shared" si="20"/>
        <v>93</v>
      </c>
      <c r="AE60" s="20">
        <f t="shared" si="20"/>
        <v>0</v>
      </c>
      <c r="AF60" s="20">
        <f t="shared" si="20"/>
        <v>0</v>
      </c>
      <c r="AG60" s="20">
        <f t="shared" si="20"/>
        <v>0</v>
      </c>
      <c r="AH60" s="20">
        <f t="shared" si="20"/>
        <v>0</v>
      </c>
      <c r="AI60" s="20">
        <f t="shared" si="20"/>
        <v>0</v>
      </c>
      <c r="AJ60" s="105">
        <f t="shared" si="5"/>
        <v>323</v>
      </c>
    </row>
    <row r="61" spans="1:38" ht="15" customHeight="1">
      <c r="A61" s="99"/>
      <c r="B61" s="99"/>
      <c r="C61" s="500" t="s">
        <v>130</v>
      </c>
      <c r="D61" s="501"/>
      <c r="E61" s="23">
        <f t="shared" ref="E61:AI61" si="21">SUM(E59,E57,E55,E53,E51,E49,E47,E45)</f>
        <v>1640</v>
      </c>
      <c r="F61" s="23">
        <f t="shared" si="21"/>
        <v>1780</v>
      </c>
      <c r="G61" s="23">
        <f t="shared" si="21"/>
        <v>1303</v>
      </c>
      <c r="H61" s="23">
        <f t="shared" si="21"/>
        <v>1249</v>
      </c>
      <c r="I61" s="23">
        <f t="shared" si="21"/>
        <v>1809</v>
      </c>
      <c r="J61" s="23">
        <f t="shared" si="21"/>
        <v>1669</v>
      </c>
      <c r="K61" s="23">
        <f t="shared" si="21"/>
        <v>1951</v>
      </c>
      <c r="L61" s="23">
        <f t="shared" si="21"/>
        <v>1903</v>
      </c>
      <c r="M61" s="23">
        <f t="shared" si="21"/>
        <v>1808</v>
      </c>
      <c r="N61" s="23">
        <f t="shared" si="21"/>
        <v>1004</v>
      </c>
      <c r="O61" s="23">
        <f t="shared" si="21"/>
        <v>1408</v>
      </c>
      <c r="P61" s="23">
        <f t="shared" si="21"/>
        <v>1816</v>
      </c>
      <c r="Q61" s="23">
        <f t="shared" si="21"/>
        <v>1977</v>
      </c>
      <c r="R61" s="23">
        <f t="shared" si="21"/>
        <v>1574</v>
      </c>
      <c r="S61" s="23">
        <f t="shared" si="21"/>
        <v>1012</v>
      </c>
      <c r="T61" s="23">
        <f t="shared" si="21"/>
        <v>1617</v>
      </c>
      <c r="U61" s="23">
        <f t="shared" si="21"/>
        <v>1408</v>
      </c>
      <c r="V61" s="23">
        <f t="shared" si="21"/>
        <v>1449</v>
      </c>
      <c r="W61" s="23">
        <f t="shared" si="21"/>
        <v>1748</v>
      </c>
      <c r="X61" s="23">
        <f t="shared" si="21"/>
        <v>1805</v>
      </c>
      <c r="Y61" s="23">
        <f t="shared" si="21"/>
        <v>1543</v>
      </c>
      <c r="Z61" s="23">
        <f t="shared" si="21"/>
        <v>1883</v>
      </c>
      <c r="AA61" s="23">
        <f t="shared" si="21"/>
        <v>1847</v>
      </c>
      <c r="AB61" s="23">
        <f t="shared" si="21"/>
        <v>1446</v>
      </c>
      <c r="AC61" s="23">
        <f t="shared" si="21"/>
        <v>1316</v>
      </c>
      <c r="AD61" s="23">
        <f t="shared" si="21"/>
        <v>684</v>
      </c>
      <c r="AE61" s="23">
        <f t="shared" si="21"/>
        <v>1950</v>
      </c>
      <c r="AF61" s="23">
        <f t="shared" si="21"/>
        <v>1941</v>
      </c>
      <c r="AG61" s="23">
        <f t="shared" si="21"/>
        <v>1889</v>
      </c>
      <c r="AH61" s="23">
        <f t="shared" si="21"/>
        <v>1973</v>
      </c>
      <c r="AI61" s="23">
        <f t="shared" si="21"/>
        <v>742</v>
      </c>
      <c r="AJ61" s="111">
        <f t="shared" si="5"/>
        <v>49144</v>
      </c>
    </row>
    <row r="62" spans="1:38" ht="15" customHeight="1">
      <c r="A62" s="99"/>
      <c r="B62" s="99"/>
      <c r="C62" s="63" t="s">
        <v>131</v>
      </c>
      <c r="D62" s="100"/>
      <c r="E62" s="23">
        <f t="shared" ref="E62:AI62" si="22">SUM(E46,E48,E50,E52,E54,E56,E58,E60)</f>
        <v>1237</v>
      </c>
      <c r="F62" s="23">
        <f t="shared" si="22"/>
        <v>0</v>
      </c>
      <c r="G62" s="23">
        <f t="shared" si="22"/>
        <v>54</v>
      </c>
      <c r="H62" s="23">
        <f t="shared" si="22"/>
        <v>42</v>
      </c>
      <c r="I62" s="23">
        <f t="shared" si="22"/>
        <v>0</v>
      </c>
      <c r="J62" s="23">
        <f t="shared" si="22"/>
        <v>197</v>
      </c>
      <c r="K62" s="23">
        <f t="shared" si="22"/>
        <v>0</v>
      </c>
      <c r="L62" s="23">
        <f t="shared" si="22"/>
        <v>0</v>
      </c>
      <c r="M62" s="23">
        <f t="shared" si="22"/>
        <v>0</v>
      </c>
      <c r="N62" s="23">
        <f t="shared" si="22"/>
        <v>396</v>
      </c>
      <c r="O62" s="23">
        <f t="shared" si="22"/>
        <v>0</v>
      </c>
      <c r="P62" s="23">
        <f t="shared" si="22"/>
        <v>0</v>
      </c>
      <c r="Q62" s="23">
        <f t="shared" si="22"/>
        <v>0</v>
      </c>
      <c r="R62" s="23">
        <f t="shared" si="22"/>
        <v>292</v>
      </c>
      <c r="S62" s="23">
        <f t="shared" si="22"/>
        <v>0</v>
      </c>
      <c r="T62" s="23">
        <f t="shared" si="22"/>
        <v>0</v>
      </c>
      <c r="U62" s="23">
        <f t="shared" si="22"/>
        <v>0</v>
      </c>
      <c r="V62" s="23">
        <f t="shared" si="22"/>
        <v>0</v>
      </c>
      <c r="W62" s="23">
        <f t="shared" si="22"/>
        <v>0</v>
      </c>
      <c r="X62" s="23">
        <f t="shared" si="22"/>
        <v>113</v>
      </c>
      <c r="Y62" s="23">
        <f t="shared" si="22"/>
        <v>235</v>
      </c>
      <c r="Z62" s="23">
        <f t="shared" si="22"/>
        <v>0</v>
      </c>
      <c r="AA62" s="23">
        <f t="shared" si="22"/>
        <v>0</v>
      </c>
      <c r="AB62" s="23">
        <f t="shared" si="22"/>
        <v>0</v>
      </c>
      <c r="AC62" s="23">
        <f t="shared" si="22"/>
        <v>20</v>
      </c>
      <c r="AD62" s="23">
        <f t="shared" si="22"/>
        <v>1231</v>
      </c>
      <c r="AE62" s="23">
        <f t="shared" si="22"/>
        <v>0</v>
      </c>
      <c r="AF62" s="23">
        <f t="shared" si="22"/>
        <v>0</v>
      </c>
      <c r="AG62" s="23">
        <f t="shared" si="22"/>
        <v>0</v>
      </c>
      <c r="AH62" s="23">
        <f t="shared" si="22"/>
        <v>0</v>
      </c>
      <c r="AI62" s="23">
        <f t="shared" si="22"/>
        <v>0</v>
      </c>
      <c r="AJ62" s="111">
        <f t="shared" si="5"/>
        <v>3817</v>
      </c>
      <c r="AL62" s="78"/>
    </row>
    <row r="63" spans="1:38" ht="14.5" customHeight="1">
      <c r="A63" s="101"/>
      <c r="B63" s="101"/>
      <c r="C63" s="539" t="s">
        <v>132</v>
      </c>
      <c r="D63" s="501"/>
      <c r="E63" s="102">
        <f>E61</f>
        <v>1640</v>
      </c>
      <c r="F63" s="102">
        <f t="shared" ref="F63:AI63" si="23">E63+F61</f>
        <v>3420</v>
      </c>
      <c r="G63" s="102">
        <f t="shared" si="23"/>
        <v>4723</v>
      </c>
      <c r="H63" s="102">
        <f t="shared" si="23"/>
        <v>5972</v>
      </c>
      <c r="I63" s="102">
        <f t="shared" si="23"/>
        <v>7781</v>
      </c>
      <c r="J63" s="102">
        <f t="shared" si="23"/>
        <v>9450</v>
      </c>
      <c r="K63" s="102">
        <f t="shared" si="23"/>
        <v>11401</v>
      </c>
      <c r="L63" s="102">
        <f t="shared" si="23"/>
        <v>13304</v>
      </c>
      <c r="M63" s="102">
        <f t="shared" si="23"/>
        <v>15112</v>
      </c>
      <c r="N63" s="102">
        <f t="shared" si="23"/>
        <v>16116</v>
      </c>
      <c r="O63" s="102">
        <f t="shared" si="23"/>
        <v>17524</v>
      </c>
      <c r="P63" s="102">
        <f t="shared" si="23"/>
        <v>19340</v>
      </c>
      <c r="Q63" s="102">
        <f t="shared" si="23"/>
        <v>21317</v>
      </c>
      <c r="R63" s="102">
        <f t="shared" si="23"/>
        <v>22891</v>
      </c>
      <c r="S63" s="102">
        <f t="shared" si="23"/>
        <v>23903</v>
      </c>
      <c r="T63" s="102">
        <f t="shared" si="23"/>
        <v>25520</v>
      </c>
      <c r="U63" s="102">
        <f t="shared" si="23"/>
        <v>26928</v>
      </c>
      <c r="V63" s="102">
        <f t="shared" si="23"/>
        <v>28377</v>
      </c>
      <c r="W63" s="102">
        <f t="shared" si="23"/>
        <v>30125</v>
      </c>
      <c r="X63" s="102">
        <f t="shared" si="23"/>
        <v>31930</v>
      </c>
      <c r="Y63" s="102">
        <f t="shared" si="23"/>
        <v>33473</v>
      </c>
      <c r="Z63" s="102">
        <f t="shared" si="23"/>
        <v>35356</v>
      </c>
      <c r="AA63" s="102">
        <f t="shared" si="23"/>
        <v>37203</v>
      </c>
      <c r="AB63" s="102">
        <f t="shared" si="23"/>
        <v>38649</v>
      </c>
      <c r="AC63" s="102">
        <f t="shared" si="23"/>
        <v>39965</v>
      </c>
      <c r="AD63" s="102">
        <f t="shared" si="23"/>
        <v>40649</v>
      </c>
      <c r="AE63" s="102">
        <f t="shared" si="23"/>
        <v>42599</v>
      </c>
      <c r="AF63" s="102">
        <f t="shared" si="23"/>
        <v>44540</v>
      </c>
      <c r="AG63" s="102">
        <f t="shared" si="23"/>
        <v>46429</v>
      </c>
      <c r="AH63" s="102">
        <f t="shared" si="23"/>
        <v>48402</v>
      </c>
      <c r="AI63" s="102">
        <f t="shared" si="23"/>
        <v>49144</v>
      </c>
      <c r="AJ63" s="112">
        <f>AG63+AJ61</f>
        <v>95573</v>
      </c>
    </row>
    <row r="64" spans="1:38" ht="13" customHeight="1">
      <c r="A64" s="94"/>
      <c r="B64" s="27"/>
      <c r="C64" s="27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</row>
    <row r="65" spans="1:38" ht="52" customHeight="1">
      <c r="A65" s="28" t="s">
        <v>133</v>
      </c>
      <c r="B65" s="28" t="s">
        <v>100</v>
      </c>
      <c r="C65" s="523" t="s">
        <v>101</v>
      </c>
      <c r="D65" s="50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103"/>
    </row>
    <row r="66" spans="1:38" ht="14.5" customHeight="1">
      <c r="A66" s="2">
        <v>1</v>
      </c>
      <c r="B66" s="2" t="s">
        <v>129</v>
      </c>
      <c r="C66" s="506" t="s">
        <v>119</v>
      </c>
      <c r="D66" s="501"/>
      <c r="E66" s="30">
        <f t="shared" ref="E66:AI66" si="24">E24-D24</f>
        <v>96</v>
      </c>
      <c r="F66" s="30">
        <f t="shared" si="24"/>
        <v>101</v>
      </c>
      <c r="G66" s="30">
        <f t="shared" si="24"/>
        <v>51</v>
      </c>
      <c r="H66" s="30">
        <f t="shared" si="24"/>
        <v>0</v>
      </c>
      <c r="I66" s="30">
        <f t="shared" si="24"/>
        <v>114</v>
      </c>
      <c r="J66" s="30">
        <f t="shared" si="24"/>
        <v>98</v>
      </c>
      <c r="K66" s="30">
        <f t="shared" si="24"/>
        <v>104</v>
      </c>
      <c r="L66" s="30">
        <f t="shared" si="24"/>
        <v>102</v>
      </c>
      <c r="M66" s="30">
        <f t="shared" si="24"/>
        <v>97</v>
      </c>
      <c r="N66" s="30">
        <f t="shared" si="24"/>
        <v>18</v>
      </c>
      <c r="O66" s="30">
        <f t="shared" si="24"/>
        <v>0</v>
      </c>
      <c r="P66" s="30">
        <f t="shared" si="24"/>
        <v>100</v>
      </c>
      <c r="Q66" s="30">
        <f t="shared" si="24"/>
        <v>95</v>
      </c>
      <c r="R66" s="30">
        <f t="shared" si="24"/>
        <v>70</v>
      </c>
      <c r="S66" s="30">
        <f t="shared" si="24"/>
        <v>0</v>
      </c>
      <c r="T66" s="30">
        <f t="shared" si="24"/>
        <v>85</v>
      </c>
      <c r="U66" s="30">
        <f t="shared" si="24"/>
        <v>49</v>
      </c>
      <c r="V66" s="30">
        <f t="shared" si="24"/>
        <v>0</v>
      </c>
      <c r="W66" s="30">
        <f t="shared" si="24"/>
        <v>83</v>
      </c>
      <c r="X66" s="30">
        <f t="shared" si="24"/>
        <v>93</v>
      </c>
      <c r="Y66" s="30">
        <f t="shared" si="24"/>
        <v>69</v>
      </c>
      <c r="Z66" s="30">
        <f t="shared" si="24"/>
        <v>89</v>
      </c>
      <c r="AA66" s="30">
        <f t="shared" si="24"/>
        <v>86</v>
      </c>
      <c r="AB66" s="30">
        <f t="shared" si="24"/>
        <v>47</v>
      </c>
      <c r="AC66" s="30">
        <f t="shared" si="24"/>
        <v>0</v>
      </c>
      <c r="AD66" s="30">
        <f t="shared" si="24"/>
        <v>10</v>
      </c>
      <c r="AE66" s="30">
        <f t="shared" si="24"/>
        <v>93</v>
      </c>
      <c r="AF66" s="30">
        <f t="shared" si="24"/>
        <v>95</v>
      </c>
      <c r="AG66" s="30">
        <f t="shared" si="24"/>
        <v>95</v>
      </c>
      <c r="AH66" s="30">
        <f t="shared" si="24"/>
        <v>98</v>
      </c>
      <c r="AI66" s="30">
        <f t="shared" si="24"/>
        <v>21</v>
      </c>
      <c r="AJ66" s="30">
        <f t="shared" ref="AJ66:AJ79" si="25">SUM(E66:AI66)</f>
        <v>2059</v>
      </c>
    </row>
    <row r="67" spans="1:38" ht="14.5" customHeight="1">
      <c r="A67" s="2"/>
      <c r="B67" s="2"/>
      <c r="C67" s="532" t="s">
        <v>22</v>
      </c>
      <c r="D67" s="501"/>
      <c r="E67" s="30">
        <f t="shared" ref="E67:AI67" si="26">E25-D25</f>
        <v>53</v>
      </c>
      <c r="F67" s="30">
        <f t="shared" si="26"/>
        <v>0</v>
      </c>
      <c r="G67" s="30">
        <f t="shared" si="26"/>
        <v>6</v>
      </c>
      <c r="H67" s="30">
        <f t="shared" si="26"/>
        <v>0</v>
      </c>
      <c r="I67" s="30">
        <f t="shared" si="26"/>
        <v>0</v>
      </c>
      <c r="J67" s="30">
        <f t="shared" si="26"/>
        <v>13</v>
      </c>
      <c r="K67" s="30">
        <f t="shared" si="26"/>
        <v>0</v>
      </c>
      <c r="L67" s="30">
        <f t="shared" si="26"/>
        <v>0</v>
      </c>
      <c r="M67" s="30">
        <f t="shared" si="26"/>
        <v>0</v>
      </c>
      <c r="N67" s="30">
        <f t="shared" si="26"/>
        <v>39</v>
      </c>
      <c r="O67" s="30">
        <f t="shared" si="26"/>
        <v>0</v>
      </c>
      <c r="P67" s="30">
        <f t="shared" si="26"/>
        <v>0</v>
      </c>
      <c r="Q67" s="30">
        <f t="shared" si="26"/>
        <v>0</v>
      </c>
      <c r="R67" s="30">
        <f t="shared" si="26"/>
        <v>18</v>
      </c>
      <c r="S67" s="30">
        <f t="shared" si="26"/>
        <v>0</v>
      </c>
      <c r="T67" s="30">
        <f t="shared" si="26"/>
        <v>0</v>
      </c>
      <c r="U67" s="30">
        <f t="shared" si="26"/>
        <v>0</v>
      </c>
      <c r="V67" s="30">
        <f t="shared" si="26"/>
        <v>0</v>
      </c>
      <c r="W67" s="30">
        <f t="shared" si="26"/>
        <v>0</v>
      </c>
      <c r="X67" s="30">
        <f t="shared" si="26"/>
        <v>0</v>
      </c>
      <c r="Y67" s="30">
        <f t="shared" si="26"/>
        <v>15</v>
      </c>
      <c r="Z67" s="30">
        <f t="shared" si="26"/>
        <v>0</v>
      </c>
      <c r="AA67" s="30">
        <f t="shared" si="26"/>
        <v>0</v>
      </c>
      <c r="AB67" s="30">
        <f t="shared" si="26"/>
        <v>0</v>
      </c>
      <c r="AC67" s="30">
        <f t="shared" si="26"/>
        <v>0</v>
      </c>
      <c r="AD67" s="30">
        <f t="shared" si="26"/>
        <v>97</v>
      </c>
      <c r="AE67" s="30">
        <f t="shared" si="26"/>
        <v>0</v>
      </c>
      <c r="AF67" s="30">
        <f t="shared" si="26"/>
        <v>0</v>
      </c>
      <c r="AG67" s="30">
        <f t="shared" si="26"/>
        <v>0</v>
      </c>
      <c r="AH67" s="30">
        <f t="shared" si="26"/>
        <v>0</v>
      </c>
      <c r="AI67" s="30">
        <f t="shared" si="26"/>
        <v>0</v>
      </c>
      <c r="AJ67" s="30">
        <f t="shared" si="25"/>
        <v>241</v>
      </c>
    </row>
    <row r="68" spans="1:38" ht="14.5" customHeight="1">
      <c r="A68" s="2">
        <v>2</v>
      </c>
      <c r="B68" s="2" t="s">
        <v>129</v>
      </c>
      <c r="C68" s="506" t="s">
        <v>120</v>
      </c>
      <c r="D68" s="501"/>
      <c r="E68" s="30">
        <f t="shared" ref="E68:AI68" si="27">E26-D26</f>
        <v>63</v>
      </c>
      <c r="F68" s="30">
        <f t="shared" si="27"/>
        <v>77</v>
      </c>
      <c r="G68" s="30">
        <f t="shared" si="27"/>
        <v>24</v>
      </c>
      <c r="H68" s="30">
        <f t="shared" si="27"/>
        <v>0</v>
      </c>
      <c r="I68" s="30">
        <f t="shared" si="27"/>
        <v>70</v>
      </c>
      <c r="J68" s="30">
        <f t="shared" si="27"/>
        <v>61</v>
      </c>
      <c r="K68" s="30">
        <f t="shared" si="27"/>
        <v>63</v>
      </c>
      <c r="L68" s="30">
        <f t="shared" si="27"/>
        <v>63</v>
      </c>
      <c r="M68" s="30">
        <f t="shared" si="27"/>
        <v>62</v>
      </c>
      <c r="N68" s="30">
        <f t="shared" si="27"/>
        <v>13</v>
      </c>
      <c r="O68" s="30">
        <f t="shared" si="27"/>
        <v>0</v>
      </c>
      <c r="P68" s="30">
        <f t="shared" si="27"/>
        <v>73</v>
      </c>
      <c r="Q68" s="30">
        <f t="shared" si="27"/>
        <v>65</v>
      </c>
      <c r="R68" s="30">
        <f t="shared" si="27"/>
        <v>49</v>
      </c>
      <c r="S68" s="30">
        <f t="shared" si="27"/>
        <v>0</v>
      </c>
      <c r="T68" s="30">
        <f t="shared" si="27"/>
        <v>57</v>
      </c>
      <c r="U68" s="30">
        <f t="shared" si="27"/>
        <v>33</v>
      </c>
      <c r="V68" s="30">
        <f t="shared" si="27"/>
        <v>0</v>
      </c>
      <c r="W68" s="30">
        <f t="shared" si="27"/>
        <v>83</v>
      </c>
      <c r="X68" s="30">
        <f t="shared" si="27"/>
        <v>93</v>
      </c>
      <c r="Y68" s="30">
        <f t="shared" si="27"/>
        <v>75</v>
      </c>
      <c r="Z68" s="30">
        <f t="shared" si="27"/>
        <v>89</v>
      </c>
      <c r="AA68" s="30">
        <f t="shared" si="27"/>
        <v>81</v>
      </c>
      <c r="AB68" s="30">
        <f t="shared" si="27"/>
        <v>34</v>
      </c>
      <c r="AC68" s="30">
        <f t="shared" si="27"/>
        <v>0</v>
      </c>
      <c r="AD68" s="30">
        <f t="shared" si="27"/>
        <v>10</v>
      </c>
      <c r="AE68" s="30">
        <f t="shared" si="27"/>
        <v>103</v>
      </c>
      <c r="AF68" s="30">
        <f t="shared" si="27"/>
        <v>104</v>
      </c>
      <c r="AG68" s="30">
        <f t="shared" si="27"/>
        <v>101</v>
      </c>
      <c r="AH68" s="30">
        <f t="shared" si="27"/>
        <v>102</v>
      </c>
      <c r="AI68" s="30">
        <f t="shared" si="27"/>
        <v>22</v>
      </c>
      <c r="AJ68" s="30">
        <f t="shared" si="25"/>
        <v>1670</v>
      </c>
    </row>
    <row r="69" spans="1:38" ht="14.5" customHeight="1">
      <c r="A69" s="2"/>
      <c r="B69" s="2"/>
      <c r="C69" s="532" t="s">
        <v>22</v>
      </c>
      <c r="D69" s="501"/>
      <c r="E69" s="30">
        <f t="shared" ref="E69:AI69" si="28">E27-D27</f>
        <v>36</v>
      </c>
      <c r="F69" s="30">
        <f t="shared" si="28"/>
        <v>0</v>
      </c>
      <c r="G69" s="30">
        <f t="shared" si="28"/>
        <v>3</v>
      </c>
      <c r="H69" s="30">
        <f t="shared" si="28"/>
        <v>0</v>
      </c>
      <c r="I69" s="30">
        <f t="shared" si="28"/>
        <v>0</v>
      </c>
      <c r="J69" s="30">
        <f t="shared" si="28"/>
        <v>8</v>
      </c>
      <c r="K69" s="30">
        <f t="shared" si="28"/>
        <v>0</v>
      </c>
      <c r="L69" s="30">
        <f t="shared" si="28"/>
        <v>0</v>
      </c>
      <c r="M69" s="30">
        <f t="shared" si="28"/>
        <v>0</v>
      </c>
      <c r="N69" s="30">
        <f t="shared" si="28"/>
        <v>25</v>
      </c>
      <c r="O69" s="30">
        <f t="shared" si="28"/>
        <v>0</v>
      </c>
      <c r="P69" s="30">
        <f t="shared" si="28"/>
        <v>0</v>
      </c>
      <c r="Q69" s="30">
        <f t="shared" si="28"/>
        <v>0</v>
      </c>
      <c r="R69" s="30">
        <f t="shared" si="28"/>
        <v>11</v>
      </c>
      <c r="S69" s="30">
        <f t="shared" si="28"/>
        <v>0</v>
      </c>
      <c r="T69" s="30">
        <f t="shared" si="28"/>
        <v>0</v>
      </c>
      <c r="U69" s="30">
        <f t="shared" si="28"/>
        <v>0</v>
      </c>
      <c r="V69" s="30">
        <f t="shared" si="28"/>
        <v>0</v>
      </c>
      <c r="W69" s="30">
        <f t="shared" si="28"/>
        <v>0</v>
      </c>
      <c r="X69" s="30">
        <f t="shared" si="28"/>
        <v>0</v>
      </c>
      <c r="Y69" s="30">
        <f t="shared" si="28"/>
        <v>17</v>
      </c>
      <c r="Z69" s="30">
        <f t="shared" si="28"/>
        <v>0</v>
      </c>
      <c r="AA69" s="30">
        <f t="shared" si="28"/>
        <v>0</v>
      </c>
      <c r="AB69" s="30">
        <f t="shared" si="28"/>
        <v>0</v>
      </c>
      <c r="AC69" s="30">
        <f t="shared" si="28"/>
        <v>0</v>
      </c>
      <c r="AD69" s="30">
        <f t="shared" si="28"/>
        <v>102</v>
      </c>
      <c r="AE69" s="30">
        <f t="shared" si="28"/>
        <v>0</v>
      </c>
      <c r="AF69" s="30">
        <f t="shared" si="28"/>
        <v>0</v>
      </c>
      <c r="AG69" s="30">
        <f t="shared" si="28"/>
        <v>0</v>
      </c>
      <c r="AH69" s="30">
        <f t="shared" si="28"/>
        <v>0</v>
      </c>
      <c r="AI69" s="30">
        <f t="shared" si="28"/>
        <v>0</v>
      </c>
      <c r="AJ69" s="30">
        <f t="shared" si="25"/>
        <v>202</v>
      </c>
    </row>
    <row r="70" spans="1:38" ht="14.5" customHeight="1">
      <c r="A70" s="2">
        <v>3</v>
      </c>
      <c r="B70" s="2" t="s">
        <v>129</v>
      </c>
      <c r="C70" s="506" t="s">
        <v>121</v>
      </c>
      <c r="D70" s="501"/>
      <c r="E70" s="30">
        <f t="shared" ref="E70:AI70" si="29">E28-D28</f>
        <v>110</v>
      </c>
      <c r="F70" s="30">
        <f t="shared" si="29"/>
        <v>83</v>
      </c>
      <c r="G70" s="30">
        <f t="shared" si="29"/>
        <v>77</v>
      </c>
      <c r="H70" s="30">
        <f t="shared" si="29"/>
        <v>0</v>
      </c>
      <c r="I70" s="30">
        <f t="shared" si="29"/>
        <v>116</v>
      </c>
      <c r="J70" s="30">
        <f t="shared" si="29"/>
        <v>102</v>
      </c>
      <c r="K70" s="30">
        <f t="shared" si="29"/>
        <v>108</v>
      </c>
      <c r="L70" s="30">
        <f t="shared" si="29"/>
        <v>110</v>
      </c>
      <c r="M70" s="30">
        <f t="shared" si="29"/>
        <v>112</v>
      </c>
      <c r="N70" s="30">
        <f t="shared" si="29"/>
        <v>21</v>
      </c>
      <c r="O70" s="30">
        <f t="shared" si="29"/>
        <v>0</v>
      </c>
      <c r="P70" s="30">
        <f t="shared" si="29"/>
        <v>115</v>
      </c>
      <c r="Q70" s="30">
        <f t="shared" si="29"/>
        <v>107</v>
      </c>
      <c r="R70" s="30">
        <f t="shared" si="29"/>
        <v>88</v>
      </c>
      <c r="S70" s="30">
        <f t="shared" si="29"/>
        <v>0</v>
      </c>
      <c r="T70" s="30">
        <f t="shared" si="29"/>
        <v>109</v>
      </c>
      <c r="U70" s="30">
        <f t="shared" si="29"/>
        <v>65</v>
      </c>
      <c r="V70" s="30">
        <f t="shared" si="29"/>
        <v>0</v>
      </c>
      <c r="W70" s="30">
        <f t="shared" si="29"/>
        <v>90</v>
      </c>
      <c r="X70" s="30">
        <f t="shared" si="29"/>
        <v>94</v>
      </c>
      <c r="Y70" s="30">
        <f t="shared" si="29"/>
        <v>75</v>
      </c>
      <c r="Z70" s="30">
        <f t="shared" si="29"/>
        <v>98</v>
      </c>
      <c r="AA70" s="30">
        <f t="shared" si="29"/>
        <v>96</v>
      </c>
      <c r="AB70" s="30">
        <f t="shared" si="29"/>
        <v>35</v>
      </c>
      <c r="AC70" s="30">
        <f t="shared" si="29"/>
        <v>0</v>
      </c>
      <c r="AD70" s="30">
        <f t="shared" si="29"/>
        <v>10</v>
      </c>
      <c r="AE70" s="30">
        <f t="shared" si="29"/>
        <v>97</v>
      </c>
      <c r="AF70" s="30">
        <f t="shared" si="29"/>
        <v>94</v>
      </c>
      <c r="AG70" s="30">
        <f t="shared" si="29"/>
        <v>97</v>
      </c>
      <c r="AH70" s="30">
        <f t="shared" si="29"/>
        <v>104</v>
      </c>
      <c r="AI70" s="30">
        <f t="shared" si="29"/>
        <v>23</v>
      </c>
      <c r="AJ70" s="30">
        <f t="shared" si="25"/>
        <v>2236</v>
      </c>
      <c r="AK70" s="78"/>
      <c r="AL70" s="78"/>
    </row>
    <row r="71" spans="1:38" ht="14.5" customHeight="1">
      <c r="A71" s="2"/>
      <c r="B71" s="2"/>
      <c r="C71" s="532" t="s">
        <v>22</v>
      </c>
      <c r="D71" s="501"/>
      <c r="E71" s="30">
        <f t="shared" ref="E71:AI71" si="30">E29-D29</f>
        <v>61</v>
      </c>
      <c r="F71" s="30">
        <f t="shared" si="30"/>
        <v>0</v>
      </c>
      <c r="G71" s="30">
        <f t="shared" si="30"/>
        <v>6</v>
      </c>
      <c r="H71" s="30">
        <f t="shared" si="30"/>
        <v>0</v>
      </c>
      <c r="I71" s="30">
        <f t="shared" si="30"/>
        <v>0</v>
      </c>
      <c r="J71" s="30">
        <f t="shared" si="30"/>
        <v>13</v>
      </c>
      <c r="K71" s="30">
        <f t="shared" si="30"/>
        <v>0</v>
      </c>
      <c r="L71" s="30">
        <f t="shared" si="30"/>
        <v>0</v>
      </c>
      <c r="M71" s="30">
        <f t="shared" si="30"/>
        <v>0</v>
      </c>
      <c r="N71" s="30">
        <f t="shared" si="30"/>
        <v>43</v>
      </c>
      <c r="O71" s="30">
        <f t="shared" si="30"/>
        <v>0</v>
      </c>
      <c r="P71" s="30">
        <f t="shared" si="30"/>
        <v>0</v>
      </c>
      <c r="Q71" s="30">
        <f t="shared" si="30"/>
        <v>0</v>
      </c>
      <c r="R71" s="30">
        <f t="shared" si="30"/>
        <v>21</v>
      </c>
      <c r="S71" s="30">
        <f t="shared" si="30"/>
        <v>0</v>
      </c>
      <c r="T71" s="30">
        <f t="shared" si="30"/>
        <v>0</v>
      </c>
      <c r="U71" s="30">
        <f t="shared" si="30"/>
        <v>0</v>
      </c>
      <c r="V71" s="30">
        <f t="shared" si="30"/>
        <v>0</v>
      </c>
      <c r="W71" s="30">
        <f t="shared" si="30"/>
        <v>0</v>
      </c>
      <c r="X71" s="30">
        <f t="shared" si="30"/>
        <v>0</v>
      </c>
      <c r="Y71" s="30">
        <f t="shared" si="30"/>
        <v>16</v>
      </c>
      <c r="Z71" s="30">
        <f t="shared" si="30"/>
        <v>0</v>
      </c>
      <c r="AA71" s="30">
        <f t="shared" si="30"/>
        <v>0</v>
      </c>
      <c r="AB71" s="30">
        <f t="shared" si="30"/>
        <v>0</v>
      </c>
      <c r="AC71" s="30">
        <f t="shared" si="30"/>
        <v>0</v>
      </c>
      <c r="AD71" s="30">
        <f t="shared" si="30"/>
        <v>94</v>
      </c>
      <c r="AE71" s="30">
        <f t="shared" si="30"/>
        <v>0</v>
      </c>
      <c r="AF71" s="30">
        <f t="shared" si="30"/>
        <v>0</v>
      </c>
      <c r="AG71" s="30">
        <f t="shared" si="30"/>
        <v>0</v>
      </c>
      <c r="AH71" s="30">
        <f t="shared" si="30"/>
        <v>0</v>
      </c>
      <c r="AI71" s="30">
        <f t="shared" si="30"/>
        <v>0</v>
      </c>
      <c r="AJ71" s="30">
        <f t="shared" si="25"/>
        <v>254</v>
      </c>
      <c r="AK71" s="78"/>
      <c r="AL71" s="78"/>
    </row>
    <row r="72" spans="1:38" ht="14.5" customHeight="1">
      <c r="A72" s="2">
        <v>4</v>
      </c>
      <c r="B72" s="2" t="s">
        <v>129</v>
      </c>
      <c r="C72" s="506" t="s">
        <v>122</v>
      </c>
      <c r="D72" s="501"/>
      <c r="E72" s="30">
        <f t="shared" ref="E72:AI72" si="31">E30-D30</f>
        <v>101</v>
      </c>
      <c r="F72" s="30">
        <f t="shared" si="31"/>
        <v>102</v>
      </c>
      <c r="G72" s="30">
        <f t="shared" si="31"/>
        <v>52</v>
      </c>
      <c r="H72" s="30">
        <f t="shared" si="31"/>
        <v>0</v>
      </c>
      <c r="I72" s="30">
        <f t="shared" si="31"/>
        <v>111</v>
      </c>
      <c r="J72" s="30">
        <f t="shared" si="31"/>
        <v>96</v>
      </c>
      <c r="K72" s="30">
        <f t="shared" si="31"/>
        <v>105</v>
      </c>
      <c r="L72" s="30">
        <f t="shared" si="31"/>
        <v>102</v>
      </c>
      <c r="M72" s="30">
        <f t="shared" si="31"/>
        <v>99</v>
      </c>
      <c r="N72" s="30">
        <f t="shared" si="31"/>
        <v>19</v>
      </c>
      <c r="O72" s="30">
        <f t="shared" si="31"/>
        <v>0</v>
      </c>
      <c r="P72" s="30">
        <f t="shared" si="31"/>
        <v>104</v>
      </c>
      <c r="Q72" s="30">
        <f t="shared" si="31"/>
        <v>101</v>
      </c>
      <c r="R72" s="30">
        <f t="shared" si="31"/>
        <v>80</v>
      </c>
      <c r="S72" s="30">
        <f t="shared" si="31"/>
        <v>0</v>
      </c>
      <c r="T72" s="30">
        <f t="shared" si="31"/>
        <v>107</v>
      </c>
      <c r="U72" s="30">
        <f t="shared" si="31"/>
        <v>55</v>
      </c>
      <c r="V72" s="30">
        <f t="shared" si="31"/>
        <v>0</v>
      </c>
      <c r="W72" s="30">
        <f t="shared" si="31"/>
        <v>85</v>
      </c>
      <c r="X72" s="30">
        <f t="shared" si="31"/>
        <v>100</v>
      </c>
      <c r="Y72" s="30">
        <f t="shared" si="31"/>
        <v>80</v>
      </c>
      <c r="Z72" s="30">
        <f t="shared" si="31"/>
        <v>97</v>
      </c>
      <c r="AA72" s="30">
        <f t="shared" si="31"/>
        <v>97</v>
      </c>
      <c r="AB72" s="30">
        <f t="shared" si="31"/>
        <v>50</v>
      </c>
      <c r="AC72" s="30">
        <f t="shared" si="31"/>
        <v>0</v>
      </c>
      <c r="AD72" s="30">
        <f t="shared" si="31"/>
        <v>7</v>
      </c>
      <c r="AE72" s="30">
        <f t="shared" si="31"/>
        <v>115</v>
      </c>
      <c r="AF72" s="30">
        <f t="shared" si="31"/>
        <v>81</v>
      </c>
      <c r="AG72" s="30">
        <f t="shared" si="31"/>
        <v>44</v>
      </c>
      <c r="AH72" s="30">
        <f t="shared" si="31"/>
        <v>49</v>
      </c>
      <c r="AI72" s="30">
        <f t="shared" si="31"/>
        <v>16</v>
      </c>
      <c r="AJ72" s="30">
        <f t="shared" si="25"/>
        <v>2055</v>
      </c>
      <c r="AL72" s="78"/>
    </row>
    <row r="73" spans="1:38" ht="14.5" customHeight="1">
      <c r="A73" s="2"/>
      <c r="B73" s="2"/>
      <c r="C73" s="532" t="s">
        <v>22</v>
      </c>
      <c r="D73" s="501"/>
      <c r="E73" s="30">
        <f t="shared" ref="E73:AI73" si="32">E31-D31</f>
        <v>58</v>
      </c>
      <c r="F73" s="30">
        <f t="shared" si="32"/>
        <v>0</v>
      </c>
      <c r="G73" s="30">
        <f t="shared" si="32"/>
        <v>6</v>
      </c>
      <c r="H73" s="30">
        <f t="shared" si="32"/>
        <v>0</v>
      </c>
      <c r="I73" s="30">
        <f t="shared" si="32"/>
        <v>0</v>
      </c>
      <c r="J73" s="30">
        <f t="shared" si="32"/>
        <v>16</v>
      </c>
      <c r="K73" s="30">
        <f t="shared" si="32"/>
        <v>0</v>
      </c>
      <c r="L73" s="30">
        <f t="shared" si="32"/>
        <v>0</v>
      </c>
      <c r="M73" s="30">
        <f t="shared" si="32"/>
        <v>0</v>
      </c>
      <c r="N73" s="30">
        <f t="shared" si="32"/>
        <v>39</v>
      </c>
      <c r="O73" s="30">
        <f t="shared" si="32"/>
        <v>0</v>
      </c>
      <c r="P73" s="30">
        <f t="shared" si="32"/>
        <v>0</v>
      </c>
      <c r="Q73" s="30">
        <f t="shared" si="32"/>
        <v>0</v>
      </c>
      <c r="R73" s="30">
        <f t="shared" si="32"/>
        <v>18</v>
      </c>
      <c r="S73" s="30">
        <f t="shared" si="32"/>
        <v>0</v>
      </c>
      <c r="T73" s="30">
        <f t="shared" si="32"/>
        <v>0</v>
      </c>
      <c r="U73" s="30">
        <f t="shared" si="32"/>
        <v>0</v>
      </c>
      <c r="V73" s="30">
        <f t="shared" si="32"/>
        <v>0</v>
      </c>
      <c r="W73" s="30">
        <f t="shared" si="32"/>
        <v>0</v>
      </c>
      <c r="X73" s="30">
        <f t="shared" si="32"/>
        <v>0</v>
      </c>
      <c r="Y73" s="30">
        <f t="shared" si="32"/>
        <v>17</v>
      </c>
      <c r="Z73" s="30">
        <f t="shared" si="32"/>
        <v>0</v>
      </c>
      <c r="AA73" s="30">
        <f t="shared" si="32"/>
        <v>0</v>
      </c>
      <c r="AB73" s="30">
        <f t="shared" si="32"/>
        <v>0</v>
      </c>
      <c r="AC73" s="30">
        <f t="shared" si="32"/>
        <v>0</v>
      </c>
      <c r="AD73" s="30">
        <f t="shared" si="32"/>
        <v>95</v>
      </c>
      <c r="AE73" s="30">
        <f t="shared" si="32"/>
        <v>0</v>
      </c>
      <c r="AF73" s="30">
        <f t="shared" si="32"/>
        <v>0</v>
      </c>
      <c r="AG73" s="30">
        <f t="shared" si="32"/>
        <v>0</v>
      </c>
      <c r="AH73" s="30">
        <f t="shared" si="32"/>
        <v>0</v>
      </c>
      <c r="AI73" s="30">
        <f t="shared" si="32"/>
        <v>0</v>
      </c>
      <c r="AJ73" s="30">
        <f t="shared" si="25"/>
        <v>249</v>
      </c>
    </row>
    <row r="74" spans="1:38" ht="25.5" customHeight="1">
      <c r="A74" s="99"/>
      <c r="B74" s="99"/>
      <c r="C74" s="500" t="s">
        <v>134</v>
      </c>
      <c r="D74" s="501"/>
      <c r="E74" s="23">
        <f t="shared" ref="E74:AI74" si="33">SUM(E66,E68,E70,E72)</f>
        <v>370</v>
      </c>
      <c r="F74" s="23">
        <f t="shared" si="33"/>
        <v>363</v>
      </c>
      <c r="G74" s="23">
        <f t="shared" si="33"/>
        <v>204</v>
      </c>
      <c r="H74" s="23">
        <f t="shared" si="33"/>
        <v>0</v>
      </c>
      <c r="I74" s="23">
        <f t="shared" si="33"/>
        <v>411</v>
      </c>
      <c r="J74" s="23">
        <f t="shared" si="33"/>
        <v>357</v>
      </c>
      <c r="K74" s="23">
        <f t="shared" si="33"/>
        <v>380</v>
      </c>
      <c r="L74" s="23">
        <f t="shared" si="33"/>
        <v>377</v>
      </c>
      <c r="M74" s="23">
        <f t="shared" si="33"/>
        <v>370</v>
      </c>
      <c r="N74" s="23">
        <f t="shared" si="33"/>
        <v>71</v>
      </c>
      <c r="O74" s="23">
        <f t="shared" si="33"/>
        <v>0</v>
      </c>
      <c r="P74" s="23">
        <f t="shared" si="33"/>
        <v>392</v>
      </c>
      <c r="Q74" s="23">
        <f t="shared" si="33"/>
        <v>368</v>
      </c>
      <c r="R74" s="23">
        <f t="shared" si="33"/>
        <v>287</v>
      </c>
      <c r="S74" s="23">
        <f t="shared" si="33"/>
        <v>0</v>
      </c>
      <c r="T74" s="23">
        <f t="shared" si="33"/>
        <v>358</v>
      </c>
      <c r="U74" s="23">
        <f t="shared" si="33"/>
        <v>202</v>
      </c>
      <c r="V74" s="23">
        <f t="shared" si="33"/>
        <v>0</v>
      </c>
      <c r="W74" s="23">
        <f t="shared" si="33"/>
        <v>341</v>
      </c>
      <c r="X74" s="23">
        <f t="shared" si="33"/>
        <v>380</v>
      </c>
      <c r="Y74" s="23">
        <f t="shared" si="33"/>
        <v>299</v>
      </c>
      <c r="Z74" s="23">
        <f t="shared" si="33"/>
        <v>373</v>
      </c>
      <c r="AA74" s="23">
        <f t="shared" si="33"/>
        <v>360</v>
      </c>
      <c r="AB74" s="23">
        <f t="shared" si="33"/>
        <v>166</v>
      </c>
      <c r="AC74" s="23">
        <f t="shared" si="33"/>
        <v>0</v>
      </c>
      <c r="AD74" s="23">
        <f t="shared" si="33"/>
        <v>37</v>
      </c>
      <c r="AE74" s="23">
        <f t="shared" si="33"/>
        <v>408</v>
      </c>
      <c r="AF74" s="23">
        <f t="shared" si="33"/>
        <v>374</v>
      </c>
      <c r="AG74" s="23">
        <f t="shared" si="33"/>
        <v>337</v>
      </c>
      <c r="AH74" s="23">
        <f t="shared" si="33"/>
        <v>353</v>
      </c>
      <c r="AI74" s="23">
        <f t="shared" si="33"/>
        <v>82</v>
      </c>
      <c r="AJ74" s="24">
        <f t="shared" si="25"/>
        <v>8020</v>
      </c>
    </row>
    <row r="75" spans="1:38" ht="25.5" customHeight="1">
      <c r="A75" s="99"/>
      <c r="B75" s="99"/>
      <c r="C75" s="513" t="s">
        <v>135</v>
      </c>
      <c r="D75" s="501"/>
      <c r="E75" s="23">
        <f t="shared" ref="E75:AI75" si="34">SUM(E67,E69,E71,E73)</f>
        <v>208</v>
      </c>
      <c r="F75" s="23">
        <f t="shared" si="34"/>
        <v>0</v>
      </c>
      <c r="G75" s="23">
        <f t="shared" si="34"/>
        <v>21</v>
      </c>
      <c r="H75" s="23">
        <f t="shared" si="34"/>
        <v>0</v>
      </c>
      <c r="I75" s="23">
        <f t="shared" si="34"/>
        <v>0</v>
      </c>
      <c r="J75" s="23">
        <f t="shared" si="34"/>
        <v>50</v>
      </c>
      <c r="K75" s="23">
        <f t="shared" si="34"/>
        <v>0</v>
      </c>
      <c r="L75" s="23">
        <f t="shared" si="34"/>
        <v>0</v>
      </c>
      <c r="M75" s="23">
        <f t="shared" si="34"/>
        <v>0</v>
      </c>
      <c r="N75" s="23">
        <f t="shared" si="34"/>
        <v>146</v>
      </c>
      <c r="O75" s="23">
        <f t="shared" si="34"/>
        <v>0</v>
      </c>
      <c r="P75" s="23">
        <f t="shared" si="34"/>
        <v>0</v>
      </c>
      <c r="Q75" s="23">
        <f t="shared" si="34"/>
        <v>0</v>
      </c>
      <c r="R75" s="23">
        <f t="shared" si="34"/>
        <v>68</v>
      </c>
      <c r="S75" s="23">
        <f t="shared" si="34"/>
        <v>0</v>
      </c>
      <c r="T75" s="23">
        <f t="shared" si="34"/>
        <v>0</v>
      </c>
      <c r="U75" s="23">
        <f t="shared" si="34"/>
        <v>0</v>
      </c>
      <c r="V75" s="23">
        <f t="shared" si="34"/>
        <v>0</v>
      </c>
      <c r="W75" s="23">
        <f t="shared" si="34"/>
        <v>0</v>
      </c>
      <c r="X75" s="23">
        <f t="shared" si="34"/>
        <v>0</v>
      </c>
      <c r="Y75" s="23">
        <f t="shared" si="34"/>
        <v>65</v>
      </c>
      <c r="Z75" s="23">
        <f t="shared" si="34"/>
        <v>0</v>
      </c>
      <c r="AA75" s="23">
        <f t="shared" si="34"/>
        <v>0</v>
      </c>
      <c r="AB75" s="23">
        <f t="shared" si="34"/>
        <v>0</v>
      </c>
      <c r="AC75" s="23">
        <f t="shared" si="34"/>
        <v>0</v>
      </c>
      <c r="AD75" s="23">
        <f t="shared" si="34"/>
        <v>388</v>
      </c>
      <c r="AE75" s="23">
        <f t="shared" si="34"/>
        <v>0</v>
      </c>
      <c r="AF75" s="23">
        <f t="shared" si="34"/>
        <v>0</v>
      </c>
      <c r="AG75" s="23">
        <f t="shared" si="34"/>
        <v>0</v>
      </c>
      <c r="AH75" s="23">
        <f t="shared" si="34"/>
        <v>0</v>
      </c>
      <c r="AI75" s="23">
        <f t="shared" si="34"/>
        <v>0</v>
      </c>
      <c r="AJ75" s="24">
        <f t="shared" si="25"/>
        <v>946</v>
      </c>
    </row>
    <row r="76" spans="1:38" ht="14.5" customHeight="1">
      <c r="A76" s="2">
        <v>1</v>
      </c>
      <c r="B76" s="2" t="s">
        <v>129</v>
      </c>
      <c r="C76" s="503" t="s">
        <v>123</v>
      </c>
      <c r="D76" s="501"/>
      <c r="E76" s="30">
        <f t="shared" ref="E76:AI76" si="35">E33-D33</f>
        <v>1190.3000000000029</v>
      </c>
      <c r="F76" s="30">
        <f t="shared" si="35"/>
        <v>646.70999999999185</v>
      </c>
      <c r="G76" s="30">
        <f t="shared" si="35"/>
        <v>446.08000000000175</v>
      </c>
      <c r="H76" s="30">
        <f t="shared" si="35"/>
        <v>0</v>
      </c>
      <c r="I76" s="30">
        <f t="shared" si="35"/>
        <v>1033.2700000000041</v>
      </c>
      <c r="J76" s="30">
        <f t="shared" si="35"/>
        <v>836.02999999999884</v>
      </c>
      <c r="K76" s="30">
        <f t="shared" si="35"/>
        <v>766.10000000000582</v>
      </c>
      <c r="L76" s="30">
        <f t="shared" si="35"/>
        <v>642.07999999998719</v>
      </c>
      <c r="M76" s="30">
        <f t="shared" si="35"/>
        <v>653.32000000000698</v>
      </c>
      <c r="N76" s="30">
        <f t="shared" si="35"/>
        <v>328.05999999999767</v>
      </c>
      <c r="O76" s="30">
        <f t="shared" si="35"/>
        <v>0</v>
      </c>
      <c r="P76" s="30">
        <f t="shared" si="35"/>
        <v>987.60000000000582</v>
      </c>
      <c r="Q76" s="30">
        <f t="shared" si="35"/>
        <v>998.50999999999476</v>
      </c>
      <c r="R76" s="30">
        <f t="shared" si="35"/>
        <v>913.32000000000698</v>
      </c>
      <c r="S76" s="30">
        <f t="shared" si="35"/>
        <v>0</v>
      </c>
      <c r="T76" s="30">
        <f t="shared" si="35"/>
        <v>927.97999999999593</v>
      </c>
      <c r="U76" s="30">
        <f t="shared" si="35"/>
        <v>411.14999999999418</v>
      </c>
      <c r="V76" s="30">
        <f t="shared" si="35"/>
        <v>0</v>
      </c>
      <c r="W76" s="30">
        <f t="shared" si="35"/>
        <v>957</v>
      </c>
      <c r="X76" s="30">
        <f t="shared" si="35"/>
        <v>1069.0800000000017</v>
      </c>
      <c r="Y76" s="30">
        <f t="shared" si="35"/>
        <v>789.86000000000058</v>
      </c>
      <c r="Z76" s="30">
        <f t="shared" si="35"/>
        <v>784.49000000000524</v>
      </c>
      <c r="AA76" s="30">
        <f t="shared" si="35"/>
        <v>610.86999999999534</v>
      </c>
      <c r="AB76" s="30">
        <f t="shared" si="35"/>
        <v>432.60000000000582</v>
      </c>
      <c r="AC76" s="30">
        <f t="shared" si="35"/>
        <v>0</v>
      </c>
      <c r="AD76" s="30">
        <f t="shared" si="35"/>
        <v>1291.25</v>
      </c>
      <c r="AE76" s="30">
        <f t="shared" si="35"/>
        <v>1105.5299999999988</v>
      </c>
      <c r="AF76" s="30">
        <f t="shared" si="35"/>
        <v>906.84999999999127</v>
      </c>
      <c r="AG76" s="30">
        <f t="shared" si="35"/>
        <v>574.8700000000099</v>
      </c>
      <c r="AH76" s="30">
        <f t="shared" si="35"/>
        <v>682.39999999999418</v>
      </c>
      <c r="AI76" s="30">
        <f t="shared" si="35"/>
        <v>134.33000000000175</v>
      </c>
      <c r="AJ76" s="30">
        <f t="shared" si="25"/>
        <v>20119.64</v>
      </c>
      <c r="AK76" s="78"/>
    </row>
    <row r="77" spans="1:38" ht="14.5" customHeight="1">
      <c r="A77" s="2">
        <v>2</v>
      </c>
      <c r="B77" s="2" t="s">
        <v>129</v>
      </c>
      <c r="C77" s="503" t="s">
        <v>124</v>
      </c>
      <c r="D77" s="501"/>
      <c r="E77" s="30">
        <f t="shared" ref="E77:AI77" si="36">E34-D34</f>
        <v>1519.8199999999924</v>
      </c>
      <c r="F77" s="30">
        <f t="shared" si="36"/>
        <v>871.80000000000291</v>
      </c>
      <c r="G77" s="30">
        <f t="shared" si="36"/>
        <v>578.75999999999476</v>
      </c>
      <c r="H77" s="30">
        <f t="shared" si="36"/>
        <v>0</v>
      </c>
      <c r="I77" s="30">
        <f t="shared" si="36"/>
        <v>1082.0100000000093</v>
      </c>
      <c r="J77" s="30">
        <f t="shared" si="36"/>
        <v>852.83000000000175</v>
      </c>
      <c r="K77" s="30">
        <f t="shared" si="36"/>
        <v>920.57999999998719</v>
      </c>
      <c r="L77" s="30">
        <f t="shared" si="36"/>
        <v>647.77000000000407</v>
      </c>
      <c r="M77" s="30">
        <f t="shared" si="36"/>
        <v>725.27999999999884</v>
      </c>
      <c r="N77" s="30">
        <f t="shared" si="36"/>
        <v>494.61000000000058</v>
      </c>
      <c r="O77" s="30">
        <f t="shared" si="36"/>
        <v>0</v>
      </c>
      <c r="P77" s="30">
        <f t="shared" si="36"/>
        <v>902.05000000000291</v>
      </c>
      <c r="Q77" s="30">
        <f t="shared" si="36"/>
        <v>869.27999999999884</v>
      </c>
      <c r="R77" s="30">
        <f t="shared" si="36"/>
        <v>811.27999999999884</v>
      </c>
      <c r="S77" s="30">
        <f t="shared" si="36"/>
        <v>0</v>
      </c>
      <c r="T77" s="30">
        <f t="shared" si="36"/>
        <v>1081.6500000000087</v>
      </c>
      <c r="U77" s="30">
        <f t="shared" si="36"/>
        <v>611.75</v>
      </c>
      <c r="V77" s="30">
        <f t="shared" si="36"/>
        <v>0</v>
      </c>
      <c r="W77" s="30">
        <f t="shared" si="36"/>
        <v>1157.5899999999965</v>
      </c>
      <c r="X77" s="30">
        <f t="shared" si="36"/>
        <v>1217.5699999999924</v>
      </c>
      <c r="Y77" s="30">
        <f t="shared" si="36"/>
        <v>1227.0599999999977</v>
      </c>
      <c r="Z77" s="30">
        <f t="shared" si="36"/>
        <v>1028.8300000000017</v>
      </c>
      <c r="AA77" s="30">
        <f t="shared" si="36"/>
        <v>1365.070000000007</v>
      </c>
      <c r="AB77" s="30">
        <f t="shared" si="36"/>
        <v>859.50999999999476</v>
      </c>
      <c r="AC77" s="30">
        <f t="shared" si="36"/>
        <v>0</v>
      </c>
      <c r="AD77" s="30">
        <f t="shared" si="36"/>
        <v>213.13999999999942</v>
      </c>
      <c r="AE77" s="30">
        <f t="shared" si="36"/>
        <v>838.13000000000466</v>
      </c>
      <c r="AF77" s="30">
        <f t="shared" si="36"/>
        <v>925.11000000000058</v>
      </c>
      <c r="AG77" s="30">
        <f t="shared" si="36"/>
        <v>836.16000000000349</v>
      </c>
      <c r="AH77" s="30">
        <f t="shared" si="36"/>
        <v>999.22000000000116</v>
      </c>
      <c r="AI77" s="30">
        <f t="shared" si="36"/>
        <v>201.2899999999936</v>
      </c>
      <c r="AJ77" s="30">
        <f t="shared" si="25"/>
        <v>22838.149999999994</v>
      </c>
    </row>
    <row r="78" spans="1:38" ht="14.5" customHeight="1">
      <c r="A78" s="2">
        <v>3</v>
      </c>
      <c r="B78" s="2" t="s">
        <v>129</v>
      </c>
      <c r="C78" s="503" t="s">
        <v>125</v>
      </c>
      <c r="D78" s="501"/>
      <c r="E78" s="30">
        <f t="shared" ref="E78:AI78" si="37">E35-D35</f>
        <v>1439.1300000000047</v>
      </c>
      <c r="F78" s="30">
        <f t="shared" si="37"/>
        <v>857.81999999999243</v>
      </c>
      <c r="G78" s="30">
        <f t="shared" si="37"/>
        <v>479.73000000001048</v>
      </c>
      <c r="H78" s="30">
        <f t="shared" si="37"/>
        <v>0</v>
      </c>
      <c r="I78" s="30">
        <f t="shared" si="37"/>
        <v>1147.4400000000023</v>
      </c>
      <c r="J78" s="30">
        <f t="shared" si="37"/>
        <v>955.32999999998719</v>
      </c>
      <c r="K78" s="30">
        <f t="shared" si="37"/>
        <v>974.79000000000815</v>
      </c>
      <c r="L78" s="30">
        <f t="shared" si="37"/>
        <v>843.20999999999185</v>
      </c>
      <c r="M78" s="30">
        <f t="shared" si="37"/>
        <v>800.02000000000407</v>
      </c>
      <c r="N78" s="30">
        <f t="shared" si="37"/>
        <v>534.36000000000058</v>
      </c>
      <c r="O78" s="30">
        <f t="shared" si="37"/>
        <v>0</v>
      </c>
      <c r="P78" s="30">
        <f t="shared" si="37"/>
        <v>1009.1800000000076</v>
      </c>
      <c r="Q78" s="30">
        <f t="shared" si="37"/>
        <v>958.52999999999884</v>
      </c>
      <c r="R78" s="30">
        <f t="shared" si="37"/>
        <v>812.75</v>
      </c>
      <c r="S78" s="30">
        <f t="shared" si="37"/>
        <v>0</v>
      </c>
      <c r="T78" s="30">
        <f t="shared" si="37"/>
        <v>933.86999999999534</v>
      </c>
      <c r="U78" s="30">
        <f t="shared" si="37"/>
        <v>485.11999999999534</v>
      </c>
      <c r="V78" s="30">
        <f t="shared" si="37"/>
        <v>0</v>
      </c>
      <c r="W78" s="30">
        <f t="shared" si="37"/>
        <v>1085.8899999999994</v>
      </c>
      <c r="X78" s="30">
        <f t="shared" si="37"/>
        <v>1161.9400000000023</v>
      </c>
      <c r="Y78" s="30">
        <f t="shared" si="37"/>
        <v>1009.8399999999965</v>
      </c>
      <c r="Z78" s="30">
        <f t="shared" si="37"/>
        <v>850.66000000000349</v>
      </c>
      <c r="AA78" s="30">
        <f t="shared" si="37"/>
        <v>816.79000000000815</v>
      </c>
      <c r="AB78" s="30">
        <f t="shared" si="37"/>
        <v>412.45999999999185</v>
      </c>
      <c r="AC78" s="30">
        <f t="shared" si="37"/>
        <v>0</v>
      </c>
      <c r="AD78" s="30">
        <f t="shared" si="37"/>
        <v>1192.7600000000093</v>
      </c>
      <c r="AE78" s="30">
        <f t="shared" si="37"/>
        <v>1069.4199999999837</v>
      </c>
      <c r="AF78" s="30">
        <f t="shared" si="37"/>
        <v>1095.210000000021</v>
      </c>
      <c r="AG78" s="30">
        <f t="shared" si="37"/>
        <v>938.33999999999651</v>
      </c>
      <c r="AH78" s="30">
        <f t="shared" si="37"/>
        <v>909.69999999998254</v>
      </c>
      <c r="AI78" s="30">
        <f t="shared" si="37"/>
        <v>225.76000000000931</v>
      </c>
      <c r="AJ78" s="30">
        <f t="shared" si="25"/>
        <v>23000.050000000003</v>
      </c>
    </row>
    <row r="79" spans="1:38" ht="14.5" customHeight="1">
      <c r="A79" s="2">
        <v>4</v>
      </c>
      <c r="B79" s="2" t="s">
        <v>129</v>
      </c>
      <c r="C79" s="503" t="s">
        <v>126</v>
      </c>
      <c r="D79" s="501"/>
      <c r="E79" s="30">
        <f t="shared" ref="E79:AI79" si="38">E36-D36</f>
        <v>1295.0400000000081</v>
      </c>
      <c r="F79" s="30">
        <f t="shared" si="38"/>
        <v>870.75</v>
      </c>
      <c r="G79" s="30">
        <f t="shared" si="38"/>
        <v>452.78999999997905</v>
      </c>
      <c r="H79" s="30">
        <f t="shared" si="38"/>
        <v>0</v>
      </c>
      <c r="I79" s="30">
        <f t="shared" si="38"/>
        <v>1434.5599999999977</v>
      </c>
      <c r="J79" s="30">
        <f t="shared" si="38"/>
        <v>1032.070000000007</v>
      </c>
      <c r="K79" s="30">
        <f t="shared" si="38"/>
        <v>910.88000000000466</v>
      </c>
      <c r="L79" s="30">
        <f t="shared" si="38"/>
        <v>871.41000000000349</v>
      </c>
      <c r="M79" s="30">
        <f t="shared" si="38"/>
        <v>831.85000000000582</v>
      </c>
      <c r="N79" s="30">
        <f t="shared" si="38"/>
        <v>512.87999999997555</v>
      </c>
      <c r="O79" s="30">
        <f t="shared" si="38"/>
        <v>0</v>
      </c>
      <c r="P79" s="30">
        <f t="shared" si="38"/>
        <v>1253.1200000000244</v>
      </c>
      <c r="Q79" s="30">
        <f t="shared" si="38"/>
        <v>1033.5899999999965</v>
      </c>
      <c r="R79" s="30">
        <f t="shared" si="38"/>
        <v>888.97000000000116</v>
      </c>
      <c r="S79" s="30">
        <f t="shared" si="38"/>
        <v>0</v>
      </c>
      <c r="T79" s="30">
        <f t="shared" si="38"/>
        <v>1041.609999999986</v>
      </c>
      <c r="U79" s="30">
        <f t="shared" si="38"/>
        <v>350.66000000000349</v>
      </c>
      <c r="V79" s="30">
        <f t="shared" si="38"/>
        <v>0</v>
      </c>
      <c r="W79" s="30">
        <f t="shared" si="38"/>
        <v>1176.1700000000128</v>
      </c>
      <c r="X79" s="30">
        <f t="shared" si="38"/>
        <v>1217.0099999999802</v>
      </c>
      <c r="Y79" s="30">
        <f t="shared" si="38"/>
        <v>990.14999999999418</v>
      </c>
      <c r="Z79" s="30">
        <f t="shared" si="38"/>
        <v>1010.8100000000268</v>
      </c>
      <c r="AA79" s="30">
        <f t="shared" si="38"/>
        <v>979.31999999997788</v>
      </c>
      <c r="AB79" s="30">
        <f t="shared" si="38"/>
        <v>529.16000000000349</v>
      </c>
      <c r="AC79" s="30">
        <f t="shared" si="38"/>
        <v>0</v>
      </c>
      <c r="AD79" s="30">
        <f t="shared" si="38"/>
        <v>1360.5599999999977</v>
      </c>
      <c r="AE79" s="30">
        <f t="shared" si="38"/>
        <v>984.75</v>
      </c>
      <c r="AF79" s="30">
        <f t="shared" si="38"/>
        <v>1225.5899999999965</v>
      </c>
      <c r="AG79" s="30">
        <f t="shared" si="38"/>
        <v>828.74000000001979</v>
      </c>
      <c r="AH79" s="30">
        <f t="shared" si="38"/>
        <v>1017.75</v>
      </c>
      <c r="AI79" s="30">
        <f t="shared" si="38"/>
        <v>162.70999999999185</v>
      </c>
      <c r="AJ79" s="30">
        <f t="shared" si="25"/>
        <v>24262.899999999994</v>
      </c>
    </row>
    <row r="80" spans="1:38" ht="15" customHeight="1">
      <c r="A80" s="99"/>
      <c r="B80" s="99"/>
      <c r="C80" s="500" t="s">
        <v>136</v>
      </c>
      <c r="D80" s="501"/>
      <c r="E80" s="23">
        <f t="shared" ref="E80:AJ80" si="39">SUM(E76:E79)</f>
        <v>5444.2900000000081</v>
      </c>
      <c r="F80" s="23">
        <f t="shared" si="39"/>
        <v>3247.0799999999872</v>
      </c>
      <c r="G80" s="23">
        <f t="shared" si="39"/>
        <v>1957.359999999986</v>
      </c>
      <c r="H80" s="23">
        <f t="shared" si="39"/>
        <v>0</v>
      </c>
      <c r="I80" s="23">
        <f t="shared" si="39"/>
        <v>4697.2800000000134</v>
      </c>
      <c r="J80" s="23">
        <f t="shared" si="39"/>
        <v>3676.2599999999948</v>
      </c>
      <c r="K80" s="23">
        <f t="shared" si="39"/>
        <v>3572.3500000000058</v>
      </c>
      <c r="L80" s="23">
        <f t="shared" si="39"/>
        <v>3004.4699999999866</v>
      </c>
      <c r="M80" s="23">
        <f t="shared" si="39"/>
        <v>3010.4700000000157</v>
      </c>
      <c r="N80" s="23">
        <f t="shared" si="39"/>
        <v>1869.9099999999744</v>
      </c>
      <c r="O80" s="23">
        <f t="shared" si="39"/>
        <v>0</v>
      </c>
      <c r="P80" s="23">
        <f t="shared" si="39"/>
        <v>4151.9500000000407</v>
      </c>
      <c r="Q80" s="23">
        <f t="shared" si="39"/>
        <v>3859.9099999999889</v>
      </c>
      <c r="R80" s="23">
        <f t="shared" si="39"/>
        <v>3426.320000000007</v>
      </c>
      <c r="S80" s="23">
        <f t="shared" si="39"/>
        <v>0</v>
      </c>
      <c r="T80" s="23">
        <f t="shared" si="39"/>
        <v>3985.109999999986</v>
      </c>
      <c r="U80" s="23">
        <f t="shared" si="39"/>
        <v>1858.679999999993</v>
      </c>
      <c r="V80" s="23">
        <f t="shared" si="39"/>
        <v>0</v>
      </c>
      <c r="W80" s="23">
        <f t="shared" si="39"/>
        <v>4376.6500000000087</v>
      </c>
      <c r="X80" s="23">
        <f t="shared" si="39"/>
        <v>4665.5999999999767</v>
      </c>
      <c r="Y80" s="23">
        <f t="shared" si="39"/>
        <v>4016.9099999999889</v>
      </c>
      <c r="Z80" s="23">
        <f t="shared" si="39"/>
        <v>3674.7900000000373</v>
      </c>
      <c r="AA80" s="23">
        <f t="shared" si="39"/>
        <v>3772.0499999999884</v>
      </c>
      <c r="AB80" s="23">
        <f t="shared" si="39"/>
        <v>2233.7299999999959</v>
      </c>
      <c r="AC80" s="23">
        <f t="shared" si="39"/>
        <v>0</v>
      </c>
      <c r="AD80" s="23">
        <f t="shared" si="39"/>
        <v>4057.7100000000064</v>
      </c>
      <c r="AE80" s="23">
        <f t="shared" si="39"/>
        <v>3997.8299999999872</v>
      </c>
      <c r="AF80" s="23">
        <f t="shared" si="39"/>
        <v>4152.7600000000093</v>
      </c>
      <c r="AG80" s="23">
        <f t="shared" si="39"/>
        <v>3178.1100000000297</v>
      </c>
      <c r="AH80" s="23">
        <f t="shared" si="39"/>
        <v>3609.0699999999779</v>
      </c>
      <c r="AI80" s="23">
        <f t="shared" si="39"/>
        <v>724.08999999999651</v>
      </c>
      <c r="AJ80" s="24">
        <f t="shared" si="39"/>
        <v>90220.739999999991</v>
      </c>
    </row>
  </sheetData>
  <mergeCells count="49">
    <mergeCell ref="E2:AI2"/>
    <mergeCell ref="C58:D58"/>
    <mergeCell ref="B3:B6"/>
    <mergeCell ref="C45:D45"/>
    <mergeCell ref="C74:D74"/>
    <mergeCell ref="B40:D40"/>
    <mergeCell ref="A2:D2"/>
    <mergeCell ref="C79:D79"/>
    <mergeCell ref="C73:D73"/>
    <mergeCell ref="C47:D47"/>
    <mergeCell ref="C54:D54"/>
    <mergeCell ref="C63:D63"/>
    <mergeCell ref="C65:D65"/>
    <mergeCell ref="C78:D78"/>
    <mergeCell ref="C49:D49"/>
    <mergeCell ref="C77:D77"/>
    <mergeCell ref="C68:D68"/>
    <mergeCell ref="A41:A44"/>
    <mergeCell ref="A3:A6"/>
    <mergeCell ref="C50:D50"/>
    <mergeCell ref="AJ3:AJ6"/>
    <mergeCell ref="C75:D75"/>
    <mergeCell ref="C55:D55"/>
    <mergeCell ref="D3:D6"/>
    <mergeCell ref="C72:D72"/>
    <mergeCell ref="C67:D67"/>
    <mergeCell ref="C57:D57"/>
    <mergeCell ref="C3:C6"/>
    <mergeCell ref="C66:D66"/>
    <mergeCell ref="C41:D44"/>
    <mergeCell ref="C53:D53"/>
    <mergeCell ref="B39:D39"/>
    <mergeCell ref="C69:D69"/>
    <mergeCell ref="C80:D80"/>
    <mergeCell ref="C56:D56"/>
    <mergeCell ref="C59:D59"/>
    <mergeCell ref="A23:AJ23"/>
    <mergeCell ref="A32:AJ32"/>
    <mergeCell ref="AJ41:AJ44"/>
    <mergeCell ref="C46:D46"/>
    <mergeCell ref="C60:D60"/>
    <mergeCell ref="C51:D51"/>
    <mergeCell ref="C76:D76"/>
    <mergeCell ref="C71:D71"/>
    <mergeCell ref="C61:D61"/>
    <mergeCell ref="C52:D52"/>
    <mergeCell ref="C70:D70"/>
    <mergeCell ref="C48:D48"/>
    <mergeCell ref="B41:B44"/>
  </mergeCells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K80"/>
  <sheetViews>
    <sheetView topLeftCell="L40" workbookViewId="0">
      <selection activeCell="A22" sqref="A22:AJ22"/>
    </sheetView>
  </sheetViews>
  <sheetFormatPr defaultColWidth="18" defaultRowHeight="14.5"/>
  <cols>
    <col min="1" max="1" width="14" style="70" bestFit="1" customWidth="1"/>
    <col min="2" max="2" width="27" style="70" bestFit="1" customWidth="1"/>
    <col min="3" max="3" width="32" style="89" bestFit="1" customWidth="1"/>
    <col min="4" max="4" width="20" style="110" bestFit="1" customWidth="1"/>
    <col min="5" max="5" width="23" style="70" bestFit="1" customWidth="1"/>
    <col min="6" max="32" width="23" customWidth="1"/>
    <col min="33" max="34" width="23" style="70" bestFit="1" customWidth="1"/>
    <col min="35" max="35" width="18" style="70" bestFit="1" customWidth="1"/>
    <col min="36" max="36" width="14" style="70" customWidth="1"/>
    <col min="37" max="38" width="18" style="70" customWidth="1"/>
    <col min="39" max="16384" width="18" style="70"/>
  </cols>
  <sheetData>
    <row r="2" spans="1:36" ht="16.5" customHeight="1">
      <c r="A2" s="537"/>
      <c r="B2" s="526"/>
      <c r="C2" s="526"/>
      <c r="D2" s="527"/>
      <c r="E2" s="535" t="s">
        <v>143</v>
      </c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7"/>
      <c r="AI2" s="69"/>
    </row>
    <row r="3" spans="1:36" ht="13" customHeight="1">
      <c r="A3" s="533" t="s">
        <v>99</v>
      </c>
      <c r="B3" s="533" t="s">
        <v>100</v>
      </c>
      <c r="C3" s="533" t="s">
        <v>101</v>
      </c>
      <c r="D3" s="536" t="s">
        <v>102</v>
      </c>
      <c r="E3" s="71">
        <v>45536</v>
      </c>
      <c r="F3" s="71">
        <v>45537</v>
      </c>
      <c r="G3" s="71">
        <v>45538</v>
      </c>
      <c r="H3" s="71">
        <v>45539</v>
      </c>
      <c r="I3" s="71">
        <v>45540</v>
      </c>
      <c r="J3" s="71">
        <v>45541</v>
      </c>
      <c r="K3" s="71">
        <v>45542</v>
      </c>
      <c r="L3" s="71">
        <v>45543</v>
      </c>
      <c r="M3" s="71">
        <v>45544</v>
      </c>
      <c r="N3" s="71">
        <v>45545</v>
      </c>
      <c r="O3" s="71">
        <v>45546</v>
      </c>
      <c r="P3" s="71">
        <v>45547</v>
      </c>
      <c r="Q3" s="71">
        <v>45548</v>
      </c>
      <c r="R3" s="71">
        <v>45549</v>
      </c>
      <c r="S3" s="71">
        <v>45550</v>
      </c>
      <c r="T3" s="71">
        <v>45551</v>
      </c>
      <c r="U3" s="71">
        <v>45552</v>
      </c>
      <c r="V3" s="71">
        <v>45553</v>
      </c>
      <c r="W3" s="71">
        <v>45554</v>
      </c>
      <c r="X3" s="71">
        <v>45555</v>
      </c>
      <c r="Y3" s="71">
        <v>45556</v>
      </c>
      <c r="Z3" s="71">
        <v>45557</v>
      </c>
      <c r="AA3" s="71">
        <v>45558</v>
      </c>
      <c r="AB3" s="71">
        <v>45559</v>
      </c>
      <c r="AC3" s="71">
        <v>45560</v>
      </c>
      <c r="AD3" s="71">
        <v>45561</v>
      </c>
      <c r="AE3" s="71">
        <v>45562</v>
      </c>
      <c r="AF3" s="71">
        <v>45563</v>
      </c>
      <c r="AG3" s="71">
        <v>45564</v>
      </c>
      <c r="AH3" s="71">
        <v>45565</v>
      </c>
      <c r="AI3" s="530" t="s">
        <v>1</v>
      </c>
    </row>
    <row r="4" spans="1:36" ht="13" customHeight="1">
      <c r="A4" s="511"/>
      <c r="B4" s="511"/>
      <c r="C4" s="511"/>
      <c r="D4" s="511"/>
      <c r="E4" s="72" t="s">
        <v>109</v>
      </c>
      <c r="F4" s="72" t="s">
        <v>103</v>
      </c>
      <c r="G4" s="72" t="s">
        <v>104</v>
      </c>
      <c r="H4" s="72" t="s">
        <v>105</v>
      </c>
      <c r="I4" s="72" t="s">
        <v>106</v>
      </c>
      <c r="J4" s="72" t="s">
        <v>107</v>
      </c>
      <c r="K4" s="72" t="s">
        <v>108</v>
      </c>
      <c r="L4" s="72" t="s">
        <v>109</v>
      </c>
      <c r="M4" s="72" t="s">
        <v>103</v>
      </c>
      <c r="N4" s="72" t="s">
        <v>104</v>
      </c>
      <c r="O4" s="72" t="s">
        <v>105</v>
      </c>
      <c r="P4" s="72" t="s">
        <v>106</v>
      </c>
      <c r="Q4" s="72" t="s">
        <v>107</v>
      </c>
      <c r="R4" s="72" t="s">
        <v>108</v>
      </c>
      <c r="S4" s="72" t="s">
        <v>109</v>
      </c>
      <c r="T4" s="72" t="s">
        <v>103</v>
      </c>
      <c r="U4" s="72" t="s">
        <v>104</v>
      </c>
      <c r="V4" s="72" t="s">
        <v>105</v>
      </c>
      <c r="W4" s="72" t="s">
        <v>106</v>
      </c>
      <c r="X4" s="72" t="s">
        <v>107</v>
      </c>
      <c r="Y4" s="72" t="s">
        <v>108</v>
      </c>
      <c r="Z4" s="72" t="s">
        <v>109</v>
      </c>
      <c r="AA4" s="72" t="s">
        <v>103</v>
      </c>
      <c r="AB4" s="72" t="s">
        <v>104</v>
      </c>
      <c r="AC4" s="72" t="s">
        <v>105</v>
      </c>
      <c r="AD4" s="72" t="s">
        <v>106</v>
      </c>
      <c r="AE4" s="72" t="s">
        <v>107</v>
      </c>
      <c r="AF4" s="72" t="s">
        <v>108</v>
      </c>
      <c r="AG4" s="72" t="s">
        <v>109</v>
      </c>
      <c r="AH4" s="72" t="s">
        <v>103</v>
      </c>
      <c r="AI4" s="511"/>
    </row>
    <row r="5" spans="1:36" ht="13" customHeight="1">
      <c r="A5" s="511"/>
      <c r="B5" s="511"/>
      <c r="C5" s="511"/>
      <c r="D5" s="511"/>
      <c r="E5" s="72" t="s">
        <v>110</v>
      </c>
      <c r="F5" s="72" t="s">
        <v>110</v>
      </c>
      <c r="G5" s="72" t="s">
        <v>110</v>
      </c>
      <c r="H5" s="72" t="s">
        <v>110</v>
      </c>
      <c r="I5" s="72" t="s">
        <v>110</v>
      </c>
      <c r="J5" s="72" t="s">
        <v>110</v>
      </c>
      <c r="K5" s="72" t="s">
        <v>110</v>
      </c>
      <c r="L5" s="72" t="s">
        <v>110</v>
      </c>
      <c r="M5" s="72" t="s">
        <v>110</v>
      </c>
      <c r="N5" s="72" t="s">
        <v>110</v>
      </c>
      <c r="O5" s="72" t="s">
        <v>110</v>
      </c>
      <c r="P5" s="72" t="s">
        <v>110</v>
      </c>
      <c r="Q5" s="72" t="s">
        <v>110</v>
      </c>
      <c r="R5" s="72" t="s">
        <v>110</v>
      </c>
      <c r="S5" s="72" t="s">
        <v>110</v>
      </c>
      <c r="T5" s="72" t="s">
        <v>110</v>
      </c>
      <c r="U5" s="72" t="s">
        <v>110</v>
      </c>
      <c r="V5" s="72" t="s">
        <v>110</v>
      </c>
      <c r="W5" s="72" t="s">
        <v>110</v>
      </c>
      <c r="X5" s="72" t="s">
        <v>110</v>
      </c>
      <c r="Y5" s="72" t="s">
        <v>110</v>
      </c>
      <c r="Z5" s="72" t="s">
        <v>110</v>
      </c>
      <c r="AA5" s="72" t="s">
        <v>110</v>
      </c>
      <c r="AB5" s="72" t="s">
        <v>110</v>
      </c>
      <c r="AC5" s="72" t="s">
        <v>110</v>
      </c>
      <c r="AD5" s="72" t="s">
        <v>110</v>
      </c>
      <c r="AE5" s="72" t="s">
        <v>110</v>
      </c>
      <c r="AF5" s="72" t="s">
        <v>110</v>
      </c>
      <c r="AG5" s="72" t="s">
        <v>110</v>
      </c>
      <c r="AH5" s="72" t="s">
        <v>110</v>
      </c>
      <c r="AI5" s="511"/>
    </row>
    <row r="6" spans="1:36" ht="13" customHeight="1">
      <c r="A6" s="512"/>
      <c r="B6" s="512"/>
      <c r="C6" s="512"/>
      <c r="D6" s="512"/>
      <c r="E6" s="73">
        <v>0.33333333333333331</v>
      </c>
      <c r="F6" s="73">
        <v>0.33333333333333331</v>
      </c>
      <c r="G6" s="73">
        <v>0.33333333333333331</v>
      </c>
      <c r="H6" s="73">
        <v>0.33333333333333331</v>
      </c>
      <c r="I6" s="73">
        <v>0.33333333333333331</v>
      </c>
      <c r="J6" s="73">
        <v>0.33333333333333331</v>
      </c>
      <c r="K6" s="73">
        <v>0.33333333333333331</v>
      </c>
      <c r="L6" s="73">
        <v>0.33333333333333331</v>
      </c>
      <c r="M6" s="73">
        <v>0.33333333333333331</v>
      </c>
      <c r="N6" s="73">
        <v>0.33333333333333331</v>
      </c>
      <c r="O6" s="73">
        <v>0.33333333333333331</v>
      </c>
      <c r="P6" s="73">
        <v>0.33333333333333331</v>
      </c>
      <c r="Q6" s="73">
        <v>0.33333333333333331</v>
      </c>
      <c r="R6" s="73">
        <v>0.33333333333333331</v>
      </c>
      <c r="S6" s="73">
        <v>0.33333333333333331</v>
      </c>
      <c r="T6" s="73">
        <v>0.33333333333333331</v>
      </c>
      <c r="U6" s="73">
        <v>0.33333333333333331</v>
      </c>
      <c r="V6" s="73">
        <v>0.33333333333333331</v>
      </c>
      <c r="W6" s="73">
        <v>0.33333333333333331</v>
      </c>
      <c r="X6" s="73">
        <v>0.33333333333333331</v>
      </c>
      <c r="Y6" s="73">
        <v>0.33333333333333331</v>
      </c>
      <c r="Z6" s="73">
        <v>0.33333333333333331</v>
      </c>
      <c r="AA6" s="73">
        <v>0.33333333333333331</v>
      </c>
      <c r="AB6" s="73">
        <v>0.33333333333333331</v>
      </c>
      <c r="AC6" s="73">
        <v>0.33333333333333331</v>
      </c>
      <c r="AD6" s="73">
        <v>0.33333333333333331</v>
      </c>
      <c r="AE6" s="73">
        <v>0.33333333333333331</v>
      </c>
      <c r="AF6" s="73">
        <v>0.33333333333333331</v>
      </c>
      <c r="AG6" s="73">
        <v>0.33333333333333331</v>
      </c>
      <c r="AH6" s="73">
        <v>0.33333333333333331</v>
      </c>
      <c r="AI6" s="512"/>
    </row>
    <row r="7" spans="1:36" ht="20.149999999999999" customHeight="1">
      <c r="A7" s="54">
        <v>1</v>
      </c>
      <c r="B7" s="54" t="s">
        <v>129</v>
      </c>
      <c r="C7" s="54" t="s">
        <v>111</v>
      </c>
      <c r="D7" s="74">
        <v>48175</v>
      </c>
      <c r="E7" s="4">
        <v>48505</v>
      </c>
      <c r="F7" s="4">
        <v>48730</v>
      </c>
      <c r="G7" s="5">
        <v>48941</v>
      </c>
      <c r="H7" s="5">
        <v>49158</v>
      </c>
      <c r="I7" s="4">
        <v>49424</v>
      </c>
      <c r="J7" s="4">
        <v>49652</v>
      </c>
      <c r="K7" s="4">
        <v>49880</v>
      </c>
      <c r="L7" s="4">
        <v>50103</v>
      </c>
      <c r="M7" s="6">
        <v>50366</v>
      </c>
      <c r="N7" s="4">
        <v>50607</v>
      </c>
      <c r="O7" s="4">
        <v>50838</v>
      </c>
      <c r="P7" s="4">
        <v>51097</v>
      </c>
      <c r="Q7" s="6">
        <v>51289</v>
      </c>
      <c r="R7" s="4">
        <v>51489</v>
      </c>
      <c r="S7" s="4">
        <v>51705</v>
      </c>
      <c r="T7" s="4">
        <v>51968</v>
      </c>
      <c r="U7" s="4">
        <v>52229</v>
      </c>
      <c r="V7" s="6">
        <v>52492</v>
      </c>
      <c r="W7" s="4">
        <v>52750</v>
      </c>
      <c r="X7" s="4">
        <v>53005</v>
      </c>
      <c r="Y7" s="4">
        <v>53216</v>
      </c>
      <c r="Z7" s="4">
        <v>53426</v>
      </c>
      <c r="AA7" s="4">
        <v>53606</v>
      </c>
      <c r="AB7" s="4">
        <v>53799</v>
      </c>
      <c r="AC7" s="4">
        <v>54074</v>
      </c>
      <c r="AD7" s="4">
        <v>54248</v>
      </c>
      <c r="AE7" s="2">
        <v>54282</v>
      </c>
      <c r="AF7" s="2">
        <v>54484</v>
      </c>
      <c r="AG7" s="54">
        <v>54690</v>
      </c>
      <c r="AH7" s="54">
        <v>54816</v>
      </c>
      <c r="AI7" s="77">
        <f t="shared" ref="AI7:AI22" si="0">AH7-D7</f>
        <v>6641</v>
      </c>
      <c r="AJ7" s="78"/>
    </row>
    <row r="8" spans="1:36" ht="20.149999999999999" customHeight="1">
      <c r="A8" s="49"/>
      <c r="B8" s="49"/>
      <c r="C8" s="79" t="s">
        <v>22</v>
      </c>
      <c r="D8" s="79">
        <v>2836</v>
      </c>
      <c r="E8" s="49">
        <v>2836</v>
      </c>
      <c r="F8" s="49">
        <v>2881</v>
      </c>
      <c r="G8" s="49">
        <v>2954</v>
      </c>
      <c r="H8" s="49">
        <v>2999</v>
      </c>
      <c r="I8" s="49">
        <v>2999</v>
      </c>
      <c r="J8" s="49">
        <v>2999</v>
      </c>
      <c r="K8" s="49">
        <v>2999</v>
      </c>
      <c r="L8" s="49">
        <v>2999</v>
      </c>
      <c r="M8" s="76">
        <v>2999</v>
      </c>
      <c r="N8" s="49">
        <v>3020</v>
      </c>
      <c r="O8" s="49">
        <v>3047</v>
      </c>
      <c r="P8" s="49">
        <v>3054</v>
      </c>
      <c r="Q8" s="49">
        <v>3117</v>
      </c>
      <c r="R8" s="49">
        <v>3117</v>
      </c>
      <c r="S8" s="49">
        <v>3117</v>
      </c>
      <c r="T8" s="49">
        <v>3117</v>
      </c>
      <c r="U8" s="49">
        <v>3117</v>
      </c>
      <c r="V8" s="49">
        <v>3117</v>
      </c>
      <c r="W8" s="49">
        <v>3117</v>
      </c>
      <c r="X8" s="49">
        <v>3117</v>
      </c>
      <c r="Y8" s="49">
        <v>3117</v>
      </c>
      <c r="Z8" s="49">
        <v>3117</v>
      </c>
      <c r="AA8" s="49">
        <v>3203</v>
      </c>
      <c r="AB8" s="49">
        <v>3217</v>
      </c>
      <c r="AC8" s="49">
        <v>3276</v>
      </c>
      <c r="AD8" s="49">
        <v>3357</v>
      </c>
      <c r="AE8" s="49">
        <v>3571</v>
      </c>
      <c r="AF8" s="49">
        <v>3571</v>
      </c>
      <c r="AG8" s="49">
        <v>3578</v>
      </c>
      <c r="AH8" s="49">
        <v>3578</v>
      </c>
      <c r="AI8" s="77">
        <f t="shared" si="0"/>
        <v>742</v>
      </c>
      <c r="AJ8" s="78"/>
    </row>
    <row r="9" spans="1:36" ht="20.149999999999999" customHeight="1">
      <c r="A9" s="2">
        <v>2</v>
      </c>
      <c r="B9" s="2" t="s">
        <v>129</v>
      </c>
      <c r="C9" s="2" t="s">
        <v>112</v>
      </c>
      <c r="D9" s="80">
        <v>1956</v>
      </c>
      <c r="E9" s="2">
        <v>1956</v>
      </c>
      <c r="F9" s="2">
        <v>1956</v>
      </c>
      <c r="G9" s="2">
        <v>1956</v>
      </c>
      <c r="H9" s="2">
        <v>1956</v>
      </c>
      <c r="I9" s="2">
        <v>1956</v>
      </c>
      <c r="J9" s="2">
        <v>1956</v>
      </c>
      <c r="K9" s="2">
        <v>1956</v>
      </c>
      <c r="L9" s="2">
        <v>1956</v>
      </c>
      <c r="M9" s="2">
        <v>1956</v>
      </c>
      <c r="N9" s="2">
        <v>1956</v>
      </c>
      <c r="O9" s="2">
        <v>1956</v>
      </c>
      <c r="P9" s="2">
        <v>1956</v>
      </c>
      <c r="Q9" s="2">
        <v>1956</v>
      </c>
      <c r="R9" s="2">
        <v>1956</v>
      </c>
      <c r="S9" s="2">
        <v>1956</v>
      </c>
      <c r="T9" s="2">
        <v>1956</v>
      </c>
      <c r="U9" s="2">
        <v>1956</v>
      </c>
      <c r="V9" s="2">
        <v>1956</v>
      </c>
      <c r="W9" s="2">
        <v>1956</v>
      </c>
      <c r="X9" s="2">
        <v>1956</v>
      </c>
      <c r="Y9" s="2">
        <v>1956</v>
      </c>
      <c r="Z9" s="2">
        <v>1956</v>
      </c>
      <c r="AA9" s="2">
        <v>1956</v>
      </c>
      <c r="AB9" s="2">
        <v>1956</v>
      </c>
      <c r="AC9" s="2">
        <v>1956</v>
      </c>
      <c r="AD9" s="2">
        <v>1956</v>
      </c>
      <c r="AE9" s="2">
        <v>1956</v>
      </c>
      <c r="AF9" s="2">
        <v>1956</v>
      </c>
      <c r="AG9" s="2">
        <v>1956</v>
      </c>
      <c r="AH9" s="2">
        <v>1956</v>
      </c>
      <c r="AI9" s="77">
        <f t="shared" si="0"/>
        <v>0</v>
      </c>
    </row>
    <row r="10" spans="1:36" ht="20.149999999999999" customHeight="1">
      <c r="A10" s="2"/>
      <c r="B10" s="2"/>
      <c r="C10" s="79" t="s">
        <v>22</v>
      </c>
      <c r="D10" s="80">
        <v>28.6</v>
      </c>
      <c r="E10" s="2">
        <v>28.6</v>
      </c>
      <c r="F10" s="2">
        <v>28.6</v>
      </c>
      <c r="G10" s="2">
        <v>28.6</v>
      </c>
      <c r="H10" s="2">
        <v>28.6</v>
      </c>
      <c r="I10" s="2">
        <v>28.6</v>
      </c>
      <c r="J10" s="2">
        <v>28.6</v>
      </c>
      <c r="K10" s="2">
        <v>28.6</v>
      </c>
      <c r="L10" s="2">
        <v>28.6</v>
      </c>
      <c r="M10" s="2">
        <v>28.6</v>
      </c>
      <c r="N10" s="2">
        <v>28.6</v>
      </c>
      <c r="O10" s="2">
        <v>28.6</v>
      </c>
      <c r="P10" s="2">
        <v>28.6</v>
      </c>
      <c r="Q10" s="2">
        <v>28.6</v>
      </c>
      <c r="R10" s="2">
        <v>28.6</v>
      </c>
      <c r="S10" s="2">
        <v>28.6</v>
      </c>
      <c r="T10" s="2">
        <v>28.6</v>
      </c>
      <c r="U10" s="2">
        <v>28.6</v>
      </c>
      <c r="V10" s="2">
        <v>28.6</v>
      </c>
      <c r="W10" s="2">
        <v>28.6</v>
      </c>
      <c r="X10" s="2">
        <v>28.6</v>
      </c>
      <c r="Y10" s="2">
        <v>28.6</v>
      </c>
      <c r="Z10" s="2">
        <v>28.6</v>
      </c>
      <c r="AA10" s="2">
        <v>28.6</v>
      </c>
      <c r="AB10" s="2">
        <v>28.6</v>
      </c>
      <c r="AC10" s="2">
        <v>28.6</v>
      </c>
      <c r="AD10" s="2">
        <v>28.6</v>
      </c>
      <c r="AE10" s="2">
        <v>28.6</v>
      </c>
      <c r="AF10" s="2">
        <v>28.6</v>
      </c>
      <c r="AG10" s="2">
        <v>28.6</v>
      </c>
      <c r="AH10" s="2">
        <v>28.6</v>
      </c>
      <c r="AI10" s="77">
        <f t="shared" si="0"/>
        <v>0</v>
      </c>
    </row>
    <row r="11" spans="1:36" ht="20.149999999999999" customHeight="1">
      <c r="A11" s="2">
        <v>3</v>
      </c>
      <c r="B11" s="2" t="s">
        <v>129</v>
      </c>
      <c r="C11" s="2" t="s">
        <v>113</v>
      </c>
      <c r="D11" s="79">
        <v>73860</v>
      </c>
      <c r="E11" s="4">
        <v>74300</v>
      </c>
      <c r="F11" s="4">
        <v>74623</v>
      </c>
      <c r="G11" s="4">
        <v>74921</v>
      </c>
      <c r="H11" s="4">
        <v>75233</v>
      </c>
      <c r="I11" s="4">
        <v>75614</v>
      </c>
      <c r="J11" s="4">
        <v>75928</v>
      </c>
      <c r="K11" s="4">
        <v>76238</v>
      </c>
      <c r="L11" s="4">
        <v>76531</v>
      </c>
      <c r="M11" s="4">
        <v>76911</v>
      </c>
      <c r="N11" s="4">
        <v>77256</v>
      </c>
      <c r="O11" s="4">
        <v>77586</v>
      </c>
      <c r="P11" s="4">
        <v>77954</v>
      </c>
      <c r="Q11" s="4">
        <v>78218</v>
      </c>
      <c r="R11" s="4">
        <v>78483</v>
      </c>
      <c r="S11" s="4">
        <v>78768</v>
      </c>
      <c r="T11" s="4">
        <v>79146</v>
      </c>
      <c r="U11" s="4">
        <v>79519</v>
      </c>
      <c r="V11" s="4">
        <v>79895</v>
      </c>
      <c r="W11" s="4">
        <v>80265</v>
      </c>
      <c r="X11" s="4">
        <v>80626</v>
      </c>
      <c r="Y11" s="4">
        <v>80901</v>
      </c>
      <c r="Z11" s="4">
        <v>81175</v>
      </c>
      <c r="AA11" s="4">
        <v>81421</v>
      </c>
      <c r="AB11" s="4">
        <v>81691</v>
      </c>
      <c r="AC11" s="4">
        <v>82088</v>
      </c>
      <c r="AD11" s="4">
        <v>82333</v>
      </c>
      <c r="AE11" s="49">
        <v>82378</v>
      </c>
      <c r="AF11" s="49">
        <v>82678</v>
      </c>
      <c r="AG11" s="49">
        <v>82910</v>
      </c>
      <c r="AH11" s="49">
        <v>83064</v>
      </c>
      <c r="AI11" s="77">
        <f t="shared" si="0"/>
        <v>9204</v>
      </c>
    </row>
    <row r="12" spans="1:36" ht="20.149999999999999" customHeight="1">
      <c r="A12" s="2"/>
      <c r="B12" s="2"/>
      <c r="C12" s="79" t="s">
        <v>22</v>
      </c>
      <c r="D12" s="80">
        <v>4287</v>
      </c>
      <c r="E12" s="2">
        <v>4287</v>
      </c>
      <c r="F12" s="2">
        <v>4359</v>
      </c>
      <c r="G12" s="2">
        <v>4475</v>
      </c>
      <c r="H12" s="2">
        <v>4541</v>
      </c>
      <c r="I12" s="2">
        <v>4541</v>
      </c>
      <c r="J12" s="2">
        <v>4541</v>
      </c>
      <c r="K12" s="2">
        <v>4541</v>
      </c>
      <c r="L12" s="2">
        <v>4541</v>
      </c>
      <c r="M12" s="2">
        <v>4541</v>
      </c>
      <c r="N12" s="2">
        <v>4575</v>
      </c>
      <c r="O12" s="2">
        <v>4617</v>
      </c>
      <c r="P12" s="2">
        <v>4626</v>
      </c>
      <c r="Q12" s="2">
        <v>4717</v>
      </c>
      <c r="R12" s="2">
        <v>4717</v>
      </c>
      <c r="S12" s="2">
        <v>4717</v>
      </c>
      <c r="T12" s="2">
        <v>4717</v>
      </c>
      <c r="U12" s="2">
        <v>4717</v>
      </c>
      <c r="V12" s="2">
        <v>4717</v>
      </c>
      <c r="W12" s="2">
        <v>4717</v>
      </c>
      <c r="X12" s="2">
        <v>4717</v>
      </c>
      <c r="Y12" s="2">
        <v>4717</v>
      </c>
      <c r="Z12" s="2">
        <v>4717</v>
      </c>
      <c r="AA12" s="2">
        <v>4853</v>
      </c>
      <c r="AB12" s="2">
        <v>4958</v>
      </c>
      <c r="AC12" s="2">
        <v>4964</v>
      </c>
      <c r="AD12" s="2">
        <v>5086</v>
      </c>
      <c r="AE12" s="2">
        <v>5387</v>
      </c>
      <c r="AF12" s="2">
        <v>5387</v>
      </c>
      <c r="AG12" s="2">
        <v>5395</v>
      </c>
      <c r="AH12" s="2">
        <v>5395</v>
      </c>
      <c r="AI12" s="77">
        <f t="shared" si="0"/>
        <v>1108</v>
      </c>
    </row>
    <row r="13" spans="1:36" ht="20.149999999999999" customHeight="1">
      <c r="A13" s="2">
        <v>4</v>
      </c>
      <c r="B13" s="2" t="s">
        <v>129</v>
      </c>
      <c r="C13" s="2" t="s">
        <v>114</v>
      </c>
      <c r="D13" s="80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77">
        <f t="shared" si="0"/>
        <v>0</v>
      </c>
    </row>
    <row r="14" spans="1:36" ht="20.149999999999999" customHeight="1">
      <c r="A14" s="2"/>
      <c r="B14" s="2"/>
      <c r="C14" s="79" t="s">
        <v>22</v>
      </c>
      <c r="D14" s="80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77">
        <f t="shared" si="0"/>
        <v>0</v>
      </c>
    </row>
    <row r="15" spans="1:36" ht="20.149999999999999" customHeight="1">
      <c r="A15" s="2">
        <v>5</v>
      </c>
      <c r="B15" s="2" t="s">
        <v>129</v>
      </c>
      <c r="C15" s="2" t="s">
        <v>115</v>
      </c>
      <c r="D15" s="79">
        <v>29957</v>
      </c>
      <c r="E15" s="4">
        <v>30123</v>
      </c>
      <c r="F15" s="4">
        <v>30302</v>
      </c>
      <c r="G15" s="5">
        <v>30436</v>
      </c>
      <c r="H15" s="5">
        <v>30592</v>
      </c>
      <c r="I15" s="4">
        <v>30793</v>
      </c>
      <c r="J15" s="4">
        <v>30965</v>
      </c>
      <c r="K15" s="4">
        <v>31071</v>
      </c>
      <c r="L15" s="4">
        <v>31177</v>
      </c>
      <c r="M15" s="4">
        <v>31366</v>
      </c>
      <c r="N15" s="4">
        <v>31545</v>
      </c>
      <c r="O15" s="4">
        <v>31709</v>
      </c>
      <c r="P15" s="4">
        <v>31910</v>
      </c>
      <c r="Q15" s="4">
        <v>32050</v>
      </c>
      <c r="R15" s="4">
        <v>32153</v>
      </c>
      <c r="S15" s="4">
        <v>32258</v>
      </c>
      <c r="T15" s="4">
        <v>32466</v>
      </c>
      <c r="U15" s="4">
        <v>32668</v>
      </c>
      <c r="V15" s="4">
        <v>32861</v>
      </c>
      <c r="W15" s="4">
        <v>33057</v>
      </c>
      <c r="X15" s="4">
        <v>33248</v>
      </c>
      <c r="Y15" s="33">
        <v>33351</v>
      </c>
      <c r="Z15" s="4">
        <v>33461</v>
      </c>
      <c r="AA15" s="4">
        <v>33595</v>
      </c>
      <c r="AB15" s="4">
        <v>33738</v>
      </c>
      <c r="AC15" s="4">
        <v>33943</v>
      </c>
      <c r="AD15" s="4">
        <v>34068</v>
      </c>
      <c r="AE15" s="49">
        <v>34088</v>
      </c>
      <c r="AF15" s="49">
        <v>34213</v>
      </c>
      <c r="AG15" s="49">
        <v>34330</v>
      </c>
      <c r="AH15" s="49">
        <v>34422</v>
      </c>
      <c r="AI15" s="77">
        <f t="shared" si="0"/>
        <v>4465</v>
      </c>
    </row>
    <row r="16" spans="1:36" ht="20.149999999999999" customHeight="1">
      <c r="A16" s="2"/>
      <c r="B16" s="2"/>
      <c r="C16" s="79" t="s">
        <v>22</v>
      </c>
      <c r="D16" s="80">
        <v>2151</v>
      </c>
      <c r="E16" s="2">
        <v>2151</v>
      </c>
      <c r="F16" s="2">
        <v>2190</v>
      </c>
      <c r="G16" s="2">
        <v>2241</v>
      </c>
      <c r="H16" s="2">
        <v>2281</v>
      </c>
      <c r="I16" s="2">
        <v>2281</v>
      </c>
      <c r="J16" s="2">
        <v>2281</v>
      </c>
      <c r="K16" s="2">
        <v>2281</v>
      </c>
      <c r="L16" s="2">
        <v>2281</v>
      </c>
      <c r="M16" s="2">
        <v>2281</v>
      </c>
      <c r="N16" s="2">
        <v>2295</v>
      </c>
      <c r="O16" s="2">
        <v>2317</v>
      </c>
      <c r="P16" s="2">
        <v>2321</v>
      </c>
      <c r="Q16" s="2">
        <v>2369</v>
      </c>
      <c r="R16" s="2">
        <v>2369</v>
      </c>
      <c r="S16" s="2">
        <v>2369</v>
      </c>
      <c r="T16" s="2">
        <v>2369</v>
      </c>
      <c r="U16" s="2">
        <v>2369</v>
      </c>
      <c r="V16" s="2">
        <v>2369</v>
      </c>
      <c r="W16" s="2">
        <v>2369</v>
      </c>
      <c r="X16" s="2">
        <v>2369</v>
      </c>
      <c r="Y16" s="2">
        <v>2369</v>
      </c>
      <c r="Z16" s="2">
        <v>2369</v>
      </c>
      <c r="AA16" s="2">
        <v>2446</v>
      </c>
      <c r="AB16" s="81">
        <v>2508</v>
      </c>
      <c r="AC16" s="2">
        <v>2511</v>
      </c>
      <c r="AD16" s="2">
        <v>2582</v>
      </c>
      <c r="AE16" s="2">
        <v>2747</v>
      </c>
      <c r="AF16" s="2">
        <v>2747</v>
      </c>
      <c r="AG16" s="2">
        <v>2751</v>
      </c>
      <c r="AH16" s="2">
        <v>2751</v>
      </c>
      <c r="AI16" s="77">
        <f t="shared" si="0"/>
        <v>600</v>
      </c>
    </row>
    <row r="17" spans="1:35" ht="20.149999999999999" customHeight="1">
      <c r="A17" s="2">
        <v>6</v>
      </c>
      <c r="B17" s="2" t="s">
        <v>129</v>
      </c>
      <c r="C17" s="2" t="s">
        <v>142</v>
      </c>
      <c r="D17" s="79">
        <v>42580</v>
      </c>
      <c r="E17" s="4">
        <v>42724</v>
      </c>
      <c r="F17" s="4">
        <v>42926</v>
      </c>
      <c r="G17" s="4">
        <v>43086</v>
      </c>
      <c r="H17" s="4">
        <v>43286</v>
      </c>
      <c r="I17" s="4">
        <v>43496</v>
      </c>
      <c r="J17" s="4">
        <v>43701</v>
      </c>
      <c r="K17" s="4">
        <v>43833</v>
      </c>
      <c r="L17" s="4">
        <v>43955</v>
      </c>
      <c r="M17" s="4">
        <v>44197</v>
      </c>
      <c r="N17" s="4">
        <v>44392</v>
      </c>
      <c r="O17" s="4">
        <v>44579</v>
      </c>
      <c r="P17" s="4">
        <v>44782</v>
      </c>
      <c r="Q17" s="4">
        <v>44923</v>
      </c>
      <c r="R17" s="4">
        <v>45012</v>
      </c>
      <c r="S17" s="4">
        <v>45124</v>
      </c>
      <c r="T17" s="4">
        <v>45343</v>
      </c>
      <c r="U17" s="4">
        <v>45571</v>
      </c>
      <c r="V17" s="4">
        <v>45785</v>
      </c>
      <c r="W17" s="4">
        <v>46014</v>
      </c>
      <c r="X17" s="4">
        <v>46211</v>
      </c>
      <c r="Y17" s="4">
        <v>46331</v>
      </c>
      <c r="Z17" s="4">
        <v>46443</v>
      </c>
      <c r="AA17" s="4">
        <v>46596</v>
      </c>
      <c r="AB17" s="4">
        <v>46748</v>
      </c>
      <c r="AC17" s="4">
        <v>47010</v>
      </c>
      <c r="AD17" s="4">
        <v>47157</v>
      </c>
      <c r="AE17" s="2">
        <v>47173</v>
      </c>
      <c r="AF17" s="49">
        <v>47272</v>
      </c>
      <c r="AG17" s="2">
        <v>47384</v>
      </c>
      <c r="AH17" s="49">
        <v>47463</v>
      </c>
      <c r="AI17" s="77">
        <f t="shared" si="0"/>
        <v>4883</v>
      </c>
    </row>
    <row r="18" spans="1:35" ht="20.149999999999999" customHeight="1">
      <c r="A18" s="2"/>
      <c r="B18" s="2"/>
      <c r="C18" s="79" t="s">
        <v>22</v>
      </c>
      <c r="D18" s="104">
        <v>2930</v>
      </c>
      <c r="E18" s="2">
        <v>2930</v>
      </c>
      <c r="F18" s="2">
        <v>2972</v>
      </c>
      <c r="G18" s="2">
        <v>3027</v>
      </c>
      <c r="H18" s="2">
        <v>3072</v>
      </c>
      <c r="I18" s="2">
        <v>3072</v>
      </c>
      <c r="J18" s="2">
        <v>3072</v>
      </c>
      <c r="K18" s="2">
        <v>3072</v>
      </c>
      <c r="L18" s="2">
        <v>3072</v>
      </c>
      <c r="M18" s="2">
        <v>3072</v>
      </c>
      <c r="N18" s="2">
        <v>3093</v>
      </c>
      <c r="O18" s="2">
        <v>3126</v>
      </c>
      <c r="P18" s="2">
        <v>3129</v>
      </c>
      <c r="Q18" s="2">
        <v>3185</v>
      </c>
      <c r="R18" s="2">
        <v>3185</v>
      </c>
      <c r="S18" s="2">
        <v>3185</v>
      </c>
      <c r="T18" s="2">
        <v>3185</v>
      </c>
      <c r="U18" s="2">
        <v>3185</v>
      </c>
      <c r="V18" s="2">
        <v>3185</v>
      </c>
      <c r="W18" s="2">
        <v>3185</v>
      </c>
      <c r="X18" s="2">
        <v>3185</v>
      </c>
      <c r="Y18" s="2">
        <v>3185</v>
      </c>
      <c r="Z18" s="2">
        <v>3185</v>
      </c>
      <c r="AA18" s="2">
        <v>3285</v>
      </c>
      <c r="AB18" s="2">
        <v>3326</v>
      </c>
      <c r="AC18" s="54">
        <v>3364</v>
      </c>
      <c r="AD18" s="68">
        <v>3454</v>
      </c>
      <c r="AE18" s="68">
        <v>3661</v>
      </c>
      <c r="AF18" s="68">
        <v>3661</v>
      </c>
      <c r="AG18" s="68">
        <v>3663</v>
      </c>
      <c r="AH18" s="68">
        <v>3663</v>
      </c>
      <c r="AI18" s="77">
        <f t="shared" si="0"/>
        <v>733</v>
      </c>
    </row>
    <row r="19" spans="1:35" ht="20.149999999999999" customHeight="1">
      <c r="A19" s="2">
        <v>7</v>
      </c>
      <c r="B19" s="2" t="s">
        <v>129</v>
      </c>
      <c r="C19" s="2" t="s">
        <v>117</v>
      </c>
      <c r="D19" s="79">
        <v>145691</v>
      </c>
      <c r="E19" s="4">
        <v>146683</v>
      </c>
      <c r="F19" s="4">
        <v>147335</v>
      </c>
      <c r="G19" s="5">
        <v>147965</v>
      </c>
      <c r="H19" s="5">
        <v>148490</v>
      </c>
      <c r="I19" s="4">
        <v>149183</v>
      </c>
      <c r="J19" s="4">
        <v>149830</v>
      </c>
      <c r="K19" s="4">
        <v>150432</v>
      </c>
      <c r="L19" s="4">
        <v>150891</v>
      </c>
      <c r="M19" s="4">
        <v>151614</v>
      </c>
      <c r="N19" s="4">
        <v>152256</v>
      </c>
      <c r="O19" s="4">
        <v>152879</v>
      </c>
      <c r="P19" s="4">
        <v>153572</v>
      </c>
      <c r="Q19" s="4">
        <v>154141</v>
      </c>
      <c r="R19" s="5">
        <v>154584</v>
      </c>
      <c r="S19" s="4">
        <v>154925</v>
      </c>
      <c r="T19" s="4">
        <v>155591</v>
      </c>
      <c r="U19" s="4">
        <v>156230</v>
      </c>
      <c r="V19" s="4">
        <v>156896</v>
      </c>
      <c r="W19" s="5">
        <v>157576</v>
      </c>
      <c r="X19" s="4">
        <v>158236</v>
      </c>
      <c r="Y19" s="4">
        <v>158666</v>
      </c>
      <c r="Z19" s="4">
        <v>159019</v>
      </c>
      <c r="AA19" s="33">
        <v>159471</v>
      </c>
      <c r="AB19" s="4">
        <v>159967</v>
      </c>
      <c r="AC19" s="4">
        <v>160659</v>
      </c>
      <c r="AD19" s="4">
        <v>161087</v>
      </c>
      <c r="AE19" s="49">
        <v>161182</v>
      </c>
      <c r="AF19" s="49">
        <v>161595</v>
      </c>
      <c r="AG19" s="49">
        <v>161927</v>
      </c>
      <c r="AH19" s="49">
        <v>162234</v>
      </c>
      <c r="AI19" s="77">
        <f t="shared" si="0"/>
        <v>16543</v>
      </c>
    </row>
    <row r="20" spans="1:35" ht="20.149999999999999" customHeight="1">
      <c r="A20" s="2"/>
      <c r="B20" s="2"/>
      <c r="C20" s="79" t="s">
        <v>22</v>
      </c>
      <c r="D20" s="80">
        <v>7987</v>
      </c>
      <c r="E20" s="2">
        <v>7987</v>
      </c>
      <c r="F20" s="2">
        <v>8100</v>
      </c>
      <c r="G20" s="2">
        <v>8282</v>
      </c>
      <c r="H20" s="2">
        <v>8426</v>
      </c>
      <c r="I20" s="2">
        <v>8426</v>
      </c>
      <c r="J20" s="2">
        <v>8426</v>
      </c>
      <c r="K20" s="2">
        <v>8426</v>
      </c>
      <c r="L20" s="2">
        <v>8426</v>
      </c>
      <c r="M20" s="2">
        <v>8426</v>
      </c>
      <c r="N20" s="2">
        <v>8479</v>
      </c>
      <c r="O20" s="2">
        <v>8552</v>
      </c>
      <c r="P20" s="2">
        <v>8577</v>
      </c>
      <c r="Q20" s="2">
        <v>8717</v>
      </c>
      <c r="R20" s="2">
        <v>8717</v>
      </c>
      <c r="S20" s="2">
        <v>8717</v>
      </c>
      <c r="T20" s="2">
        <v>8717</v>
      </c>
      <c r="U20" s="2">
        <v>8717</v>
      </c>
      <c r="V20" s="2">
        <v>8717</v>
      </c>
      <c r="W20" s="2">
        <v>8717</v>
      </c>
      <c r="X20" s="2">
        <v>8717</v>
      </c>
      <c r="Y20" s="2">
        <v>8717</v>
      </c>
      <c r="Z20" s="2">
        <v>8717</v>
      </c>
      <c r="AA20" s="2">
        <v>8940</v>
      </c>
      <c r="AB20" s="2">
        <v>9121</v>
      </c>
      <c r="AC20" s="68">
        <v>9137</v>
      </c>
      <c r="AD20" s="2">
        <v>9372</v>
      </c>
      <c r="AE20" s="2">
        <v>9929</v>
      </c>
      <c r="AF20" s="2">
        <v>9929</v>
      </c>
      <c r="AG20" s="2">
        <v>9950</v>
      </c>
      <c r="AH20" s="2">
        <v>9950</v>
      </c>
      <c r="AI20" s="77">
        <f t="shared" si="0"/>
        <v>1963</v>
      </c>
    </row>
    <row r="21" spans="1:35" ht="20.149999999999999" customHeight="1">
      <c r="A21" s="2">
        <v>8</v>
      </c>
      <c r="B21" s="2" t="s">
        <v>129</v>
      </c>
      <c r="C21" s="2" t="s">
        <v>118</v>
      </c>
      <c r="D21" s="79">
        <v>31846</v>
      </c>
      <c r="E21" s="4">
        <v>32184</v>
      </c>
      <c r="F21" s="4">
        <v>32334</v>
      </c>
      <c r="G21" s="5">
        <v>32509</v>
      </c>
      <c r="H21" s="5">
        <v>32592</v>
      </c>
      <c r="I21" s="4">
        <v>32733</v>
      </c>
      <c r="J21" s="4">
        <v>32873</v>
      </c>
      <c r="K21" s="4">
        <v>32992</v>
      </c>
      <c r="L21" s="4">
        <v>33136</v>
      </c>
      <c r="M21" s="4">
        <v>33267</v>
      </c>
      <c r="N21" s="4">
        <v>33409</v>
      </c>
      <c r="O21" s="4">
        <v>33536</v>
      </c>
      <c r="P21" s="4">
        <v>33710</v>
      </c>
      <c r="Q21" s="4">
        <v>33831</v>
      </c>
      <c r="R21" s="4">
        <v>33963</v>
      </c>
      <c r="S21" s="4">
        <v>34094</v>
      </c>
      <c r="T21" s="4">
        <v>34255</v>
      </c>
      <c r="U21" s="4">
        <v>34381</v>
      </c>
      <c r="V21" s="4">
        <v>34540</v>
      </c>
      <c r="W21" s="4">
        <v>34654</v>
      </c>
      <c r="X21" s="4">
        <v>34814</v>
      </c>
      <c r="Y21" s="4">
        <v>34934</v>
      </c>
      <c r="Z21" s="4">
        <v>35090</v>
      </c>
      <c r="AA21" s="4">
        <v>35196</v>
      </c>
      <c r="AB21" s="4">
        <v>35337</v>
      </c>
      <c r="AC21" s="4">
        <v>35445</v>
      </c>
      <c r="AD21" s="4">
        <v>35559</v>
      </c>
      <c r="AE21" s="49">
        <v>35594</v>
      </c>
      <c r="AF21" s="49">
        <v>35738</v>
      </c>
      <c r="AG21" s="49">
        <v>35851</v>
      </c>
      <c r="AH21" s="49">
        <v>35970</v>
      </c>
      <c r="AI21" s="77">
        <f t="shared" si="0"/>
        <v>4124</v>
      </c>
    </row>
    <row r="22" spans="1:35" ht="20.149999999999999" customHeight="1">
      <c r="A22" s="2"/>
      <c r="B22" s="2"/>
      <c r="C22" s="79" t="s">
        <v>22</v>
      </c>
      <c r="D22" s="80">
        <v>1584</v>
      </c>
      <c r="E22" s="2">
        <v>1584</v>
      </c>
      <c r="F22" s="2">
        <v>1609</v>
      </c>
      <c r="G22" s="2">
        <v>1651</v>
      </c>
      <c r="H22" s="2">
        <v>1661</v>
      </c>
      <c r="I22" s="2">
        <v>1661</v>
      </c>
      <c r="J22" s="2">
        <v>1661</v>
      </c>
      <c r="K22" s="2">
        <v>1661</v>
      </c>
      <c r="L22" s="2">
        <v>1661</v>
      </c>
      <c r="M22" s="2">
        <v>1661</v>
      </c>
      <c r="N22" s="2">
        <v>1674</v>
      </c>
      <c r="O22" s="2">
        <v>1684</v>
      </c>
      <c r="P22" s="2">
        <v>1686</v>
      </c>
      <c r="Q22" s="2">
        <v>1707</v>
      </c>
      <c r="R22" s="2">
        <v>1707</v>
      </c>
      <c r="S22" s="2">
        <v>1707</v>
      </c>
      <c r="T22" s="2">
        <v>1707</v>
      </c>
      <c r="U22" s="2">
        <v>1707</v>
      </c>
      <c r="V22" s="2">
        <v>1707</v>
      </c>
      <c r="W22" s="2">
        <v>1707</v>
      </c>
      <c r="X22" s="2">
        <v>1707</v>
      </c>
      <c r="Y22" s="2">
        <v>1707</v>
      </c>
      <c r="Z22" s="2">
        <v>1707</v>
      </c>
      <c r="AA22" s="2">
        <v>1740</v>
      </c>
      <c r="AB22" s="2">
        <v>1761</v>
      </c>
      <c r="AC22" s="2">
        <v>1765</v>
      </c>
      <c r="AD22" s="2">
        <v>1783</v>
      </c>
      <c r="AE22" s="2">
        <v>1882</v>
      </c>
      <c r="AF22" s="2">
        <v>1882</v>
      </c>
      <c r="AG22" s="2">
        <v>1887</v>
      </c>
      <c r="AH22" s="2">
        <v>1887</v>
      </c>
      <c r="AI22" s="77">
        <f t="shared" si="0"/>
        <v>303</v>
      </c>
    </row>
    <row r="23" spans="1:35" ht="14.5" customHeight="1">
      <c r="A23" s="503"/>
      <c r="B23" s="504"/>
      <c r="C23" s="504"/>
      <c r="D23" s="504"/>
      <c r="E23" s="504"/>
      <c r="F23" s="504"/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4"/>
      <c r="AA23" s="504"/>
      <c r="AB23" s="504"/>
      <c r="AC23" s="504"/>
      <c r="AD23" s="504"/>
      <c r="AE23" s="504"/>
      <c r="AF23" s="504"/>
      <c r="AG23" s="504"/>
      <c r="AH23" s="504"/>
      <c r="AI23" s="501"/>
    </row>
    <row r="24" spans="1:35" ht="14.5" customHeight="1">
      <c r="A24" s="2">
        <v>1</v>
      </c>
      <c r="B24" s="2" t="s">
        <v>129</v>
      </c>
      <c r="C24" s="2" t="s">
        <v>119</v>
      </c>
      <c r="D24" s="79">
        <v>15229</v>
      </c>
      <c r="E24" s="4">
        <v>15284</v>
      </c>
      <c r="F24" s="4">
        <v>15385</v>
      </c>
      <c r="G24" s="4">
        <v>15470</v>
      </c>
      <c r="H24" s="4">
        <v>15470</v>
      </c>
      <c r="I24" s="4">
        <v>15638</v>
      </c>
      <c r="J24" s="4">
        <v>15745</v>
      </c>
      <c r="K24" s="4">
        <v>15828</v>
      </c>
      <c r="L24" s="4">
        <v>15828</v>
      </c>
      <c r="M24" s="4">
        <v>15932</v>
      </c>
      <c r="N24" s="4">
        <v>16013</v>
      </c>
      <c r="O24" s="4">
        <v>16088</v>
      </c>
      <c r="P24" s="4">
        <v>16171</v>
      </c>
      <c r="Q24" s="4">
        <v>16233</v>
      </c>
      <c r="R24" s="4">
        <v>16299</v>
      </c>
      <c r="S24" s="4">
        <v>16299</v>
      </c>
      <c r="T24" s="4">
        <v>16390</v>
      </c>
      <c r="U24" s="4">
        <v>16469</v>
      </c>
      <c r="V24" s="4">
        <v>16553</v>
      </c>
      <c r="W24" s="4">
        <v>16647</v>
      </c>
      <c r="X24" s="4">
        <v>16745</v>
      </c>
      <c r="Y24" s="4">
        <v>16801</v>
      </c>
      <c r="Z24" s="4">
        <v>16801</v>
      </c>
      <c r="AA24" s="4">
        <v>16855</v>
      </c>
      <c r="AB24" s="4">
        <v>16909</v>
      </c>
      <c r="AC24" s="4">
        <v>17008</v>
      </c>
      <c r="AD24" s="4">
        <v>17053</v>
      </c>
      <c r="AE24" s="2">
        <v>17053</v>
      </c>
      <c r="AF24" s="2">
        <v>17115</v>
      </c>
      <c r="AG24" s="2">
        <v>17115</v>
      </c>
      <c r="AH24" s="49">
        <v>17175</v>
      </c>
      <c r="AI24" s="82">
        <f t="shared" ref="AI24:AI31" si="1">AH24-D24</f>
        <v>1946</v>
      </c>
    </row>
    <row r="25" spans="1:35" ht="13" customHeight="1">
      <c r="A25" s="2"/>
      <c r="B25" s="2"/>
      <c r="C25" s="80" t="s">
        <v>22</v>
      </c>
      <c r="D25" s="80">
        <v>1394</v>
      </c>
      <c r="E25" s="2">
        <v>1394</v>
      </c>
      <c r="F25" s="2">
        <v>1420</v>
      </c>
      <c r="G25" s="2">
        <v>1467</v>
      </c>
      <c r="H25" s="2">
        <v>1498</v>
      </c>
      <c r="I25" s="2">
        <v>1498</v>
      </c>
      <c r="J25" s="2">
        <v>1498</v>
      </c>
      <c r="K25" s="2">
        <v>1498</v>
      </c>
      <c r="L25" s="2">
        <v>1498</v>
      </c>
      <c r="M25" s="2">
        <v>1498</v>
      </c>
      <c r="N25" s="2">
        <v>1510</v>
      </c>
      <c r="O25" s="2">
        <v>1523</v>
      </c>
      <c r="P25" s="2">
        <v>1523</v>
      </c>
      <c r="Q25" s="2">
        <v>1546</v>
      </c>
      <c r="R25" s="2">
        <v>1546</v>
      </c>
      <c r="S25" s="2">
        <v>1546</v>
      </c>
      <c r="T25" s="2">
        <v>1546</v>
      </c>
      <c r="U25" s="2">
        <v>1546</v>
      </c>
      <c r="V25" s="2">
        <v>1546</v>
      </c>
      <c r="W25" s="2">
        <v>1546</v>
      </c>
      <c r="X25" s="2">
        <v>1546</v>
      </c>
      <c r="Y25" s="2">
        <v>1546</v>
      </c>
      <c r="Z25" s="2">
        <v>1546</v>
      </c>
      <c r="AA25" s="2">
        <v>1597</v>
      </c>
      <c r="AB25" s="2">
        <v>1638</v>
      </c>
      <c r="AC25" s="2">
        <v>1639</v>
      </c>
      <c r="AD25" s="2">
        <v>1686</v>
      </c>
      <c r="AE25" s="2">
        <v>1779</v>
      </c>
      <c r="AF25" s="2">
        <v>1779</v>
      </c>
      <c r="AG25" s="2">
        <v>1779</v>
      </c>
      <c r="AH25" s="2">
        <v>1779</v>
      </c>
      <c r="AI25" s="82">
        <f t="shared" si="1"/>
        <v>385</v>
      </c>
    </row>
    <row r="26" spans="1:35" ht="14.5" customHeight="1">
      <c r="A26" s="2">
        <v>2</v>
      </c>
      <c r="B26" s="2" t="s">
        <v>129</v>
      </c>
      <c r="C26" s="2" t="s">
        <v>120</v>
      </c>
      <c r="D26" s="79">
        <v>14037</v>
      </c>
      <c r="E26" s="4">
        <v>14104</v>
      </c>
      <c r="F26" s="4">
        <v>14214</v>
      </c>
      <c r="G26" s="5">
        <v>14294</v>
      </c>
      <c r="H26" s="5">
        <v>14362</v>
      </c>
      <c r="I26" s="4">
        <v>14462</v>
      </c>
      <c r="J26" s="4">
        <v>14564</v>
      </c>
      <c r="K26" s="4">
        <v>14645</v>
      </c>
      <c r="L26" s="4">
        <v>14646</v>
      </c>
      <c r="M26" s="4">
        <v>14753</v>
      </c>
      <c r="N26" s="4">
        <v>14829</v>
      </c>
      <c r="O26" s="4">
        <v>14900</v>
      </c>
      <c r="P26" s="4">
        <v>14987</v>
      </c>
      <c r="Q26" s="4">
        <v>15061</v>
      </c>
      <c r="R26" s="4">
        <v>15107</v>
      </c>
      <c r="S26" s="4">
        <v>15107</v>
      </c>
      <c r="T26" s="4">
        <v>15208</v>
      </c>
      <c r="U26" s="4">
        <v>15316</v>
      </c>
      <c r="V26" s="4">
        <v>15402</v>
      </c>
      <c r="W26" s="4">
        <v>15492</v>
      </c>
      <c r="X26" s="4">
        <v>15585</v>
      </c>
      <c r="Y26" s="4">
        <v>15628</v>
      </c>
      <c r="Z26" s="4">
        <v>15628</v>
      </c>
      <c r="AA26" s="4">
        <v>15690</v>
      </c>
      <c r="AB26" s="4">
        <v>15742</v>
      </c>
      <c r="AC26" s="4">
        <v>15840</v>
      </c>
      <c r="AD26" s="4">
        <v>15884</v>
      </c>
      <c r="AE26" s="49">
        <v>15884</v>
      </c>
      <c r="AF26" s="49">
        <v>15957</v>
      </c>
      <c r="AG26" s="49">
        <v>15957</v>
      </c>
      <c r="AH26" s="49">
        <v>16020</v>
      </c>
      <c r="AI26" s="82">
        <f t="shared" si="1"/>
        <v>1983</v>
      </c>
    </row>
    <row r="27" spans="1:35" ht="13" customHeight="1">
      <c r="A27" s="2"/>
      <c r="B27" s="2"/>
      <c r="C27" s="80" t="s">
        <v>22</v>
      </c>
      <c r="D27" s="79">
        <v>1377</v>
      </c>
      <c r="E27" s="2">
        <v>1377</v>
      </c>
      <c r="F27" s="2">
        <v>1404</v>
      </c>
      <c r="G27" s="2">
        <v>1445</v>
      </c>
      <c r="H27" s="2">
        <v>1476</v>
      </c>
      <c r="I27" s="2">
        <v>1476</v>
      </c>
      <c r="J27" s="2">
        <v>1476</v>
      </c>
      <c r="K27" s="2">
        <v>1476</v>
      </c>
      <c r="L27" s="2">
        <v>1476</v>
      </c>
      <c r="M27" s="2">
        <v>1476</v>
      </c>
      <c r="N27" s="2">
        <v>1484</v>
      </c>
      <c r="O27" s="2">
        <v>1497</v>
      </c>
      <c r="P27" s="2">
        <v>1497</v>
      </c>
      <c r="Q27" s="2">
        <v>1518</v>
      </c>
      <c r="R27" s="2">
        <v>1518</v>
      </c>
      <c r="S27" s="2">
        <v>1518</v>
      </c>
      <c r="T27" s="2">
        <v>1518</v>
      </c>
      <c r="U27" s="2">
        <v>1518</v>
      </c>
      <c r="V27" s="2">
        <v>1518</v>
      </c>
      <c r="W27" s="2">
        <v>1518</v>
      </c>
      <c r="X27" s="2">
        <v>1518</v>
      </c>
      <c r="Y27" s="2">
        <v>1518</v>
      </c>
      <c r="Z27" s="2">
        <v>1518</v>
      </c>
      <c r="AA27" s="2">
        <v>1564</v>
      </c>
      <c r="AB27" s="2">
        <v>1606</v>
      </c>
      <c r="AC27" s="2">
        <v>1610</v>
      </c>
      <c r="AD27" s="2">
        <v>1655</v>
      </c>
      <c r="AE27" s="2">
        <v>1735</v>
      </c>
      <c r="AF27" s="2">
        <v>1735</v>
      </c>
      <c r="AG27" s="2">
        <v>1735</v>
      </c>
      <c r="AH27" s="2">
        <v>1735</v>
      </c>
      <c r="AI27" s="82">
        <f t="shared" si="1"/>
        <v>358</v>
      </c>
    </row>
    <row r="28" spans="1:35" ht="14.5" customHeight="1">
      <c r="A28" s="2">
        <v>3</v>
      </c>
      <c r="B28" s="2" t="s">
        <v>129</v>
      </c>
      <c r="C28" s="2" t="s">
        <v>121</v>
      </c>
      <c r="D28" s="80">
        <v>13582</v>
      </c>
      <c r="E28" s="4">
        <v>13637</v>
      </c>
      <c r="F28" s="4">
        <v>13738</v>
      </c>
      <c r="G28" s="4">
        <v>13811</v>
      </c>
      <c r="H28" s="4">
        <v>13883</v>
      </c>
      <c r="I28" s="4">
        <v>13974</v>
      </c>
      <c r="J28" s="4">
        <v>14068</v>
      </c>
      <c r="K28" s="4">
        <v>14144</v>
      </c>
      <c r="L28" s="4">
        <v>14144</v>
      </c>
      <c r="M28" s="4">
        <v>14243</v>
      </c>
      <c r="N28" s="4">
        <v>14333</v>
      </c>
      <c r="O28" s="4">
        <v>14413</v>
      </c>
      <c r="P28" s="4">
        <v>14505</v>
      </c>
      <c r="Q28" s="4">
        <v>14576</v>
      </c>
      <c r="R28" s="4">
        <v>14625</v>
      </c>
      <c r="S28" s="4">
        <v>14625</v>
      </c>
      <c r="T28" s="4">
        <v>14694</v>
      </c>
      <c r="U28" s="4">
        <v>14820</v>
      </c>
      <c r="V28" s="4">
        <v>14913</v>
      </c>
      <c r="W28" s="4">
        <v>15001</v>
      </c>
      <c r="X28" s="4">
        <v>15094</v>
      </c>
      <c r="Y28" s="4">
        <v>15144</v>
      </c>
      <c r="Z28" s="4">
        <v>15144</v>
      </c>
      <c r="AA28" s="4">
        <v>15196</v>
      </c>
      <c r="AB28" s="4">
        <v>15247</v>
      </c>
      <c r="AC28" s="4">
        <v>15350</v>
      </c>
      <c r="AD28" s="4">
        <v>15393</v>
      </c>
      <c r="AE28" s="2">
        <v>15393</v>
      </c>
      <c r="AF28" s="2">
        <v>15465</v>
      </c>
      <c r="AG28" s="2">
        <v>15465</v>
      </c>
      <c r="AH28" s="2">
        <v>15531</v>
      </c>
      <c r="AI28" s="82">
        <f t="shared" si="1"/>
        <v>1949</v>
      </c>
    </row>
    <row r="29" spans="1:35" ht="13" customHeight="1">
      <c r="A29" s="2"/>
      <c r="B29" s="2"/>
      <c r="C29" s="80" t="s">
        <v>22</v>
      </c>
      <c r="D29" s="79">
        <v>1472</v>
      </c>
      <c r="E29" s="2">
        <v>1472</v>
      </c>
      <c r="F29" s="2">
        <v>1496</v>
      </c>
      <c r="G29" s="2">
        <v>1534</v>
      </c>
      <c r="H29" s="2">
        <v>1566</v>
      </c>
      <c r="I29" s="2">
        <v>1566</v>
      </c>
      <c r="J29" s="2">
        <v>1566</v>
      </c>
      <c r="K29" s="2">
        <v>1566</v>
      </c>
      <c r="L29" s="2">
        <v>1566</v>
      </c>
      <c r="M29" s="2">
        <v>1566</v>
      </c>
      <c r="N29" s="2">
        <v>1578</v>
      </c>
      <c r="O29" s="2">
        <v>1593</v>
      </c>
      <c r="P29" s="2">
        <v>1593</v>
      </c>
      <c r="Q29" s="2">
        <v>1615</v>
      </c>
      <c r="R29" s="2">
        <v>1615</v>
      </c>
      <c r="S29" s="2">
        <v>1615</v>
      </c>
      <c r="T29" s="2">
        <v>1615</v>
      </c>
      <c r="U29" s="2">
        <v>1615</v>
      </c>
      <c r="V29" s="2">
        <v>1615</v>
      </c>
      <c r="W29" s="2">
        <v>1615</v>
      </c>
      <c r="X29" s="2">
        <v>1615</v>
      </c>
      <c r="Y29" s="2">
        <v>1615</v>
      </c>
      <c r="Z29" s="2">
        <v>1615</v>
      </c>
      <c r="AA29" s="2">
        <v>1663</v>
      </c>
      <c r="AB29" s="2">
        <v>1704</v>
      </c>
      <c r="AC29" s="2">
        <v>1704</v>
      </c>
      <c r="AD29" s="2">
        <v>1751</v>
      </c>
      <c r="AE29" s="2">
        <v>1826</v>
      </c>
      <c r="AF29" s="2">
        <v>1826</v>
      </c>
      <c r="AG29" s="2">
        <v>1826</v>
      </c>
      <c r="AH29" s="2">
        <v>1826</v>
      </c>
      <c r="AI29" s="82">
        <f t="shared" si="1"/>
        <v>354</v>
      </c>
    </row>
    <row r="30" spans="1:35" ht="14.5" customHeight="1">
      <c r="A30" s="2">
        <v>4</v>
      </c>
      <c r="B30" s="2" t="s">
        <v>129</v>
      </c>
      <c r="C30" s="2" t="s">
        <v>122</v>
      </c>
      <c r="D30" s="79">
        <v>13023</v>
      </c>
      <c r="E30" s="4">
        <v>13049</v>
      </c>
      <c r="F30" s="4">
        <v>13149</v>
      </c>
      <c r="G30" s="4">
        <v>13223</v>
      </c>
      <c r="H30" s="4">
        <v>13289</v>
      </c>
      <c r="I30" s="4">
        <v>13378</v>
      </c>
      <c r="J30" s="4">
        <v>13461</v>
      </c>
      <c r="K30" s="4">
        <v>13545</v>
      </c>
      <c r="L30" s="4">
        <v>13546</v>
      </c>
      <c r="M30" s="4">
        <v>13642</v>
      </c>
      <c r="N30" s="4">
        <v>13713</v>
      </c>
      <c r="O30" s="4">
        <v>13796</v>
      </c>
      <c r="P30" s="4">
        <v>13884</v>
      </c>
      <c r="Q30" s="4">
        <v>13949</v>
      </c>
      <c r="R30" s="4">
        <v>14017</v>
      </c>
      <c r="S30" s="4">
        <v>14017</v>
      </c>
      <c r="T30" s="4">
        <v>14103</v>
      </c>
      <c r="U30" s="4">
        <v>14192</v>
      </c>
      <c r="V30" s="4">
        <v>14274</v>
      </c>
      <c r="W30" s="4">
        <v>14353</v>
      </c>
      <c r="X30" s="4">
        <v>14436</v>
      </c>
      <c r="Y30" s="4">
        <v>14483</v>
      </c>
      <c r="Z30" s="4">
        <v>14483</v>
      </c>
      <c r="AA30" s="4">
        <v>14528</v>
      </c>
      <c r="AB30" s="4">
        <v>14578</v>
      </c>
      <c r="AC30" s="4">
        <v>14666</v>
      </c>
      <c r="AD30" s="4">
        <v>14707</v>
      </c>
      <c r="AE30" s="2">
        <v>14707</v>
      </c>
      <c r="AF30" s="2">
        <v>14776</v>
      </c>
      <c r="AG30" s="2">
        <v>14776</v>
      </c>
      <c r="AH30" s="49">
        <v>14836</v>
      </c>
      <c r="AI30" s="82">
        <f t="shared" si="1"/>
        <v>1813</v>
      </c>
    </row>
    <row r="31" spans="1:35" ht="13" customHeight="1">
      <c r="A31" s="2"/>
      <c r="B31" s="2"/>
      <c r="C31" s="80" t="s">
        <v>22</v>
      </c>
      <c r="D31" s="80">
        <v>1287</v>
      </c>
      <c r="E31" s="2">
        <v>1287</v>
      </c>
      <c r="F31" s="2">
        <v>1307</v>
      </c>
      <c r="G31" s="2">
        <v>1345</v>
      </c>
      <c r="H31" s="2">
        <v>1374</v>
      </c>
      <c r="I31" s="2">
        <v>1374</v>
      </c>
      <c r="J31" s="2">
        <v>1374</v>
      </c>
      <c r="K31" s="2">
        <v>1374</v>
      </c>
      <c r="L31" s="2">
        <v>1374</v>
      </c>
      <c r="M31" s="2">
        <v>1374</v>
      </c>
      <c r="N31" s="2">
        <v>1382</v>
      </c>
      <c r="O31" s="2">
        <v>1399</v>
      </c>
      <c r="P31" s="2">
        <v>1399</v>
      </c>
      <c r="Q31" s="2">
        <v>1421</v>
      </c>
      <c r="R31" s="2">
        <v>1421</v>
      </c>
      <c r="S31" s="2">
        <v>1421</v>
      </c>
      <c r="T31" s="2">
        <v>1421</v>
      </c>
      <c r="U31" s="2">
        <v>1421</v>
      </c>
      <c r="V31" s="2">
        <v>1421</v>
      </c>
      <c r="W31" s="2">
        <v>1421</v>
      </c>
      <c r="X31" s="2">
        <v>1421</v>
      </c>
      <c r="Y31" s="2">
        <v>1421</v>
      </c>
      <c r="Z31" s="2">
        <v>1421</v>
      </c>
      <c r="AA31" s="2">
        <v>1461</v>
      </c>
      <c r="AB31" s="2">
        <v>1494</v>
      </c>
      <c r="AC31" s="2">
        <v>1495</v>
      </c>
      <c r="AD31" s="2">
        <v>1539</v>
      </c>
      <c r="AE31" s="2">
        <v>1637</v>
      </c>
      <c r="AF31" s="2">
        <v>1637</v>
      </c>
      <c r="AG31" s="2">
        <v>1637</v>
      </c>
      <c r="AH31" s="2">
        <v>1637</v>
      </c>
      <c r="AI31" s="82">
        <f t="shared" si="1"/>
        <v>350</v>
      </c>
    </row>
    <row r="32" spans="1:35" ht="14.5" customHeight="1">
      <c r="A32" s="503"/>
      <c r="B32" s="504"/>
      <c r="C32" s="504"/>
      <c r="D32" s="504"/>
      <c r="E32" s="50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  <c r="R32" s="504"/>
      <c r="S32" s="504"/>
      <c r="T32" s="504"/>
      <c r="U32" s="504"/>
      <c r="V32" s="504"/>
      <c r="W32" s="504"/>
      <c r="X32" s="504"/>
      <c r="Y32" s="504"/>
      <c r="Z32" s="504"/>
      <c r="AA32" s="504"/>
      <c r="AB32" s="504"/>
      <c r="AC32" s="504"/>
      <c r="AD32" s="504"/>
      <c r="AE32" s="504"/>
      <c r="AF32" s="504"/>
      <c r="AG32" s="504"/>
      <c r="AH32" s="504"/>
      <c r="AI32" s="501"/>
    </row>
    <row r="33" spans="1:35" ht="14.5" customHeight="1">
      <c r="A33" s="2">
        <v>1</v>
      </c>
      <c r="B33" s="2" t="s">
        <v>129</v>
      </c>
      <c r="C33" s="2" t="s">
        <v>123</v>
      </c>
      <c r="D33" s="83">
        <v>125611</v>
      </c>
      <c r="E33" s="10">
        <v>126471.66</v>
      </c>
      <c r="F33" s="10">
        <v>127754.19</v>
      </c>
      <c r="G33" s="10">
        <v>129122.9</v>
      </c>
      <c r="H33" s="10">
        <v>129709.71</v>
      </c>
      <c r="I33" s="10">
        <v>130224.85</v>
      </c>
      <c r="J33" s="10">
        <v>130635</v>
      </c>
      <c r="K33" s="10">
        <v>131044.39</v>
      </c>
      <c r="L33" s="10">
        <v>131044.39</v>
      </c>
      <c r="M33" s="10">
        <v>132026.45000000001</v>
      </c>
      <c r="N33" s="10">
        <v>132742.04</v>
      </c>
      <c r="O33" s="10">
        <v>133382.29</v>
      </c>
      <c r="P33" s="10">
        <v>133937</v>
      </c>
      <c r="Q33" s="10">
        <v>134411.74</v>
      </c>
      <c r="R33" s="11">
        <v>134671.54</v>
      </c>
      <c r="S33" s="11">
        <v>134671.54</v>
      </c>
      <c r="T33" s="11">
        <v>135657.67000000001</v>
      </c>
      <c r="U33" s="11">
        <v>136371.57</v>
      </c>
      <c r="V33" s="11">
        <v>137076</v>
      </c>
      <c r="W33" s="11">
        <v>137671.9</v>
      </c>
      <c r="X33" s="11">
        <v>138290.85999999999</v>
      </c>
      <c r="Y33" s="11">
        <v>138573.35999999999</v>
      </c>
      <c r="Z33" s="11">
        <v>138573.35999999999</v>
      </c>
      <c r="AA33" s="11">
        <v>139677.43</v>
      </c>
      <c r="AB33" s="11">
        <v>140629.32</v>
      </c>
      <c r="AC33" s="11">
        <v>141348.66</v>
      </c>
      <c r="AD33" s="11">
        <v>142078.1</v>
      </c>
      <c r="AE33" s="85">
        <v>142800</v>
      </c>
      <c r="AF33" s="85">
        <v>143217</v>
      </c>
      <c r="AG33" s="85">
        <v>143217</v>
      </c>
      <c r="AH33" s="86">
        <v>144022</v>
      </c>
      <c r="AI33" s="82">
        <f>AH33-D33</f>
        <v>18411</v>
      </c>
    </row>
    <row r="34" spans="1:35" ht="14.5" customHeight="1">
      <c r="A34" s="2">
        <v>2</v>
      </c>
      <c r="B34" s="2" t="s">
        <v>129</v>
      </c>
      <c r="C34" s="2" t="s">
        <v>124</v>
      </c>
      <c r="D34" s="83">
        <v>129491</v>
      </c>
      <c r="E34" s="36">
        <v>130355.97</v>
      </c>
      <c r="F34" s="36">
        <v>131676.42000000001</v>
      </c>
      <c r="G34" s="37">
        <v>133022.70000000001</v>
      </c>
      <c r="H34" s="10">
        <v>133836.76999999999</v>
      </c>
      <c r="I34" s="10">
        <v>134714.57</v>
      </c>
      <c r="J34" s="10">
        <v>135559.49</v>
      </c>
      <c r="K34" s="10">
        <v>136281.35999999999</v>
      </c>
      <c r="L34" s="10">
        <v>136281.35999999999</v>
      </c>
      <c r="M34" s="10">
        <v>137423.44</v>
      </c>
      <c r="N34" s="10">
        <v>138363.48000000001</v>
      </c>
      <c r="O34" s="10">
        <v>139122.62</v>
      </c>
      <c r="P34" s="10">
        <v>139817.35999999999</v>
      </c>
      <c r="Q34" s="10">
        <v>140285.49</v>
      </c>
      <c r="R34" s="11">
        <v>140883.1</v>
      </c>
      <c r="S34" s="11">
        <v>140883.1</v>
      </c>
      <c r="T34" s="11">
        <v>141898.31</v>
      </c>
      <c r="U34" s="11">
        <v>142727.09</v>
      </c>
      <c r="V34" s="11">
        <v>143345.65</v>
      </c>
      <c r="W34" s="11">
        <v>144143.17000000001</v>
      </c>
      <c r="X34" s="11">
        <v>144878.85999999999</v>
      </c>
      <c r="Y34" s="11">
        <v>145360.85</v>
      </c>
      <c r="Z34" s="11">
        <v>145360.85</v>
      </c>
      <c r="AA34" s="11">
        <v>146563.57999999999</v>
      </c>
      <c r="AB34" s="11">
        <v>147606.70000000001</v>
      </c>
      <c r="AC34" s="11">
        <v>148697.44</v>
      </c>
      <c r="AD34" s="11">
        <v>149650</v>
      </c>
      <c r="AE34" s="85">
        <v>150488</v>
      </c>
      <c r="AF34" s="85">
        <v>151292</v>
      </c>
      <c r="AG34" s="85">
        <v>151292</v>
      </c>
      <c r="AH34" s="86">
        <v>152135</v>
      </c>
      <c r="AI34" s="82">
        <f>AH34-D34</f>
        <v>22644</v>
      </c>
    </row>
    <row r="35" spans="1:35" ht="14.5" customHeight="1">
      <c r="A35" s="2">
        <v>3</v>
      </c>
      <c r="B35" s="2" t="s">
        <v>129</v>
      </c>
      <c r="C35" s="2" t="s">
        <v>125</v>
      </c>
      <c r="D35" s="83">
        <v>136638</v>
      </c>
      <c r="E35" s="10">
        <v>137390.82999999999</v>
      </c>
      <c r="F35" s="10">
        <v>138727.26</v>
      </c>
      <c r="G35" s="10">
        <v>139995.68</v>
      </c>
      <c r="H35" s="10">
        <v>140801.53</v>
      </c>
      <c r="I35" s="10">
        <v>141552.19</v>
      </c>
      <c r="J35" s="10">
        <v>142280.01</v>
      </c>
      <c r="K35" s="10">
        <v>142962.73000000001</v>
      </c>
      <c r="L35" s="10">
        <v>142962.73000000001</v>
      </c>
      <c r="M35" s="10">
        <v>144162.84</v>
      </c>
      <c r="N35" s="10">
        <v>145116.13</v>
      </c>
      <c r="O35" s="10">
        <v>145963.67000000001</v>
      </c>
      <c r="P35" s="10">
        <v>146772.07999999999</v>
      </c>
      <c r="Q35" s="10">
        <v>147515.64000000001</v>
      </c>
      <c r="R35" s="10">
        <v>148090.03</v>
      </c>
      <c r="S35" s="11">
        <v>148090.03</v>
      </c>
      <c r="T35" s="11">
        <v>149078.09</v>
      </c>
      <c r="U35" s="11">
        <v>149895.74</v>
      </c>
      <c r="V35" s="11">
        <v>150653.01999999999</v>
      </c>
      <c r="W35" s="11">
        <v>151456.63</v>
      </c>
      <c r="X35" s="11">
        <v>152262.66</v>
      </c>
      <c r="Y35" s="11">
        <v>152631.66</v>
      </c>
      <c r="Z35" s="11">
        <v>152631.66</v>
      </c>
      <c r="AA35" s="11">
        <v>153722.10999999999</v>
      </c>
      <c r="AB35" s="11">
        <v>154787.1</v>
      </c>
      <c r="AC35" s="11">
        <v>155703.13</v>
      </c>
      <c r="AD35" s="11">
        <v>156625.1</v>
      </c>
      <c r="AE35" s="85">
        <v>157471</v>
      </c>
      <c r="AF35" s="85">
        <v>158134</v>
      </c>
      <c r="AG35" s="85">
        <v>158134</v>
      </c>
      <c r="AH35" s="86">
        <v>158977</v>
      </c>
      <c r="AI35" s="82">
        <f>AH35-D35</f>
        <v>22339</v>
      </c>
    </row>
    <row r="36" spans="1:35" ht="14.5" customHeight="1">
      <c r="A36" s="2">
        <v>4</v>
      </c>
      <c r="B36" s="2" t="s">
        <v>129</v>
      </c>
      <c r="C36" s="2" t="s">
        <v>126</v>
      </c>
      <c r="D36" s="83">
        <v>155000</v>
      </c>
      <c r="E36" s="10">
        <v>155795.12</v>
      </c>
      <c r="F36" s="10">
        <v>157212.97</v>
      </c>
      <c r="G36" s="10">
        <v>158688.59</v>
      </c>
      <c r="H36" s="10">
        <v>159546.78</v>
      </c>
      <c r="I36" s="10">
        <v>160293.79999999999</v>
      </c>
      <c r="J36" s="10">
        <v>160982.10999999999</v>
      </c>
      <c r="K36" s="10">
        <v>161569.39000000001</v>
      </c>
      <c r="L36" s="10">
        <v>161569.39000000001</v>
      </c>
      <c r="M36" s="10">
        <v>162934.99</v>
      </c>
      <c r="N36" s="10">
        <v>163953.28</v>
      </c>
      <c r="O36" s="10">
        <v>164844.37</v>
      </c>
      <c r="P36" s="10">
        <v>165688.03</v>
      </c>
      <c r="Q36" s="10">
        <v>166343.24</v>
      </c>
      <c r="R36" s="11">
        <v>166732.37</v>
      </c>
      <c r="S36" s="11">
        <v>166732.37</v>
      </c>
      <c r="T36" s="11">
        <v>167769.79999999999</v>
      </c>
      <c r="U36" s="11">
        <v>168562.83</v>
      </c>
      <c r="V36" s="11">
        <v>169302.76</v>
      </c>
      <c r="W36" s="11">
        <v>170110.65</v>
      </c>
      <c r="X36" s="11">
        <v>170875.49</v>
      </c>
      <c r="Y36" s="11">
        <v>171200.27</v>
      </c>
      <c r="Z36" s="11">
        <v>171200.27</v>
      </c>
      <c r="AA36" s="11">
        <v>172410.61</v>
      </c>
      <c r="AB36" s="11">
        <v>173441.05</v>
      </c>
      <c r="AC36" s="11">
        <v>174318.53</v>
      </c>
      <c r="AD36" s="11">
        <v>175487.87</v>
      </c>
      <c r="AE36" s="85">
        <v>176384</v>
      </c>
      <c r="AF36" s="85">
        <v>176899</v>
      </c>
      <c r="AG36" s="85">
        <v>176899</v>
      </c>
      <c r="AH36" s="86">
        <v>177713</v>
      </c>
      <c r="AI36" s="82">
        <f>AH36-D36</f>
        <v>22713</v>
      </c>
    </row>
    <row r="37" spans="1:35">
      <c r="D37" s="106"/>
      <c r="E37" s="90"/>
      <c r="AD37" s="76"/>
    </row>
    <row r="38" spans="1:35" ht="13" customHeight="1">
      <c r="A38" s="91"/>
      <c r="B38" s="92"/>
      <c r="C38" s="92"/>
      <c r="D38" s="107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</row>
    <row r="39" spans="1:35" ht="14.5" customHeight="1">
      <c r="A39" s="93"/>
      <c r="B39" s="534" t="s">
        <v>127</v>
      </c>
      <c r="C39" s="504"/>
      <c r="D39" s="501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</row>
    <row r="40" spans="1:35" ht="14.5" customHeight="1">
      <c r="A40" s="94"/>
      <c r="B40" s="538" t="s">
        <v>128</v>
      </c>
      <c r="C40" s="504"/>
      <c r="D40" s="501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</row>
    <row r="41" spans="1:35" ht="13" customHeight="1">
      <c r="A41" s="529" t="s">
        <v>99</v>
      </c>
      <c r="B41" s="529" t="s">
        <v>100</v>
      </c>
      <c r="C41" s="529" t="s">
        <v>101</v>
      </c>
      <c r="D41" s="517"/>
      <c r="E41" s="95">
        <f t="shared" ref="E41:AH41" si="2">E3</f>
        <v>45536</v>
      </c>
      <c r="F41" s="95">
        <f t="shared" si="2"/>
        <v>45537</v>
      </c>
      <c r="G41" s="95">
        <f t="shared" si="2"/>
        <v>45538</v>
      </c>
      <c r="H41" s="95">
        <f t="shared" si="2"/>
        <v>45539</v>
      </c>
      <c r="I41" s="95">
        <f t="shared" si="2"/>
        <v>45540</v>
      </c>
      <c r="J41" s="95">
        <f t="shared" si="2"/>
        <v>45541</v>
      </c>
      <c r="K41" s="95">
        <f t="shared" si="2"/>
        <v>45542</v>
      </c>
      <c r="L41" s="95">
        <f t="shared" si="2"/>
        <v>45543</v>
      </c>
      <c r="M41" s="95">
        <f t="shared" si="2"/>
        <v>45544</v>
      </c>
      <c r="N41" s="95">
        <f t="shared" si="2"/>
        <v>45545</v>
      </c>
      <c r="O41" s="95">
        <f t="shared" si="2"/>
        <v>45546</v>
      </c>
      <c r="P41" s="95">
        <f t="shared" si="2"/>
        <v>45547</v>
      </c>
      <c r="Q41" s="95">
        <f t="shared" si="2"/>
        <v>45548</v>
      </c>
      <c r="R41" s="95">
        <f t="shared" si="2"/>
        <v>45549</v>
      </c>
      <c r="S41" s="95">
        <f t="shared" si="2"/>
        <v>45550</v>
      </c>
      <c r="T41" s="95">
        <f t="shared" si="2"/>
        <v>45551</v>
      </c>
      <c r="U41" s="95">
        <f t="shared" si="2"/>
        <v>45552</v>
      </c>
      <c r="V41" s="95">
        <f t="shared" si="2"/>
        <v>45553</v>
      </c>
      <c r="W41" s="95">
        <f t="shared" si="2"/>
        <v>45554</v>
      </c>
      <c r="X41" s="95">
        <f t="shared" si="2"/>
        <v>45555</v>
      </c>
      <c r="Y41" s="95">
        <f t="shared" si="2"/>
        <v>45556</v>
      </c>
      <c r="Z41" s="95">
        <f t="shared" si="2"/>
        <v>45557</v>
      </c>
      <c r="AA41" s="95">
        <f t="shared" si="2"/>
        <v>45558</v>
      </c>
      <c r="AB41" s="95">
        <f t="shared" si="2"/>
        <v>45559</v>
      </c>
      <c r="AC41" s="95">
        <f t="shared" si="2"/>
        <v>45560</v>
      </c>
      <c r="AD41" s="95">
        <f t="shared" si="2"/>
        <v>45561</v>
      </c>
      <c r="AE41" s="95">
        <f t="shared" si="2"/>
        <v>45562</v>
      </c>
      <c r="AF41" s="95">
        <f t="shared" si="2"/>
        <v>45563</v>
      </c>
      <c r="AG41" s="95">
        <f t="shared" si="2"/>
        <v>45564</v>
      </c>
      <c r="AH41" s="95">
        <f t="shared" si="2"/>
        <v>45565</v>
      </c>
      <c r="AI41" s="529" t="s">
        <v>1</v>
      </c>
    </row>
    <row r="42" spans="1:35" ht="13" customHeight="1">
      <c r="A42" s="508"/>
      <c r="B42" s="508"/>
      <c r="C42" s="518"/>
      <c r="D42" s="519"/>
      <c r="E42" s="96" t="str">
        <f t="shared" ref="E42:AH42" si="3">E4</f>
        <v>Thu</v>
      </c>
      <c r="F42" s="96" t="str">
        <f t="shared" si="3"/>
        <v>Fri</v>
      </c>
      <c r="G42" s="96" t="str">
        <f t="shared" si="3"/>
        <v>Sat</v>
      </c>
      <c r="H42" s="96" t="str">
        <f t="shared" si="3"/>
        <v>Sun</v>
      </c>
      <c r="I42" s="96" t="str">
        <f t="shared" si="3"/>
        <v>Mon</v>
      </c>
      <c r="J42" s="96" t="str">
        <f t="shared" si="3"/>
        <v>Tue</v>
      </c>
      <c r="K42" s="96" t="str">
        <f t="shared" si="3"/>
        <v>Wed</v>
      </c>
      <c r="L42" s="96" t="str">
        <f t="shared" si="3"/>
        <v>Thu</v>
      </c>
      <c r="M42" s="96" t="str">
        <f t="shared" si="3"/>
        <v>Fri</v>
      </c>
      <c r="N42" s="96" t="str">
        <f t="shared" si="3"/>
        <v>Sat</v>
      </c>
      <c r="O42" s="96" t="str">
        <f t="shared" si="3"/>
        <v>Sun</v>
      </c>
      <c r="P42" s="96" t="str">
        <f t="shared" si="3"/>
        <v>Mon</v>
      </c>
      <c r="Q42" s="96" t="str">
        <f t="shared" si="3"/>
        <v>Tue</v>
      </c>
      <c r="R42" s="96" t="str">
        <f t="shared" si="3"/>
        <v>Wed</v>
      </c>
      <c r="S42" s="96" t="str">
        <f t="shared" si="3"/>
        <v>Thu</v>
      </c>
      <c r="T42" s="96" t="str">
        <f t="shared" si="3"/>
        <v>Fri</v>
      </c>
      <c r="U42" s="96" t="str">
        <f t="shared" si="3"/>
        <v>Sat</v>
      </c>
      <c r="V42" s="96" t="str">
        <f t="shared" si="3"/>
        <v>Sun</v>
      </c>
      <c r="W42" s="96" t="str">
        <f t="shared" si="3"/>
        <v>Mon</v>
      </c>
      <c r="X42" s="96" t="str">
        <f t="shared" si="3"/>
        <v>Tue</v>
      </c>
      <c r="Y42" s="96" t="str">
        <f t="shared" si="3"/>
        <v>Wed</v>
      </c>
      <c r="Z42" s="96" t="str">
        <f t="shared" si="3"/>
        <v>Thu</v>
      </c>
      <c r="AA42" s="96" t="str">
        <f t="shared" si="3"/>
        <v>Fri</v>
      </c>
      <c r="AB42" s="96" t="str">
        <f t="shared" si="3"/>
        <v>Sat</v>
      </c>
      <c r="AC42" s="96" t="str">
        <f t="shared" si="3"/>
        <v>Sun</v>
      </c>
      <c r="AD42" s="96" t="str">
        <f t="shared" si="3"/>
        <v>Mon</v>
      </c>
      <c r="AE42" s="96" t="str">
        <f t="shared" si="3"/>
        <v>Tue</v>
      </c>
      <c r="AF42" s="96" t="str">
        <f t="shared" si="3"/>
        <v>Wed</v>
      </c>
      <c r="AG42" s="96" t="str">
        <f t="shared" si="3"/>
        <v>Thu</v>
      </c>
      <c r="AH42" s="96" t="str">
        <f t="shared" si="3"/>
        <v>Fri</v>
      </c>
      <c r="AI42" s="508"/>
    </row>
    <row r="43" spans="1:35" ht="13" customHeight="1">
      <c r="A43" s="508"/>
      <c r="B43" s="508"/>
      <c r="C43" s="518"/>
      <c r="D43" s="519"/>
      <c r="E43" s="97" t="s">
        <v>110</v>
      </c>
      <c r="F43" s="97" t="s">
        <v>110</v>
      </c>
      <c r="G43" s="97" t="s">
        <v>110</v>
      </c>
      <c r="H43" s="97" t="s">
        <v>110</v>
      </c>
      <c r="I43" s="97" t="s">
        <v>110</v>
      </c>
      <c r="J43" s="97" t="s">
        <v>110</v>
      </c>
      <c r="K43" s="97" t="s">
        <v>110</v>
      </c>
      <c r="L43" s="97" t="s">
        <v>110</v>
      </c>
      <c r="M43" s="97" t="s">
        <v>110</v>
      </c>
      <c r="N43" s="97" t="s">
        <v>110</v>
      </c>
      <c r="O43" s="97" t="s">
        <v>110</v>
      </c>
      <c r="P43" s="97" t="s">
        <v>110</v>
      </c>
      <c r="Q43" s="97" t="s">
        <v>110</v>
      </c>
      <c r="R43" s="97" t="s">
        <v>110</v>
      </c>
      <c r="S43" s="97" t="s">
        <v>110</v>
      </c>
      <c r="T43" s="97" t="s">
        <v>110</v>
      </c>
      <c r="U43" s="97" t="s">
        <v>110</v>
      </c>
      <c r="V43" s="97" t="s">
        <v>110</v>
      </c>
      <c r="W43" s="97" t="s">
        <v>110</v>
      </c>
      <c r="X43" s="97" t="s">
        <v>110</v>
      </c>
      <c r="Y43" s="97" t="s">
        <v>110</v>
      </c>
      <c r="Z43" s="97" t="s">
        <v>110</v>
      </c>
      <c r="AA43" s="97" t="s">
        <v>110</v>
      </c>
      <c r="AB43" s="97" t="s">
        <v>110</v>
      </c>
      <c r="AC43" s="97" t="s">
        <v>110</v>
      </c>
      <c r="AD43" s="97" t="s">
        <v>110</v>
      </c>
      <c r="AE43" s="97" t="s">
        <v>110</v>
      </c>
      <c r="AF43" s="97" t="s">
        <v>110</v>
      </c>
      <c r="AG43" s="97" t="s">
        <v>110</v>
      </c>
      <c r="AH43" s="97" t="s">
        <v>110</v>
      </c>
      <c r="AI43" s="508"/>
    </row>
    <row r="44" spans="1:35" ht="13" customHeight="1">
      <c r="A44" s="509"/>
      <c r="B44" s="509"/>
      <c r="C44" s="520"/>
      <c r="D44" s="521"/>
      <c r="E44" s="98">
        <v>0.33333333333333331</v>
      </c>
      <c r="F44" s="98">
        <v>0.33333333333333331</v>
      </c>
      <c r="G44" s="98">
        <v>0.33333333333333331</v>
      </c>
      <c r="H44" s="98">
        <v>0.33333333333333331</v>
      </c>
      <c r="I44" s="98">
        <v>0.33333333333333331</v>
      </c>
      <c r="J44" s="98">
        <v>0.33333333333333331</v>
      </c>
      <c r="K44" s="98">
        <v>0.33333333333333331</v>
      </c>
      <c r="L44" s="98">
        <v>0.33333333333333331</v>
      </c>
      <c r="M44" s="98">
        <v>0.33333333333333331</v>
      </c>
      <c r="N44" s="98">
        <v>0.33333333333333331</v>
      </c>
      <c r="O44" s="98">
        <v>0.33333333333333331</v>
      </c>
      <c r="P44" s="98">
        <v>0.33333333333333331</v>
      </c>
      <c r="Q44" s="98">
        <v>0.33333333333333331</v>
      </c>
      <c r="R44" s="98">
        <v>0.33333333333333331</v>
      </c>
      <c r="S44" s="98">
        <v>0.33333333333333331</v>
      </c>
      <c r="T44" s="98">
        <v>0.33333333333333331</v>
      </c>
      <c r="U44" s="98">
        <v>0.33333333333333331</v>
      </c>
      <c r="V44" s="98">
        <v>0.33333333333333331</v>
      </c>
      <c r="W44" s="98">
        <v>0.33333333333333331</v>
      </c>
      <c r="X44" s="98">
        <v>0.33333333333333331</v>
      </c>
      <c r="Y44" s="98">
        <v>0.33333333333333331</v>
      </c>
      <c r="Z44" s="98">
        <v>0.33333333333333331</v>
      </c>
      <c r="AA44" s="98">
        <v>0.33333333333333331</v>
      </c>
      <c r="AB44" s="98">
        <v>0.33333333333333331</v>
      </c>
      <c r="AC44" s="98">
        <v>0.33333333333333331</v>
      </c>
      <c r="AD44" s="98">
        <v>0.33333333333333331</v>
      </c>
      <c r="AE44" s="98">
        <v>0.33333333333333331</v>
      </c>
      <c r="AF44" s="98">
        <v>0.33333333333333331</v>
      </c>
      <c r="AG44" s="98">
        <v>0.33333333333333331</v>
      </c>
      <c r="AH44" s="98">
        <v>0.33333333333333331</v>
      </c>
      <c r="AI44" s="509"/>
    </row>
    <row r="45" spans="1:35" ht="15" customHeight="1">
      <c r="A45" s="2">
        <v>1</v>
      </c>
      <c r="B45" s="2" t="s">
        <v>129</v>
      </c>
      <c r="C45" s="503" t="s">
        <v>111</v>
      </c>
      <c r="D45" s="501"/>
      <c r="E45" s="20">
        <f t="shared" ref="E45:AH45" si="4">E7-D7</f>
        <v>330</v>
      </c>
      <c r="F45" s="20">
        <f t="shared" si="4"/>
        <v>225</v>
      </c>
      <c r="G45" s="20">
        <f t="shared" si="4"/>
        <v>211</v>
      </c>
      <c r="H45" s="20">
        <f t="shared" si="4"/>
        <v>217</v>
      </c>
      <c r="I45" s="20">
        <f t="shared" si="4"/>
        <v>266</v>
      </c>
      <c r="J45" s="20">
        <f t="shared" si="4"/>
        <v>228</v>
      </c>
      <c r="K45" s="20">
        <f t="shared" si="4"/>
        <v>228</v>
      </c>
      <c r="L45" s="20">
        <f t="shared" si="4"/>
        <v>223</v>
      </c>
      <c r="M45" s="20">
        <f t="shared" si="4"/>
        <v>263</v>
      </c>
      <c r="N45" s="20">
        <f t="shared" si="4"/>
        <v>241</v>
      </c>
      <c r="O45" s="20">
        <f t="shared" si="4"/>
        <v>231</v>
      </c>
      <c r="P45" s="20">
        <f t="shared" si="4"/>
        <v>259</v>
      </c>
      <c r="Q45" s="20">
        <f t="shared" si="4"/>
        <v>192</v>
      </c>
      <c r="R45" s="20">
        <f t="shared" si="4"/>
        <v>200</v>
      </c>
      <c r="S45" s="20">
        <f t="shared" si="4"/>
        <v>216</v>
      </c>
      <c r="T45" s="20">
        <f t="shared" si="4"/>
        <v>263</v>
      </c>
      <c r="U45" s="20">
        <f t="shared" si="4"/>
        <v>261</v>
      </c>
      <c r="V45" s="20">
        <f t="shared" si="4"/>
        <v>263</v>
      </c>
      <c r="W45" s="20">
        <f t="shared" si="4"/>
        <v>258</v>
      </c>
      <c r="X45" s="20">
        <f t="shared" si="4"/>
        <v>255</v>
      </c>
      <c r="Y45" s="20">
        <f t="shared" si="4"/>
        <v>211</v>
      </c>
      <c r="Z45" s="20">
        <f t="shared" si="4"/>
        <v>210</v>
      </c>
      <c r="AA45" s="20">
        <f t="shared" si="4"/>
        <v>180</v>
      </c>
      <c r="AB45" s="20">
        <f t="shared" si="4"/>
        <v>193</v>
      </c>
      <c r="AC45" s="20">
        <f t="shared" si="4"/>
        <v>275</v>
      </c>
      <c r="AD45" s="20">
        <f t="shared" si="4"/>
        <v>174</v>
      </c>
      <c r="AE45" s="20">
        <f t="shared" si="4"/>
        <v>34</v>
      </c>
      <c r="AF45" s="20">
        <f t="shared" si="4"/>
        <v>202</v>
      </c>
      <c r="AG45" s="20">
        <f t="shared" si="4"/>
        <v>206</v>
      </c>
      <c r="AH45" s="20">
        <f t="shared" si="4"/>
        <v>126</v>
      </c>
      <c r="AI45" s="21">
        <f t="shared" ref="AI45:AI62" si="5">SUM(E45:AH45)</f>
        <v>6641</v>
      </c>
    </row>
    <row r="46" spans="1:35" ht="15" customHeight="1">
      <c r="A46" s="2"/>
      <c r="B46" s="2"/>
      <c r="C46" s="531" t="s">
        <v>22</v>
      </c>
      <c r="D46" s="501"/>
      <c r="E46" s="20">
        <f t="shared" ref="E46:AH46" si="6">E8-D8</f>
        <v>0</v>
      </c>
      <c r="F46" s="20">
        <f t="shared" si="6"/>
        <v>45</v>
      </c>
      <c r="G46" s="20">
        <f t="shared" si="6"/>
        <v>73</v>
      </c>
      <c r="H46" s="20">
        <f t="shared" si="6"/>
        <v>45</v>
      </c>
      <c r="I46" s="20">
        <f t="shared" si="6"/>
        <v>0</v>
      </c>
      <c r="J46" s="20">
        <f t="shared" si="6"/>
        <v>0</v>
      </c>
      <c r="K46" s="20">
        <f t="shared" si="6"/>
        <v>0</v>
      </c>
      <c r="L46" s="20">
        <f t="shared" si="6"/>
        <v>0</v>
      </c>
      <c r="M46" s="20">
        <f t="shared" si="6"/>
        <v>0</v>
      </c>
      <c r="N46" s="20">
        <f t="shared" si="6"/>
        <v>21</v>
      </c>
      <c r="O46" s="20">
        <f t="shared" si="6"/>
        <v>27</v>
      </c>
      <c r="P46" s="20">
        <f t="shared" si="6"/>
        <v>7</v>
      </c>
      <c r="Q46" s="20">
        <f t="shared" si="6"/>
        <v>63</v>
      </c>
      <c r="R46" s="20">
        <f t="shared" si="6"/>
        <v>0</v>
      </c>
      <c r="S46" s="20">
        <f t="shared" si="6"/>
        <v>0</v>
      </c>
      <c r="T46" s="20">
        <f t="shared" si="6"/>
        <v>0</v>
      </c>
      <c r="U46" s="20">
        <f t="shared" si="6"/>
        <v>0</v>
      </c>
      <c r="V46" s="20">
        <f t="shared" si="6"/>
        <v>0</v>
      </c>
      <c r="W46" s="20">
        <f t="shared" si="6"/>
        <v>0</v>
      </c>
      <c r="X46" s="20">
        <f t="shared" si="6"/>
        <v>0</v>
      </c>
      <c r="Y46" s="20">
        <f t="shared" si="6"/>
        <v>0</v>
      </c>
      <c r="Z46" s="20">
        <f t="shared" si="6"/>
        <v>0</v>
      </c>
      <c r="AA46" s="20">
        <f t="shared" si="6"/>
        <v>86</v>
      </c>
      <c r="AB46" s="20">
        <f t="shared" si="6"/>
        <v>14</v>
      </c>
      <c r="AC46" s="20">
        <f t="shared" si="6"/>
        <v>59</v>
      </c>
      <c r="AD46" s="20">
        <f t="shared" si="6"/>
        <v>81</v>
      </c>
      <c r="AE46" s="20">
        <f t="shared" si="6"/>
        <v>214</v>
      </c>
      <c r="AF46" s="20">
        <f t="shared" si="6"/>
        <v>0</v>
      </c>
      <c r="AG46" s="20">
        <f t="shared" si="6"/>
        <v>7</v>
      </c>
      <c r="AH46" s="20">
        <f t="shared" si="6"/>
        <v>0</v>
      </c>
      <c r="AI46" s="21">
        <f t="shared" si="5"/>
        <v>742</v>
      </c>
    </row>
    <row r="47" spans="1:35" ht="15" customHeight="1">
      <c r="A47" s="2">
        <v>2</v>
      </c>
      <c r="B47" s="2" t="s">
        <v>129</v>
      </c>
      <c r="C47" s="503" t="s">
        <v>112</v>
      </c>
      <c r="D47" s="501"/>
      <c r="E47" s="20">
        <f t="shared" ref="E47:AH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0">
        <f t="shared" si="7"/>
        <v>0</v>
      </c>
      <c r="AH47" s="20">
        <f t="shared" si="7"/>
        <v>0</v>
      </c>
      <c r="AI47" s="21">
        <f t="shared" si="5"/>
        <v>0</v>
      </c>
    </row>
    <row r="48" spans="1:35" ht="15" customHeight="1">
      <c r="A48" s="2"/>
      <c r="B48" s="2"/>
      <c r="C48" s="531" t="s">
        <v>22</v>
      </c>
      <c r="D48" s="501"/>
      <c r="E48" s="20">
        <f t="shared" ref="E48:AH48" si="8">E10-D10</f>
        <v>0</v>
      </c>
      <c r="F48" s="20">
        <f t="shared" si="8"/>
        <v>0</v>
      </c>
      <c r="G48" s="20">
        <f t="shared" si="8"/>
        <v>0</v>
      </c>
      <c r="H48" s="20">
        <f t="shared" si="8"/>
        <v>0</v>
      </c>
      <c r="I48" s="20">
        <f t="shared" si="8"/>
        <v>0</v>
      </c>
      <c r="J48" s="20">
        <f t="shared" si="8"/>
        <v>0</v>
      </c>
      <c r="K48" s="20">
        <f t="shared" si="8"/>
        <v>0</v>
      </c>
      <c r="L48" s="20">
        <f t="shared" si="8"/>
        <v>0</v>
      </c>
      <c r="M48" s="20">
        <f t="shared" si="8"/>
        <v>0</v>
      </c>
      <c r="N48" s="20">
        <f t="shared" si="8"/>
        <v>0</v>
      </c>
      <c r="O48" s="20">
        <f t="shared" si="8"/>
        <v>0</v>
      </c>
      <c r="P48" s="20">
        <f t="shared" si="8"/>
        <v>0</v>
      </c>
      <c r="Q48" s="20">
        <f t="shared" si="8"/>
        <v>0</v>
      </c>
      <c r="R48" s="20">
        <f t="shared" si="8"/>
        <v>0</v>
      </c>
      <c r="S48" s="20">
        <f t="shared" si="8"/>
        <v>0</v>
      </c>
      <c r="T48" s="20">
        <f t="shared" si="8"/>
        <v>0</v>
      </c>
      <c r="U48" s="20">
        <f t="shared" si="8"/>
        <v>0</v>
      </c>
      <c r="V48" s="20">
        <f t="shared" si="8"/>
        <v>0</v>
      </c>
      <c r="W48" s="20">
        <f t="shared" si="8"/>
        <v>0</v>
      </c>
      <c r="X48" s="20">
        <f t="shared" si="8"/>
        <v>0</v>
      </c>
      <c r="Y48" s="20">
        <f t="shared" si="8"/>
        <v>0</v>
      </c>
      <c r="Z48" s="20">
        <f t="shared" si="8"/>
        <v>0</v>
      </c>
      <c r="AA48" s="20">
        <f t="shared" si="8"/>
        <v>0</v>
      </c>
      <c r="AB48" s="20">
        <f t="shared" si="8"/>
        <v>0</v>
      </c>
      <c r="AC48" s="20">
        <f t="shared" si="8"/>
        <v>0</v>
      </c>
      <c r="AD48" s="20">
        <f t="shared" si="8"/>
        <v>0</v>
      </c>
      <c r="AE48" s="20">
        <f t="shared" si="8"/>
        <v>0</v>
      </c>
      <c r="AF48" s="20">
        <f t="shared" si="8"/>
        <v>0</v>
      </c>
      <c r="AG48" s="20">
        <f t="shared" si="8"/>
        <v>0</v>
      </c>
      <c r="AH48" s="20">
        <f t="shared" si="8"/>
        <v>0</v>
      </c>
      <c r="AI48" s="21">
        <f t="shared" si="5"/>
        <v>0</v>
      </c>
    </row>
    <row r="49" spans="1:37" ht="15" customHeight="1">
      <c r="A49" s="2">
        <v>3</v>
      </c>
      <c r="B49" s="2" t="s">
        <v>129</v>
      </c>
      <c r="C49" s="503" t="s">
        <v>113</v>
      </c>
      <c r="D49" s="501"/>
      <c r="E49" s="20">
        <f t="shared" ref="E49:AH49" si="9">E11-D11</f>
        <v>440</v>
      </c>
      <c r="F49" s="20">
        <f t="shared" si="9"/>
        <v>323</v>
      </c>
      <c r="G49" s="20">
        <f t="shared" si="9"/>
        <v>298</v>
      </c>
      <c r="H49" s="20">
        <f t="shared" si="9"/>
        <v>312</v>
      </c>
      <c r="I49" s="20">
        <f t="shared" si="9"/>
        <v>381</v>
      </c>
      <c r="J49" s="20">
        <f t="shared" si="9"/>
        <v>314</v>
      </c>
      <c r="K49" s="20">
        <f t="shared" si="9"/>
        <v>310</v>
      </c>
      <c r="L49" s="20">
        <f t="shared" si="9"/>
        <v>293</v>
      </c>
      <c r="M49" s="20">
        <f t="shared" si="9"/>
        <v>380</v>
      </c>
      <c r="N49" s="20">
        <f t="shared" si="9"/>
        <v>345</v>
      </c>
      <c r="O49" s="20">
        <f t="shared" si="9"/>
        <v>330</v>
      </c>
      <c r="P49" s="20">
        <f t="shared" si="9"/>
        <v>368</v>
      </c>
      <c r="Q49" s="20">
        <f t="shared" si="9"/>
        <v>264</v>
      </c>
      <c r="R49" s="20">
        <f t="shared" si="9"/>
        <v>265</v>
      </c>
      <c r="S49" s="20">
        <f t="shared" si="9"/>
        <v>285</v>
      </c>
      <c r="T49" s="20">
        <f t="shared" si="9"/>
        <v>378</v>
      </c>
      <c r="U49" s="20">
        <f t="shared" si="9"/>
        <v>373</v>
      </c>
      <c r="V49" s="20">
        <f t="shared" si="9"/>
        <v>376</v>
      </c>
      <c r="W49" s="20">
        <f t="shared" si="9"/>
        <v>370</v>
      </c>
      <c r="X49" s="20">
        <f t="shared" si="9"/>
        <v>361</v>
      </c>
      <c r="Y49" s="20">
        <f t="shared" si="9"/>
        <v>275</v>
      </c>
      <c r="Z49" s="20">
        <f t="shared" si="9"/>
        <v>274</v>
      </c>
      <c r="AA49" s="20">
        <f t="shared" si="9"/>
        <v>246</v>
      </c>
      <c r="AB49" s="20">
        <f t="shared" si="9"/>
        <v>270</v>
      </c>
      <c r="AC49" s="20">
        <f t="shared" si="9"/>
        <v>397</v>
      </c>
      <c r="AD49" s="20">
        <f t="shared" si="9"/>
        <v>245</v>
      </c>
      <c r="AE49" s="20">
        <f t="shared" si="9"/>
        <v>45</v>
      </c>
      <c r="AF49" s="20">
        <f t="shared" si="9"/>
        <v>300</v>
      </c>
      <c r="AG49" s="20">
        <f t="shared" si="9"/>
        <v>232</v>
      </c>
      <c r="AH49" s="20">
        <f t="shared" si="9"/>
        <v>154</v>
      </c>
      <c r="AI49" s="21">
        <f t="shared" si="5"/>
        <v>9204</v>
      </c>
    </row>
    <row r="50" spans="1:37" ht="15" customHeight="1">
      <c r="A50" s="2"/>
      <c r="B50" s="2"/>
      <c r="C50" s="531" t="s">
        <v>22</v>
      </c>
      <c r="D50" s="501"/>
      <c r="E50" s="20">
        <f t="shared" ref="E50:AH50" si="10">E12-D12</f>
        <v>0</v>
      </c>
      <c r="F50" s="20">
        <f t="shared" si="10"/>
        <v>72</v>
      </c>
      <c r="G50" s="20">
        <f t="shared" si="10"/>
        <v>116</v>
      </c>
      <c r="H50" s="20">
        <f t="shared" si="10"/>
        <v>66</v>
      </c>
      <c r="I50" s="20">
        <f t="shared" si="10"/>
        <v>0</v>
      </c>
      <c r="J50" s="20">
        <f t="shared" si="10"/>
        <v>0</v>
      </c>
      <c r="K50" s="20">
        <f t="shared" si="10"/>
        <v>0</v>
      </c>
      <c r="L50" s="20">
        <f t="shared" si="10"/>
        <v>0</v>
      </c>
      <c r="M50" s="20">
        <f t="shared" si="10"/>
        <v>0</v>
      </c>
      <c r="N50" s="20">
        <f t="shared" si="10"/>
        <v>34</v>
      </c>
      <c r="O50" s="20">
        <f t="shared" si="10"/>
        <v>42</v>
      </c>
      <c r="P50" s="20">
        <f t="shared" si="10"/>
        <v>9</v>
      </c>
      <c r="Q50" s="20">
        <f t="shared" si="10"/>
        <v>91</v>
      </c>
      <c r="R50" s="20">
        <f t="shared" si="10"/>
        <v>0</v>
      </c>
      <c r="S50" s="20">
        <f t="shared" si="10"/>
        <v>0</v>
      </c>
      <c r="T50" s="20">
        <f t="shared" si="10"/>
        <v>0</v>
      </c>
      <c r="U50" s="20">
        <f t="shared" si="10"/>
        <v>0</v>
      </c>
      <c r="V50" s="20">
        <f t="shared" si="10"/>
        <v>0</v>
      </c>
      <c r="W50" s="20">
        <f t="shared" si="10"/>
        <v>0</v>
      </c>
      <c r="X50" s="20">
        <f t="shared" si="10"/>
        <v>0</v>
      </c>
      <c r="Y50" s="20">
        <f t="shared" si="10"/>
        <v>0</v>
      </c>
      <c r="Z50" s="20">
        <f t="shared" si="10"/>
        <v>0</v>
      </c>
      <c r="AA50" s="20">
        <f t="shared" si="10"/>
        <v>136</v>
      </c>
      <c r="AB50" s="20">
        <f t="shared" si="10"/>
        <v>105</v>
      </c>
      <c r="AC50" s="20">
        <f t="shared" si="10"/>
        <v>6</v>
      </c>
      <c r="AD50" s="20">
        <f t="shared" si="10"/>
        <v>122</v>
      </c>
      <c r="AE50" s="20">
        <f t="shared" si="10"/>
        <v>301</v>
      </c>
      <c r="AF50" s="20">
        <f t="shared" si="10"/>
        <v>0</v>
      </c>
      <c r="AG50" s="20">
        <f t="shared" si="10"/>
        <v>8</v>
      </c>
      <c r="AH50" s="20">
        <f t="shared" si="10"/>
        <v>0</v>
      </c>
      <c r="AI50" s="21">
        <f t="shared" si="5"/>
        <v>1108</v>
      </c>
    </row>
    <row r="51" spans="1:37" ht="15" customHeight="1">
      <c r="A51" s="2">
        <v>4</v>
      </c>
      <c r="B51" s="2" t="s">
        <v>129</v>
      </c>
      <c r="C51" s="503" t="s">
        <v>114</v>
      </c>
      <c r="D51" s="501"/>
      <c r="E51" s="20">
        <f t="shared" ref="E51:AH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0">
        <f t="shared" si="11"/>
        <v>0</v>
      </c>
      <c r="AH51" s="20">
        <f t="shared" si="11"/>
        <v>0</v>
      </c>
      <c r="AI51" s="21">
        <f t="shared" si="5"/>
        <v>0</v>
      </c>
    </row>
    <row r="52" spans="1:37" ht="15" customHeight="1">
      <c r="A52" s="2"/>
      <c r="B52" s="2"/>
      <c r="C52" s="531" t="s">
        <v>22</v>
      </c>
      <c r="D52" s="501"/>
      <c r="E52" s="20">
        <f t="shared" ref="E52:AH52" si="12">E14-D14</f>
        <v>0</v>
      </c>
      <c r="F52" s="20">
        <f t="shared" si="12"/>
        <v>0</v>
      </c>
      <c r="G52" s="20">
        <f t="shared" si="12"/>
        <v>0</v>
      </c>
      <c r="H52" s="20">
        <f t="shared" si="12"/>
        <v>0</v>
      </c>
      <c r="I52" s="20">
        <f t="shared" si="12"/>
        <v>0</v>
      </c>
      <c r="J52" s="20">
        <f t="shared" si="12"/>
        <v>0</v>
      </c>
      <c r="K52" s="20">
        <f t="shared" si="12"/>
        <v>0</v>
      </c>
      <c r="L52" s="20">
        <f t="shared" si="12"/>
        <v>0</v>
      </c>
      <c r="M52" s="20">
        <f t="shared" si="12"/>
        <v>0</v>
      </c>
      <c r="N52" s="20">
        <f t="shared" si="12"/>
        <v>0</v>
      </c>
      <c r="O52" s="20">
        <f t="shared" si="12"/>
        <v>0</v>
      </c>
      <c r="P52" s="20">
        <f t="shared" si="12"/>
        <v>0</v>
      </c>
      <c r="Q52" s="20">
        <f t="shared" si="12"/>
        <v>0</v>
      </c>
      <c r="R52" s="20">
        <f t="shared" si="12"/>
        <v>0</v>
      </c>
      <c r="S52" s="20">
        <f t="shared" si="12"/>
        <v>0</v>
      </c>
      <c r="T52" s="20">
        <f t="shared" si="12"/>
        <v>0</v>
      </c>
      <c r="U52" s="20">
        <f t="shared" si="12"/>
        <v>0</v>
      </c>
      <c r="V52" s="20">
        <f t="shared" si="12"/>
        <v>0</v>
      </c>
      <c r="W52" s="20">
        <f t="shared" si="12"/>
        <v>0</v>
      </c>
      <c r="X52" s="20">
        <f t="shared" si="12"/>
        <v>0</v>
      </c>
      <c r="Y52" s="20">
        <f t="shared" si="12"/>
        <v>0</v>
      </c>
      <c r="Z52" s="20">
        <f t="shared" si="12"/>
        <v>0</v>
      </c>
      <c r="AA52" s="20">
        <f t="shared" si="12"/>
        <v>0</v>
      </c>
      <c r="AB52" s="20">
        <f t="shared" si="12"/>
        <v>0</v>
      </c>
      <c r="AC52" s="20">
        <f t="shared" si="12"/>
        <v>0</v>
      </c>
      <c r="AD52" s="20">
        <f t="shared" si="12"/>
        <v>0</v>
      </c>
      <c r="AE52" s="20">
        <f t="shared" si="12"/>
        <v>0</v>
      </c>
      <c r="AF52" s="20">
        <f t="shared" si="12"/>
        <v>0</v>
      </c>
      <c r="AG52" s="20">
        <f t="shared" si="12"/>
        <v>0</v>
      </c>
      <c r="AH52" s="20">
        <f t="shared" si="12"/>
        <v>0</v>
      </c>
      <c r="AI52" s="21">
        <f t="shared" si="5"/>
        <v>0</v>
      </c>
    </row>
    <row r="53" spans="1:37" ht="15" customHeight="1">
      <c r="A53" s="2">
        <v>5</v>
      </c>
      <c r="B53" s="2" t="s">
        <v>129</v>
      </c>
      <c r="C53" s="503" t="s">
        <v>115</v>
      </c>
      <c r="D53" s="501"/>
      <c r="E53" s="20">
        <f t="shared" ref="E53:AH53" si="13">E15-D15</f>
        <v>166</v>
      </c>
      <c r="F53" s="20">
        <f t="shared" si="13"/>
        <v>179</v>
      </c>
      <c r="G53" s="20">
        <f t="shared" si="13"/>
        <v>134</v>
      </c>
      <c r="H53" s="20">
        <f t="shared" si="13"/>
        <v>156</v>
      </c>
      <c r="I53" s="20">
        <f t="shared" si="13"/>
        <v>201</v>
      </c>
      <c r="J53" s="20">
        <f t="shared" si="13"/>
        <v>172</v>
      </c>
      <c r="K53" s="20">
        <f t="shared" si="13"/>
        <v>106</v>
      </c>
      <c r="L53" s="20">
        <f t="shared" si="13"/>
        <v>106</v>
      </c>
      <c r="M53" s="20">
        <f t="shared" si="13"/>
        <v>189</v>
      </c>
      <c r="N53" s="20">
        <f t="shared" si="13"/>
        <v>179</v>
      </c>
      <c r="O53" s="20">
        <f t="shared" si="13"/>
        <v>164</v>
      </c>
      <c r="P53" s="20">
        <f t="shared" si="13"/>
        <v>201</v>
      </c>
      <c r="Q53" s="20">
        <f t="shared" si="13"/>
        <v>140</v>
      </c>
      <c r="R53" s="20">
        <f t="shared" si="13"/>
        <v>103</v>
      </c>
      <c r="S53" s="20">
        <f t="shared" si="13"/>
        <v>105</v>
      </c>
      <c r="T53" s="20">
        <f t="shared" si="13"/>
        <v>208</v>
      </c>
      <c r="U53" s="20">
        <f t="shared" si="13"/>
        <v>202</v>
      </c>
      <c r="V53" s="20">
        <f t="shared" si="13"/>
        <v>193</v>
      </c>
      <c r="W53" s="20">
        <f t="shared" si="13"/>
        <v>196</v>
      </c>
      <c r="X53" s="20">
        <f t="shared" si="13"/>
        <v>191</v>
      </c>
      <c r="Y53" s="20">
        <f t="shared" si="13"/>
        <v>103</v>
      </c>
      <c r="Z53" s="20">
        <f t="shared" si="13"/>
        <v>110</v>
      </c>
      <c r="AA53" s="20">
        <f t="shared" si="13"/>
        <v>134</v>
      </c>
      <c r="AB53" s="20">
        <f t="shared" si="13"/>
        <v>143</v>
      </c>
      <c r="AC53" s="20">
        <f t="shared" si="13"/>
        <v>205</v>
      </c>
      <c r="AD53" s="20">
        <f t="shared" si="13"/>
        <v>125</v>
      </c>
      <c r="AE53" s="20">
        <f t="shared" si="13"/>
        <v>20</v>
      </c>
      <c r="AF53" s="20">
        <f t="shared" si="13"/>
        <v>125</v>
      </c>
      <c r="AG53" s="20">
        <f t="shared" si="13"/>
        <v>117</v>
      </c>
      <c r="AH53" s="20">
        <f t="shared" si="13"/>
        <v>92</v>
      </c>
      <c r="AI53" s="21">
        <f t="shared" si="5"/>
        <v>4465</v>
      </c>
    </row>
    <row r="54" spans="1:37" ht="15" customHeight="1">
      <c r="A54" s="2"/>
      <c r="B54" s="2"/>
      <c r="C54" s="531" t="s">
        <v>22</v>
      </c>
      <c r="D54" s="501"/>
      <c r="E54" s="20">
        <f t="shared" ref="E54:AH54" si="14">E16-D16</f>
        <v>0</v>
      </c>
      <c r="F54" s="20">
        <f t="shared" si="14"/>
        <v>39</v>
      </c>
      <c r="G54" s="20">
        <f t="shared" si="14"/>
        <v>51</v>
      </c>
      <c r="H54" s="20">
        <f t="shared" si="14"/>
        <v>40</v>
      </c>
      <c r="I54" s="20">
        <f t="shared" si="14"/>
        <v>0</v>
      </c>
      <c r="J54" s="20">
        <f t="shared" si="14"/>
        <v>0</v>
      </c>
      <c r="K54" s="20">
        <f t="shared" si="14"/>
        <v>0</v>
      </c>
      <c r="L54" s="20">
        <f t="shared" si="14"/>
        <v>0</v>
      </c>
      <c r="M54" s="20">
        <f t="shared" si="14"/>
        <v>0</v>
      </c>
      <c r="N54" s="20">
        <f t="shared" si="14"/>
        <v>14</v>
      </c>
      <c r="O54" s="20">
        <f t="shared" si="14"/>
        <v>22</v>
      </c>
      <c r="P54" s="20">
        <f t="shared" si="14"/>
        <v>4</v>
      </c>
      <c r="Q54" s="20">
        <f t="shared" si="14"/>
        <v>48</v>
      </c>
      <c r="R54" s="20">
        <f t="shared" si="14"/>
        <v>0</v>
      </c>
      <c r="S54" s="20">
        <f t="shared" si="14"/>
        <v>0</v>
      </c>
      <c r="T54" s="20">
        <f t="shared" si="14"/>
        <v>0</v>
      </c>
      <c r="U54" s="20">
        <f t="shared" si="14"/>
        <v>0</v>
      </c>
      <c r="V54" s="20">
        <f t="shared" si="14"/>
        <v>0</v>
      </c>
      <c r="W54" s="20">
        <f t="shared" si="14"/>
        <v>0</v>
      </c>
      <c r="X54" s="20">
        <f t="shared" si="14"/>
        <v>0</v>
      </c>
      <c r="Y54" s="20">
        <f t="shared" si="14"/>
        <v>0</v>
      </c>
      <c r="Z54" s="20">
        <f t="shared" si="14"/>
        <v>0</v>
      </c>
      <c r="AA54" s="20">
        <f t="shared" si="14"/>
        <v>77</v>
      </c>
      <c r="AB54" s="20">
        <f t="shared" si="14"/>
        <v>62</v>
      </c>
      <c r="AC54" s="20">
        <f t="shared" si="14"/>
        <v>3</v>
      </c>
      <c r="AD54" s="20">
        <f t="shared" si="14"/>
        <v>71</v>
      </c>
      <c r="AE54" s="20">
        <f t="shared" si="14"/>
        <v>165</v>
      </c>
      <c r="AF54" s="20">
        <f t="shared" si="14"/>
        <v>0</v>
      </c>
      <c r="AG54" s="20">
        <f t="shared" si="14"/>
        <v>4</v>
      </c>
      <c r="AH54" s="20">
        <f t="shared" si="14"/>
        <v>0</v>
      </c>
      <c r="AI54" s="105">
        <f t="shared" si="5"/>
        <v>600</v>
      </c>
    </row>
    <row r="55" spans="1:37" ht="15" customHeight="1">
      <c r="A55" s="2">
        <v>6</v>
      </c>
      <c r="B55" s="2" t="s">
        <v>129</v>
      </c>
      <c r="C55" s="503" t="s">
        <v>116</v>
      </c>
      <c r="D55" s="501"/>
      <c r="E55" s="20">
        <f t="shared" ref="E55:AH55" si="15">E17-D17</f>
        <v>144</v>
      </c>
      <c r="F55" s="20">
        <f t="shared" si="15"/>
        <v>202</v>
      </c>
      <c r="G55" s="20">
        <f t="shared" si="15"/>
        <v>160</v>
      </c>
      <c r="H55" s="20">
        <f t="shared" si="15"/>
        <v>200</v>
      </c>
      <c r="I55" s="20">
        <f t="shared" si="15"/>
        <v>210</v>
      </c>
      <c r="J55" s="20">
        <f t="shared" si="15"/>
        <v>205</v>
      </c>
      <c r="K55" s="20">
        <f t="shared" si="15"/>
        <v>132</v>
      </c>
      <c r="L55" s="20">
        <f t="shared" si="15"/>
        <v>122</v>
      </c>
      <c r="M55" s="20">
        <f t="shared" si="15"/>
        <v>242</v>
      </c>
      <c r="N55" s="20">
        <f t="shared" si="15"/>
        <v>195</v>
      </c>
      <c r="O55" s="20">
        <f t="shared" si="15"/>
        <v>187</v>
      </c>
      <c r="P55" s="20">
        <f t="shared" si="15"/>
        <v>203</v>
      </c>
      <c r="Q55" s="20">
        <f t="shared" si="15"/>
        <v>141</v>
      </c>
      <c r="R55" s="20">
        <f t="shared" si="15"/>
        <v>89</v>
      </c>
      <c r="S55" s="20">
        <f t="shared" si="15"/>
        <v>112</v>
      </c>
      <c r="T55" s="20">
        <f t="shared" si="15"/>
        <v>219</v>
      </c>
      <c r="U55" s="20">
        <f t="shared" si="15"/>
        <v>228</v>
      </c>
      <c r="V55" s="20">
        <f t="shared" si="15"/>
        <v>214</v>
      </c>
      <c r="W55" s="20">
        <f t="shared" si="15"/>
        <v>229</v>
      </c>
      <c r="X55" s="20">
        <f t="shared" si="15"/>
        <v>197</v>
      </c>
      <c r="Y55" s="20">
        <f t="shared" si="15"/>
        <v>120</v>
      </c>
      <c r="Z55" s="20">
        <f t="shared" si="15"/>
        <v>112</v>
      </c>
      <c r="AA55" s="20">
        <f t="shared" si="15"/>
        <v>153</v>
      </c>
      <c r="AB55" s="20">
        <f t="shared" si="15"/>
        <v>152</v>
      </c>
      <c r="AC55" s="20">
        <f t="shared" si="15"/>
        <v>262</v>
      </c>
      <c r="AD55" s="20">
        <f t="shared" si="15"/>
        <v>147</v>
      </c>
      <c r="AE55" s="20">
        <f t="shared" si="15"/>
        <v>16</v>
      </c>
      <c r="AF55" s="20">
        <f t="shared" si="15"/>
        <v>99</v>
      </c>
      <c r="AG55" s="20">
        <f t="shared" si="15"/>
        <v>112</v>
      </c>
      <c r="AH55" s="20">
        <f t="shared" si="15"/>
        <v>79</v>
      </c>
      <c r="AI55" s="105">
        <f t="shared" si="5"/>
        <v>4883</v>
      </c>
      <c r="AJ55" s="115" t="s">
        <v>20</v>
      </c>
      <c r="AK55" s="116">
        <f>AI61</f>
        <v>45860</v>
      </c>
    </row>
    <row r="56" spans="1:37" ht="15" customHeight="1">
      <c r="A56" s="2"/>
      <c r="B56" s="2"/>
      <c r="C56" s="531" t="s">
        <v>22</v>
      </c>
      <c r="D56" s="501"/>
      <c r="E56" s="20">
        <f t="shared" ref="E56:AH56" si="16">E18-D18</f>
        <v>0</v>
      </c>
      <c r="F56" s="20">
        <f t="shared" si="16"/>
        <v>42</v>
      </c>
      <c r="G56" s="20">
        <f t="shared" si="16"/>
        <v>55</v>
      </c>
      <c r="H56" s="20">
        <f t="shared" si="16"/>
        <v>45</v>
      </c>
      <c r="I56" s="20">
        <f t="shared" si="16"/>
        <v>0</v>
      </c>
      <c r="J56" s="20">
        <f t="shared" si="16"/>
        <v>0</v>
      </c>
      <c r="K56" s="20">
        <f t="shared" si="16"/>
        <v>0</v>
      </c>
      <c r="L56" s="20">
        <f t="shared" si="16"/>
        <v>0</v>
      </c>
      <c r="M56" s="20">
        <f t="shared" si="16"/>
        <v>0</v>
      </c>
      <c r="N56" s="20">
        <f t="shared" si="16"/>
        <v>21</v>
      </c>
      <c r="O56" s="20">
        <f t="shared" si="16"/>
        <v>33</v>
      </c>
      <c r="P56" s="20">
        <f t="shared" si="16"/>
        <v>3</v>
      </c>
      <c r="Q56" s="20">
        <f t="shared" si="16"/>
        <v>56</v>
      </c>
      <c r="R56" s="20">
        <f t="shared" si="16"/>
        <v>0</v>
      </c>
      <c r="S56" s="20">
        <f t="shared" si="16"/>
        <v>0</v>
      </c>
      <c r="T56" s="20">
        <f t="shared" si="16"/>
        <v>0</v>
      </c>
      <c r="U56" s="20">
        <f t="shared" si="16"/>
        <v>0</v>
      </c>
      <c r="V56" s="20">
        <f t="shared" si="16"/>
        <v>0</v>
      </c>
      <c r="W56" s="20">
        <f t="shared" si="16"/>
        <v>0</v>
      </c>
      <c r="X56" s="20">
        <f t="shared" si="16"/>
        <v>0</v>
      </c>
      <c r="Y56" s="20">
        <f t="shared" si="16"/>
        <v>0</v>
      </c>
      <c r="Z56" s="20">
        <f t="shared" si="16"/>
        <v>0</v>
      </c>
      <c r="AA56" s="20">
        <f t="shared" si="16"/>
        <v>100</v>
      </c>
      <c r="AB56" s="20">
        <f t="shared" si="16"/>
        <v>41</v>
      </c>
      <c r="AC56" s="20">
        <f t="shared" si="16"/>
        <v>38</v>
      </c>
      <c r="AD56" s="20">
        <f t="shared" si="16"/>
        <v>90</v>
      </c>
      <c r="AE56" s="20">
        <f t="shared" si="16"/>
        <v>207</v>
      </c>
      <c r="AF56" s="20">
        <f t="shared" si="16"/>
        <v>0</v>
      </c>
      <c r="AG56" s="20">
        <f t="shared" si="16"/>
        <v>2</v>
      </c>
      <c r="AH56" s="20">
        <f t="shared" si="16"/>
        <v>0</v>
      </c>
      <c r="AI56" s="105">
        <f t="shared" si="5"/>
        <v>733</v>
      </c>
      <c r="AJ56" s="115" t="s">
        <v>21</v>
      </c>
      <c r="AK56" s="116">
        <f>AI74</f>
        <v>7691</v>
      </c>
    </row>
    <row r="57" spans="1:37" ht="15" customHeight="1">
      <c r="A57" s="2">
        <v>7</v>
      </c>
      <c r="B57" s="2" t="s">
        <v>129</v>
      </c>
      <c r="C57" s="503" t="s">
        <v>117</v>
      </c>
      <c r="D57" s="501"/>
      <c r="E57" s="20">
        <f t="shared" ref="E57:AH57" si="17">E19-D19</f>
        <v>992</v>
      </c>
      <c r="F57" s="20">
        <f t="shared" si="17"/>
        <v>652</v>
      </c>
      <c r="G57" s="20">
        <f t="shared" si="17"/>
        <v>630</v>
      </c>
      <c r="H57" s="20">
        <f t="shared" si="17"/>
        <v>525</v>
      </c>
      <c r="I57" s="20">
        <f t="shared" si="17"/>
        <v>693</v>
      </c>
      <c r="J57" s="20">
        <f t="shared" si="17"/>
        <v>647</v>
      </c>
      <c r="K57" s="20">
        <f t="shared" si="17"/>
        <v>602</v>
      </c>
      <c r="L57" s="20">
        <f t="shared" si="17"/>
        <v>459</v>
      </c>
      <c r="M57" s="20">
        <f t="shared" si="17"/>
        <v>723</v>
      </c>
      <c r="N57" s="20">
        <f t="shared" si="17"/>
        <v>642</v>
      </c>
      <c r="O57" s="20">
        <f t="shared" si="17"/>
        <v>623</v>
      </c>
      <c r="P57" s="20">
        <f t="shared" si="17"/>
        <v>693</v>
      </c>
      <c r="Q57" s="20">
        <f t="shared" si="17"/>
        <v>569</v>
      </c>
      <c r="R57" s="20">
        <f t="shared" si="17"/>
        <v>443</v>
      </c>
      <c r="S57" s="20">
        <f t="shared" si="17"/>
        <v>341</v>
      </c>
      <c r="T57" s="20">
        <f t="shared" si="17"/>
        <v>666</v>
      </c>
      <c r="U57" s="20">
        <f t="shared" si="17"/>
        <v>639</v>
      </c>
      <c r="V57" s="20">
        <f t="shared" si="17"/>
        <v>666</v>
      </c>
      <c r="W57" s="20">
        <f t="shared" si="17"/>
        <v>680</v>
      </c>
      <c r="X57" s="20">
        <f t="shared" si="17"/>
        <v>660</v>
      </c>
      <c r="Y57" s="20">
        <f t="shared" si="17"/>
        <v>430</v>
      </c>
      <c r="Z57" s="20">
        <f t="shared" si="17"/>
        <v>353</v>
      </c>
      <c r="AA57" s="20">
        <f t="shared" si="17"/>
        <v>452</v>
      </c>
      <c r="AB57" s="20">
        <f t="shared" si="17"/>
        <v>496</v>
      </c>
      <c r="AC57" s="20">
        <f t="shared" si="17"/>
        <v>692</v>
      </c>
      <c r="AD57" s="20">
        <f t="shared" si="17"/>
        <v>428</v>
      </c>
      <c r="AE57" s="20">
        <f t="shared" si="17"/>
        <v>95</v>
      </c>
      <c r="AF57" s="20">
        <f t="shared" si="17"/>
        <v>413</v>
      </c>
      <c r="AG57" s="20">
        <f t="shared" si="17"/>
        <v>332</v>
      </c>
      <c r="AH57" s="20">
        <f t="shared" si="17"/>
        <v>307</v>
      </c>
      <c r="AI57" s="21">
        <f t="shared" si="5"/>
        <v>16543</v>
      </c>
      <c r="AJ57" s="116" t="s">
        <v>23</v>
      </c>
      <c r="AK57" s="115">
        <f>AI80/2</f>
        <v>43053.5</v>
      </c>
    </row>
    <row r="58" spans="1:37" ht="15" customHeight="1">
      <c r="A58" s="2"/>
      <c r="B58" s="2"/>
      <c r="C58" s="531" t="s">
        <v>22</v>
      </c>
      <c r="D58" s="501"/>
      <c r="E58" s="20">
        <f t="shared" ref="E58:AH58" si="18">E20-D20</f>
        <v>0</v>
      </c>
      <c r="F58" s="20">
        <f t="shared" si="18"/>
        <v>113</v>
      </c>
      <c r="G58" s="20">
        <f t="shared" si="18"/>
        <v>182</v>
      </c>
      <c r="H58" s="20">
        <f t="shared" si="18"/>
        <v>144</v>
      </c>
      <c r="I58" s="20">
        <f t="shared" si="18"/>
        <v>0</v>
      </c>
      <c r="J58" s="20">
        <f t="shared" si="18"/>
        <v>0</v>
      </c>
      <c r="K58" s="20">
        <f t="shared" si="18"/>
        <v>0</v>
      </c>
      <c r="L58" s="20">
        <f t="shared" si="18"/>
        <v>0</v>
      </c>
      <c r="M58" s="20">
        <f t="shared" si="18"/>
        <v>0</v>
      </c>
      <c r="N58" s="20">
        <f t="shared" si="18"/>
        <v>53</v>
      </c>
      <c r="O58" s="20">
        <f t="shared" si="18"/>
        <v>73</v>
      </c>
      <c r="P58" s="20">
        <f t="shared" si="18"/>
        <v>25</v>
      </c>
      <c r="Q58" s="20">
        <f t="shared" si="18"/>
        <v>140</v>
      </c>
      <c r="R58" s="20">
        <f t="shared" si="18"/>
        <v>0</v>
      </c>
      <c r="S58" s="20">
        <f t="shared" si="18"/>
        <v>0</v>
      </c>
      <c r="T58" s="20">
        <f t="shared" si="18"/>
        <v>0</v>
      </c>
      <c r="U58" s="20">
        <f t="shared" si="18"/>
        <v>0</v>
      </c>
      <c r="V58" s="20">
        <f t="shared" si="18"/>
        <v>0</v>
      </c>
      <c r="W58" s="20">
        <f t="shared" si="18"/>
        <v>0</v>
      </c>
      <c r="X58" s="20">
        <f t="shared" si="18"/>
        <v>0</v>
      </c>
      <c r="Y58" s="20">
        <f t="shared" si="18"/>
        <v>0</v>
      </c>
      <c r="Z58" s="20">
        <f t="shared" si="18"/>
        <v>0</v>
      </c>
      <c r="AA58" s="20">
        <f t="shared" si="18"/>
        <v>223</v>
      </c>
      <c r="AB58" s="20">
        <f t="shared" si="18"/>
        <v>181</v>
      </c>
      <c r="AC58" s="20">
        <f t="shared" si="18"/>
        <v>16</v>
      </c>
      <c r="AD58" s="20">
        <f t="shared" si="18"/>
        <v>235</v>
      </c>
      <c r="AE58" s="20">
        <f t="shared" si="18"/>
        <v>557</v>
      </c>
      <c r="AF58" s="20">
        <f t="shared" si="18"/>
        <v>0</v>
      </c>
      <c r="AG58" s="20">
        <f t="shared" si="18"/>
        <v>21</v>
      </c>
      <c r="AH58" s="20">
        <f t="shared" si="18"/>
        <v>0</v>
      </c>
      <c r="AI58" s="21">
        <f t="shared" si="5"/>
        <v>1963</v>
      </c>
      <c r="AJ58" s="115" t="s">
        <v>22</v>
      </c>
      <c r="AK58" s="116">
        <f>AI62+AI75</f>
        <v>6896</v>
      </c>
    </row>
    <row r="59" spans="1:37" ht="15" customHeight="1">
      <c r="A59" s="2">
        <v>8</v>
      </c>
      <c r="B59" s="2" t="s">
        <v>129</v>
      </c>
      <c r="C59" s="503" t="s">
        <v>118</v>
      </c>
      <c r="D59" s="501"/>
      <c r="E59" s="20">
        <f t="shared" ref="E59:AH59" si="19">E21-D21</f>
        <v>338</v>
      </c>
      <c r="F59" s="20">
        <f t="shared" si="19"/>
        <v>150</v>
      </c>
      <c r="G59" s="20">
        <f t="shared" si="19"/>
        <v>175</v>
      </c>
      <c r="H59" s="20">
        <f t="shared" si="19"/>
        <v>83</v>
      </c>
      <c r="I59" s="20">
        <f t="shared" si="19"/>
        <v>141</v>
      </c>
      <c r="J59" s="20">
        <f t="shared" si="19"/>
        <v>140</v>
      </c>
      <c r="K59" s="20">
        <f t="shared" si="19"/>
        <v>119</v>
      </c>
      <c r="L59" s="20">
        <f t="shared" si="19"/>
        <v>144</v>
      </c>
      <c r="M59" s="20">
        <f t="shared" si="19"/>
        <v>131</v>
      </c>
      <c r="N59" s="20">
        <f t="shared" si="19"/>
        <v>142</v>
      </c>
      <c r="O59" s="20">
        <f t="shared" si="19"/>
        <v>127</v>
      </c>
      <c r="P59" s="20">
        <f t="shared" si="19"/>
        <v>174</v>
      </c>
      <c r="Q59" s="20">
        <f t="shared" si="19"/>
        <v>121</v>
      </c>
      <c r="R59" s="20">
        <f t="shared" si="19"/>
        <v>132</v>
      </c>
      <c r="S59" s="20">
        <f t="shared" si="19"/>
        <v>131</v>
      </c>
      <c r="T59" s="20">
        <f t="shared" si="19"/>
        <v>161</v>
      </c>
      <c r="U59" s="20">
        <f t="shared" si="19"/>
        <v>126</v>
      </c>
      <c r="V59" s="20">
        <f t="shared" si="19"/>
        <v>159</v>
      </c>
      <c r="W59" s="20">
        <f t="shared" si="19"/>
        <v>114</v>
      </c>
      <c r="X59" s="20">
        <f t="shared" si="19"/>
        <v>160</v>
      </c>
      <c r="Y59" s="20">
        <f t="shared" si="19"/>
        <v>120</v>
      </c>
      <c r="Z59" s="20">
        <f t="shared" si="19"/>
        <v>156</v>
      </c>
      <c r="AA59" s="20">
        <f t="shared" si="19"/>
        <v>106</v>
      </c>
      <c r="AB59" s="20">
        <f t="shared" si="19"/>
        <v>141</v>
      </c>
      <c r="AC59" s="20">
        <f t="shared" si="19"/>
        <v>108</v>
      </c>
      <c r="AD59" s="20">
        <f t="shared" si="19"/>
        <v>114</v>
      </c>
      <c r="AE59" s="20">
        <f t="shared" si="19"/>
        <v>35</v>
      </c>
      <c r="AF59" s="20">
        <f t="shared" si="19"/>
        <v>144</v>
      </c>
      <c r="AG59" s="20">
        <f t="shared" si="19"/>
        <v>113</v>
      </c>
      <c r="AH59" s="20">
        <f t="shared" si="19"/>
        <v>119</v>
      </c>
      <c r="AI59" s="105">
        <f t="shared" si="5"/>
        <v>4124</v>
      </c>
    </row>
    <row r="60" spans="1:37" ht="15" customHeight="1">
      <c r="A60" s="2"/>
      <c r="B60" s="2"/>
      <c r="C60" s="531" t="s">
        <v>22</v>
      </c>
      <c r="D60" s="501"/>
      <c r="E60" s="20">
        <f t="shared" ref="E60:AH60" si="20">E22-D22</f>
        <v>0</v>
      </c>
      <c r="F60" s="20">
        <f t="shared" si="20"/>
        <v>25</v>
      </c>
      <c r="G60" s="20">
        <f t="shared" si="20"/>
        <v>42</v>
      </c>
      <c r="H60" s="20">
        <f t="shared" si="20"/>
        <v>10</v>
      </c>
      <c r="I60" s="20">
        <f t="shared" si="20"/>
        <v>0</v>
      </c>
      <c r="J60" s="20">
        <f t="shared" si="20"/>
        <v>0</v>
      </c>
      <c r="K60" s="20">
        <f t="shared" si="20"/>
        <v>0</v>
      </c>
      <c r="L60" s="20">
        <f t="shared" si="20"/>
        <v>0</v>
      </c>
      <c r="M60" s="20">
        <f t="shared" si="20"/>
        <v>0</v>
      </c>
      <c r="N60" s="20">
        <f t="shared" si="20"/>
        <v>13</v>
      </c>
      <c r="O60" s="20">
        <f t="shared" si="20"/>
        <v>10</v>
      </c>
      <c r="P60" s="20">
        <f t="shared" si="20"/>
        <v>2</v>
      </c>
      <c r="Q60" s="20">
        <f t="shared" si="20"/>
        <v>21</v>
      </c>
      <c r="R60" s="20">
        <f t="shared" si="20"/>
        <v>0</v>
      </c>
      <c r="S60" s="20">
        <f t="shared" si="20"/>
        <v>0</v>
      </c>
      <c r="T60" s="20">
        <f t="shared" si="20"/>
        <v>0</v>
      </c>
      <c r="U60" s="20">
        <f t="shared" si="20"/>
        <v>0</v>
      </c>
      <c r="V60" s="20">
        <f t="shared" si="20"/>
        <v>0</v>
      </c>
      <c r="W60" s="20">
        <f t="shared" si="20"/>
        <v>0</v>
      </c>
      <c r="X60" s="20">
        <f t="shared" si="20"/>
        <v>0</v>
      </c>
      <c r="Y60" s="20">
        <f t="shared" si="20"/>
        <v>0</v>
      </c>
      <c r="Z60" s="20">
        <f t="shared" si="20"/>
        <v>0</v>
      </c>
      <c r="AA60" s="20">
        <f t="shared" si="20"/>
        <v>33</v>
      </c>
      <c r="AB60" s="20">
        <f t="shared" si="20"/>
        <v>21</v>
      </c>
      <c r="AC60" s="20">
        <f t="shared" si="20"/>
        <v>4</v>
      </c>
      <c r="AD60" s="20">
        <f t="shared" si="20"/>
        <v>18</v>
      </c>
      <c r="AE60" s="20">
        <f t="shared" si="20"/>
        <v>99</v>
      </c>
      <c r="AF60" s="20">
        <f t="shared" si="20"/>
        <v>0</v>
      </c>
      <c r="AG60" s="20">
        <f t="shared" si="20"/>
        <v>5</v>
      </c>
      <c r="AH60" s="20">
        <f t="shared" si="20"/>
        <v>0</v>
      </c>
      <c r="AI60" s="105">
        <f t="shared" si="5"/>
        <v>303</v>
      </c>
    </row>
    <row r="61" spans="1:37" ht="15" customHeight="1">
      <c r="A61" s="99"/>
      <c r="B61" s="99"/>
      <c r="C61" s="500" t="s">
        <v>130</v>
      </c>
      <c r="D61" s="501"/>
      <c r="E61" s="23">
        <f t="shared" ref="E61:AH61" si="21">SUM(E59,E57,E55,E53,E51,E49,E47,E45)</f>
        <v>2410</v>
      </c>
      <c r="F61" s="23">
        <f t="shared" si="21"/>
        <v>1731</v>
      </c>
      <c r="G61" s="23">
        <f t="shared" si="21"/>
        <v>1608</v>
      </c>
      <c r="H61" s="23">
        <f t="shared" si="21"/>
        <v>1493</v>
      </c>
      <c r="I61" s="23">
        <f t="shared" si="21"/>
        <v>1892</v>
      </c>
      <c r="J61" s="23">
        <f t="shared" si="21"/>
        <v>1706</v>
      </c>
      <c r="K61" s="23">
        <f t="shared" si="21"/>
        <v>1497</v>
      </c>
      <c r="L61" s="23">
        <f t="shared" si="21"/>
        <v>1347</v>
      </c>
      <c r="M61" s="23">
        <f t="shared" si="21"/>
        <v>1928</v>
      </c>
      <c r="N61" s="23">
        <f t="shared" si="21"/>
        <v>1744</v>
      </c>
      <c r="O61" s="23">
        <f t="shared" si="21"/>
        <v>1662</v>
      </c>
      <c r="P61" s="23">
        <f t="shared" si="21"/>
        <v>1898</v>
      </c>
      <c r="Q61" s="23">
        <f t="shared" si="21"/>
        <v>1427</v>
      </c>
      <c r="R61" s="23">
        <f t="shared" si="21"/>
        <v>1232</v>
      </c>
      <c r="S61" s="23">
        <f t="shared" si="21"/>
        <v>1190</v>
      </c>
      <c r="T61" s="23">
        <f t="shared" si="21"/>
        <v>1895</v>
      </c>
      <c r="U61" s="23">
        <f t="shared" si="21"/>
        <v>1829</v>
      </c>
      <c r="V61" s="23">
        <f t="shared" si="21"/>
        <v>1871</v>
      </c>
      <c r="W61" s="23">
        <f t="shared" si="21"/>
        <v>1847</v>
      </c>
      <c r="X61" s="23">
        <f t="shared" si="21"/>
        <v>1824</v>
      </c>
      <c r="Y61" s="23">
        <f t="shared" si="21"/>
        <v>1259</v>
      </c>
      <c r="Z61" s="23">
        <f t="shared" si="21"/>
        <v>1215</v>
      </c>
      <c r="AA61" s="23">
        <f t="shared" si="21"/>
        <v>1271</v>
      </c>
      <c r="AB61" s="23">
        <f t="shared" si="21"/>
        <v>1395</v>
      </c>
      <c r="AC61" s="23">
        <f t="shared" si="21"/>
        <v>1939</v>
      </c>
      <c r="AD61" s="23">
        <f t="shared" si="21"/>
        <v>1233</v>
      </c>
      <c r="AE61" s="23">
        <f t="shared" si="21"/>
        <v>245</v>
      </c>
      <c r="AF61" s="23">
        <f t="shared" si="21"/>
        <v>1283</v>
      </c>
      <c r="AG61" s="23">
        <f t="shared" si="21"/>
        <v>1112</v>
      </c>
      <c r="AH61" s="23">
        <f t="shared" si="21"/>
        <v>877</v>
      </c>
      <c r="AI61" s="111">
        <f t="shared" si="5"/>
        <v>45860</v>
      </c>
    </row>
    <row r="62" spans="1:37" ht="15" customHeight="1">
      <c r="A62" s="99"/>
      <c r="B62" s="99"/>
      <c r="C62" s="63" t="s">
        <v>131</v>
      </c>
      <c r="D62" s="108"/>
      <c r="E62" s="23">
        <f t="shared" ref="E62:AH62" si="22">SUM(E46,E48,E50,E52,E54,E56,E58,E60)</f>
        <v>0</v>
      </c>
      <c r="F62" s="23">
        <f t="shared" si="22"/>
        <v>336</v>
      </c>
      <c r="G62" s="23">
        <f t="shared" si="22"/>
        <v>519</v>
      </c>
      <c r="H62" s="23">
        <f t="shared" si="22"/>
        <v>350</v>
      </c>
      <c r="I62" s="23">
        <f t="shared" si="22"/>
        <v>0</v>
      </c>
      <c r="J62" s="23">
        <f t="shared" si="22"/>
        <v>0</v>
      </c>
      <c r="K62" s="23">
        <f t="shared" si="22"/>
        <v>0</v>
      </c>
      <c r="L62" s="23">
        <f t="shared" si="22"/>
        <v>0</v>
      </c>
      <c r="M62" s="23">
        <f t="shared" si="22"/>
        <v>0</v>
      </c>
      <c r="N62" s="23">
        <f t="shared" si="22"/>
        <v>156</v>
      </c>
      <c r="O62" s="23">
        <f t="shared" si="22"/>
        <v>207</v>
      </c>
      <c r="P62" s="23">
        <f t="shared" si="22"/>
        <v>50</v>
      </c>
      <c r="Q62" s="23">
        <f t="shared" si="22"/>
        <v>419</v>
      </c>
      <c r="R62" s="23">
        <f t="shared" si="22"/>
        <v>0</v>
      </c>
      <c r="S62" s="23">
        <f t="shared" si="22"/>
        <v>0</v>
      </c>
      <c r="T62" s="23">
        <f t="shared" si="22"/>
        <v>0</v>
      </c>
      <c r="U62" s="23">
        <f t="shared" si="22"/>
        <v>0</v>
      </c>
      <c r="V62" s="23">
        <f t="shared" si="22"/>
        <v>0</v>
      </c>
      <c r="W62" s="23">
        <f t="shared" si="22"/>
        <v>0</v>
      </c>
      <c r="X62" s="23">
        <f t="shared" si="22"/>
        <v>0</v>
      </c>
      <c r="Y62" s="23">
        <f t="shared" si="22"/>
        <v>0</v>
      </c>
      <c r="Z62" s="23">
        <f t="shared" si="22"/>
        <v>0</v>
      </c>
      <c r="AA62" s="23">
        <f t="shared" si="22"/>
        <v>655</v>
      </c>
      <c r="AB62" s="23">
        <f t="shared" si="22"/>
        <v>424</v>
      </c>
      <c r="AC62" s="23">
        <f t="shared" si="22"/>
        <v>126</v>
      </c>
      <c r="AD62" s="23">
        <f t="shared" si="22"/>
        <v>617</v>
      </c>
      <c r="AE62" s="23">
        <f t="shared" si="22"/>
        <v>1543</v>
      </c>
      <c r="AF62" s="23">
        <f t="shared" si="22"/>
        <v>0</v>
      </c>
      <c r="AG62" s="23">
        <f t="shared" si="22"/>
        <v>47</v>
      </c>
      <c r="AH62" s="23">
        <f t="shared" si="22"/>
        <v>0</v>
      </c>
      <c r="AI62" s="111">
        <f t="shared" si="5"/>
        <v>5449</v>
      </c>
      <c r="AK62" s="78"/>
    </row>
    <row r="63" spans="1:37" ht="14.5" customHeight="1">
      <c r="A63" s="101"/>
      <c r="B63" s="101"/>
      <c r="C63" s="539" t="s">
        <v>132</v>
      </c>
      <c r="D63" s="501"/>
      <c r="E63" s="102">
        <f>E61</f>
        <v>2410</v>
      </c>
      <c r="F63" s="102">
        <f t="shared" ref="F63:AH63" si="23">E63+F61</f>
        <v>4141</v>
      </c>
      <c r="G63" s="102">
        <f t="shared" si="23"/>
        <v>5749</v>
      </c>
      <c r="H63" s="102">
        <f t="shared" si="23"/>
        <v>7242</v>
      </c>
      <c r="I63" s="102">
        <f t="shared" si="23"/>
        <v>9134</v>
      </c>
      <c r="J63" s="102">
        <f t="shared" si="23"/>
        <v>10840</v>
      </c>
      <c r="K63" s="102">
        <f t="shared" si="23"/>
        <v>12337</v>
      </c>
      <c r="L63" s="102">
        <f t="shared" si="23"/>
        <v>13684</v>
      </c>
      <c r="M63" s="102">
        <f t="shared" si="23"/>
        <v>15612</v>
      </c>
      <c r="N63" s="102">
        <f t="shared" si="23"/>
        <v>17356</v>
      </c>
      <c r="O63" s="102">
        <f t="shared" si="23"/>
        <v>19018</v>
      </c>
      <c r="P63" s="102">
        <f t="shared" si="23"/>
        <v>20916</v>
      </c>
      <c r="Q63" s="102">
        <f t="shared" si="23"/>
        <v>22343</v>
      </c>
      <c r="R63" s="102">
        <f t="shared" si="23"/>
        <v>23575</v>
      </c>
      <c r="S63" s="102">
        <f t="shared" si="23"/>
        <v>24765</v>
      </c>
      <c r="T63" s="102">
        <f t="shared" si="23"/>
        <v>26660</v>
      </c>
      <c r="U63" s="102">
        <f t="shared" si="23"/>
        <v>28489</v>
      </c>
      <c r="V63" s="102">
        <f t="shared" si="23"/>
        <v>30360</v>
      </c>
      <c r="W63" s="102">
        <f t="shared" si="23"/>
        <v>32207</v>
      </c>
      <c r="X63" s="102">
        <f t="shared" si="23"/>
        <v>34031</v>
      </c>
      <c r="Y63" s="102">
        <f t="shared" si="23"/>
        <v>35290</v>
      </c>
      <c r="Z63" s="102">
        <f t="shared" si="23"/>
        <v>36505</v>
      </c>
      <c r="AA63" s="102">
        <f t="shared" si="23"/>
        <v>37776</v>
      </c>
      <c r="AB63" s="102">
        <f t="shared" si="23"/>
        <v>39171</v>
      </c>
      <c r="AC63" s="102">
        <f t="shared" si="23"/>
        <v>41110</v>
      </c>
      <c r="AD63" s="102">
        <f t="shared" si="23"/>
        <v>42343</v>
      </c>
      <c r="AE63" s="102">
        <f t="shared" si="23"/>
        <v>42588</v>
      </c>
      <c r="AF63" s="102">
        <f t="shared" si="23"/>
        <v>43871</v>
      </c>
      <c r="AG63" s="102">
        <f t="shared" si="23"/>
        <v>44983</v>
      </c>
      <c r="AH63" s="102">
        <f t="shared" si="23"/>
        <v>45860</v>
      </c>
      <c r="AI63" s="102">
        <f>AG63+AI61</f>
        <v>90843</v>
      </c>
    </row>
    <row r="64" spans="1:37" ht="13" customHeight="1">
      <c r="A64" s="94"/>
      <c r="B64" s="27"/>
      <c r="C64" s="27"/>
      <c r="D64" s="10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</row>
    <row r="65" spans="1:37" ht="14.5" customHeight="1">
      <c r="A65" s="28" t="s">
        <v>133</v>
      </c>
      <c r="B65" s="28" t="s">
        <v>100</v>
      </c>
      <c r="C65" s="523" t="s">
        <v>101</v>
      </c>
      <c r="D65" s="50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103"/>
    </row>
    <row r="66" spans="1:37" ht="14.5" customHeight="1">
      <c r="A66" s="2">
        <v>1</v>
      </c>
      <c r="B66" s="2" t="s">
        <v>129</v>
      </c>
      <c r="C66" s="506" t="s">
        <v>119</v>
      </c>
      <c r="D66" s="501"/>
      <c r="E66" s="30">
        <f t="shared" ref="E66:AH66" si="24">E24-D24</f>
        <v>55</v>
      </c>
      <c r="F66" s="30">
        <f t="shared" si="24"/>
        <v>101</v>
      </c>
      <c r="G66" s="30">
        <f t="shared" si="24"/>
        <v>85</v>
      </c>
      <c r="H66" s="30">
        <f t="shared" si="24"/>
        <v>0</v>
      </c>
      <c r="I66" s="30">
        <f t="shared" si="24"/>
        <v>168</v>
      </c>
      <c r="J66" s="30">
        <f t="shared" si="24"/>
        <v>107</v>
      </c>
      <c r="K66" s="30">
        <f t="shared" si="24"/>
        <v>83</v>
      </c>
      <c r="L66" s="30">
        <f t="shared" si="24"/>
        <v>0</v>
      </c>
      <c r="M66" s="30">
        <f t="shared" si="24"/>
        <v>104</v>
      </c>
      <c r="N66" s="30">
        <f t="shared" si="24"/>
        <v>81</v>
      </c>
      <c r="O66" s="30">
        <f t="shared" si="24"/>
        <v>75</v>
      </c>
      <c r="P66" s="30">
        <f t="shared" si="24"/>
        <v>83</v>
      </c>
      <c r="Q66" s="30">
        <f t="shared" si="24"/>
        <v>62</v>
      </c>
      <c r="R66" s="30">
        <f t="shared" si="24"/>
        <v>66</v>
      </c>
      <c r="S66" s="30">
        <f t="shared" si="24"/>
        <v>0</v>
      </c>
      <c r="T66" s="30">
        <f t="shared" si="24"/>
        <v>91</v>
      </c>
      <c r="U66" s="30">
        <f t="shared" si="24"/>
        <v>79</v>
      </c>
      <c r="V66" s="30">
        <f t="shared" si="24"/>
        <v>84</v>
      </c>
      <c r="W66" s="30">
        <f t="shared" si="24"/>
        <v>94</v>
      </c>
      <c r="X66" s="30">
        <f t="shared" si="24"/>
        <v>98</v>
      </c>
      <c r="Y66" s="30">
        <f t="shared" si="24"/>
        <v>56</v>
      </c>
      <c r="Z66" s="30">
        <f t="shared" si="24"/>
        <v>0</v>
      </c>
      <c r="AA66" s="30">
        <f t="shared" si="24"/>
        <v>54</v>
      </c>
      <c r="AB66" s="30">
        <f t="shared" si="24"/>
        <v>54</v>
      </c>
      <c r="AC66" s="30">
        <f t="shared" si="24"/>
        <v>99</v>
      </c>
      <c r="AD66" s="30">
        <f t="shared" si="24"/>
        <v>45</v>
      </c>
      <c r="AE66" s="30">
        <f t="shared" si="24"/>
        <v>0</v>
      </c>
      <c r="AF66" s="30">
        <f t="shared" si="24"/>
        <v>62</v>
      </c>
      <c r="AG66" s="30">
        <f t="shared" si="24"/>
        <v>0</v>
      </c>
      <c r="AH66" s="30">
        <f t="shared" si="24"/>
        <v>60</v>
      </c>
      <c r="AI66" s="30">
        <f t="shared" ref="AI66:AI79" si="25">SUM(E66:AH66)</f>
        <v>1946</v>
      </c>
    </row>
    <row r="67" spans="1:37" ht="14.5" customHeight="1">
      <c r="A67" s="2"/>
      <c r="B67" s="2"/>
      <c r="C67" s="532" t="s">
        <v>22</v>
      </c>
      <c r="D67" s="501"/>
      <c r="E67" s="30">
        <f t="shared" ref="E67:AH67" si="26">E25-D25</f>
        <v>0</v>
      </c>
      <c r="F67" s="30">
        <f t="shared" si="26"/>
        <v>26</v>
      </c>
      <c r="G67" s="30">
        <f t="shared" si="26"/>
        <v>47</v>
      </c>
      <c r="H67" s="30">
        <f t="shared" si="26"/>
        <v>31</v>
      </c>
      <c r="I67" s="30">
        <f t="shared" si="26"/>
        <v>0</v>
      </c>
      <c r="J67" s="30">
        <f t="shared" si="26"/>
        <v>0</v>
      </c>
      <c r="K67" s="30">
        <f t="shared" si="26"/>
        <v>0</v>
      </c>
      <c r="L67" s="30">
        <f t="shared" si="26"/>
        <v>0</v>
      </c>
      <c r="M67" s="30">
        <f t="shared" si="26"/>
        <v>0</v>
      </c>
      <c r="N67" s="30">
        <f t="shared" si="26"/>
        <v>12</v>
      </c>
      <c r="O67" s="30">
        <f t="shared" si="26"/>
        <v>13</v>
      </c>
      <c r="P67" s="30">
        <f t="shared" si="26"/>
        <v>0</v>
      </c>
      <c r="Q67" s="30">
        <f t="shared" si="26"/>
        <v>23</v>
      </c>
      <c r="R67" s="30">
        <f t="shared" si="26"/>
        <v>0</v>
      </c>
      <c r="S67" s="30">
        <f t="shared" si="26"/>
        <v>0</v>
      </c>
      <c r="T67" s="30">
        <f t="shared" si="26"/>
        <v>0</v>
      </c>
      <c r="U67" s="30">
        <f t="shared" si="26"/>
        <v>0</v>
      </c>
      <c r="V67" s="30">
        <f t="shared" si="26"/>
        <v>0</v>
      </c>
      <c r="W67" s="30">
        <f t="shared" si="26"/>
        <v>0</v>
      </c>
      <c r="X67" s="30">
        <f t="shared" si="26"/>
        <v>0</v>
      </c>
      <c r="Y67" s="30">
        <f t="shared" si="26"/>
        <v>0</v>
      </c>
      <c r="Z67" s="30">
        <f t="shared" si="26"/>
        <v>0</v>
      </c>
      <c r="AA67" s="30">
        <f t="shared" si="26"/>
        <v>51</v>
      </c>
      <c r="AB67" s="30">
        <f t="shared" si="26"/>
        <v>41</v>
      </c>
      <c r="AC67" s="30">
        <f t="shared" si="26"/>
        <v>1</v>
      </c>
      <c r="AD67" s="30">
        <f t="shared" si="26"/>
        <v>47</v>
      </c>
      <c r="AE67" s="30">
        <f t="shared" si="26"/>
        <v>93</v>
      </c>
      <c r="AF67" s="30">
        <f t="shared" si="26"/>
        <v>0</v>
      </c>
      <c r="AG67" s="30">
        <f t="shared" si="26"/>
        <v>0</v>
      </c>
      <c r="AH67" s="30">
        <f t="shared" si="26"/>
        <v>0</v>
      </c>
      <c r="AI67" s="30">
        <f t="shared" si="25"/>
        <v>385</v>
      </c>
    </row>
    <row r="68" spans="1:37" ht="14.5" customHeight="1">
      <c r="A68" s="2">
        <v>2</v>
      </c>
      <c r="B68" s="2" t="s">
        <v>129</v>
      </c>
      <c r="C68" s="506" t="s">
        <v>120</v>
      </c>
      <c r="D68" s="501"/>
      <c r="E68" s="30">
        <f t="shared" ref="E68:AH68" si="27">E26-D26</f>
        <v>67</v>
      </c>
      <c r="F68" s="30">
        <f t="shared" si="27"/>
        <v>110</v>
      </c>
      <c r="G68" s="30">
        <f t="shared" si="27"/>
        <v>80</v>
      </c>
      <c r="H68" s="30">
        <f t="shared" si="27"/>
        <v>68</v>
      </c>
      <c r="I68" s="30">
        <f t="shared" si="27"/>
        <v>100</v>
      </c>
      <c r="J68" s="30">
        <f t="shared" si="27"/>
        <v>102</v>
      </c>
      <c r="K68" s="30">
        <f t="shared" si="27"/>
        <v>81</v>
      </c>
      <c r="L68" s="30">
        <f t="shared" si="27"/>
        <v>1</v>
      </c>
      <c r="M68" s="30">
        <f t="shared" si="27"/>
        <v>107</v>
      </c>
      <c r="N68" s="30">
        <f t="shared" si="27"/>
        <v>76</v>
      </c>
      <c r="O68" s="30">
        <f t="shared" si="27"/>
        <v>71</v>
      </c>
      <c r="P68" s="30">
        <f t="shared" si="27"/>
        <v>87</v>
      </c>
      <c r="Q68" s="30">
        <f t="shared" si="27"/>
        <v>74</v>
      </c>
      <c r="R68" s="30">
        <f t="shared" si="27"/>
        <v>46</v>
      </c>
      <c r="S68" s="30">
        <f t="shared" si="27"/>
        <v>0</v>
      </c>
      <c r="T68" s="30">
        <f t="shared" si="27"/>
        <v>101</v>
      </c>
      <c r="U68" s="30">
        <f t="shared" si="27"/>
        <v>108</v>
      </c>
      <c r="V68" s="30">
        <f t="shared" si="27"/>
        <v>86</v>
      </c>
      <c r="W68" s="30">
        <f t="shared" si="27"/>
        <v>90</v>
      </c>
      <c r="X68" s="30">
        <f t="shared" si="27"/>
        <v>93</v>
      </c>
      <c r="Y68" s="30">
        <f t="shared" si="27"/>
        <v>43</v>
      </c>
      <c r="Z68" s="30">
        <f t="shared" si="27"/>
        <v>0</v>
      </c>
      <c r="AA68" s="30">
        <f t="shared" si="27"/>
        <v>62</v>
      </c>
      <c r="AB68" s="30">
        <f t="shared" si="27"/>
        <v>52</v>
      </c>
      <c r="AC68" s="30">
        <f t="shared" si="27"/>
        <v>98</v>
      </c>
      <c r="AD68" s="30">
        <f t="shared" si="27"/>
        <v>44</v>
      </c>
      <c r="AE68" s="30">
        <f t="shared" si="27"/>
        <v>0</v>
      </c>
      <c r="AF68" s="30">
        <f t="shared" si="27"/>
        <v>73</v>
      </c>
      <c r="AG68" s="30">
        <f t="shared" si="27"/>
        <v>0</v>
      </c>
      <c r="AH68" s="30">
        <f t="shared" si="27"/>
        <v>63</v>
      </c>
      <c r="AI68" s="30">
        <f t="shared" si="25"/>
        <v>1983</v>
      </c>
    </row>
    <row r="69" spans="1:37" ht="14.5" customHeight="1">
      <c r="A69" s="2"/>
      <c r="B69" s="2"/>
      <c r="C69" s="532" t="s">
        <v>22</v>
      </c>
      <c r="D69" s="501"/>
      <c r="E69" s="30">
        <f t="shared" ref="E69:AH69" si="28">E27-D27</f>
        <v>0</v>
      </c>
      <c r="F69" s="30">
        <f t="shared" si="28"/>
        <v>27</v>
      </c>
      <c r="G69" s="30">
        <f t="shared" si="28"/>
        <v>41</v>
      </c>
      <c r="H69" s="30">
        <f t="shared" si="28"/>
        <v>31</v>
      </c>
      <c r="I69" s="30">
        <f t="shared" si="28"/>
        <v>0</v>
      </c>
      <c r="J69" s="30">
        <f t="shared" si="28"/>
        <v>0</v>
      </c>
      <c r="K69" s="30">
        <f t="shared" si="28"/>
        <v>0</v>
      </c>
      <c r="L69" s="30">
        <f t="shared" si="28"/>
        <v>0</v>
      </c>
      <c r="M69" s="30">
        <f t="shared" si="28"/>
        <v>0</v>
      </c>
      <c r="N69" s="30">
        <f t="shared" si="28"/>
        <v>8</v>
      </c>
      <c r="O69" s="30">
        <f t="shared" si="28"/>
        <v>13</v>
      </c>
      <c r="P69" s="30">
        <f t="shared" si="28"/>
        <v>0</v>
      </c>
      <c r="Q69" s="30">
        <f t="shared" si="28"/>
        <v>21</v>
      </c>
      <c r="R69" s="30">
        <f t="shared" si="28"/>
        <v>0</v>
      </c>
      <c r="S69" s="30">
        <f t="shared" si="28"/>
        <v>0</v>
      </c>
      <c r="T69" s="30">
        <f t="shared" si="28"/>
        <v>0</v>
      </c>
      <c r="U69" s="30">
        <f t="shared" si="28"/>
        <v>0</v>
      </c>
      <c r="V69" s="30">
        <f t="shared" si="28"/>
        <v>0</v>
      </c>
      <c r="W69" s="30">
        <f t="shared" si="28"/>
        <v>0</v>
      </c>
      <c r="X69" s="30">
        <f t="shared" si="28"/>
        <v>0</v>
      </c>
      <c r="Y69" s="30">
        <f t="shared" si="28"/>
        <v>0</v>
      </c>
      <c r="Z69" s="30">
        <f t="shared" si="28"/>
        <v>0</v>
      </c>
      <c r="AA69" s="30">
        <f t="shared" si="28"/>
        <v>46</v>
      </c>
      <c r="AB69" s="30">
        <f t="shared" si="28"/>
        <v>42</v>
      </c>
      <c r="AC69" s="30">
        <f t="shared" si="28"/>
        <v>4</v>
      </c>
      <c r="AD69" s="30">
        <f t="shared" si="28"/>
        <v>45</v>
      </c>
      <c r="AE69" s="30">
        <f t="shared" si="28"/>
        <v>80</v>
      </c>
      <c r="AF69" s="30">
        <f t="shared" si="28"/>
        <v>0</v>
      </c>
      <c r="AG69" s="30">
        <f t="shared" si="28"/>
        <v>0</v>
      </c>
      <c r="AH69" s="30">
        <f t="shared" si="28"/>
        <v>0</v>
      </c>
      <c r="AI69" s="30">
        <f t="shared" si="25"/>
        <v>358</v>
      </c>
    </row>
    <row r="70" spans="1:37" ht="14.5" customHeight="1">
      <c r="A70" s="2">
        <v>3</v>
      </c>
      <c r="B70" s="2" t="s">
        <v>129</v>
      </c>
      <c r="C70" s="506" t="s">
        <v>121</v>
      </c>
      <c r="D70" s="501"/>
      <c r="E70" s="30">
        <f t="shared" ref="E70:AH70" si="29">E28-D28</f>
        <v>55</v>
      </c>
      <c r="F70" s="30">
        <f t="shared" si="29"/>
        <v>101</v>
      </c>
      <c r="G70" s="30">
        <f t="shared" si="29"/>
        <v>73</v>
      </c>
      <c r="H70" s="30">
        <f t="shared" si="29"/>
        <v>72</v>
      </c>
      <c r="I70" s="30">
        <f t="shared" si="29"/>
        <v>91</v>
      </c>
      <c r="J70" s="30">
        <f t="shared" si="29"/>
        <v>94</v>
      </c>
      <c r="K70" s="30">
        <f t="shared" si="29"/>
        <v>76</v>
      </c>
      <c r="L70" s="30">
        <f t="shared" si="29"/>
        <v>0</v>
      </c>
      <c r="M70" s="30">
        <f t="shared" si="29"/>
        <v>99</v>
      </c>
      <c r="N70" s="30">
        <f t="shared" si="29"/>
        <v>90</v>
      </c>
      <c r="O70" s="30">
        <f t="shared" si="29"/>
        <v>80</v>
      </c>
      <c r="P70" s="30">
        <f t="shared" si="29"/>
        <v>92</v>
      </c>
      <c r="Q70" s="30">
        <f t="shared" si="29"/>
        <v>71</v>
      </c>
      <c r="R70" s="30">
        <f t="shared" si="29"/>
        <v>49</v>
      </c>
      <c r="S70" s="30">
        <f t="shared" si="29"/>
        <v>0</v>
      </c>
      <c r="T70" s="30">
        <f t="shared" si="29"/>
        <v>69</v>
      </c>
      <c r="U70" s="30">
        <f t="shared" si="29"/>
        <v>126</v>
      </c>
      <c r="V70" s="30">
        <f t="shared" si="29"/>
        <v>93</v>
      </c>
      <c r="W70" s="30">
        <f t="shared" si="29"/>
        <v>88</v>
      </c>
      <c r="X70" s="30">
        <f t="shared" si="29"/>
        <v>93</v>
      </c>
      <c r="Y70" s="30">
        <f t="shared" si="29"/>
        <v>50</v>
      </c>
      <c r="Z70" s="30">
        <f t="shared" si="29"/>
        <v>0</v>
      </c>
      <c r="AA70" s="30">
        <f t="shared" si="29"/>
        <v>52</v>
      </c>
      <c r="AB70" s="30">
        <f t="shared" si="29"/>
        <v>51</v>
      </c>
      <c r="AC70" s="30">
        <f t="shared" si="29"/>
        <v>103</v>
      </c>
      <c r="AD70" s="30">
        <f t="shared" si="29"/>
        <v>43</v>
      </c>
      <c r="AE70" s="30">
        <f t="shared" si="29"/>
        <v>0</v>
      </c>
      <c r="AF70" s="30">
        <f t="shared" si="29"/>
        <v>72</v>
      </c>
      <c r="AG70" s="30">
        <f t="shared" si="29"/>
        <v>0</v>
      </c>
      <c r="AH70" s="30">
        <f t="shared" si="29"/>
        <v>66</v>
      </c>
      <c r="AI70" s="30">
        <f t="shared" si="25"/>
        <v>1949</v>
      </c>
      <c r="AJ70" s="78"/>
      <c r="AK70" s="78"/>
    </row>
    <row r="71" spans="1:37" ht="14.5" customHeight="1">
      <c r="A71" s="2"/>
      <c r="B71" s="2"/>
      <c r="C71" s="532" t="s">
        <v>22</v>
      </c>
      <c r="D71" s="501"/>
      <c r="E71" s="30">
        <f t="shared" ref="E71:AH71" si="30">E29-D29</f>
        <v>0</v>
      </c>
      <c r="F71" s="30">
        <f t="shared" si="30"/>
        <v>24</v>
      </c>
      <c r="G71" s="30">
        <f t="shared" si="30"/>
        <v>38</v>
      </c>
      <c r="H71" s="30">
        <f t="shared" si="30"/>
        <v>32</v>
      </c>
      <c r="I71" s="30">
        <f t="shared" si="30"/>
        <v>0</v>
      </c>
      <c r="J71" s="30">
        <f t="shared" si="30"/>
        <v>0</v>
      </c>
      <c r="K71" s="30">
        <f t="shared" si="30"/>
        <v>0</v>
      </c>
      <c r="L71" s="30">
        <f t="shared" si="30"/>
        <v>0</v>
      </c>
      <c r="M71" s="30">
        <f t="shared" si="30"/>
        <v>0</v>
      </c>
      <c r="N71" s="30">
        <f t="shared" si="30"/>
        <v>12</v>
      </c>
      <c r="O71" s="30">
        <f t="shared" si="30"/>
        <v>15</v>
      </c>
      <c r="P71" s="30">
        <f t="shared" si="30"/>
        <v>0</v>
      </c>
      <c r="Q71" s="30">
        <f t="shared" si="30"/>
        <v>22</v>
      </c>
      <c r="R71" s="30">
        <f t="shared" si="30"/>
        <v>0</v>
      </c>
      <c r="S71" s="30">
        <f t="shared" si="30"/>
        <v>0</v>
      </c>
      <c r="T71" s="30">
        <f t="shared" si="30"/>
        <v>0</v>
      </c>
      <c r="U71" s="30">
        <f t="shared" si="30"/>
        <v>0</v>
      </c>
      <c r="V71" s="30">
        <f t="shared" si="30"/>
        <v>0</v>
      </c>
      <c r="W71" s="30">
        <f t="shared" si="30"/>
        <v>0</v>
      </c>
      <c r="X71" s="30">
        <f t="shared" si="30"/>
        <v>0</v>
      </c>
      <c r="Y71" s="30">
        <f t="shared" si="30"/>
        <v>0</v>
      </c>
      <c r="Z71" s="30">
        <f t="shared" si="30"/>
        <v>0</v>
      </c>
      <c r="AA71" s="30">
        <f t="shared" si="30"/>
        <v>48</v>
      </c>
      <c r="AB71" s="30">
        <f t="shared" si="30"/>
        <v>41</v>
      </c>
      <c r="AC71" s="30">
        <f t="shared" si="30"/>
        <v>0</v>
      </c>
      <c r="AD71" s="30">
        <f t="shared" si="30"/>
        <v>47</v>
      </c>
      <c r="AE71" s="30">
        <f t="shared" si="30"/>
        <v>75</v>
      </c>
      <c r="AF71" s="30">
        <f t="shared" si="30"/>
        <v>0</v>
      </c>
      <c r="AG71" s="30">
        <f t="shared" si="30"/>
        <v>0</v>
      </c>
      <c r="AH71" s="30">
        <f t="shared" si="30"/>
        <v>0</v>
      </c>
      <c r="AI71" s="30">
        <f t="shared" si="25"/>
        <v>354</v>
      </c>
      <c r="AJ71" s="78"/>
      <c r="AK71" s="78"/>
    </row>
    <row r="72" spans="1:37" ht="14.5" customHeight="1">
      <c r="A72" s="2">
        <v>4</v>
      </c>
      <c r="B72" s="2" t="s">
        <v>129</v>
      </c>
      <c r="C72" s="506" t="s">
        <v>122</v>
      </c>
      <c r="D72" s="501"/>
      <c r="E72" s="30">
        <f t="shared" ref="E72:AH72" si="31">E30-D30</f>
        <v>26</v>
      </c>
      <c r="F72" s="30">
        <f t="shared" si="31"/>
        <v>100</v>
      </c>
      <c r="G72" s="30">
        <f t="shared" si="31"/>
        <v>74</v>
      </c>
      <c r="H72" s="30">
        <f t="shared" si="31"/>
        <v>66</v>
      </c>
      <c r="I72" s="30">
        <f t="shared" si="31"/>
        <v>89</v>
      </c>
      <c r="J72" s="30">
        <f t="shared" si="31"/>
        <v>83</v>
      </c>
      <c r="K72" s="30">
        <f t="shared" si="31"/>
        <v>84</v>
      </c>
      <c r="L72" s="30">
        <f t="shared" si="31"/>
        <v>1</v>
      </c>
      <c r="M72" s="30">
        <f t="shared" si="31"/>
        <v>96</v>
      </c>
      <c r="N72" s="30">
        <f t="shared" si="31"/>
        <v>71</v>
      </c>
      <c r="O72" s="30">
        <f t="shared" si="31"/>
        <v>83</v>
      </c>
      <c r="P72" s="30">
        <f t="shared" si="31"/>
        <v>88</v>
      </c>
      <c r="Q72" s="30">
        <f t="shared" si="31"/>
        <v>65</v>
      </c>
      <c r="R72" s="30">
        <f t="shared" si="31"/>
        <v>68</v>
      </c>
      <c r="S72" s="30">
        <f t="shared" si="31"/>
        <v>0</v>
      </c>
      <c r="T72" s="30">
        <f t="shared" si="31"/>
        <v>86</v>
      </c>
      <c r="U72" s="30">
        <f t="shared" si="31"/>
        <v>89</v>
      </c>
      <c r="V72" s="30">
        <f t="shared" si="31"/>
        <v>82</v>
      </c>
      <c r="W72" s="30">
        <f t="shared" si="31"/>
        <v>79</v>
      </c>
      <c r="X72" s="30">
        <f t="shared" si="31"/>
        <v>83</v>
      </c>
      <c r="Y72" s="30">
        <f t="shared" si="31"/>
        <v>47</v>
      </c>
      <c r="Z72" s="30">
        <f t="shared" si="31"/>
        <v>0</v>
      </c>
      <c r="AA72" s="30">
        <f t="shared" si="31"/>
        <v>45</v>
      </c>
      <c r="AB72" s="30">
        <f t="shared" si="31"/>
        <v>50</v>
      </c>
      <c r="AC72" s="30">
        <f t="shared" si="31"/>
        <v>88</v>
      </c>
      <c r="AD72" s="30">
        <f t="shared" si="31"/>
        <v>41</v>
      </c>
      <c r="AE72" s="30">
        <f t="shared" si="31"/>
        <v>0</v>
      </c>
      <c r="AF72" s="30">
        <f t="shared" si="31"/>
        <v>69</v>
      </c>
      <c r="AG72" s="30">
        <f t="shared" si="31"/>
        <v>0</v>
      </c>
      <c r="AH72" s="30">
        <f t="shared" si="31"/>
        <v>60</v>
      </c>
      <c r="AI72" s="30">
        <f t="shared" si="25"/>
        <v>1813</v>
      </c>
      <c r="AK72" s="78"/>
    </row>
    <row r="73" spans="1:37" ht="14.5" customHeight="1">
      <c r="A73" s="2"/>
      <c r="B73" s="2"/>
      <c r="C73" s="532" t="s">
        <v>22</v>
      </c>
      <c r="D73" s="501"/>
      <c r="E73" s="30">
        <f t="shared" ref="E73:AH73" si="32">E31-D31</f>
        <v>0</v>
      </c>
      <c r="F73" s="30">
        <f t="shared" si="32"/>
        <v>20</v>
      </c>
      <c r="G73" s="30">
        <f t="shared" si="32"/>
        <v>38</v>
      </c>
      <c r="H73" s="30">
        <f t="shared" si="32"/>
        <v>29</v>
      </c>
      <c r="I73" s="30">
        <f t="shared" si="32"/>
        <v>0</v>
      </c>
      <c r="J73" s="30">
        <f t="shared" si="32"/>
        <v>0</v>
      </c>
      <c r="K73" s="30">
        <f t="shared" si="32"/>
        <v>0</v>
      </c>
      <c r="L73" s="30">
        <f t="shared" si="32"/>
        <v>0</v>
      </c>
      <c r="M73" s="30">
        <f t="shared" si="32"/>
        <v>0</v>
      </c>
      <c r="N73" s="30">
        <f t="shared" si="32"/>
        <v>8</v>
      </c>
      <c r="O73" s="30">
        <f t="shared" si="32"/>
        <v>17</v>
      </c>
      <c r="P73" s="30">
        <f t="shared" si="32"/>
        <v>0</v>
      </c>
      <c r="Q73" s="30">
        <f t="shared" si="32"/>
        <v>22</v>
      </c>
      <c r="R73" s="30">
        <f t="shared" si="32"/>
        <v>0</v>
      </c>
      <c r="S73" s="30">
        <f t="shared" si="32"/>
        <v>0</v>
      </c>
      <c r="T73" s="30">
        <f t="shared" si="32"/>
        <v>0</v>
      </c>
      <c r="U73" s="30">
        <f t="shared" si="32"/>
        <v>0</v>
      </c>
      <c r="V73" s="30">
        <f t="shared" si="32"/>
        <v>0</v>
      </c>
      <c r="W73" s="30">
        <f t="shared" si="32"/>
        <v>0</v>
      </c>
      <c r="X73" s="30">
        <f t="shared" si="32"/>
        <v>0</v>
      </c>
      <c r="Y73" s="30">
        <f t="shared" si="32"/>
        <v>0</v>
      </c>
      <c r="Z73" s="30">
        <f t="shared" si="32"/>
        <v>0</v>
      </c>
      <c r="AA73" s="30">
        <f t="shared" si="32"/>
        <v>40</v>
      </c>
      <c r="AB73" s="30">
        <f t="shared" si="32"/>
        <v>33</v>
      </c>
      <c r="AC73" s="30">
        <f t="shared" si="32"/>
        <v>1</v>
      </c>
      <c r="AD73" s="30">
        <f t="shared" si="32"/>
        <v>44</v>
      </c>
      <c r="AE73" s="30">
        <f t="shared" si="32"/>
        <v>98</v>
      </c>
      <c r="AF73" s="30">
        <f t="shared" si="32"/>
        <v>0</v>
      </c>
      <c r="AG73" s="30">
        <f t="shared" si="32"/>
        <v>0</v>
      </c>
      <c r="AH73" s="30">
        <f t="shared" si="32"/>
        <v>0</v>
      </c>
      <c r="AI73" s="30">
        <f t="shared" si="25"/>
        <v>350</v>
      </c>
    </row>
    <row r="74" spans="1:37" ht="25.5" customHeight="1">
      <c r="A74" s="99"/>
      <c r="B74" s="99"/>
      <c r="C74" s="500" t="s">
        <v>134</v>
      </c>
      <c r="D74" s="501"/>
      <c r="E74" s="23">
        <f t="shared" ref="E74:AH74" si="33">SUM(E66,E68,E70,E72)</f>
        <v>203</v>
      </c>
      <c r="F74" s="23">
        <f t="shared" si="33"/>
        <v>412</v>
      </c>
      <c r="G74" s="23">
        <f t="shared" si="33"/>
        <v>312</v>
      </c>
      <c r="H74" s="23">
        <f t="shared" si="33"/>
        <v>206</v>
      </c>
      <c r="I74" s="23">
        <f t="shared" si="33"/>
        <v>448</v>
      </c>
      <c r="J74" s="23">
        <f t="shared" si="33"/>
        <v>386</v>
      </c>
      <c r="K74" s="23">
        <f t="shared" si="33"/>
        <v>324</v>
      </c>
      <c r="L74" s="23">
        <f t="shared" si="33"/>
        <v>2</v>
      </c>
      <c r="M74" s="23">
        <f t="shared" si="33"/>
        <v>406</v>
      </c>
      <c r="N74" s="23">
        <f t="shared" si="33"/>
        <v>318</v>
      </c>
      <c r="O74" s="23">
        <f t="shared" si="33"/>
        <v>309</v>
      </c>
      <c r="P74" s="23">
        <f t="shared" si="33"/>
        <v>350</v>
      </c>
      <c r="Q74" s="23">
        <f t="shared" si="33"/>
        <v>272</v>
      </c>
      <c r="R74" s="23">
        <f t="shared" si="33"/>
        <v>229</v>
      </c>
      <c r="S74" s="23">
        <f t="shared" si="33"/>
        <v>0</v>
      </c>
      <c r="T74" s="23">
        <f t="shared" si="33"/>
        <v>347</v>
      </c>
      <c r="U74" s="23">
        <f t="shared" si="33"/>
        <v>402</v>
      </c>
      <c r="V74" s="23">
        <f t="shared" si="33"/>
        <v>345</v>
      </c>
      <c r="W74" s="23">
        <f t="shared" si="33"/>
        <v>351</v>
      </c>
      <c r="X74" s="23">
        <f t="shared" si="33"/>
        <v>367</v>
      </c>
      <c r="Y74" s="23">
        <f t="shared" si="33"/>
        <v>196</v>
      </c>
      <c r="Z74" s="23">
        <f t="shared" si="33"/>
        <v>0</v>
      </c>
      <c r="AA74" s="23">
        <f t="shared" si="33"/>
        <v>213</v>
      </c>
      <c r="AB74" s="23">
        <f t="shared" si="33"/>
        <v>207</v>
      </c>
      <c r="AC74" s="23">
        <f t="shared" si="33"/>
        <v>388</v>
      </c>
      <c r="AD74" s="23">
        <f t="shared" si="33"/>
        <v>173</v>
      </c>
      <c r="AE74" s="23">
        <f t="shared" si="33"/>
        <v>0</v>
      </c>
      <c r="AF74" s="23">
        <f t="shared" si="33"/>
        <v>276</v>
      </c>
      <c r="AG74" s="23">
        <f t="shared" si="33"/>
        <v>0</v>
      </c>
      <c r="AH74" s="23">
        <f t="shared" si="33"/>
        <v>249</v>
      </c>
      <c r="AI74" s="24">
        <f t="shared" si="25"/>
        <v>7691</v>
      </c>
    </row>
    <row r="75" spans="1:37" ht="25.5" customHeight="1">
      <c r="A75" s="99"/>
      <c r="B75" s="99"/>
      <c r="C75" s="513" t="s">
        <v>135</v>
      </c>
      <c r="D75" s="501"/>
      <c r="E75" s="23">
        <f t="shared" ref="E75:AH75" si="34">SUM(E67,E69,E71,E73)</f>
        <v>0</v>
      </c>
      <c r="F75" s="23">
        <f t="shared" si="34"/>
        <v>97</v>
      </c>
      <c r="G75" s="23">
        <f t="shared" si="34"/>
        <v>164</v>
      </c>
      <c r="H75" s="23">
        <f t="shared" si="34"/>
        <v>123</v>
      </c>
      <c r="I75" s="23">
        <f t="shared" si="34"/>
        <v>0</v>
      </c>
      <c r="J75" s="23">
        <f t="shared" si="34"/>
        <v>0</v>
      </c>
      <c r="K75" s="23">
        <f t="shared" si="34"/>
        <v>0</v>
      </c>
      <c r="L75" s="23">
        <f t="shared" si="34"/>
        <v>0</v>
      </c>
      <c r="M75" s="23">
        <f t="shared" si="34"/>
        <v>0</v>
      </c>
      <c r="N75" s="23">
        <f t="shared" si="34"/>
        <v>40</v>
      </c>
      <c r="O75" s="23">
        <f t="shared" si="34"/>
        <v>58</v>
      </c>
      <c r="P75" s="23">
        <f t="shared" si="34"/>
        <v>0</v>
      </c>
      <c r="Q75" s="23">
        <f t="shared" si="34"/>
        <v>88</v>
      </c>
      <c r="R75" s="23">
        <f t="shared" si="34"/>
        <v>0</v>
      </c>
      <c r="S75" s="23">
        <f t="shared" si="34"/>
        <v>0</v>
      </c>
      <c r="T75" s="23">
        <f t="shared" si="34"/>
        <v>0</v>
      </c>
      <c r="U75" s="23">
        <f t="shared" si="34"/>
        <v>0</v>
      </c>
      <c r="V75" s="23">
        <f t="shared" si="34"/>
        <v>0</v>
      </c>
      <c r="W75" s="23">
        <f t="shared" si="34"/>
        <v>0</v>
      </c>
      <c r="X75" s="23">
        <f t="shared" si="34"/>
        <v>0</v>
      </c>
      <c r="Y75" s="23">
        <f t="shared" si="34"/>
        <v>0</v>
      </c>
      <c r="Z75" s="23">
        <f t="shared" si="34"/>
        <v>0</v>
      </c>
      <c r="AA75" s="23">
        <f t="shared" si="34"/>
        <v>185</v>
      </c>
      <c r="AB75" s="23">
        <f t="shared" si="34"/>
        <v>157</v>
      </c>
      <c r="AC75" s="23">
        <f t="shared" si="34"/>
        <v>6</v>
      </c>
      <c r="AD75" s="23">
        <f t="shared" si="34"/>
        <v>183</v>
      </c>
      <c r="AE75" s="23">
        <f t="shared" si="34"/>
        <v>346</v>
      </c>
      <c r="AF75" s="23">
        <f t="shared" si="34"/>
        <v>0</v>
      </c>
      <c r="AG75" s="23">
        <f t="shared" si="34"/>
        <v>0</v>
      </c>
      <c r="AH75" s="23">
        <f t="shared" si="34"/>
        <v>0</v>
      </c>
      <c r="AI75" s="24">
        <f t="shared" si="25"/>
        <v>1447</v>
      </c>
    </row>
    <row r="76" spans="1:37" ht="14.5" customHeight="1">
      <c r="A76" s="2">
        <v>1</v>
      </c>
      <c r="B76" s="2" t="s">
        <v>129</v>
      </c>
      <c r="C76" s="503" t="s">
        <v>123</v>
      </c>
      <c r="D76" s="501"/>
      <c r="E76" s="30">
        <f t="shared" ref="E76:AH76" si="35">E33-D33</f>
        <v>860.66000000000349</v>
      </c>
      <c r="F76" s="30">
        <f t="shared" si="35"/>
        <v>1282.5299999999988</v>
      </c>
      <c r="G76" s="30">
        <f t="shared" si="35"/>
        <v>1368.7099999999919</v>
      </c>
      <c r="H76" s="30">
        <f t="shared" si="35"/>
        <v>586.81000000001222</v>
      </c>
      <c r="I76" s="30">
        <f t="shared" si="35"/>
        <v>515.13999999999942</v>
      </c>
      <c r="J76" s="30">
        <f t="shared" si="35"/>
        <v>410.14999999999418</v>
      </c>
      <c r="K76" s="30">
        <f t="shared" si="35"/>
        <v>409.38999999999942</v>
      </c>
      <c r="L76" s="30">
        <f t="shared" si="35"/>
        <v>0</v>
      </c>
      <c r="M76" s="30">
        <f t="shared" si="35"/>
        <v>982.06000000001222</v>
      </c>
      <c r="N76" s="30">
        <f t="shared" si="35"/>
        <v>715.58999999999651</v>
      </c>
      <c r="O76" s="30">
        <f t="shared" si="35"/>
        <v>640.25</v>
      </c>
      <c r="P76" s="30">
        <f t="shared" si="35"/>
        <v>554.70999999999185</v>
      </c>
      <c r="Q76" s="30">
        <f t="shared" si="35"/>
        <v>474.73999999999069</v>
      </c>
      <c r="R76" s="30">
        <f t="shared" si="35"/>
        <v>259.80000000001746</v>
      </c>
      <c r="S76" s="30">
        <f t="shared" si="35"/>
        <v>0</v>
      </c>
      <c r="T76" s="30">
        <f t="shared" si="35"/>
        <v>986.13000000000466</v>
      </c>
      <c r="U76" s="30">
        <f t="shared" si="35"/>
        <v>713.89999999999418</v>
      </c>
      <c r="V76" s="30">
        <f t="shared" si="35"/>
        <v>704.42999999999302</v>
      </c>
      <c r="W76" s="30">
        <f t="shared" si="35"/>
        <v>595.89999999999418</v>
      </c>
      <c r="X76" s="30">
        <f t="shared" si="35"/>
        <v>618.95999999999185</v>
      </c>
      <c r="Y76" s="30">
        <f t="shared" si="35"/>
        <v>282.5</v>
      </c>
      <c r="Z76" s="30">
        <f t="shared" si="35"/>
        <v>0</v>
      </c>
      <c r="AA76" s="30">
        <f t="shared" si="35"/>
        <v>1104.070000000007</v>
      </c>
      <c r="AB76" s="30">
        <f t="shared" si="35"/>
        <v>951.89000000001397</v>
      </c>
      <c r="AC76" s="30">
        <f t="shared" si="35"/>
        <v>719.33999999999651</v>
      </c>
      <c r="AD76" s="30">
        <f t="shared" si="35"/>
        <v>729.44000000000233</v>
      </c>
      <c r="AE76" s="30">
        <f t="shared" si="35"/>
        <v>721.89999999999418</v>
      </c>
      <c r="AF76" s="30">
        <f t="shared" si="35"/>
        <v>417</v>
      </c>
      <c r="AG76" s="30">
        <f t="shared" si="35"/>
        <v>0</v>
      </c>
      <c r="AH76" s="30">
        <f t="shared" si="35"/>
        <v>805</v>
      </c>
      <c r="AI76" s="30">
        <f t="shared" si="25"/>
        <v>18411</v>
      </c>
      <c r="AJ76" s="78"/>
    </row>
    <row r="77" spans="1:37" ht="14.5" customHeight="1">
      <c r="A77" s="2">
        <v>2</v>
      </c>
      <c r="B77" s="2" t="s">
        <v>129</v>
      </c>
      <c r="C77" s="503" t="s">
        <v>124</v>
      </c>
      <c r="D77" s="501"/>
      <c r="E77" s="30">
        <f t="shared" ref="E77:AH77" si="36">E34-D34</f>
        <v>864.97000000000116</v>
      </c>
      <c r="F77" s="30">
        <f t="shared" si="36"/>
        <v>1320.4500000000116</v>
      </c>
      <c r="G77" s="30">
        <f t="shared" si="36"/>
        <v>1346.2799999999988</v>
      </c>
      <c r="H77" s="30">
        <f t="shared" si="36"/>
        <v>814.06999999997788</v>
      </c>
      <c r="I77" s="30">
        <f t="shared" si="36"/>
        <v>877.80000000001746</v>
      </c>
      <c r="J77" s="30">
        <f t="shared" si="36"/>
        <v>844.9199999999837</v>
      </c>
      <c r="K77" s="30">
        <f t="shared" si="36"/>
        <v>721.86999999999534</v>
      </c>
      <c r="L77" s="30">
        <f t="shared" si="36"/>
        <v>0</v>
      </c>
      <c r="M77" s="30">
        <f t="shared" si="36"/>
        <v>1142.0800000000163</v>
      </c>
      <c r="N77" s="30">
        <f t="shared" si="36"/>
        <v>940.04000000000815</v>
      </c>
      <c r="O77" s="30">
        <f t="shared" si="36"/>
        <v>759.13999999998487</v>
      </c>
      <c r="P77" s="30">
        <f t="shared" si="36"/>
        <v>694.73999999999069</v>
      </c>
      <c r="Q77" s="30">
        <f t="shared" si="36"/>
        <v>468.13000000000466</v>
      </c>
      <c r="R77" s="30">
        <f t="shared" si="36"/>
        <v>597.61000000001513</v>
      </c>
      <c r="S77" s="30">
        <f t="shared" si="36"/>
        <v>0</v>
      </c>
      <c r="T77" s="30">
        <f t="shared" si="36"/>
        <v>1015.2099999999919</v>
      </c>
      <c r="U77" s="30">
        <f t="shared" si="36"/>
        <v>828.77999999999884</v>
      </c>
      <c r="V77" s="30">
        <f t="shared" si="36"/>
        <v>618.55999999999767</v>
      </c>
      <c r="W77" s="30">
        <f t="shared" si="36"/>
        <v>797.52000000001863</v>
      </c>
      <c r="X77" s="30">
        <f t="shared" si="36"/>
        <v>735.68999999997322</v>
      </c>
      <c r="Y77" s="30">
        <f t="shared" si="36"/>
        <v>481.99000000001979</v>
      </c>
      <c r="Z77" s="30">
        <f t="shared" si="36"/>
        <v>0</v>
      </c>
      <c r="AA77" s="30">
        <f t="shared" si="36"/>
        <v>1202.7299999999814</v>
      </c>
      <c r="AB77" s="30">
        <f t="shared" si="36"/>
        <v>1043.1200000000244</v>
      </c>
      <c r="AC77" s="30">
        <f t="shared" si="36"/>
        <v>1090.7399999999907</v>
      </c>
      <c r="AD77" s="30">
        <f t="shared" si="36"/>
        <v>952.55999999999767</v>
      </c>
      <c r="AE77" s="30">
        <f t="shared" si="36"/>
        <v>838</v>
      </c>
      <c r="AF77" s="30">
        <f t="shared" si="36"/>
        <v>804</v>
      </c>
      <c r="AG77" s="30">
        <f t="shared" si="36"/>
        <v>0</v>
      </c>
      <c r="AH77" s="30">
        <f t="shared" si="36"/>
        <v>843</v>
      </c>
      <c r="AI77" s="30">
        <f t="shared" si="25"/>
        <v>22644</v>
      </c>
    </row>
    <row r="78" spans="1:37" ht="14.5" customHeight="1">
      <c r="A78" s="2">
        <v>3</v>
      </c>
      <c r="B78" s="2" t="s">
        <v>129</v>
      </c>
      <c r="C78" s="503" t="s">
        <v>125</v>
      </c>
      <c r="D78" s="501"/>
      <c r="E78" s="30">
        <f t="shared" ref="E78:AH78" si="37">E35-D35</f>
        <v>752.82999999998719</v>
      </c>
      <c r="F78" s="30">
        <f t="shared" si="37"/>
        <v>1336.4300000000221</v>
      </c>
      <c r="G78" s="30">
        <f t="shared" si="37"/>
        <v>1268.4199999999837</v>
      </c>
      <c r="H78" s="30">
        <f t="shared" si="37"/>
        <v>805.85000000000582</v>
      </c>
      <c r="I78" s="30">
        <f t="shared" si="37"/>
        <v>750.66000000000349</v>
      </c>
      <c r="J78" s="30">
        <f t="shared" si="37"/>
        <v>727.82000000000698</v>
      </c>
      <c r="K78" s="30">
        <f t="shared" si="37"/>
        <v>682.72000000000116</v>
      </c>
      <c r="L78" s="30">
        <f t="shared" si="37"/>
        <v>0</v>
      </c>
      <c r="M78" s="30">
        <f t="shared" si="37"/>
        <v>1200.109999999986</v>
      </c>
      <c r="N78" s="30">
        <f t="shared" si="37"/>
        <v>953.29000000000815</v>
      </c>
      <c r="O78" s="30">
        <f t="shared" si="37"/>
        <v>847.54000000000815</v>
      </c>
      <c r="P78" s="30">
        <f t="shared" si="37"/>
        <v>808.40999999997439</v>
      </c>
      <c r="Q78" s="30">
        <f t="shared" si="37"/>
        <v>743.56000000002678</v>
      </c>
      <c r="R78" s="30">
        <f t="shared" si="37"/>
        <v>574.38999999998487</v>
      </c>
      <c r="S78" s="30">
        <f t="shared" si="37"/>
        <v>0</v>
      </c>
      <c r="T78" s="30">
        <f t="shared" si="37"/>
        <v>988.05999999999767</v>
      </c>
      <c r="U78" s="30">
        <f t="shared" si="37"/>
        <v>817.64999999999418</v>
      </c>
      <c r="V78" s="30">
        <f t="shared" si="37"/>
        <v>757.27999999999884</v>
      </c>
      <c r="W78" s="30">
        <f t="shared" si="37"/>
        <v>803.61000000001513</v>
      </c>
      <c r="X78" s="30">
        <f t="shared" si="37"/>
        <v>806.02999999999884</v>
      </c>
      <c r="Y78" s="30">
        <f t="shared" si="37"/>
        <v>369</v>
      </c>
      <c r="Z78" s="30">
        <f t="shared" si="37"/>
        <v>0</v>
      </c>
      <c r="AA78" s="30">
        <f t="shared" si="37"/>
        <v>1090.4499999999825</v>
      </c>
      <c r="AB78" s="30">
        <f t="shared" si="37"/>
        <v>1064.9900000000198</v>
      </c>
      <c r="AC78" s="30">
        <f t="shared" si="37"/>
        <v>916.02999999999884</v>
      </c>
      <c r="AD78" s="30">
        <f t="shared" si="37"/>
        <v>921.97000000000116</v>
      </c>
      <c r="AE78" s="30">
        <f t="shared" si="37"/>
        <v>845.89999999999418</v>
      </c>
      <c r="AF78" s="30">
        <f t="shared" si="37"/>
        <v>663</v>
      </c>
      <c r="AG78" s="30">
        <f t="shared" si="37"/>
        <v>0</v>
      </c>
      <c r="AH78" s="30">
        <f t="shared" si="37"/>
        <v>843</v>
      </c>
      <c r="AI78" s="30">
        <f t="shared" si="25"/>
        <v>22339</v>
      </c>
    </row>
    <row r="79" spans="1:37" ht="14.5" customHeight="1">
      <c r="A79" s="2">
        <v>4</v>
      </c>
      <c r="B79" s="2" t="s">
        <v>129</v>
      </c>
      <c r="C79" s="503" t="s">
        <v>126</v>
      </c>
      <c r="D79" s="501"/>
      <c r="E79" s="30">
        <f t="shared" ref="E79:AH79" si="38">E36-D36</f>
        <v>795.11999999999534</v>
      </c>
      <c r="F79" s="30">
        <f t="shared" si="38"/>
        <v>1417.8500000000058</v>
      </c>
      <c r="G79" s="30">
        <f t="shared" si="38"/>
        <v>1475.6199999999953</v>
      </c>
      <c r="H79" s="30">
        <f t="shared" si="38"/>
        <v>858.19000000000233</v>
      </c>
      <c r="I79" s="30">
        <f t="shared" si="38"/>
        <v>747.01999999998952</v>
      </c>
      <c r="J79" s="30">
        <f t="shared" si="38"/>
        <v>688.30999999999767</v>
      </c>
      <c r="K79" s="30">
        <f t="shared" si="38"/>
        <v>587.28000000002794</v>
      </c>
      <c r="L79" s="30">
        <f t="shared" si="38"/>
        <v>0</v>
      </c>
      <c r="M79" s="30">
        <f t="shared" si="38"/>
        <v>1365.5999999999767</v>
      </c>
      <c r="N79" s="30">
        <f t="shared" si="38"/>
        <v>1018.2900000000081</v>
      </c>
      <c r="O79" s="30">
        <f t="shared" si="38"/>
        <v>891.08999999999651</v>
      </c>
      <c r="P79" s="30">
        <f t="shared" si="38"/>
        <v>843.66000000000349</v>
      </c>
      <c r="Q79" s="30">
        <f t="shared" si="38"/>
        <v>655.20999999999185</v>
      </c>
      <c r="R79" s="30">
        <f t="shared" si="38"/>
        <v>389.13000000000466</v>
      </c>
      <c r="S79" s="30">
        <f t="shared" si="38"/>
        <v>0</v>
      </c>
      <c r="T79" s="30">
        <f t="shared" si="38"/>
        <v>1037.429999999993</v>
      </c>
      <c r="U79" s="30">
        <f t="shared" si="38"/>
        <v>793.02999999999884</v>
      </c>
      <c r="V79" s="30">
        <f t="shared" si="38"/>
        <v>739.93000000002212</v>
      </c>
      <c r="W79" s="30">
        <f t="shared" si="38"/>
        <v>807.88999999998487</v>
      </c>
      <c r="X79" s="30">
        <f t="shared" si="38"/>
        <v>764.83999999999651</v>
      </c>
      <c r="Y79" s="30">
        <f t="shared" si="38"/>
        <v>324.77999999999884</v>
      </c>
      <c r="Z79" s="30">
        <f t="shared" si="38"/>
        <v>0</v>
      </c>
      <c r="AA79" s="30">
        <f t="shared" si="38"/>
        <v>1210.3399999999965</v>
      </c>
      <c r="AB79" s="30">
        <f t="shared" si="38"/>
        <v>1030.4400000000023</v>
      </c>
      <c r="AC79" s="30">
        <f t="shared" si="38"/>
        <v>877.48000000001048</v>
      </c>
      <c r="AD79" s="30">
        <f t="shared" si="38"/>
        <v>1169.3399999999965</v>
      </c>
      <c r="AE79" s="30">
        <f t="shared" si="38"/>
        <v>896.13000000000466</v>
      </c>
      <c r="AF79" s="30">
        <f t="shared" si="38"/>
        <v>515</v>
      </c>
      <c r="AG79" s="30">
        <f t="shared" si="38"/>
        <v>0</v>
      </c>
      <c r="AH79" s="30">
        <f t="shared" si="38"/>
        <v>814</v>
      </c>
      <c r="AI79" s="30">
        <f t="shared" si="25"/>
        <v>22713</v>
      </c>
    </row>
    <row r="80" spans="1:37" ht="15" customHeight="1">
      <c r="A80" s="99"/>
      <c r="B80" s="99"/>
      <c r="C80" s="500" t="s">
        <v>136</v>
      </c>
      <c r="D80" s="501"/>
      <c r="E80" s="23">
        <f t="shared" ref="E80:AI80" si="39">SUM(E76:E79)</f>
        <v>3273.5799999999872</v>
      </c>
      <c r="F80" s="23">
        <f t="shared" si="39"/>
        <v>5357.2600000000384</v>
      </c>
      <c r="G80" s="23">
        <f t="shared" si="39"/>
        <v>5459.0299999999697</v>
      </c>
      <c r="H80" s="23">
        <f t="shared" si="39"/>
        <v>3064.9199999999983</v>
      </c>
      <c r="I80" s="23">
        <f t="shared" si="39"/>
        <v>2890.6200000000099</v>
      </c>
      <c r="J80" s="23">
        <f t="shared" si="39"/>
        <v>2671.1999999999825</v>
      </c>
      <c r="K80" s="23">
        <f t="shared" si="39"/>
        <v>2401.2600000000239</v>
      </c>
      <c r="L80" s="23">
        <f t="shared" si="39"/>
        <v>0</v>
      </c>
      <c r="M80" s="23">
        <f t="shared" si="39"/>
        <v>4689.8499999999913</v>
      </c>
      <c r="N80" s="23">
        <f t="shared" si="39"/>
        <v>3627.210000000021</v>
      </c>
      <c r="O80" s="23">
        <f t="shared" si="39"/>
        <v>3138.0199999999895</v>
      </c>
      <c r="P80" s="23">
        <f t="shared" si="39"/>
        <v>2901.5199999999604</v>
      </c>
      <c r="Q80" s="23">
        <f t="shared" si="39"/>
        <v>2341.640000000014</v>
      </c>
      <c r="R80" s="23">
        <f t="shared" si="39"/>
        <v>1820.9300000000221</v>
      </c>
      <c r="S80" s="23">
        <f t="shared" si="39"/>
        <v>0</v>
      </c>
      <c r="T80" s="23">
        <f t="shared" si="39"/>
        <v>4026.8299999999872</v>
      </c>
      <c r="U80" s="23">
        <f t="shared" si="39"/>
        <v>3153.359999999986</v>
      </c>
      <c r="V80" s="23">
        <f t="shared" si="39"/>
        <v>2820.2000000000116</v>
      </c>
      <c r="W80" s="23">
        <f t="shared" si="39"/>
        <v>3004.9200000000128</v>
      </c>
      <c r="X80" s="23">
        <f t="shared" si="39"/>
        <v>2925.5199999999604</v>
      </c>
      <c r="Y80" s="23">
        <f t="shared" si="39"/>
        <v>1458.2700000000186</v>
      </c>
      <c r="Z80" s="23">
        <f t="shared" si="39"/>
        <v>0</v>
      </c>
      <c r="AA80" s="23">
        <f t="shared" si="39"/>
        <v>4607.5899999999674</v>
      </c>
      <c r="AB80" s="23">
        <f t="shared" si="39"/>
        <v>4090.4400000000605</v>
      </c>
      <c r="AC80" s="23">
        <f t="shared" si="39"/>
        <v>3603.5899999999965</v>
      </c>
      <c r="AD80" s="23">
        <f t="shared" si="39"/>
        <v>3773.3099999999977</v>
      </c>
      <c r="AE80" s="23">
        <f t="shared" si="39"/>
        <v>3301.929999999993</v>
      </c>
      <c r="AF80" s="23">
        <f t="shared" si="39"/>
        <v>2399</v>
      </c>
      <c r="AG80" s="23">
        <f t="shared" si="39"/>
        <v>0</v>
      </c>
      <c r="AH80" s="23">
        <f t="shared" si="39"/>
        <v>3305</v>
      </c>
      <c r="AI80" s="24">
        <f t="shared" si="39"/>
        <v>86107</v>
      </c>
    </row>
  </sheetData>
  <mergeCells count="49">
    <mergeCell ref="B3:B6"/>
    <mergeCell ref="C45:D45"/>
    <mergeCell ref="C74:D74"/>
    <mergeCell ref="C75:D75"/>
    <mergeCell ref="C50:D50"/>
    <mergeCell ref="B40:D40"/>
    <mergeCell ref="B41:B44"/>
    <mergeCell ref="C79:D79"/>
    <mergeCell ref="C73:D73"/>
    <mergeCell ref="C47:D47"/>
    <mergeCell ref="C54:D54"/>
    <mergeCell ref="C63:D63"/>
    <mergeCell ref="C65:D65"/>
    <mergeCell ref="C55:D55"/>
    <mergeCell ref="C77:D77"/>
    <mergeCell ref="C68:D68"/>
    <mergeCell ref="C58:D58"/>
    <mergeCell ref="C80:D80"/>
    <mergeCell ref="E2:AH2"/>
    <mergeCell ref="C56:D56"/>
    <mergeCell ref="C59:D59"/>
    <mergeCell ref="C46:D46"/>
    <mergeCell ref="C60:D60"/>
    <mergeCell ref="C51:D51"/>
    <mergeCell ref="C76:D76"/>
    <mergeCell ref="C71:D71"/>
    <mergeCell ref="D3:D6"/>
    <mergeCell ref="C61:D61"/>
    <mergeCell ref="C72:D72"/>
    <mergeCell ref="A2:D2"/>
    <mergeCell ref="C78:D78"/>
    <mergeCell ref="A41:A44"/>
    <mergeCell ref="A3:A6"/>
    <mergeCell ref="AI41:AI44"/>
    <mergeCell ref="AI3:AI6"/>
    <mergeCell ref="C70:D70"/>
    <mergeCell ref="C52:D52"/>
    <mergeCell ref="C48:D48"/>
    <mergeCell ref="A32:AI32"/>
    <mergeCell ref="C67:D67"/>
    <mergeCell ref="C57:D57"/>
    <mergeCell ref="A23:AI23"/>
    <mergeCell ref="C3:C6"/>
    <mergeCell ref="C66:D66"/>
    <mergeCell ref="C41:D44"/>
    <mergeCell ref="C53:D53"/>
    <mergeCell ref="B39:D39"/>
    <mergeCell ref="C69:D69"/>
    <mergeCell ref="C49:D49"/>
  </mergeCells>
  <pageMargins left="0.7" right="0.7" top="0.75" bottom="0.75" header="0.3" footer="0.3"/>
  <pageSetup paperSize="9" orientation="portrait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L80"/>
  <sheetViews>
    <sheetView topLeftCell="G9" zoomScale="99" workbookViewId="0">
      <selection activeCell="A22" sqref="A22:AJ22"/>
    </sheetView>
  </sheetViews>
  <sheetFormatPr defaultColWidth="18" defaultRowHeight="14.5"/>
  <cols>
    <col min="1" max="1" width="14" style="70" bestFit="1" customWidth="1"/>
    <col min="2" max="2" width="27" style="70" bestFit="1" customWidth="1"/>
    <col min="3" max="3" width="32" style="89" bestFit="1" customWidth="1"/>
    <col min="4" max="4" width="20" style="110" bestFit="1" customWidth="1"/>
    <col min="5" max="5" width="23" style="70" bestFit="1" customWidth="1"/>
    <col min="6" max="32" width="23" customWidth="1"/>
    <col min="33" max="33" width="23" style="70" bestFit="1" customWidth="1"/>
    <col min="34" max="34" width="23" style="70" customWidth="1"/>
    <col min="35" max="35" width="23" style="70" bestFit="1" customWidth="1"/>
    <col min="36" max="36" width="18" style="70" bestFit="1" customWidth="1"/>
    <col min="37" max="37" width="14" style="70" customWidth="1"/>
    <col min="38" max="39" width="18" style="70" customWidth="1"/>
    <col min="40" max="16384" width="18" style="70"/>
  </cols>
  <sheetData>
    <row r="2" spans="1:37" ht="16.5" customHeight="1">
      <c r="A2" s="537"/>
      <c r="B2" s="526"/>
      <c r="C2" s="526"/>
      <c r="D2" s="527"/>
      <c r="E2" s="535" t="s">
        <v>144</v>
      </c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7"/>
      <c r="AJ2" s="69"/>
    </row>
    <row r="3" spans="1:37" ht="13" customHeight="1">
      <c r="A3" s="533" t="s">
        <v>99</v>
      </c>
      <c r="B3" s="533" t="s">
        <v>100</v>
      </c>
      <c r="C3" s="533" t="s">
        <v>101</v>
      </c>
      <c r="D3" s="536" t="s">
        <v>102</v>
      </c>
      <c r="E3" s="71">
        <v>45566</v>
      </c>
      <c r="F3" s="71">
        <v>45567</v>
      </c>
      <c r="G3" s="71">
        <v>45568</v>
      </c>
      <c r="H3" s="71">
        <v>45569</v>
      </c>
      <c r="I3" s="71">
        <v>45570</v>
      </c>
      <c r="J3" s="71">
        <v>45571</v>
      </c>
      <c r="K3" s="71">
        <v>45572</v>
      </c>
      <c r="L3" s="71">
        <v>45573</v>
      </c>
      <c r="M3" s="71">
        <v>45574</v>
      </c>
      <c r="N3" s="71">
        <v>45575</v>
      </c>
      <c r="O3" s="71">
        <v>45576</v>
      </c>
      <c r="P3" s="71">
        <v>45577</v>
      </c>
      <c r="Q3" s="71">
        <v>45578</v>
      </c>
      <c r="R3" s="71">
        <v>45579</v>
      </c>
      <c r="S3" s="71">
        <v>45580</v>
      </c>
      <c r="T3" s="71">
        <v>45581</v>
      </c>
      <c r="U3" s="71">
        <v>45582</v>
      </c>
      <c r="V3" s="71">
        <v>45583</v>
      </c>
      <c r="W3" s="71">
        <v>45584</v>
      </c>
      <c r="X3" s="71">
        <v>45585</v>
      </c>
      <c r="Y3" s="71">
        <v>45586</v>
      </c>
      <c r="Z3" s="71">
        <v>45587</v>
      </c>
      <c r="AA3" s="71">
        <v>45588</v>
      </c>
      <c r="AB3" s="71">
        <v>45589</v>
      </c>
      <c r="AC3" s="71">
        <v>45590</v>
      </c>
      <c r="AD3" s="71">
        <v>45591</v>
      </c>
      <c r="AE3" s="71">
        <v>45592</v>
      </c>
      <c r="AF3" s="71">
        <v>45593</v>
      </c>
      <c r="AG3" s="71">
        <v>45594</v>
      </c>
      <c r="AH3" s="71">
        <v>45595</v>
      </c>
      <c r="AI3" s="71">
        <v>45596</v>
      </c>
      <c r="AJ3" s="530" t="s">
        <v>1</v>
      </c>
    </row>
    <row r="4" spans="1:37" ht="13" customHeight="1">
      <c r="A4" s="511"/>
      <c r="B4" s="511"/>
      <c r="C4" s="511"/>
      <c r="D4" s="511"/>
      <c r="E4" s="72" t="s">
        <v>107</v>
      </c>
      <c r="F4" s="72" t="s">
        <v>108</v>
      </c>
      <c r="G4" s="72" t="s">
        <v>109</v>
      </c>
      <c r="H4" s="72" t="s">
        <v>103</v>
      </c>
      <c r="I4" s="72" t="s">
        <v>104</v>
      </c>
      <c r="J4" s="72" t="s">
        <v>105</v>
      </c>
      <c r="K4" s="72" t="s">
        <v>106</v>
      </c>
      <c r="L4" s="72" t="s">
        <v>107</v>
      </c>
      <c r="M4" s="72" t="s">
        <v>108</v>
      </c>
      <c r="N4" s="72" t="s">
        <v>109</v>
      </c>
      <c r="O4" s="72" t="s">
        <v>103</v>
      </c>
      <c r="P4" s="72" t="s">
        <v>104</v>
      </c>
      <c r="Q4" s="72" t="s">
        <v>105</v>
      </c>
      <c r="R4" s="72" t="s">
        <v>106</v>
      </c>
      <c r="S4" s="72" t="s">
        <v>107</v>
      </c>
      <c r="T4" s="72" t="s">
        <v>108</v>
      </c>
      <c r="U4" s="72" t="s">
        <v>109</v>
      </c>
      <c r="V4" s="72" t="s">
        <v>103</v>
      </c>
      <c r="W4" s="72" t="s">
        <v>104</v>
      </c>
      <c r="X4" s="72" t="s">
        <v>105</v>
      </c>
      <c r="Y4" s="72" t="s">
        <v>106</v>
      </c>
      <c r="Z4" s="72" t="s">
        <v>107</v>
      </c>
      <c r="AA4" s="72" t="s">
        <v>108</v>
      </c>
      <c r="AB4" s="72" t="s">
        <v>109</v>
      </c>
      <c r="AC4" s="72" t="s">
        <v>103</v>
      </c>
      <c r="AD4" s="72" t="s">
        <v>104</v>
      </c>
      <c r="AE4" s="72" t="s">
        <v>105</v>
      </c>
      <c r="AF4" s="72" t="s">
        <v>106</v>
      </c>
      <c r="AG4" s="72" t="s">
        <v>107</v>
      </c>
      <c r="AH4" s="72" t="s">
        <v>108</v>
      </c>
      <c r="AI4" s="72" t="s">
        <v>109</v>
      </c>
      <c r="AJ4" s="511"/>
    </row>
    <row r="5" spans="1:37" ht="13" customHeight="1">
      <c r="A5" s="511"/>
      <c r="B5" s="511"/>
      <c r="C5" s="511"/>
      <c r="D5" s="511"/>
      <c r="E5" s="72" t="s">
        <v>110</v>
      </c>
      <c r="F5" s="72" t="s">
        <v>110</v>
      </c>
      <c r="G5" s="72" t="s">
        <v>110</v>
      </c>
      <c r="H5" s="72" t="s">
        <v>110</v>
      </c>
      <c r="I5" s="72" t="s">
        <v>110</v>
      </c>
      <c r="J5" s="72" t="s">
        <v>110</v>
      </c>
      <c r="K5" s="72" t="s">
        <v>110</v>
      </c>
      <c r="L5" s="72" t="s">
        <v>110</v>
      </c>
      <c r="M5" s="72" t="s">
        <v>110</v>
      </c>
      <c r="N5" s="72" t="s">
        <v>110</v>
      </c>
      <c r="O5" s="72" t="s">
        <v>110</v>
      </c>
      <c r="P5" s="72" t="s">
        <v>110</v>
      </c>
      <c r="Q5" s="72" t="s">
        <v>110</v>
      </c>
      <c r="R5" s="72" t="s">
        <v>110</v>
      </c>
      <c r="S5" s="72" t="s">
        <v>110</v>
      </c>
      <c r="T5" s="72" t="s">
        <v>110</v>
      </c>
      <c r="U5" s="72" t="s">
        <v>110</v>
      </c>
      <c r="V5" s="72" t="s">
        <v>110</v>
      </c>
      <c r="W5" s="72" t="s">
        <v>110</v>
      </c>
      <c r="X5" s="72" t="s">
        <v>110</v>
      </c>
      <c r="Y5" s="72" t="s">
        <v>110</v>
      </c>
      <c r="Z5" s="72" t="s">
        <v>110</v>
      </c>
      <c r="AA5" s="72" t="s">
        <v>110</v>
      </c>
      <c r="AB5" s="72" t="s">
        <v>110</v>
      </c>
      <c r="AC5" s="72" t="s">
        <v>110</v>
      </c>
      <c r="AD5" s="72" t="s">
        <v>110</v>
      </c>
      <c r="AE5" s="72" t="s">
        <v>110</v>
      </c>
      <c r="AF5" s="72" t="s">
        <v>110</v>
      </c>
      <c r="AG5" s="72" t="s">
        <v>110</v>
      </c>
      <c r="AH5" s="72" t="s">
        <v>110</v>
      </c>
      <c r="AI5" s="72" t="s">
        <v>110</v>
      </c>
      <c r="AJ5" s="511"/>
    </row>
    <row r="6" spans="1:37" ht="13" customHeight="1">
      <c r="A6" s="512"/>
      <c r="B6" s="512"/>
      <c r="C6" s="512"/>
      <c r="D6" s="512"/>
      <c r="E6" s="73">
        <v>0.33333333333333331</v>
      </c>
      <c r="F6" s="73">
        <v>0.33333333333333331</v>
      </c>
      <c r="G6" s="73">
        <v>0.33333333333333331</v>
      </c>
      <c r="H6" s="73">
        <v>0.33333333333333331</v>
      </c>
      <c r="I6" s="73">
        <v>0.33333333333333331</v>
      </c>
      <c r="J6" s="73">
        <v>0.33333333333333331</v>
      </c>
      <c r="K6" s="73">
        <v>0.33333333333333331</v>
      </c>
      <c r="L6" s="73">
        <v>0.33333333333333331</v>
      </c>
      <c r="M6" s="73">
        <v>0.33333333333333331</v>
      </c>
      <c r="N6" s="73">
        <v>0.33333333333333331</v>
      </c>
      <c r="O6" s="73">
        <v>0.33333333333333331</v>
      </c>
      <c r="P6" s="73">
        <v>0.33333333333333331</v>
      </c>
      <c r="Q6" s="73">
        <v>0.33333333333333331</v>
      </c>
      <c r="R6" s="73">
        <v>0.33333333333333331</v>
      </c>
      <c r="S6" s="73">
        <v>0.33333333333333331</v>
      </c>
      <c r="T6" s="73">
        <v>0.33333333333333331</v>
      </c>
      <c r="U6" s="73">
        <v>0.33333333333333331</v>
      </c>
      <c r="V6" s="73">
        <v>0.33333333333333331</v>
      </c>
      <c r="W6" s="73">
        <v>0.33333333333333331</v>
      </c>
      <c r="X6" s="73">
        <v>0.33333333333333331</v>
      </c>
      <c r="Y6" s="73">
        <v>0.33333333333333331</v>
      </c>
      <c r="Z6" s="73">
        <v>0.33333333333333331</v>
      </c>
      <c r="AA6" s="73">
        <v>0.33333333333333331</v>
      </c>
      <c r="AB6" s="73">
        <v>0.33333333333333331</v>
      </c>
      <c r="AC6" s="73">
        <v>0.33333333333333331</v>
      </c>
      <c r="AD6" s="73">
        <v>0.33333333333333331</v>
      </c>
      <c r="AE6" s="73">
        <v>0.33333333333333331</v>
      </c>
      <c r="AF6" s="73">
        <v>0.33333333333333331</v>
      </c>
      <c r="AG6" s="73">
        <v>0.33333333333333331</v>
      </c>
      <c r="AH6" s="73">
        <v>0.33333333333333331</v>
      </c>
      <c r="AI6" s="73">
        <v>0.33333333333333331</v>
      </c>
      <c r="AJ6" s="512"/>
    </row>
    <row r="7" spans="1:37" ht="20.149999999999999" customHeight="1">
      <c r="A7" s="54">
        <v>1</v>
      </c>
      <c r="B7" s="54" t="s">
        <v>129</v>
      </c>
      <c r="C7" s="54" t="s">
        <v>111</v>
      </c>
      <c r="D7" s="74">
        <v>54816</v>
      </c>
      <c r="E7" s="4">
        <v>55183</v>
      </c>
      <c r="F7" s="4">
        <v>55389</v>
      </c>
      <c r="G7" s="5">
        <v>55661</v>
      </c>
      <c r="H7" s="5">
        <v>55913</v>
      </c>
      <c r="I7" s="4">
        <v>56117</v>
      </c>
      <c r="J7" s="4">
        <v>56319</v>
      </c>
      <c r="K7" s="4">
        <v>56597</v>
      </c>
      <c r="L7" s="4">
        <v>56862</v>
      </c>
      <c r="M7" s="6">
        <v>57081</v>
      </c>
      <c r="N7" s="4">
        <v>57327</v>
      </c>
      <c r="O7" s="4">
        <v>57583</v>
      </c>
      <c r="P7" s="58">
        <v>57795</v>
      </c>
      <c r="Q7" s="48">
        <v>58004</v>
      </c>
      <c r="R7" s="59">
        <v>58270</v>
      </c>
      <c r="S7" s="4">
        <v>58557</v>
      </c>
      <c r="T7" s="4">
        <v>58807</v>
      </c>
      <c r="U7" s="4">
        <v>59081</v>
      </c>
      <c r="V7" s="6">
        <v>59318</v>
      </c>
      <c r="W7" s="4">
        <v>59521</v>
      </c>
      <c r="X7" s="4">
        <v>59731</v>
      </c>
      <c r="Y7" s="4">
        <v>60021</v>
      </c>
      <c r="Z7" s="4">
        <v>60266</v>
      </c>
      <c r="AA7" s="4">
        <v>60534</v>
      </c>
      <c r="AB7" s="4">
        <v>60798</v>
      </c>
      <c r="AC7" s="4">
        <v>61043</v>
      </c>
      <c r="AD7" s="4">
        <v>61254</v>
      </c>
      <c r="AE7" s="2">
        <v>61469</v>
      </c>
      <c r="AF7" s="2">
        <v>61709</v>
      </c>
      <c r="AG7" s="54">
        <v>61953</v>
      </c>
      <c r="AH7" s="54">
        <v>62161</v>
      </c>
      <c r="AI7" s="54">
        <v>62276</v>
      </c>
      <c r="AJ7" s="77">
        <f t="shared" ref="AJ7:AJ22" si="0">AI7-D7</f>
        <v>7460</v>
      </c>
      <c r="AK7" s="78"/>
    </row>
    <row r="8" spans="1:37" ht="20.149999999999999" customHeight="1">
      <c r="A8" s="49"/>
      <c r="B8" s="49"/>
      <c r="C8" s="79" t="s">
        <v>22</v>
      </c>
      <c r="D8" s="79">
        <v>3578</v>
      </c>
      <c r="E8" s="49">
        <v>3626</v>
      </c>
      <c r="F8" s="49">
        <v>3630</v>
      </c>
      <c r="G8" s="49">
        <v>3630</v>
      </c>
      <c r="H8" s="49">
        <v>3630</v>
      </c>
      <c r="I8" s="49">
        <v>3630</v>
      </c>
      <c r="J8" s="49">
        <v>3630</v>
      </c>
      <c r="K8" s="49">
        <v>3630</v>
      </c>
      <c r="L8" s="49">
        <v>3631</v>
      </c>
      <c r="M8" s="76">
        <v>3663</v>
      </c>
      <c r="N8" s="49">
        <v>3663</v>
      </c>
      <c r="O8" s="49">
        <v>3665</v>
      </c>
      <c r="P8" s="49">
        <v>3665</v>
      </c>
      <c r="Q8" s="49">
        <v>3665</v>
      </c>
      <c r="R8" s="49">
        <v>3665</v>
      </c>
      <c r="S8" s="49">
        <v>3665</v>
      </c>
      <c r="T8" s="49">
        <v>3665</v>
      </c>
      <c r="U8" s="49">
        <v>3665</v>
      </c>
      <c r="V8" s="49">
        <v>3678</v>
      </c>
      <c r="W8" s="49">
        <v>3678</v>
      </c>
      <c r="X8" s="49">
        <v>3678</v>
      </c>
      <c r="Y8" s="49">
        <v>3678</v>
      </c>
      <c r="Z8" s="49">
        <v>3678</v>
      </c>
      <c r="AA8" s="49">
        <v>3678</v>
      </c>
      <c r="AB8" s="49">
        <v>3678</v>
      </c>
      <c r="AC8" s="49">
        <v>3678</v>
      </c>
      <c r="AD8" s="49">
        <v>3678</v>
      </c>
      <c r="AE8" s="49">
        <v>3678</v>
      </c>
      <c r="AF8" s="49">
        <v>3678</v>
      </c>
      <c r="AG8" s="49">
        <v>3678</v>
      </c>
      <c r="AH8" s="49">
        <v>3678</v>
      </c>
      <c r="AI8" s="49">
        <v>3678</v>
      </c>
      <c r="AJ8" s="77">
        <f t="shared" si="0"/>
        <v>100</v>
      </c>
      <c r="AK8" s="78"/>
    </row>
    <row r="9" spans="1:37" ht="20.149999999999999" customHeight="1">
      <c r="A9" s="2">
        <v>2</v>
      </c>
      <c r="B9" s="2" t="s">
        <v>129</v>
      </c>
      <c r="C9" s="2" t="s">
        <v>112</v>
      </c>
      <c r="D9" s="80">
        <v>1956</v>
      </c>
      <c r="E9" s="2">
        <v>1956</v>
      </c>
      <c r="F9" s="2">
        <v>1956</v>
      </c>
      <c r="G9" s="2">
        <v>1956</v>
      </c>
      <c r="H9" s="2">
        <v>1956</v>
      </c>
      <c r="I9" s="2">
        <v>1956</v>
      </c>
      <c r="J9" s="2">
        <v>1956</v>
      </c>
      <c r="K9" s="2">
        <v>1956</v>
      </c>
      <c r="L9" s="2">
        <v>1956</v>
      </c>
      <c r="M9" s="2">
        <v>1956</v>
      </c>
      <c r="N9" s="2">
        <v>1956</v>
      </c>
      <c r="O9" s="2">
        <v>1956</v>
      </c>
      <c r="P9" s="2">
        <v>1956</v>
      </c>
      <c r="Q9" s="2">
        <v>1956</v>
      </c>
      <c r="R9" s="2">
        <v>1956</v>
      </c>
      <c r="S9" s="2">
        <v>1956</v>
      </c>
      <c r="T9" s="2">
        <v>1956</v>
      </c>
      <c r="U9" s="2">
        <v>1956</v>
      </c>
      <c r="V9" s="2">
        <v>1956</v>
      </c>
      <c r="W9" s="2">
        <v>1956</v>
      </c>
      <c r="X9" s="2">
        <v>1956</v>
      </c>
      <c r="Y9" s="2">
        <v>1956</v>
      </c>
      <c r="Z9" s="2">
        <v>1956</v>
      </c>
      <c r="AA9" s="2">
        <v>1956</v>
      </c>
      <c r="AB9" s="2">
        <v>1956</v>
      </c>
      <c r="AC9" s="2">
        <v>1956</v>
      </c>
      <c r="AD9" s="2">
        <v>1956</v>
      </c>
      <c r="AE9" s="2">
        <v>1956</v>
      </c>
      <c r="AF9" s="2">
        <v>1956</v>
      </c>
      <c r="AG9" s="2">
        <v>1956</v>
      </c>
      <c r="AH9" s="2">
        <v>1956</v>
      </c>
      <c r="AI9" s="2">
        <v>1956</v>
      </c>
      <c r="AJ9" s="77">
        <f t="shared" si="0"/>
        <v>0</v>
      </c>
    </row>
    <row r="10" spans="1:37" ht="20.149999999999999" customHeight="1">
      <c r="A10" s="2"/>
      <c r="B10" s="2"/>
      <c r="C10" s="79" t="s">
        <v>22</v>
      </c>
      <c r="D10" s="80">
        <v>28.6</v>
      </c>
      <c r="E10" s="2">
        <v>28.6</v>
      </c>
      <c r="F10" s="2">
        <v>28.6</v>
      </c>
      <c r="G10" s="2">
        <v>28.6</v>
      </c>
      <c r="H10" s="2">
        <v>28.6</v>
      </c>
      <c r="I10" s="2">
        <v>28.6</v>
      </c>
      <c r="J10" s="2">
        <v>28.6</v>
      </c>
      <c r="K10" s="2">
        <v>28.6</v>
      </c>
      <c r="L10" s="2">
        <v>28.6</v>
      </c>
      <c r="M10" s="2">
        <v>28.6</v>
      </c>
      <c r="N10" s="2">
        <v>28.6</v>
      </c>
      <c r="O10" s="2">
        <v>28.6</v>
      </c>
      <c r="P10" s="2">
        <v>28.6</v>
      </c>
      <c r="Q10" s="2">
        <v>28.6</v>
      </c>
      <c r="R10" s="2">
        <v>28.6</v>
      </c>
      <c r="S10" s="2">
        <v>28.6</v>
      </c>
      <c r="T10" s="2">
        <v>28.6</v>
      </c>
      <c r="U10" s="2">
        <v>28.6</v>
      </c>
      <c r="V10" s="2">
        <v>28.6</v>
      </c>
      <c r="W10" s="2">
        <v>28.6</v>
      </c>
      <c r="X10" s="2">
        <v>28.6</v>
      </c>
      <c r="Y10" s="2">
        <v>28.6</v>
      </c>
      <c r="Z10" s="2">
        <v>28.6</v>
      </c>
      <c r="AA10" s="2">
        <v>28.6</v>
      </c>
      <c r="AB10" s="2">
        <v>28.6</v>
      </c>
      <c r="AC10" s="2">
        <v>28.6</v>
      </c>
      <c r="AD10" s="2">
        <v>28.6</v>
      </c>
      <c r="AE10" s="2">
        <v>28.6</v>
      </c>
      <c r="AF10" s="2">
        <v>28.6</v>
      </c>
      <c r="AG10" s="2">
        <v>28.6</v>
      </c>
      <c r="AH10" s="2">
        <v>28.6</v>
      </c>
      <c r="AI10" s="2">
        <v>28.6</v>
      </c>
      <c r="AJ10" s="77">
        <f t="shared" si="0"/>
        <v>0</v>
      </c>
    </row>
    <row r="11" spans="1:37" ht="20.149999999999999" customHeight="1">
      <c r="A11" s="2">
        <v>3</v>
      </c>
      <c r="B11" s="2" t="s">
        <v>129</v>
      </c>
      <c r="C11" s="2" t="s">
        <v>113</v>
      </c>
      <c r="D11" s="79">
        <v>83064</v>
      </c>
      <c r="E11" s="4">
        <v>83574</v>
      </c>
      <c r="F11" s="4">
        <v>83846</v>
      </c>
      <c r="G11" s="4">
        <v>84233</v>
      </c>
      <c r="H11" s="4">
        <v>84587</v>
      </c>
      <c r="I11" s="4">
        <v>84854</v>
      </c>
      <c r="J11" s="4">
        <v>85127</v>
      </c>
      <c r="K11" s="4">
        <v>85517</v>
      </c>
      <c r="L11" s="4">
        <v>85896</v>
      </c>
      <c r="M11" s="4">
        <v>86225</v>
      </c>
      <c r="N11" s="4">
        <v>86592</v>
      </c>
      <c r="O11" s="4">
        <v>86919</v>
      </c>
      <c r="P11" s="4">
        <v>87197</v>
      </c>
      <c r="Q11" s="4">
        <v>87471</v>
      </c>
      <c r="R11" s="4">
        <v>87844</v>
      </c>
      <c r="S11" s="4">
        <v>88255</v>
      </c>
      <c r="T11" s="4">
        <v>88627</v>
      </c>
      <c r="U11" s="4">
        <v>89017</v>
      </c>
      <c r="V11" s="4">
        <v>89356</v>
      </c>
      <c r="W11" s="4">
        <v>89622</v>
      </c>
      <c r="X11" s="4">
        <v>89877</v>
      </c>
      <c r="Y11" s="4">
        <v>90313</v>
      </c>
      <c r="Z11" s="4">
        <v>90670</v>
      </c>
      <c r="AA11" s="49">
        <v>91053</v>
      </c>
      <c r="AB11" s="49">
        <v>91431</v>
      </c>
      <c r="AC11" s="4">
        <v>91774</v>
      </c>
      <c r="AD11" s="4">
        <v>92050</v>
      </c>
      <c r="AE11" s="49">
        <v>92332</v>
      </c>
      <c r="AF11" s="49">
        <v>92667</v>
      </c>
      <c r="AG11" s="49">
        <v>93000</v>
      </c>
      <c r="AH11" s="49">
        <v>93280</v>
      </c>
      <c r="AI11" s="49">
        <v>93430</v>
      </c>
      <c r="AJ11" s="77">
        <f t="shared" si="0"/>
        <v>10366</v>
      </c>
    </row>
    <row r="12" spans="1:37" ht="20.149999999999999" customHeight="1">
      <c r="A12" s="2"/>
      <c r="B12" s="2"/>
      <c r="C12" s="79" t="s">
        <v>22</v>
      </c>
      <c r="D12" s="80">
        <v>5395</v>
      </c>
      <c r="E12" s="2">
        <v>5468</v>
      </c>
      <c r="F12" s="2">
        <v>5474</v>
      </c>
      <c r="G12" s="2">
        <v>5474</v>
      </c>
      <c r="H12" s="2">
        <v>5474</v>
      </c>
      <c r="I12" s="2">
        <v>5474</v>
      </c>
      <c r="J12" s="2">
        <v>5474</v>
      </c>
      <c r="K12" s="2">
        <v>5474</v>
      </c>
      <c r="L12" s="2">
        <v>5476</v>
      </c>
      <c r="M12" s="2">
        <v>5517</v>
      </c>
      <c r="N12" s="2">
        <v>5517</v>
      </c>
      <c r="O12" s="2">
        <v>5519</v>
      </c>
      <c r="P12" s="2">
        <v>5519</v>
      </c>
      <c r="Q12" s="2">
        <v>5519</v>
      </c>
      <c r="R12" s="2">
        <v>5519</v>
      </c>
      <c r="S12" s="2">
        <v>5519</v>
      </c>
      <c r="T12" s="2">
        <v>5519</v>
      </c>
      <c r="U12" s="2">
        <v>5519</v>
      </c>
      <c r="V12" s="2">
        <v>5538</v>
      </c>
      <c r="W12" s="2">
        <v>5538</v>
      </c>
      <c r="X12" s="2">
        <v>5538</v>
      </c>
      <c r="Y12" s="2">
        <v>5538</v>
      </c>
      <c r="Z12" s="2">
        <v>5538</v>
      </c>
      <c r="AA12" s="2">
        <v>5538</v>
      </c>
      <c r="AB12" s="2">
        <v>5538</v>
      </c>
      <c r="AC12" s="2">
        <v>5538</v>
      </c>
      <c r="AD12" s="2">
        <v>5538</v>
      </c>
      <c r="AE12" s="2">
        <v>5538</v>
      </c>
      <c r="AF12" s="2">
        <v>5538</v>
      </c>
      <c r="AG12" s="2">
        <v>5538</v>
      </c>
      <c r="AH12" s="2">
        <v>5538</v>
      </c>
      <c r="AI12" s="2">
        <v>5538</v>
      </c>
      <c r="AJ12" s="77">
        <f t="shared" si="0"/>
        <v>143</v>
      </c>
    </row>
    <row r="13" spans="1:37" ht="20.149999999999999" customHeight="1">
      <c r="A13" s="2">
        <v>4</v>
      </c>
      <c r="B13" s="2" t="s">
        <v>129</v>
      </c>
      <c r="C13" s="2" t="s">
        <v>114</v>
      </c>
      <c r="D13" s="80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77">
        <f t="shared" si="0"/>
        <v>0</v>
      </c>
    </row>
    <row r="14" spans="1:37" ht="20.149999999999999" customHeight="1">
      <c r="A14" s="2"/>
      <c r="B14" s="2"/>
      <c r="C14" s="79" t="s">
        <v>22</v>
      </c>
      <c r="D14" s="80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77">
        <f t="shared" si="0"/>
        <v>0</v>
      </c>
    </row>
    <row r="15" spans="1:37" ht="20.149999999999999" customHeight="1">
      <c r="A15" s="2">
        <v>5</v>
      </c>
      <c r="B15" s="2" t="s">
        <v>129</v>
      </c>
      <c r="C15" s="2" t="s">
        <v>115</v>
      </c>
      <c r="D15" s="79">
        <v>34422</v>
      </c>
      <c r="E15" s="4">
        <v>34691</v>
      </c>
      <c r="F15" s="4">
        <v>34790</v>
      </c>
      <c r="G15" s="4">
        <v>34985</v>
      </c>
      <c r="H15" s="4">
        <v>35169</v>
      </c>
      <c r="I15" s="4">
        <v>35267</v>
      </c>
      <c r="J15" s="4">
        <v>35377</v>
      </c>
      <c r="K15" s="4">
        <v>35596</v>
      </c>
      <c r="L15" s="4">
        <v>35802</v>
      </c>
      <c r="M15" s="4">
        <v>35990</v>
      </c>
      <c r="N15" s="4">
        <v>36187</v>
      </c>
      <c r="O15" s="4">
        <v>36335</v>
      </c>
      <c r="P15" s="4">
        <v>36453</v>
      </c>
      <c r="Q15" s="4">
        <v>36561</v>
      </c>
      <c r="R15" s="4">
        <v>36785</v>
      </c>
      <c r="S15" s="4">
        <v>37020</v>
      </c>
      <c r="T15" s="4">
        <v>37228</v>
      </c>
      <c r="U15" s="33">
        <v>37441</v>
      </c>
      <c r="V15" s="4">
        <v>37634</v>
      </c>
      <c r="W15" s="4">
        <v>37731</v>
      </c>
      <c r="X15" s="4">
        <v>37834</v>
      </c>
      <c r="Y15" s="4">
        <v>38063</v>
      </c>
      <c r="Z15" s="4">
        <v>38259</v>
      </c>
      <c r="AA15" s="49">
        <v>38475</v>
      </c>
      <c r="AB15" s="49">
        <v>38680</v>
      </c>
      <c r="AC15" s="4">
        <v>38872</v>
      </c>
      <c r="AD15" s="4">
        <v>38991</v>
      </c>
      <c r="AE15" s="49">
        <v>39112</v>
      </c>
      <c r="AF15" s="49">
        <v>39307</v>
      </c>
      <c r="AG15" s="49">
        <v>39491</v>
      </c>
      <c r="AH15" s="49">
        <v>39608</v>
      </c>
      <c r="AI15" s="49">
        <v>39703</v>
      </c>
      <c r="AJ15" s="77">
        <f t="shared" si="0"/>
        <v>5281</v>
      </c>
    </row>
    <row r="16" spans="1:37" ht="20.149999999999999" customHeight="1">
      <c r="A16" s="2"/>
      <c r="B16" s="2"/>
      <c r="C16" s="79" t="s">
        <v>22</v>
      </c>
      <c r="D16" s="80">
        <v>2751</v>
      </c>
      <c r="E16" s="2">
        <v>2790</v>
      </c>
      <c r="F16" s="2">
        <v>2792</v>
      </c>
      <c r="G16" s="2">
        <v>2792</v>
      </c>
      <c r="H16" s="2">
        <v>2792</v>
      </c>
      <c r="I16" s="2">
        <v>2792</v>
      </c>
      <c r="J16" s="2">
        <v>2792</v>
      </c>
      <c r="K16" s="2">
        <v>2792</v>
      </c>
      <c r="L16" s="2">
        <v>2793</v>
      </c>
      <c r="M16" s="2">
        <v>2814</v>
      </c>
      <c r="N16" s="2">
        <v>2814</v>
      </c>
      <c r="O16" s="2">
        <v>2815</v>
      </c>
      <c r="P16" s="2">
        <v>2815</v>
      </c>
      <c r="Q16" s="2">
        <v>2815</v>
      </c>
      <c r="R16" s="2">
        <v>2815</v>
      </c>
      <c r="S16" s="2">
        <v>2815</v>
      </c>
      <c r="T16" s="2">
        <v>2815</v>
      </c>
      <c r="U16" s="2">
        <v>2815</v>
      </c>
      <c r="V16" s="2">
        <v>2826</v>
      </c>
      <c r="W16" s="2">
        <v>2826</v>
      </c>
      <c r="X16" s="2">
        <v>2826</v>
      </c>
      <c r="Y16" s="2">
        <v>2826</v>
      </c>
      <c r="Z16" s="2">
        <v>2826</v>
      </c>
      <c r="AA16" s="2">
        <v>2826</v>
      </c>
      <c r="AB16" s="2">
        <v>2826</v>
      </c>
      <c r="AC16" s="2">
        <v>2826</v>
      </c>
      <c r="AD16" s="2">
        <v>2826</v>
      </c>
      <c r="AE16" s="2">
        <v>2826</v>
      </c>
      <c r="AF16" s="2">
        <v>2826</v>
      </c>
      <c r="AG16" s="2">
        <v>2826</v>
      </c>
      <c r="AH16" s="2">
        <v>2826</v>
      </c>
      <c r="AI16" s="2">
        <v>2826</v>
      </c>
      <c r="AJ16" s="77">
        <f t="shared" si="0"/>
        <v>75</v>
      </c>
    </row>
    <row r="17" spans="1:36" ht="20.149999999999999" customHeight="1">
      <c r="A17" s="2">
        <v>6</v>
      </c>
      <c r="B17" s="2" t="s">
        <v>129</v>
      </c>
      <c r="C17" s="2" t="s">
        <v>142</v>
      </c>
      <c r="D17" s="79">
        <v>47463</v>
      </c>
      <c r="E17" s="4">
        <v>47762</v>
      </c>
      <c r="F17" s="4">
        <v>47894</v>
      </c>
      <c r="G17" s="4">
        <v>48144</v>
      </c>
      <c r="H17" s="4">
        <v>48376</v>
      </c>
      <c r="I17" s="4">
        <v>48496</v>
      </c>
      <c r="J17" s="4">
        <v>48608</v>
      </c>
      <c r="K17" s="4">
        <v>48853</v>
      </c>
      <c r="L17" s="4">
        <v>49071</v>
      </c>
      <c r="M17" s="4">
        <v>49282</v>
      </c>
      <c r="N17" s="4">
        <v>49480</v>
      </c>
      <c r="O17" s="4">
        <v>49680</v>
      </c>
      <c r="P17" s="4">
        <v>49785</v>
      </c>
      <c r="Q17" s="4">
        <v>49898</v>
      </c>
      <c r="R17" s="4">
        <v>50144</v>
      </c>
      <c r="S17" s="4">
        <v>50412</v>
      </c>
      <c r="T17" s="4">
        <v>50653</v>
      </c>
      <c r="U17" s="4">
        <v>50894</v>
      </c>
      <c r="V17" s="4">
        <v>51102</v>
      </c>
      <c r="W17" s="4">
        <v>51201</v>
      </c>
      <c r="X17" s="4">
        <v>51319</v>
      </c>
      <c r="Y17" s="4">
        <v>51545</v>
      </c>
      <c r="Z17" s="4">
        <v>51761</v>
      </c>
      <c r="AA17" s="2">
        <v>51907</v>
      </c>
      <c r="AB17" s="49">
        <v>52225</v>
      </c>
      <c r="AC17" s="4">
        <v>52456</v>
      </c>
      <c r="AD17" s="4">
        <v>52596</v>
      </c>
      <c r="AE17" s="2">
        <v>52740</v>
      </c>
      <c r="AF17" s="49">
        <v>52976</v>
      </c>
      <c r="AG17" s="2">
        <v>53204</v>
      </c>
      <c r="AH17" s="49">
        <v>53397</v>
      </c>
      <c r="AI17" s="49">
        <v>53462</v>
      </c>
      <c r="AJ17" s="77">
        <f t="shared" si="0"/>
        <v>5999</v>
      </c>
    </row>
    <row r="18" spans="1:36" ht="20.149999999999999" customHeight="1">
      <c r="A18" s="2"/>
      <c r="B18" s="2"/>
      <c r="C18" s="79" t="s">
        <v>22</v>
      </c>
      <c r="D18" s="104">
        <v>3663</v>
      </c>
      <c r="E18" s="2">
        <v>3694</v>
      </c>
      <c r="F18" s="2">
        <v>3696</v>
      </c>
      <c r="G18" s="2">
        <v>3696</v>
      </c>
      <c r="H18" s="2">
        <v>3696</v>
      </c>
      <c r="I18" s="2">
        <v>3696</v>
      </c>
      <c r="J18" s="2">
        <v>3696</v>
      </c>
      <c r="K18" s="2">
        <v>3696</v>
      </c>
      <c r="L18" s="2">
        <v>3698</v>
      </c>
      <c r="M18" s="2">
        <v>3721</v>
      </c>
      <c r="N18" s="2">
        <v>3721</v>
      </c>
      <c r="O18" s="2">
        <v>3723</v>
      </c>
      <c r="P18" s="2">
        <v>3723</v>
      </c>
      <c r="Q18" s="2">
        <v>3723</v>
      </c>
      <c r="R18" s="2">
        <v>3723</v>
      </c>
      <c r="S18" s="2">
        <v>3723</v>
      </c>
      <c r="T18" s="2">
        <v>3723</v>
      </c>
      <c r="U18" s="2">
        <v>3723</v>
      </c>
      <c r="V18" s="2">
        <v>3732</v>
      </c>
      <c r="W18" s="2">
        <v>3732</v>
      </c>
      <c r="X18" s="2">
        <v>3732</v>
      </c>
      <c r="Y18" s="2">
        <v>3732</v>
      </c>
      <c r="Z18" s="2">
        <v>3732</v>
      </c>
      <c r="AA18" s="2">
        <v>3732</v>
      </c>
      <c r="AB18" s="2">
        <v>3732</v>
      </c>
      <c r="AC18" s="2">
        <v>3732</v>
      </c>
      <c r="AD18" s="2">
        <v>3732</v>
      </c>
      <c r="AE18" s="2">
        <v>3732</v>
      </c>
      <c r="AF18" s="2">
        <v>3732</v>
      </c>
      <c r="AG18" s="2">
        <v>3732</v>
      </c>
      <c r="AH18" s="2">
        <v>3732</v>
      </c>
      <c r="AI18" s="68">
        <v>3732</v>
      </c>
      <c r="AJ18" s="77">
        <f t="shared" si="0"/>
        <v>69</v>
      </c>
    </row>
    <row r="19" spans="1:36" ht="20.149999999999999" customHeight="1">
      <c r="A19" s="2">
        <v>7</v>
      </c>
      <c r="B19" s="2" t="s">
        <v>129</v>
      </c>
      <c r="C19" s="2" t="s">
        <v>117</v>
      </c>
      <c r="D19" s="79">
        <v>162234</v>
      </c>
      <c r="E19" s="4">
        <v>163299</v>
      </c>
      <c r="F19" s="4">
        <v>163637</v>
      </c>
      <c r="G19" s="4">
        <v>164268</v>
      </c>
      <c r="H19" s="4">
        <v>164940</v>
      </c>
      <c r="I19" s="4">
        <v>165419</v>
      </c>
      <c r="J19" s="4">
        <v>165683</v>
      </c>
      <c r="K19" s="4">
        <v>166345</v>
      </c>
      <c r="L19" s="4">
        <v>166980</v>
      </c>
      <c r="M19" s="4">
        <v>167553</v>
      </c>
      <c r="N19" s="5">
        <v>168192</v>
      </c>
      <c r="O19" s="4">
        <v>168822</v>
      </c>
      <c r="P19" s="4">
        <v>169242</v>
      </c>
      <c r="Q19" s="4">
        <v>169505</v>
      </c>
      <c r="R19" s="4">
        <v>170408</v>
      </c>
      <c r="S19" s="5">
        <v>171106</v>
      </c>
      <c r="T19" s="4">
        <v>171801</v>
      </c>
      <c r="U19" s="4">
        <v>172532</v>
      </c>
      <c r="V19" s="4">
        <v>173162</v>
      </c>
      <c r="W19" s="4">
        <v>173540</v>
      </c>
      <c r="X19" s="33">
        <v>174122</v>
      </c>
      <c r="Y19" s="4">
        <v>174826</v>
      </c>
      <c r="Z19" s="4">
        <v>175475</v>
      </c>
      <c r="AA19" s="49">
        <v>176173</v>
      </c>
      <c r="AB19" s="49">
        <v>176892</v>
      </c>
      <c r="AC19" s="4">
        <v>177515</v>
      </c>
      <c r="AD19" s="4">
        <v>177923</v>
      </c>
      <c r="AE19" s="49">
        <v>178381</v>
      </c>
      <c r="AF19" s="49">
        <v>179046</v>
      </c>
      <c r="AG19" s="49">
        <v>179757</v>
      </c>
      <c r="AH19" s="49">
        <v>180328</v>
      </c>
      <c r="AI19" s="49">
        <v>180492</v>
      </c>
      <c r="AJ19" s="77">
        <f t="shared" si="0"/>
        <v>18258</v>
      </c>
    </row>
    <row r="20" spans="1:36" ht="20.149999999999999" customHeight="1">
      <c r="A20" s="2"/>
      <c r="B20" s="2"/>
      <c r="C20" s="79" t="s">
        <v>22</v>
      </c>
      <c r="D20" s="80">
        <v>9950</v>
      </c>
      <c r="E20" s="2">
        <v>10045</v>
      </c>
      <c r="F20" s="2">
        <v>10054</v>
      </c>
      <c r="G20" s="2">
        <v>10054</v>
      </c>
      <c r="H20" s="2">
        <v>10054</v>
      </c>
      <c r="I20" s="2">
        <v>10054</v>
      </c>
      <c r="J20" s="2">
        <v>10054</v>
      </c>
      <c r="K20" s="2">
        <v>10054</v>
      </c>
      <c r="L20" s="2">
        <v>10060</v>
      </c>
      <c r="M20" s="2">
        <v>10100</v>
      </c>
      <c r="N20" s="2">
        <v>10100</v>
      </c>
      <c r="O20" s="2">
        <v>10104</v>
      </c>
      <c r="P20" s="2">
        <v>10104</v>
      </c>
      <c r="Q20" s="2">
        <v>10104</v>
      </c>
      <c r="R20" s="2">
        <v>10104</v>
      </c>
      <c r="S20" s="2">
        <v>10104</v>
      </c>
      <c r="T20" s="2">
        <v>10104</v>
      </c>
      <c r="U20" s="2">
        <v>10104</v>
      </c>
      <c r="V20" s="2">
        <v>10150</v>
      </c>
      <c r="W20" s="2">
        <v>10150</v>
      </c>
      <c r="X20" s="2">
        <v>10150</v>
      </c>
      <c r="Y20" s="2">
        <v>10150</v>
      </c>
      <c r="Z20" s="2">
        <v>10150</v>
      </c>
      <c r="AA20" s="2">
        <v>10150</v>
      </c>
      <c r="AB20" s="2">
        <v>10150</v>
      </c>
      <c r="AC20" s="2">
        <v>10150</v>
      </c>
      <c r="AD20" s="2">
        <v>10150</v>
      </c>
      <c r="AE20" s="2">
        <v>10150</v>
      </c>
      <c r="AF20" s="2">
        <v>10150</v>
      </c>
      <c r="AG20" s="2">
        <v>10150</v>
      </c>
      <c r="AH20" s="2">
        <v>10150</v>
      </c>
      <c r="AI20" s="2">
        <v>10150</v>
      </c>
      <c r="AJ20" s="77">
        <f t="shared" si="0"/>
        <v>200</v>
      </c>
    </row>
    <row r="21" spans="1:36" ht="20.149999999999999" customHeight="1">
      <c r="A21" s="2">
        <v>8</v>
      </c>
      <c r="B21" s="2" t="s">
        <v>129</v>
      </c>
      <c r="C21" s="2" t="s">
        <v>118</v>
      </c>
      <c r="D21" s="79">
        <v>35970</v>
      </c>
      <c r="E21" s="4">
        <v>36232</v>
      </c>
      <c r="F21" s="4">
        <v>36292</v>
      </c>
      <c r="G21" s="4">
        <v>36444</v>
      </c>
      <c r="H21" s="4">
        <v>36607</v>
      </c>
      <c r="I21" s="4">
        <v>36742</v>
      </c>
      <c r="J21" s="4">
        <v>36914</v>
      </c>
      <c r="K21" s="4">
        <v>37059</v>
      </c>
      <c r="L21" s="4">
        <v>37234</v>
      </c>
      <c r="M21" s="4">
        <v>37328</v>
      </c>
      <c r="N21" s="4">
        <v>37509</v>
      </c>
      <c r="O21" s="4">
        <v>37650</v>
      </c>
      <c r="P21" s="4">
        <v>37791</v>
      </c>
      <c r="Q21" s="4">
        <v>37917</v>
      </c>
      <c r="R21" s="4">
        <v>38012</v>
      </c>
      <c r="S21" s="4">
        <v>38082</v>
      </c>
      <c r="T21" s="4">
        <v>38185</v>
      </c>
      <c r="U21" s="4">
        <v>38295</v>
      </c>
      <c r="V21" s="4">
        <v>38424</v>
      </c>
      <c r="W21" s="4">
        <v>38551</v>
      </c>
      <c r="X21" s="4">
        <v>38669</v>
      </c>
      <c r="Y21" s="4">
        <v>38858</v>
      </c>
      <c r="Z21" s="4">
        <v>38994</v>
      </c>
      <c r="AA21" s="49">
        <v>39157</v>
      </c>
      <c r="AB21" s="49">
        <v>39247</v>
      </c>
      <c r="AC21" s="4">
        <v>39319</v>
      </c>
      <c r="AD21" s="4">
        <v>39386</v>
      </c>
      <c r="AE21" s="49">
        <v>39453</v>
      </c>
      <c r="AF21" s="49">
        <v>39533</v>
      </c>
      <c r="AG21" s="49">
        <v>39613</v>
      </c>
      <c r="AH21" s="49">
        <v>39686</v>
      </c>
      <c r="AI21" s="49">
        <v>39721</v>
      </c>
      <c r="AJ21" s="77">
        <f t="shared" si="0"/>
        <v>3751</v>
      </c>
    </row>
    <row r="22" spans="1:36" ht="20.149999999999999" customHeight="1">
      <c r="A22" s="2"/>
      <c r="B22" s="2"/>
      <c r="C22" s="79" t="s">
        <v>22</v>
      </c>
      <c r="D22" s="80">
        <v>1887</v>
      </c>
      <c r="E22" s="2">
        <v>1925</v>
      </c>
      <c r="F22" s="2">
        <v>1927</v>
      </c>
      <c r="G22" s="2">
        <v>1927</v>
      </c>
      <c r="H22" s="2">
        <v>1927</v>
      </c>
      <c r="I22" s="2">
        <v>1927</v>
      </c>
      <c r="J22" s="2">
        <v>1927</v>
      </c>
      <c r="K22" s="2">
        <v>1927</v>
      </c>
      <c r="L22" s="2">
        <v>1927</v>
      </c>
      <c r="M22" s="2">
        <v>1933</v>
      </c>
      <c r="N22" s="2">
        <v>1933</v>
      </c>
      <c r="O22" s="2">
        <v>1933</v>
      </c>
      <c r="P22" s="2">
        <v>1933</v>
      </c>
      <c r="Q22" s="2">
        <v>1933</v>
      </c>
      <c r="R22" s="2">
        <v>1933</v>
      </c>
      <c r="S22" s="2">
        <v>1933</v>
      </c>
      <c r="T22" s="2">
        <v>1933</v>
      </c>
      <c r="U22" s="2">
        <v>1933</v>
      </c>
      <c r="V22" s="2">
        <v>1945</v>
      </c>
      <c r="W22" s="2">
        <v>1945</v>
      </c>
      <c r="X22" s="2">
        <v>1945</v>
      </c>
      <c r="Y22" s="2">
        <v>1945</v>
      </c>
      <c r="Z22" s="2">
        <v>1945</v>
      </c>
      <c r="AA22" s="2">
        <v>1945</v>
      </c>
      <c r="AB22" s="2">
        <v>1945</v>
      </c>
      <c r="AC22" s="2">
        <v>1945</v>
      </c>
      <c r="AD22" s="2">
        <v>1945</v>
      </c>
      <c r="AE22" s="2">
        <v>1945</v>
      </c>
      <c r="AF22" s="2">
        <v>1945</v>
      </c>
      <c r="AG22" s="2">
        <v>1945</v>
      </c>
      <c r="AH22" s="2">
        <v>1945</v>
      </c>
      <c r="AI22" s="2">
        <v>1945</v>
      </c>
      <c r="AJ22" s="77">
        <f t="shared" si="0"/>
        <v>58</v>
      </c>
    </row>
    <row r="23" spans="1:36" ht="14.5" customHeight="1">
      <c r="A23" s="503"/>
      <c r="B23" s="504"/>
      <c r="C23" s="504"/>
      <c r="D23" s="504"/>
      <c r="E23" s="504"/>
      <c r="F23" s="504"/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4"/>
      <c r="AA23" s="504"/>
      <c r="AB23" s="504"/>
      <c r="AC23" s="504"/>
      <c r="AD23" s="504"/>
      <c r="AE23" s="504"/>
      <c r="AF23" s="504"/>
      <c r="AG23" s="504"/>
      <c r="AH23" s="504"/>
      <c r="AI23" s="504"/>
      <c r="AJ23" s="501"/>
    </row>
    <row r="24" spans="1:36" ht="14.5" customHeight="1">
      <c r="A24" s="2">
        <v>1</v>
      </c>
      <c r="B24" s="2" t="s">
        <v>129</v>
      </c>
      <c r="C24" s="2" t="s">
        <v>119</v>
      </c>
      <c r="D24" s="79">
        <v>17175</v>
      </c>
      <c r="E24" s="4">
        <v>17313</v>
      </c>
      <c r="F24" s="4">
        <v>17315</v>
      </c>
      <c r="G24" s="4">
        <v>17410</v>
      </c>
      <c r="H24" s="4">
        <v>17499</v>
      </c>
      <c r="I24" s="4">
        <v>17499</v>
      </c>
      <c r="J24" s="4">
        <v>17499</v>
      </c>
      <c r="K24" s="4">
        <v>17598</v>
      </c>
      <c r="L24" s="4">
        <v>17682</v>
      </c>
      <c r="M24" s="4">
        <v>17771</v>
      </c>
      <c r="N24" s="4">
        <v>17850</v>
      </c>
      <c r="O24" s="4">
        <v>17932</v>
      </c>
      <c r="P24" s="4">
        <v>17932</v>
      </c>
      <c r="Q24" s="4">
        <v>17932</v>
      </c>
      <c r="R24" s="4">
        <v>18022</v>
      </c>
      <c r="S24" s="4">
        <v>18098</v>
      </c>
      <c r="T24" s="4">
        <v>18183</v>
      </c>
      <c r="U24" s="4">
        <v>18266</v>
      </c>
      <c r="V24" s="4">
        <v>18335</v>
      </c>
      <c r="W24" s="4">
        <v>18383</v>
      </c>
      <c r="X24" s="4">
        <v>18383</v>
      </c>
      <c r="Y24" s="4">
        <v>18469</v>
      </c>
      <c r="Z24" s="4">
        <v>18557</v>
      </c>
      <c r="AA24" s="2">
        <v>18650</v>
      </c>
      <c r="AB24" s="2">
        <v>18731</v>
      </c>
      <c r="AC24" s="4">
        <v>18819</v>
      </c>
      <c r="AD24" s="4">
        <v>18875</v>
      </c>
      <c r="AE24" s="2">
        <v>18875</v>
      </c>
      <c r="AF24" s="2">
        <v>18952</v>
      </c>
      <c r="AG24" s="2">
        <v>19026</v>
      </c>
      <c r="AH24" s="49">
        <v>19096</v>
      </c>
      <c r="AI24" s="49">
        <v>19096</v>
      </c>
      <c r="AJ24" s="82">
        <f t="shared" ref="AJ24:AJ31" si="1">AI24-D24</f>
        <v>1921</v>
      </c>
    </row>
    <row r="25" spans="1:36" ht="13" customHeight="1">
      <c r="A25" s="2"/>
      <c r="B25" s="2"/>
      <c r="C25" s="80" t="s">
        <v>22</v>
      </c>
      <c r="D25" s="80">
        <v>1779</v>
      </c>
      <c r="E25" s="2">
        <v>1792</v>
      </c>
      <c r="F25" s="2">
        <v>1792</v>
      </c>
      <c r="G25" s="2">
        <v>1792</v>
      </c>
      <c r="H25" s="2">
        <v>1792</v>
      </c>
      <c r="I25" s="2">
        <v>1792</v>
      </c>
      <c r="J25" s="2">
        <v>1792</v>
      </c>
      <c r="K25" s="2">
        <v>1792</v>
      </c>
      <c r="L25" s="2">
        <v>1793</v>
      </c>
      <c r="M25" s="2">
        <v>1795</v>
      </c>
      <c r="N25" s="2">
        <v>1795</v>
      </c>
      <c r="O25" s="2">
        <v>1796</v>
      </c>
      <c r="P25" s="2">
        <v>1796</v>
      </c>
      <c r="Q25" s="2">
        <v>1796</v>
      </c>
      <c r="R25" s="2">
        <v>1796</v>
      </c>
      <c r="S25" s="2">
        <v>1796</v>
      </c>
      <c r="T25" s="2">
        <v>1796</v>
      </c>
      <c r="U25" s="2">
        <v>1796</v>
      </c>
      <c r="V25" s="2">
        <v>1804</v>
      </c>
      <c r="W25" s="2">
        <v>1804</v>
      </c>
      <c r="X25" s="2">
        <v>1804</v>
      </c>
      <c r="Y25" s="2">
        <v>1804</v>
      </c>
      <c r="Z25" s="2">
        <v>1804</v>
      </c>
      <c r="AA25" s="2">
        <v>1804</v>
      </c>
      <c r="AB25" s="2">
        <v>1804</v>
      </c>
      <c r="AC25" s="2">
        <v>1804</v>
      </c>
      <c r="AD25" s="2">
        <v>1804</v>
      </c>
      <c r="AE25" s="2">
        <v>1804</v>
      </c>
      <c r="AF25" s="2">
        <v>1804</v>
      </c>
      <c r="AG25" s="2">
        <v>1804</v>
      </c>
      <c r="AH25" s="2">
        <v>1804</v>
      </c>
      <c r="AI25" s="2">
        <v>1804</v>
      </c>
      <c r="AJ25" s="82">
        <f t="shared" si="1"/>
        <v>25</v>
      </c>
    </row>
    <row r="26" spans="1:36" ht="14.5" customHeight="1">
      <c r="A26" s="2">
        <v>2</v>
      </c>
      <c r="B26" s="2" t="s">
        <v>129</v>
      </c>
      <c r="C26" s="2" t="s">
        <v>120</v>
      </c>
      <c r="D26" s="79">
        <v>16020</v>
      </c>
      <c r="E26" s="4">
        <v>16154</v>
      </c>
      <c r="F26" s="4">
        <v>16155</v>
      </c>
      <c r="G26" s="4">
        <v>16256</v>
      </c>
      <c r="H26" s="4">
        <v>16336</v>
      </c>
      <c r="I26" s="4">
        <v>16336</v>
      </c>
      <c r="J26" s="4">
        <v>16336</v>
      </c>
      <c r="K26" s="4">
        <v>16442</v>
      </c>
      <c r="L26" s="4">
        <v>16515</v>
      </c>
      <c r="M26" s="4">
        <v>16598</v>
      </c>
      <c r="N26" s="4">
        <v>16682</v>
      </c>
      <c r="O26" s="4">
        <v>16774</v>
      </c>
      <c r="P26" s="4">
        <v>16774</v>
      </c>
      <c r="Q26" s="4">
        <v>16774</v>
      </c>
      <c r="R26" s="4">
        <v>16880</v>
      </c>
      <c r="S26" s="4">
        <v>16978</v>
      </c>
      <c r="T26" s="4">
        <v>17067</v>
      </c>
      <c r="U26" s="4">
        <v>17149</v>
      </c>
      <c r="V26" s="4">
        <v>17233</v>
      </c>
      <c r="W26" s="4">
        <v>17263</v>
      </c>
      <c r="X26" s="4">
        <v>17263</v>
      </c>
      <c r="Y26" s="4">
        <v>17361</v>
      </c>
      <c r="Z26" s="4">
        <v>17459</v>
      </c>
      <c r="AA26" s="49">
        <v>17556</v>
      </c>
      <c r="AB26" s="49">
        <v>17649</v>
      </c>
      <c r="AC26" s="4">
        <v>17738</v>
      </c>
      <c r="AD26" s="4">
        <v>17791</v>
      </c>
      <c r="AE26" s="49">
        <v>17791</v>
      </c>
      <c r="AF26" s="49">
        <v>17895</v>
      </c>
      <c r="AG26" s="49">
        <v>17997</v>
      </c>
      <c r="AH26" s="49">
        <v>18091</v>
      </c>
      <c r="AI26" s="49">
        <v>18091</v>
      </c>
      <c r="AJ26" s="82">
        <f t="shared" si="1"/>
        <v>2071</v>
      </c>
    </row>
    <row r="27" spans="1:36" ht="13" customHeight="1">
      <c r="A27" s="2"/>
      <c r="B27" s="2"/>
      <c r="C27" s="80" t="s">
        <v>22</v>
      </c>
      <c r="D27" s="80">
        <v>1735</v>
      </c>
      <c r="E27" s="2">
        <v>1745</v>
      </c>
      <c r="F27" s="2">
        <v>1745</v>
      </c>
      <c r="G27" s="2">
        <v>1745</v>
      </c>
      <c r="H27" s="2">
        <v>1745</v>
      </c>
      <c r="I27" s="2">
        <v>1745</v>
      </c>
      <c r="J27" s="2">
        <v>1745</v>
      </c>
      <c r="K27" s="2">
        <v>1745</v>
      </c>
      <c r="L27" s="2">
        <v>1746</v>
      </c>
      <c r="M27" s="2">
        <v>1748</v>
      </c>
      <c r="N27" s="2">
        <v>1748</v>
      </c>
      <c r="O27" s="2">
        <v>1748</v>
      </c>
      <c r="P27" s="2">
        <v>1748</v>
      </c>
      <c r="Q27" s="2">
        <v>1748</v>
      </c>
      <c r="R27" s="2">
        <v>1749</v>
      </c>
      <c r="S27" s="2">
        <v>1749</v>
      </c>
      <c r="T27" s="2">
        <v>1749</v>
      </c>
      <c r="U27" s="2">
        <v>1749</v>
      </c>
      <c r="V27" s="2">
        <v>1758</v>
      </c>
      <c r="W27" s="2">
        <v>1758</v>
      </c>
      <c r="X27" s="2">
        <v>1758</v>
      </c>
      <c r="Y27" s="2">
        <v>1758</v>
      </c>
      <c r="Z27" s="2">
        <v>1758</v>
      </c>
      <c r="AA27" s="2">
        <v>1758</v>
      </c>
      <c r="AB27" s="2">
        <v>1758</v>
      </c>
      <c r="AC27" s="2">
        <v>1758</v>
      </c>
      <c r="AD27" s="2">
        <v>1758</v>
      </c>
      <c r="AE27" s="2">
        <v>1758</v>
      </c>
      <c r="AF27" s="2">
        <v>1758</v>
      </c>
      <c r="AG27" s="2">
        <v>1758</v>
      </c>
      <c r="AH27" s="2">
        <v>1758</v>
      </c>
      <c r="AI27" s="2">
        <v>1758</v>
      </c>
      <c r="AJ27" s="82">
        <f t="shared" si="1"/>
        <v>23</v>
      </c>
    </row>
    <row r="28" spans="1:36" ht="14.5" customHeight="1">
      <c r="A28" s="2">
        <v>3</v>
      </c>
      <c r="B28" s="2" t="s">
        <v>129</v>
      </c>
      <c r="C28" s="2" t="s">
        <v>121</v>
      </c>
      <c r="D28" s="80">
        <v>15531</v>
      </c>
      <c r="E28" s="4">
        <v>15678</v>
      </c>
      <c r="F28" s="4">
        <v>15678</v>
      </c>
      <c r="G28" s="4">
        <v>15777</v>
      </c>
      <c r="H28" s="4">
        <v>15865</v>
      </c>
      <c r="I28" s="4">
        <v>15865</v>
      </c>
      <c r="J28" s="4">
        <v>15865</v>
      </c>
      <c r="K28" s="4">
        <v>15963</v>
      </c>
      <c r="L28" s="4">
        <v>16058</v>
      </c>
      <c r="M28" s="4">
        <v>16155</v>
      </c>
      <c r="N28" s="4">
        <v>16248</v>
      </c>
      <c r="O28" s="4">
        <v>16343</v>
      </c>
      <c r="P28" s="4">
        <v>16343</v>
      </c>
      <c r="Q28" s="4">
        <v>16343</v>
      </c>
      <c r="R28" s="4">
        <v>16432</v>
      </c>
      <c r="S28" s="4">
        <v>16526</v>
      </c>
      <c r="T28" s="4">
        <v>16631</v>
      </c>
      <c r="U28" s="4">
        <v>16735</v>
      </c>
      <c r="V28" s="4">
        <v>16822</v>
      </c>
      <c r="W28" s="4">
        <v>16856</v>
      </c>
      <c r="X28" s="4">
        <v>16856</v>
      </c>
      <c r="Y28" s="4">
        <v>16962</v>
      </c>
      <c r="Z28" s="4">
        <v>17067</v>
      </c>
      <c r="AA28" s="2">
        <v>17176</v>
      </c>
      <c r="AB28" s="2">
        <v>17277</v>
      </c>
      <c r="AC28" s="4">
        <v>17375</v>
      </c>
      <c r="AD28" s="4">
        <v>17392</v>
      </c>
      <c r="AE28" s="2">
        <v>17392</v>
      </c>
      <c r="AF28" s="2">
        <v>17475</v>
      </c>
      <c r="AG28" s="2">
        <v>17538</v>
      </c>
      <c r="AH28" s="2">
        <v>17608</v>
      </c>
      <c r="AI28" s="2">
        <v>17608</v>
      </c>
      <c r="AJ28" s="82">
        <f t="shared" si="1"/>
        <v>2077</v>
      </c>
    </row>
    <row r="29" spans="1:36" ht="13" customHeight="1">
      <c r="A29" s="2"/>
      <c r="B29" s="2"/>
      <c r="C29" s="80" t="s">
        <v>22</v>
      </c>
      <c r="D29" s="80">
        <v>1826</v>
      </c>
      <c r="E29" s="2">
        <v>1840</v>
      </c>
      <c r="F29" s="2">
        <v>1840</v>
      </c>
      <c r="G29" s="2">
        <v>1840</v>
      </c>
      <c r="H29" s="2">
        <v>1840</v>
      </c>
      <c r="I29" s="2">
        <v>1840</v>
      </c>
      <c r="J29" s="2">
        <v>1840</v>
      </c>
      <c r="K29" s="2">
        <v>1840</v>
      </c>
      <c r="L29" s="2">
        <v>1841</v>
      </c>
      <c r="M29" s="2">
        <v>1842</v>
      </c>
      <c r="N29" s="2">
        <v>1842</v>
      </c>
      <c r="O29" s="2">
        <v>1843</v>
      </c>
      <c r="P29" s="2">
        <v>1843</v>
      </c>
      <c r="Q29" s="2">
        <v>1843</v>
      </c>
      <c r="R29" s="2">
        <v>1843</v>
      </c>
      <c r="S29" s="2">
        <v>1843</v>
      </c>
      <c r="T29" s="2">
        <v>1843</v>
      </c>
      <c r="U29" s="2">
        <v>1843</v>
      </c>
      <c r="V29" s="2">
        <v>1854</v>
      </c>
      <c r="W29" s="2">
        <v>1854</v>
      </c>
      <c r="X29" s="2">
        <v>1854</v>
      </c>
      <c r="Y29" s="2">
        <v>1854</v>
      </c>
      <c r="Z29" s="2">
        <v>1854</v>
      </c>
      <c r="AA29" s="2">
        <v>1854</v>
      </c>
      <c r="AB29" s="2">
        <v>1854</v>
      </c>
      <c r="AC29" s="2">
        <v>1854</v>
      </c>
      <c r="AD29" s="2">
        <v>1854</v>
      </c>
      <c r="AE29" s="2">
        <v>1854</v>
      </c>
      <c r="AF29" s="2">
        <v>1854</v>
      </c>
      <c r="AG29" s="2">
        <v>1854</v>
      </c>
      <c r="AH29" s="2">
        <v>1854</v>
      </c>
      <c r="AI29" s="2">
        <v>1854</v>
      </c>
      <c r="AJ29" s="82">
        <f t="shared" si="1"/>
        <v>28</v>
      </c>
    </row>
    <row r="30" spans="1:36" ht="14.5" customHeight="1">
      <c r="A30" s="2">
        <v>4</v>
      </c>
      <c r="B30" s="2" t="s">
        <v>129</v>
      </c>
      <c r="C30" s="2" t="s">
        <v>122</v>
      </c>
      <c r="D30" s="79">
        <v>14836</v>
      </c>
      <c r="E30" s="4">
        <v>14970</v>
      </c>
      <c r="F30" s="4">
        <v>14971</v>
      </c>
      <c r="G30" s="4">
        <v>15058</v>
      </c>
      <c r="H30" s="4">
        <v>15145</v>
      </c>
      <c r="I30" s="4">
        <v>15145</v>
      </c>
      <c r="J30" s="4">
        <v>15145</v>
      </c>
      <c r="K30" s="4">
        <v>15237</v>
      </c>
      <c r="L30" s="4">
        <v>15322</v>
      </c>
      <c r="M30" s="4">
        <v>15417</v>
      </c>
      <c r="N30" s="4">
        <v>15505</v>
      </c>
      <c r="O30" s="4">
        <v>15590</v>
      </c>
      <c r="P30" s="4">
        <v>15590</v>
      </c>
      <c r="Q30" s="4">
        <v>15590</v>
      </c>
      <c r="R30" s="4">
        <v>15685</v>
      </c>
      <c r="S30" s="4">
        <v>15770</v>
      </c>
      <c r="T30" s="4">
        <v>15859</v>
      </c>
      <c r="U30" s="4">
        <v>15942</v>
      </c>
      <c r="V30" s="4">
        <v>16016</v>
      </c>
      <c r="W30" s="4">
        <v>16066</v>
      </c>
      <c r="X30" s="4">
        <v>16066</v>
      </c>
      <c r="Y30" s="4">
        <v>16154</v>
      </c>
      <c r="Z30" s="4">
        <v>16238</v>
      </c>
      <c r="AA30" s="2">
        <v>16329</v>
      </c>
      <c r="AB30" s="2">
        <v>16380</v>
      </c>
      <c r="AC30" s="4">
        <v>16444</v>
      </c>
      <c r="AD30" s="4">
        <v>16488</v>
      </c>
      <c r="AE30" s="2">
        <v>16488</v>
      </c>
      <c r="AF30" s="2">
        <v>16555</v>
      </c>
      <c r="AG30" s="2">
        <v>16627</v>
      </c>
      <c r="AH30" s="49">
        <v>16687</v>
      </c>
      <c r="AI30" s="49">
        <v>16687</v>
      </c>
      <c r="AJ30" s="82">
        <f t="shared" si="1"/>
        <v>1851</v>
      </c>
    </row>
    <row r="31" spans="1:36" ht="13" customHeight="1">
      <c r="A31" s="2"/>
      <c r="B31" s="2"/>
      <c r="C31" s="80" t="s">
        <v>22</v>
      </c>
      <c r="D31" s="80">
        <v>1637</v>
      </c>
      <c r="E31" s="2">
        <v>1649</v>
      </c>
      <c r="F31" s="2">
        <v>1649</v>
      </c>
      <c r="G31" s="2">
        <v>1649</v>
      </c>
      <c r="H31" s="2">
        <v>1649</v>
      </c>
      <c r="I31" s="2">
        <v>1649</v>
      </c>
      <c r="J31" s="2">
        <v>1649</v>
      </c>
      <c r="K31" s="2">
        <v>1649</v>
      </c>
      <c r="L31" s="2">
        <v>1650</v>
      </c>
      <c r="M31" s="2">
        <v>1651</v>
      </c>
      <c r="N31" s="2">
        <v>1651</v>
      </c>
      <c r="O31" s="2">
        <v>1652</v>
      </c>
      <c r="P31" s="2">
        <v>1652</v>
      </c>
      <c r="Q31" s="2">
        <v>1652</v>
      </c>
      <c r="R31" s="2">
        <v>1652</v>
      </c>
      <c r="S31" s="2">
        <v>1652</v>
      </c>
      <c r="T31" s="2">
        <v>1652</v>
      </c>
      <c r="U31" s="2">
        <v>1652</v>
      </c>
      <c r="V31" s="2">
        <v>1662</v>
      </c>
      <c r="W31" s="2">
        <v>1662</v>
      </c>
      <c r="X31" s="2">
        <v>1662</v>
      </c>
      <c r="Y31" s="2">
        <v>1662</v>
      </c>
      <c r="Z31" s="2">
        <v>1662</v>
      </c>
      <c r="AA31" s="2">
        <v>1662</v>
      </c>
      <c r="AB31" s="2">
        <v>1662</v>
      </c>
      <c r="AC31" s="2">
        <v>1662</v>
      </c>
      <c r="AD31" s="2">
        <v>1662</v>
      </c>
      <c r="AE31" s="2">
        <v>1662</v>
      </c>
      <c r="AF31" s="2">
        <v>1662</v>
      </c>
      <c r="AG31" s="2">
        <v>1662</v>
      </c>
      <c r="AH31" s="2">
        <v>1662</v>
      </c>
      <c r="AI31" s="2">
        <v>1662</v>
      </c>
      <c r="AJ31" s="82">
        <f t="shared" si="1"/>
        <v>25</v>
      </c>
    </row>
    <row r="32" spans="1:36" ht="14.5" customHeight="1">
      <c r="A32" s="503"/>
      <c r="B32" s="504"/>
      <c r="C32" s="504"/>
      <c r="D32" s="504"/>
      <c r="E32" s="50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  <c r="R32" s="504"/>
      <c r="S32" s="504"/>
      <c r="T32" s="504"/>
      <c r="U32" s="504"/>
      <c r="V32" s="504"/>
      <c r="W32" s="504"/>
      <c r="X32" s="504"/>
      <c r="Y32" s="504"/>
      <c r="Z32" s="504"/>
      <c r="AA32" s="504"/>
      <c r="AB32" s="504"/>
      <c r="AC32" s="504"/>
      <c r="AD32" s="504"/>
      <c r="AE32" s="504"/>
      <c r="AF32" s="504"/>
      <c r="AG32" s="504"/>
      <c r="AH32" s="504"/>
      <c r="AI32" s="504"/>
      <c r="AJ32" s="501"/>
    </row>
    <row r="33" spans="1:36" ht="14.5" customHeight="1">
      <c r="A33" s="2">
        <v>1</v>
      </c>
      <c r="B33" s="2" t="s">
        <v>129</v>
      </c>
      <c r="C33" s="2" t="s">
        <v>123</v>
      </c>
      <c r="D33" s="83">
        <v>144022</v>
      </c>
      <c r="E33" s="10">
        <v>145162</v>
      </c>
      <c r="F33" s="10">
        <v>145162</v>
      </c>
      <c r="G33" s="10">
        <v>146079</v>
      </c>
      <c r="H33" s="10">
        <v>146791</v>
      </c>
      <c r="I33" s="10">
        <v>146791</v>
      </c>
      <c r="J33" s="10">
        <v>146791</v>
      </c>
      <c r="K33" s="10">
        <v>147973</v>
      </c>
      <c r="L33" s="10">
        <v>148799</v>
      </c>
      <c r="M33" s="10">
        <v>149410</v>
      </c>
      <c r="N33" s="11">
        <v>150220</v>
      </c>
      <c r="O33" s="11">
        <v>150681</v>
      </c>
      <c r="P33" s="11">
        <v>150681</v>
      </c>
      <c r="Q33" s="11">
        <v>150681</v>
      </c>
      <c r="R33" s="11">
        <v>151582</v>
      </c>
      <c r="S33" s="11">
        <v>152340</v>
      </c>
      <c r="T33" s="11">
        <v>152905</v>
      </c>
      <c r="U33" s="11">
        <v>153489</v>
      </c>
      <c r="V33" s="11">
        <v>154078</v>
      </c>
      <c r="W33" s="11">
        <v>154247</v>
      </c>
      <c r="X33" s="11">
        <v>154247</v>
      </c>
      <c r="Y33" s="11">
        <v>155098</v>
      </c>
      <c r="Z33" s="11">
        <v>155829</v>
      </c>
      <c r="AA33" s="85">
        <v>156539</v>
      </c>
      <c r="AB33" s="85">
        <v>157223</v>
      </c>
      <c r="AC33" s="11">
        <v>157718</v>
      </c>
      <c r="AD33" s="11">
        <v>157890</v>
      </c>
      <c r="AE33" s="85">
        <v>157890</v>
      </c>
      <c r="AF33" s="85">
        <v>158769</v>
      </c>
      <c r="AG33" s="85">
        <v>159403</v>
      </c>
      <c r="AH33" s="86">
        <v>159746</v>
      </c>
      <c r="AI33" s="86">
        <v>159746</v>
      </c>
      <c r="AJ33" s="82">
        <f>AI33-D33</f>
        <v>15724</v>
      </c>
    </row>
    <row r="34" spans="1:36" ht="14.5" customHeight="1">
      <c r="A34" s="2">
        <v>2</v>
      </c>
      <c r="B34" s="2" t="s">
        <v>129</v>
      </c>
      <c r="C34" s="2" t="s">
        <v>124</v>
      </c>
      <c r="D34" s="83">
        <v>152135</v>
      </c>
      <c r="E34" s="10">
        <v>153457</v>
      </c>
      <c r="F34" s="10">
        <v>153457</v>
      </c>
      <c r="G34" s="10">
        <v>154462</v>
      </c>
      <c r="H34" s="10">
        <v>155360</v>
      </c>
      <c r="I34" s="10">
        <v>155360</v>
      </c>
      <c r="J34" s="10">
        <v>155360</v>
      </c>
      <c r="K34" s="10">
        <v>156580</v>
      </c>
      <c r="L34" s="10">
        <v>157655</v>
      </c>
      <c r="M34" s="10">
        <v>158594</v>
      </c>
      <c r="N34" s="11">
        <v>159508</v>
      </c>
      <c r="O34" s="11">
        <v>160104</v>
      </c>
      <c r="P34" s="11">
        <v>160104</v>
      </c>
      <c r="Q34" s="11">
        <v>160104</v>
      </c>
      <c r="R34" s="11">
        <v>161197</v>
      </c>
      <c r="S34" s="11">
        <v>162059</v>
      </c>
      <c r="T34" s="11">
        <v>162767</v>
      </c>
      <c r="U34" s="11">
        <v>163447</v>
      </c>
      <c r="V34" s="11">
        <v>164140</v>
      </c>
      <c r="W34" s="11">
        <v>164461</v>
      </c>
      <c r="X34" s="11">
        <v>164461</v>
      </c>
      <c r="Y34" s="11">
        <v>165397</v>
      </c>
      <c r="Z34" s="11">
        <v>166283</v>
      </c>
      <c r="AA34" s="85">
        <v>167091</v>
      </c>
      <c r="AB34" s="85">
        <v>167972</v>
      </c>
      <c r="AC34" s="11">
        <v>168620</v>
      </c>
      <c r="AD34" s="11">
        <v>168942</v>
      </c>
      <c r="AE34" s="11">
        <v>168942</v>
      </c>
      <c r="AF34" s="85">
        <v>169980</v>
      </c>
      <c r="AG34" s="85">
        <v>170712</v>
      </c>
      <c r="AH34" s="86">
        <v>171381</v>
      </c>
      <c r="AI34" s="86">
        <v>171381</v>
      </c>
      <c r="AJ34" s="82">
        <f>AI34-D34</f>
        <v>19246</v>
      </c>
    </row>
    <row r="35" spans="1:36" ht="14.5" customHeight="1">
      <c r="A35" s="2">
        <v>3</v>
      </c>
      <c r="B35" s="2" t="s">
        <v>129</v>
      </c>
      <c r="C35" s="2" t="s">
        <v>125</v>
      </c>
      <c r="D35" s="83">
        <v>158977</v>
      </c>
      <c r="E35" s="10">
        <v>160207</v>
      </c>
      <c r="F35" s="10">
        <v>160207</v>
      </c>
      <c r="G35" s="10">
        <v>161129</v>
      </c>
      <c r="H35" s="10">
        <v>161902</v>
      </c>
      <c r="I35" s="10">
        <v>161902</v>
      </c>
      <c r="J35" s="10">
        <v>161902</v>
      </c>
      <c r="K35" s="10">
        <v>163111</v>
      </c>
      <c r="L35" s="10">
        <v>163853</v>
      </c>
      <c r="M35" s="10">
        <v>164571</v>
      </c>
      <c r="N35" s="10">
        <v>165358</v>
      </c>
      <c r="O35" s="11">
        <v>166035</v>
      </c>
      <c r="P35" s="11">
        <v>166035</v>
      </c>
      <c r="Q35" s="11">
        <v>166035</v>
      </c>
      <c r="R35" s="11">
        <v>167031</v>
      </c>
      <c r="S35" s="11">
        <v>167751</v>
      </c>
      <c r="T35" s="11">
        <v>168516</v>
      </c>
      <c r="U35" s="11">
        <v>169242</v>
      </c>
      <c r="V35" s="11">
        <v>169919</v>
      </c>
      <c r="W35" s="11">
        <v>170287</v>
      </c>
      <c r="X35" s="11">
        <v>170287</v>
      </c>
      <c r="Y35" s="11">
        <v>171209</v>
      </c>
      <c r="Z35" s="11">
        <v>172020</v>
      </c>
      <c r="AA35" s="85">
        <v>172774</v>
      </c>
      <c r="AB35" s="85">
        <v>173480</v>
      </c>
      <c r="AC35" s="11">
        <v>174061</v>
      </c>
      <c r="AD35" s="11">
        <v>174252</v>
      </c>
      <c r="AE35" s="11">
        <v>174252</v>
      </c>
      <c r="AF35" s="85">
        <v>174996</v>
      </c>
      <c r="AG35" s="85">
        <v>175623</v>
      </c>
      <c r="AH35" s="86">
        <v>176009</v>
      </c>
      <c r="AI35" s="86">
        <v>176009</v>
      </c>
      <c r="AJ35" s="82">
        <f>AI35-D35</f>
        <v>17032</v>
      </c>
    </row>
    <row r="36" spans="1:36" ht="14.5" customHeight="1">
      <c r="A36" s="2">
        <v>4</v>
      </c>
      <c r="B36" s="2" t="s">
        <v>129</v>
      </c>
      <c r="C36" s="2" t="s">
        <v>126</v>
      </c>
      <c r="D36" s="83">
        <v>177713</v>
      </c>
      <c r="E36" s="10">
        <v>178761</v>
      </c>
      <c r="F36" s="10">
        <v>178761</v>
      </c>
      <c r="G36" s="10">
        <v>179823</v>
      </c>
      <c r="H36" s="10">
        <v>180662</v>
      </c>
      <c r="I36" s="10">
        <v>180662</v>
      </c>
      <c r="J36" s="10">
        <v>180662</v>
      </c>
      <c r="K36" s="10">
        <v>182063</v>
      </c>
      <c r="L36" s="10">
        <v>183045</v>
      </c>
      <c r="M36" s="10">
        <v>183857</v>
      </c>
      <c r="N36" s="11">
        <v>184556</v>
      </c>
      <c r="O36" s="11">
        <v>185147</v>
      </c>
      <c r="P36" s="11">
        <v>185147</v>
      </c>
      <c r="Q36" s="11">
        <v>185147</v>
      </c>
      <c r="R36" s="11">
        <v>186276</v>
      </c>
      <c r="S36" s="11">
        <v>187028</v>
      </c>
      <c r="T36" s="11">
        <v>187842</v>
      </c>
      <c r="U36" s="11">
        <v>188513</v>
      </c>
      <c r="V36" s="11">
        <v>189110</v>
      </c>
      <c r="W36" s="11">
        <v>189312</v>
      </c>
      <c r="X36" s="11">
        <v>189312</v>
      </c>
      <c r="Y36" s="11">
        <v>190291</v>
      </c>
      <c r="Z36" s="11">
        <v>191013</v>
      </c>
      <c r="AA36" s="85">
        <v>191751</v>
      </c>
      <c r="AB36" s="85">
        <v>192384</v>
      </c>
      <c r="AC36" s="11">
        <v>192817</v>
      </c>
      <c r="AD36" s="11">
        <v>192973</v>
      </c>
      <c r="AE36" s="11">
        <v>192973</v>
      </c>
      <c r="AF36" s="85">
        <v>193671</v>
      </c>
      <c r="AG36" s="85">
        <v>194009</v>
      </c>
      <c r="AH36" s="86">
        <v>194290</v>
      </c>
      <c r="AI36" s="86">
        <v>194290</v>
      </c>
      <c r="AJ36" s="82">
        <f>AI36-D36</f>
        <v>16577</v>
      </c>
    </row>
    <row r="37" spans="1:36">
      <c r="D37" s="106"/>
      <c r="E37" s="90"/>
      <c r="AD37" s="76"/>
      <c r="AJ37" s="78"/>
    </row>
    <row r="38" spans="1:36" ht="13" customHeight="1">
      <c r="A38" s="91"/>
      <c r="B38" s="92"/>
      <c r="C38" s="92"/>
      <c r="D38" s="107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</row>
    <row r="39" spans="1:36" ht="14.5" customHeight="1">
      <c r="A39" s="93"/>
      <c r="B39" s="534" t="s">
        <v>127</v>
      </c>
      <c r="C39" s="504"/>
      <c r="D39" s="501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</row>
    <row r="40" spans="1:36" ht="14.5" customHeight="1">
      <c r="A40" s="94"/>
      <c r="B40" s="538" t="s">
        <v>128</v>
      </c>
      <c r="C40" s="504"/>
      <c r="D40" s="501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</row>
    <row r="41" spans="1:36" ht="13" customHeight="1">
      <c r="A41" s="529" t="s">
        <v>99</v>
      </c>
      <c r="B41" s="529" t="s">
        <v>100</v>
      </c>
      <c r="C41" s="529" t="s">
        <v>101</v>
      </c>
      <c r="D41" s="517"/>
      <c r="E41" s="95">
        <f t="shared" ref="E41:AI41" si="2">E3</f>
        <v>45566</v>
      </c>
      <c r="F41" s="95">
        <f t="shared" si="2"/>
        <v>45567</v>
      </c>
      <c r="G41" s="95">
        <f t="shared" si="2"/>
        <v>45568</v>
      </c>
      <c r="H41" s="95">
        <f t="shared" si="2"/>
        <v>45569</v>
      </c>
      <c r="I41" s="95">
        <f t="shared" si="2"/>
        <v>45570</v>
      </c>
      <c r="J41" s="95">
        <f t="shared" si="2"/>
        <v>45571</v>
      </c>
      <c r="K41" s="95">
        <f t="shared" si="2"/>
        <v>45572</v>
      </c>
      <c r="L41" s="95">
        <f t="shared" si="2"/>
        <v>45573</v>
      </c>
      <c r="M41" s="95">
        <f t="shared" si="2"/>
        <v>45574</v>
      </c>
      <c r="N41" s="95">
        <f t="shared" si="2"/>
        <v>45575</v>
      </c>
      <c r="O41" s="95">
        <f t="shared" si="2"/>
        <v>45576</v>
      </c>
      <c r="P41" s="95">
        <f t="shared" si="2"/>
        <v>45577</v>
      </c>
      <c r="Q41" s="95">
        <f t="shared" si="2"/>
        <v>45578</v>
      </c>
      <c r="R41" s="95">
        <f t="shared" si="2"/>
        <v>45579</v>
      </c>
      <c r="S41" s="95">
        <f t="shared" si="2"/>
        <v>45580</v>
      </c>
      <c r="T41" s="95">
        <f t="shared" si="2"/>
        <v>45581</v>
      </c>
      <c r="U41" s="95">
        <f t="shared" si="2"/>
        <v>45582</v>
      </c>
      <c r="V41" s="95">
        <f t="shared" si="2"/>
        <v>45583</v>
      </c>
      <c r="W41" s="95">
        <f t="shared" si="2"/>
        <v>45584</v>
      </c>
      <c r="X41" s="95">
        <f t="shared" si="2"/>
        <v>45585</v>
      </c>
      <c r="Y41" s="95">
        <f t="shared" si="2"/>
        <v>45586</v>
      </c>
      <c r="Z41" s="95">
        <f t="shared" si="2"/>
        <v>45587</v>
      </c>
      <c r="AA41" s="95">
        <f t="shared" si="2"/>
        <v>45588</v>
      </c>
      <c r="AB41" s="95">
        <f t="shared" si="2"/>
        <v>45589</v>
      </c>
      <c r="AC41" s="95">
        <f t="shared" si="2"/>
        <v>45590</v>
      </c>
      <c r="AD41" s="95">
        <f t="shared" si="2"/>
        <v>45591</v>
      </c>
      <c r="AE41" s="95">
        <f t="shared" si="2"/>
        <v>45592</v>
      </c>
      <c r="AF41" s="95">
        <f t="shared" si="2"/>
        <v>45593</v>
      </c>
      <c r="AG41" s="95">
        <f t="shared" si="2"/>
        <v>45594</v>
      </c>
      <c r="AH41" s="95">
        <f t="shared" si="2"/>
        <v>45595</v>
      </c>
      <c r="AI41" s="95">
        <f t="shared" si="2"/>
        <v>45596</v>
      </c>
      <c r="AJ41" s="529" t="s">
        <v>1</v>
      </c>
    </row>
    <row r="42" spans="1:36" ht="13" customHeight="1">
      <c r="A42" s="508"/>
      <c r="B42" s="508"/>
      <c r="C42" s="518"/>
      <c r="D42" s="519"/>
      <c r="E42" s="96" t="str">
        <f t="shared" ref="E42:AI42" si="3">E4</f>
        <v>Tue</v>
      </c>
      <c r="F42" s="96" t="str">
        <f t="shared" si="3"/>
        <v>Wed</v>
      </c>
      <c r="G42" s="96" t="str">
        <f t="shared" si="3"/>
        <v>Thu</v>
      </c>
      <c r="H42" s="96" t="str">
        <f t="shared" si="3"/>
        <v>Fri</v>
      </c>
      <c r="I42" s="96" t="str">
        <f t="shared" si="3"/>
        <v>Sat</v>
      </c>
      <c r="J42" s="96" t="str">
        <f t="shared" si="3"/>
        <v>Sun</v>
      </c>
      <c r="K42" s="96" t="str">
        <f t="shared" si="3"/>
        <v>Mon</v>
      </c>
      <c r="L42" s="96" t="str">
        <f t="shared" si="3"/>
        <v>Tue</v>
      </c>
      <c r="M42" s="96" t="str">
        <f t="shared" si="3"/>
        <v>Wed</v>
      </c>
      <c r="N42" s="96" t="str">
        <f t="shared" si="3"/>
        <v>Thu</v>
      </c>
      <c r="O42" s="96" t="str">
        <f t="shared" si="3"/>
        <v>Fri</v>
      </c>
      <c r="P42" s="96" t="str">
        <f t="shared" si="3"/>
        <v>Sat</v>
      </c>
      <c r="Q42" s="96" t="str">
        <f t="shared" si="3"/>
        <v>Sun</v>
      </c>
      <c r="R42" s="96" t="str">
        <f t="shared" si="3"/>
        <v>Mon</v>
      </c>
      <c r="S42" s="96" t="str">
        <f t="shared" si="3"/>
        <v>Tue</v>
      </c>
      <c r="T42" s="96" t="str">
        <f t="shared" si="3"/>
        <v>Wed</v>
      </c>
      <c r="U42" s="96" t="str">
        <f t="shared" si="3"/>
        <v>Thu</v>
      </c>
      <c r="V42" s="96" t="str">
        <f t="shared" si="3"/>
        <v>Fri</v>
      </c>
      <c r="W42" s="96" t="str">
        <f t="shared" si="3"/>
        <v>Sat</v>
      </c>
      <c r="X42" s="96" t="str">
        <f t="shared" si="3"/>
        <v>Sun</v>
      </c>
      <c r="Y42" s="96" t="str">
        <f t="shared" si="3"/>
        <v>Mon</v>
      </c>
      <c r="Z42" s="96" t="str">
        <f t="shared" si="3"/>
        <v>Tue</v>
      </c>
      <c r="AA42" s="96" t="str">
        <f t="shared" si="3"/>
        <v>Wed</v>
      </c>
      <c r="AB42" s="96" t="str">
        <f t="shared" si="3"/>
        <v>Thu</v>
      </c>
      <c r="AC42" s="96" t="str">
        <f t="shared" si="3"/>
        <v>Fri</v>
      </c>
      <c r="AD42" s="96" t="str">
        <f t="shared" si="3"/>
        <v>Sat</v>
      </c>
      <c r="AE42" s="96" t="str">
        <f t="shared" si="3"/>
        <v>Sun</v>
      </c>
      <c r="AF42" s="96" t="str">
        <f t="shared" si="3"/>
        <v>Mon</v>
      </c>
      <c r="AG42" s="96" t="str">
        <f t="shared" si="3"/>
        <v>Tue</v>
      </c>
      <c r="AH42" s="95" t="str">
        <f t="shared" si="3"/>
        <v>Wed</v>
      </c>
      <c r="AI42" s="96" t="str">
        <f t="shared" si="3"/>
        <v>Thu</v>
      </c>
      <c r="AJ42" s="508"/>
    </row>
    <row r="43" spans="1:36" ht="13" customHeight="1">
      <c r="A43" s="508"/>
      <c r="B43" s="508"/>
      <c r="C43" s="518"/>
      <c r="D43" s="519"/>
      <c r="E43" s="97" t="s">
        <v>110</v>
      </c>
      <c r="F43" s="97" t="s">
        <v>110</v>
      </c>
      <c r="G43" s="97" t="s">
        <v>110</v>
      </c>
      <c r="H43" s="97" t="s">
        <v>110</v>
      </c>
      <c r="I43" s="97" t="s">
        <v>110</v>
      </c>
      <c r="J43" s="97" t="s">
        <v>110</v>
      </c>
      <c r="K43" s="97" t="s">
        <v>110</v>
      </c>
      <c r="L43" s="97" t="s">
        <v>110</v>
      </c>
      <c r="M43" s="97" t="s">
        <v>110</v>
      </c>
      <c r="N43" s="97" t="s">
        <v>110</v>
      </c>
      <c r="O43" s="97" t="s">
        <v>110</v>
      </c>
      <c r="P43" s="97" t="s">
        <v>110</v>
      </c>
      <c r="Q43" s="97" t="s">
        <v>110</v>
      </c>
      <c r="R43" s="97" t="s">
        <v>110</v>
      </c>
      <c r="S43" s="97" t="s">
        <v>110</v>
      </c>
      <c r="T43" s="97" t="s">
        <v>110</v>
      </c>
      <c r="U43" s="97" t="s">
        <v>110</v>
      </c>
      <c r="V43" s="97" t="s">
        <v>110</v>
      </c>
      <c r="W43" s="97" t="s">
        <v>110</v>
      </c>
      <c r="X43" s="97" t="s">
        <v>110</v>
      </c>
      <c r="Y43" s="97" t="s">
        <v>110</v>
      </c>
      <c r="Z43" s="97" t="s">
        <v>110</v>
      </c>
      <c r="AA43" s="97" t="s">
        <v>110</v>
      </c>
      <c r="AB43" s="97" t="s">
        <v>110</v>
      </c>
      <c r="AC43" s="97" t="s">
        <v>110</v>
      </c>
      <c r="AD43" s="97" t="s">
        <v>110</v>
      </c>
      <c r="AE43" s="97" t="s">
        <v>110</v>
      </c>
      <c r="AF43" s="97" t="s">
        <v>110</v>
      </c>
      <c r="AG43" s="97" t="s">
        <v>110</v>
      </c>
      <c r="AH43" s="95" t="str">
        <f>AH5</f>
        <v>Time</v>
      </c>
      <c r="AI43" s="97" t="s">
        <v>110</v>
      </c>
      <c r="AJ43" s="508"/>
    </row>
    <row r="44" spans="1:36" ht="13" customHeight="1">
      <c r="A44" s="509"/>
      <c r="B44" s="509"/>
      <c r="C44" s="520"/>
      <c r="D44" s="521"/>
      <c r="E44" s="98">
        <v>0.33333333333333331</v>
      </c>
      <c r="F44" s="98">
        <v>0.33333333333333331</v>
      </c>
      <c r="G44" s="98">
        <v>0.33333333333333331</v>
      </c>
      <c r="H44" s="98">
        <v>0.33333333333333331</v>
      </c>
      <c r="I44" s="98">
        <v>0.33333333333333331</v>
      </c>
      <c r="J44" s="98">
        <v>0.33333333333333331</v>
      </c>
      <c r="K44" s="98">
        <v>0.33333333333333331</v>
      </c>
      <c r="L44" s="98">
        <v>0.33333333333333331</v>
      </c>
      <c r="M44" s="98">
        <v>0.33333333333333331</v>
      </c>
      <c r="N44" s="98">
        <v>0.33333333333333331</v>
      </c>
      <c r="O44" s="98">
        <v>0.33333333333333331</v>
      </c>
      <c r="P44" s="98">
        <v>0.33333333333333331</v>
      </c>
      <c r="Q44" s="98">
        <v>0.33333333333333331</v>
      </c>
      <c r="R44" s="98">
        <v>0.33333333333333331</v>
      </c>
      <c r="S44" s="98">
        <v>0.33333333333333331</v>
      </c>
      <c r="T44" s="98">
        <v>0.33333333333333331</v>
      </c>
      <c r="U44" s="98">
        <v>0.33333333333333331</v>
      </c>
      <c r="V44" s="98">
        <v>0.33333333333333331</v>
      </c>
      <c r="W44" s="98">
        <v>0.33333333333333331</v>
      </c>
      <c r="X44" s="98">
        <v>0.33333333333333331</v>
      </c>
      <c r="Y44" s="98">
        <v>0.33333333333333331</v>
      </c>
      <c r="Z44" s="98">
        <v>0.33333333333333331</v>
      </c>
      <c r="AA44" s="98">
        <v>0.33333333333333331</v>
      </c>
      <c r="AB44" s="98">
        <v>0.33333333333333331</v>
      </c>
      <c r="AC44" s="98">
        <v>0.33333333333333331</v>
      </c>
      <c r="AD44" s="98">
        <v>0.33333333333333331</v>
      </c>
      <c r="AE44" s="98">
        <v>0.33333333333333331</v>
      </c>
      <c r="AF44" s="98">
        <v>0.33333333333333331</v>
      </c>
      <c r="AG44" s="98">
        <v>0.33333333333333331</v>
      </c>
      <c r="AH44" s="98">
        <v>0.33333333333333331</v>
      </c>
      <c r="AI44" s="98">
        <v>0.33333333333333331</v>
      </c>
      <c r="AJ44" s="509"/>
    </row>
    <row r="45" spans="1:36" ht="15" customHeight="1">
      <c r="A45" s="2">
        <v>1</v>
      </c>
      <c r="B45" s="2" t="s">
        <v>129</v>
      </c>
      <c r="C45" s="503" t="s">
        <v>111</v>
      </c>
      <c r="D45" s="501"/>
      <c r="E45" s="20">
        <f t="shared" ref="E45:AI45" si="4">E7-D7</f>
        <v>367</v>
      </c>
      <c r="F45" s="20">
        <f t="shared" si="4"/>
        <v>206</v>
      </c>
      <c r="G45" s="20">
        <f t="shared" si="4"/>
        <v>272</v>
      </c>
      <c r="H45" s="20">
        <f t="shared" si="4"/>
        <v>252</v>
      </c>
      <c r="I45" s="20">
        <f t="shared" si="4"/>
        <v>204</v>
      </c>
      <c r="J45" s="20">
        <f t="shared" si="4"/>
        <v>202</v>
      </c>
      <c r="K45" s="20">
        <f t="shared" si="4"/>
        <v>278</v>
      </c>
      <c r="L45" s="20">
        <f t="shared" si="4"/>
        <v>265</v>
      </c>
      <c r="M45" s="20">
        <f t="shared" si="4"/>
        <v>219</v>
      </c>
      <c r="N45" s="20">
        <f t="shared" si="4"/>
        <v>246</v>
      </c>
      <c r="O45" s="20">
        <f t="shared" si="4"/>
        <v>256</v>
      </c>
      <c r="P45" s="20">
        <f t="shared" si="4"/>
        <v>212</v>
      </c>
      <c r="Q45" s="20">
        <f t="shared" si="4"/>
        <v>209</v>
      </c>
      <c r="R45" s="20">
        <f t="shared" si="4"/>
        <v>266</v>
      </c>
      <c r="S45" s="20">
        <f t="shared" si="4"/>
        <v>287</v>
      </c>
      <c r="T45" s="20">
        <f t="shared" si="4"/>
        <v>250</v>
      </c>
      <c r="U45" s="20">
        <f t="shared" si="4"/>
        <v>274</v>
      </c>
      <c r="V45" s="20">
        <f t="shared" si="4"/>
        <v>237</v>
      </c>
      <c r="W45" s="20">
        <f t="shared" si="4"/>
        <v>203</v>
      </c>
      <c r="X45" s="20">
        <f t="shared" si="4"/>
        <v>210</v>
      </c>
      <c r="Y45" s="20">
        <f t="shared" si="4"/>
        <v>290</v>
      </c>
      <c r="Z45" s="20">
        <f t="shared" si="4"/>
        <v>245</v>
      </c>
      <c r="AA45" s="20">
        <f t="shared" si="4"/>
        <v>268</v>
      </c>
      <c r="AB45" s="20">
        <f t="shared" si="4"/>
        <v>264</v>
      </c>
      <c r="AC45" s="20">
        <f t="shared" si="4"/>
        <v>245</v>
      </c>
      <c r="AD45" s="20">
        <f t="shared" si="4"/>
        <v>211</v>
      </c>
      <c r="AE45" s="20">
        <f t="shared" si="4"/>
        <v>215</v>
      </c>
      <c r="AF45" s="20">
        <f t="shared" si="4"/>
        <v>240</v>
      </c>
      <c r="AG45" s="20">
        <f t="shared" si="4"/>
        <v>244</v>
      </c>
      <c r="AH45" s="20">
        <f t="shared" si="4"/>
        <v>208</v>
      </c>
      <c r="AI45" s="20">
        <f t="shared" si="4"/>
        <v>115</v>
      </c>
      <c r="AJ45" s="21">
        <f t="shared" ref="AJ45:AJ62" si="5">SUM(E45:AI45)</f>
        <v>7460</v>
      </c>
    </row>
    <row r="46" spans="1:36" ht="15" customHeight="1">
      <c r="A46" s="2"/>
      <c r="B46" s="2"/>
      <c r="C46" s="531" t="s">
        <v>22</v>
      </c>
      <c r="D46" s="501"/>
      <c r="E46" s="20">
        <f t="shared" ref="E46:AI46" si="6">E8-D8</f>
        <v>48</v>
      </c>
      <c r="F46" s="20">
        <f t="shared" si="6"/>
        <v>4</v>
      </c>
      <c r="G46" s="20">
        <f t="shared" si="6"/>
        <v>0</v>
      </c>
      <c r="H46" s="20">
        <f t="shared" si="6"/>
        <v>0</v>
      </c>
      <c r="I46" s="20">
        <f t="shared" si="6"/>
        <v>0</v>
      </c>
      <c r="J46" s="20">
        <f t="shared" si="6"/>
        <v>0</v>
      </c>
      <c r="K46" s="20">
        <f t="shared" si="6"/>
        <v>0</v>
      </c>
      <c r="L46" s="20">
        <f t="shared" si="6"/>
        <v>1</v>
      </c>
      <c r="M46" s="20">
        <f t="shared" si="6"/>
        <v>32</v>
      </c>
      <c r="N46" s="20">
        <f t="shared" si="6"/>
        <v>0</v>
      </c>
      <c r="O46" s="20">
        <f t="shared" si="6"/>
        <v>2</v>
      </c>
      <c r="P46" s="20">
        <f t="shared" si="6"/>
        <v>0</v>
      </c>
      <c r="Q46" s="20">
        <f t="shared" si="6"/>
        <v>0</v>
      </c>
      <c r="R46" s="20">
        <f t="shared" si="6"/>
        <v>0</v>
      </c>
      <c r="S46" s="20">
        <f t="shared" si="6"/>
        <v>0</v>
      </c>
      <c r="T46" s="20">
        <f t="shared" si="6"/>
        <v>0</v>
      </c>
      <c r="U46" s="20">
        <f t="shared" si="6"/>
        <v>0</v>
      </c>
      <c r="V46" s="20">
        <f t="shared" si="6"/>
        <v>13</v>
      </c>
      <c r="W46" s="20">
        <f t="shared" si="6"/>
        <v>0</v>
      </c>
      <c r="X46" s="20">
        <f t="shared" si="6"/>
        <v>0</v>
      </c>
      <c r="Y46" s="20">
        <f t="shared" si="6"/>
        <v>0</v>
      </c>
      <c r="Z46" s="20">
        <f t="shared" si="6"/>
        <v>0</v>
      </c>
      <c r="AA46" s="20">
        <f t="shared" si="6"/>
        <v>0</v>
      </c>
      <c r="AB46" s="20">
        <f t="shared" si="6"/>
        <v>0</v>
      </c>
      <c r="AC46" s="20">
        <f t="shared" si="6"/>
        <v>0</v>
      </c>
      <c r="AD46" s="20">
        <f t="shared" si="6"/>
        <v>0</v>
      </c>
      <c r="AE46" s="20">
        <f t="shared" si="6"/>
        <v>0</v>
      </c>
      <c r="AF46" s="20">
        <f t="shared" si="6"/>
        <v>0</v>
      </c>
      <c r="AG46" s="20">
        <f t="shared" si="6"/>
        <v>0</v>
      </c>
      <c r="AH46" s="20">
        <f t="shared" si="6"/>
        <v>0</v>
      </c>
      <c r="AI46" s="20">
        <f t="shared" si="6"/>
        <v>0</v>
      </c>
      <c r="AJ46" s="21">
        <f t="shared" si="5"/>
        <v>100</v>
      </c>
    </row>
    <row r="47" spans="1:36" ht="15" customHeight="1">
      <c r="A47" s="2">
        <v>2</v>
      </c>
      <c r="B47" s="2" t="s">
        <v>129</v>
      </c>
      <c r="C47" s="503" t="s">
        <v>112</v>
      </c>
      <c r="D47" s="501"/>
      <c r="E47" s="20">
        <f t="shared" ref="E47:AI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0">
        <f t="shared" si="7"/>
        <v>0</v>
      </c>
      <c r="AH47" s="20">
        <f t="shared" si="7"/>
        <v>0</v>
      </c>
      <c r="AI47" s="20">
        <f t="shared" si="7"/>
        <v>0</v>
      </c>
      <c r="AJ47" s="21">
        <f t="shared" si="5"/>
        <v>0</v>
      </c>
    </row>
    <row r="48" spans="1:36" ht="15" customHeight="1">
      <c r="A48" s="2"/>
      <c r="B48" s="2"/>
      <c r="C48" s="531" t="s">
        <v>22</v>
      </c>
      <c r="D48" s="501"/>
      <c r="E48" s="20">
        <f t="shared" ref="E48:AI48" si="8">E10-D10</f>
        <v>0</v>
      </c>
      <c r="F48" s="20">
        <f t="shared" si="8"/>
        <v>0</v>
      </c>
      <c r="G48" s="20">
        <f t="shared" si="8"/>
        <v>0</v>
      </c>
      <c r="H48" s="20">
        <f t="shared" si="8"/>
        <v>0</v>
      </c>
      <c r="I48" s="20">
        <f t="shared" si="8"/>
        <v>0</v>
      </c>
      <c r="J48" s="20">
        <f t="shared" si="8"/>
        <v>0</v>
      </c>
      <c r="K48" s="20">
        <f t="shared" si="8"/>
        <v>0</v>
      </c>
      <c r="L48" s="20">
        <f t="shared" si="8"/>
        <v>0</v>
      </c>
      <c r="M48" s="20">
        <f t="shared" si="8"/>
        <v>0</v>
      </c>
      <c r="N48" s="20">
        <f t="shared" si="8"/>
        <v>0</v>
      </c>
      <c r="O48" s="20">
        <f t="shared" si="8"/>
        <v>0</v>
      </c>
      <c r="P48" s="20">
        <f t="shared" si="8"/>
        <v>0</v>
      </c>
      <c r="Q48" s="20">
        <f t="shared" si="8"/>
        <v>0</v>
      </c>
      <c r="R48" s="20">
        <f t="shared" si="8"/>
        <v>0</v>
      </c>
      <c r="S48" s="20">
        <f t="shared" si="8"/>
        <v>0</v>
      </c>
      <c r="T48" s="20">
        <f t="shared" si="8"/>
        <v>0</v>
      </c>
      <c r="U48" s="20">
        <f t="shared" si="8"/>
        <v>0</v>
      </c>
      <c r="V48" s="20">
        <f t="shared" si="8"/>
        <v>0</v>
      </c>
      <c r="W48" s="20">
        <f t="shared" si="8"/>
        <v>0</v>
      </c>
      <c r="X48" s="20">
        <f t="shared" si="8"/>
        <v>0</v>
      </c>
      <c r="Y48" s="20">
        <f t="shared" si="8"/>
        <v>0</v>
      </c>
      <c r="Z48" s="20">
        <f t="shared" si="8"/>
        <v>0</v>
      </c>
      <c r="AA48" s="20">
        <f t="shared" si="8"/>
        <v>0</v>
      </c>
      <c r="AB48" s="20">
        <f t="shared" si="8"/>
        <v>0</v>
      </c>
      <c r="AC48" s="20">
        <f t="shared" si="8"/>
        <v>0</v>
      </c>
      <c r="AD48" s="20">
        <f t="shared" si="8"/>
        <v>0</v>
      </c>
      <c r="AE48" s="20">
        <f t="shared" si="8"/>
        <v>0</v>
      </c>
      <c r="AF48" s="20">
        <f t="shared" si="8"/>
        <v>0</v>
      </c>
      <c r="AG48" s="20">
        <f t="shared" si="8"/>
        <v>0</v>
      </c>
      <c r="AH48" s="20">
        <f t="shared" si="8"/>
        <v>0</v>
      </c>
      <c r="AI48" s="20">
        <f t="shared" si="8"/>
        <v>0</v>
      </c>
      <c r="AJ48" s="21">
        <f t="shared" si="5"/>
        <v>0</v>
      </c>
    </row>
    <row r="49" spans="1:38" ht="15" customHeight="1">
      <c r="A49" s="2">
        <v>3</v>
      </c>
      <c r="B49" s="2" t="s">
        <v>129</v>
      </c>
      <c r="C49" s="503" t="s">
        <v>113</v>
      </c>
      <c r="D49" s="501"/>
      <c r="E49" s="20">
        <f t="shared" ref="E49:AI49" si="9">E11-D11</f>
        <v>510</v>
      </c>
      <c r="F49" s="20">
        <f t="shared" si="9"/>
        <v>272</v>
      </c>
      <c r="G49" s="20">
        <f t="shared" si="9"/>
        <v>387</v>
      </c>
      <c r="H49" s="20">
        <f t="shared" si="9"/>
        <v>354</v>
      </c>
      <c r="I49" s="20">
        <f t="shared" si="9"/>
        <v>267</v>
      </c>
      <c r="J49" s="20">
        <f t="shared" si="9"/>
        <v>273</v>
      </c>
      <c r="K49" s="20">
        <f t="shared" si="9"/>
        <v>390</v>
      </c>
      <c r="L49" s="20">
        <f t="shared" si="9"/>
        <v>379</v>
      </c>
      <c r="M49" s="20">
        <f t="shared" si="9"/>
        <v>329</v>
      </c>
      <c r="N49" s="20">
        <f t="shared" si="9"/>
        <v>367</v>
      </c>
      <c r="O49" s="20">
        <f t="shared" si="9"/>
        <v>327</v>
      </c>
      <c r="P49" s="20">
        <f t="shared" si="9"/>
        <v>278</v>
      </c>
      <c r="Q49" s="20">
        <f t="shared" si="9"/>
        <v>274</v>
      </c>
      <c r="R49" s="20">
        <f t="shared" si="9"/>
        <v>373</v>
      </c>
      <c r="S49" s="20">
        <f t="shared" si="9"/>
        <v>411</v>
      </c>
      <c r="T49" s="20">
        <f t="shared" si="9"/>
        <v>372</v>
      </c>
      <c r="U49" s="20">
        <f t="shared" si="9"/>
        <v>390</v>
      </c>
      <c r="V49" s="20">
        <f t="shared" si="9"/>
        <v>339</v>
      </c>
      <c r="W49" s="20">
        <f t="shared" si="9"/>
        <v>266</v>
      </c>
      <c r="X49" s="20">
        <f t="shared" si="9"/>
        <v>255</v>
      </c>
      <c r="Y49" s="20">
        <f t="shared" si="9"/>
        <v>436</v>
      </c>
      <c r="Z49" s="20">
        <f t="shared" si="9"/>
        <v>357</v>
      </c>
      <c r="AA49" s="20">
        <f t="shared" si="9"/>
        <v>383</v>
      </c>
      <c r="AB49" s="20">
        <f t="shared" si="9"/>
        <v>378</v>
      </c>
      <c r="AC49" s="20">
        <f t="shared" si="9"/>
        <v>343</v>
      </c>
      <c r="AD49" s="20">
        <f t="shared" si="9"/>
        <v>276</v>
      </c>
      <c r="AE49" s="20">
        <f t="shared" si="9"/>
        <v>282</v>
      </c>
      <c r="AF49" s="20">
        <f t="shared" si="9"/>
        <v>335</v>
      </c>
      <c r="AG49" s="20">
        <f t="shared" si="9"/>
        <v>333</v>
      </c>
      <c r="AH49" s="20">
        <f t="shared" si="9"/>
        <v>280</v>
      </c>
      <c r="AI49" s="20">
        <f t="shared" si="9"/>
        <v>150</v>
      </c>
      <c r="AJ49" s="21">
        <f t="shared" si="5"/>
        <v>10366</v>
      </c>
    </row>
    <row r="50" spans="1:38" ht="15" customHeight="1">
      <c r="A50" s="2"/>
      <c r="B50" s="2"/>
      <c r="C50" s="531" t="s">
        <v>22</v>
      </c>
      <c r="D50" s="501"/>
      <c r="E50" s="20">
        <f t="shared" ref="E50:AI50" si="10">E12-D12</f>
        <v>73</v>
      </c>
      <c r="F50" s="20">
        <f t="shared" si="10"/>
        <v>6</v>
      </c>
      <c r="G50" s="20">
        <f t="shared" si="10"/>
        <v>0</v>
      </c>
      <c r="H50" s="20">
        <f t="shared" si="10"/>
        <v>0</v>
      </c>
      <c r="I50" s="20">
        <f t="shared" si="10"/>
        <v>0</v>
      </c>
      <c r="J50" s="20">
        <f t="shared" si="10"/>
        <v>0</v>
      </c>
      <c r="K50" s="20">
        <f t="shared" si="10"/>
        <v>0</v>
      </c>
      <c r="L50" s="20">
        <f t="shared" si="10"/>
        <v>2</v>
      </c>
      <c r="M50" s="20">
        <f t="shared" si="10"/>
        <v>41</v>
      </c>
      <c r="N50" s="20">
        <f t="shared" si="10"/>
        <v>0</v>
      </c>
      <c r="O50" s="20">
        <f t="shared" si="10"/>
        <v>2</v>
      </c>
      <c r="P50" s="20">
        <f t="shared" si="10"/>
        <v>0</v>
      </c>
      <c r="Q50" s="20">
        <f t="shared" si="10"/>
        <v>0</v>
      </c>
      <c r="R50" s="20">
        <f t="shared" si="10"/>
        <v>0</v>
      </c>
      <c r="S50" s="20">
        <f t="shared" si="10"/>
        <v>0</v>
      </c>
      <c r="T50" s="20">
        <f t="shared" si="10"/>
        <v>0</v>
      </c>
      <c r="U50" s="20">
        <f t="shared" si="10"/>
        <v>0</v>
      </c>
      <c r="V50" s="20">
        <f t="shared" si="10"/>
        <v>19</v>
      </c>
      <c r="W50" s="20">
        <f t="shared" si="10"/>
        <v>0</v>
      </c>
      <c r="X50" s="20">
        <f t="shared" si="10"/>
        <v>0</v>
      </c>
      <c r="Y50" s="20">
        <f t="shared" si="10"/>
        <v>0</v>
      </c>
      <c r="Z50" s="20">
        <f t="shared" si="10"/>
        <v>0</v>
      </c>
      <c r="AA50" s="20">
        <f t="shared" si="10"/>
        <v>0</v>
      </c>
      <c r="AB50" s="20">
        <f t="shared" si="10"/>
        <v>0</v>
      </c>
      <c r="AC50" s="20">
        <f t="shared" si="10"/>
        <v>0</v>
      </c>
      <c r="AD50" s="20">
        <f t="shared" si="10"/>
        <v>0</v>
      </c>
      <c r="AE50" s="20">
        <f t="shared" si="10"/>
        <v>0</v>
      </c>
      <c r="AF50" s="20">
        <f t="shared" si="10"/>
        <v>0</v>
      </c>
      <c r="AG50" s="20">
        <f t="shared" si="10"/>
        <v>0</v>
      </c>
      <c r="AH50" s="20">
        <f t="shared" si="10"/>
        <v>0</v>
      </c>
      <c r="AI50" s="20">
        <f t="shared" si="10"/>
        <v>0</v>
      </c>
      <c r="AJ50" s="21">
        <f t="shared" si="5"/>
        <v>143</v>
      </c>
    </row>
    <row r="51" spans="1:38" ht="15" customHeight="1">
      <c r="A51" s="2">
        <v>4</v>
      </c>
      <c r="B51" s="2" t="s">
        <v>129</v>
      </c>
      <c r="C51" s="503" t="s">
        <v>114</v>
      </c>
      <c r="D51" s="501"/>
      <c r="E51" s="20">
        <f t="shared" ref="E51:AI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0">
        <f t="shared" si="11"/>
        <v>0</v>
      </c>
      <c r="AH51" s="20">
        <f t="shared" si="11"/>
        <v>0</v>
      </c>
      <c r="AI51" s="20">
        <f t="shared" si="11"/>
        <v>0</v>
      </c>
      <c r="AJ51" s="21">
        <f t="shared" si="5"/>
        <v>0</v>
      </c>
    </row>
    <row r="52" spans="1:38" ht="15" customHeight="1">
      <c r="A52" s="2"/>
      <c r="B52" s="2"/>
      <c r="C52" s="531" t="s">
        <v>22</v>
      </c>
      <c r="D52" s="501"/>
      <c r="E52" s="20">
        <f t="shared" ref="E52:AI52" si="12">E14-D14</f>
        <v>0</v>
      </c>
      <c r="F52" s="20">
        <f t="shared" si="12"/>
        <v>0</v>
      </c>
      <c r="G52" s="20">
        <f t="shared" si="12"/>
        <v>0</v>
      </c>
      <c r="H52" s="20">
        <f t="shared" si="12"/>
        <v>0</v>
      </c>
      <c r="I52" s="20">
        <f t="shared" si="12"/>
        <v>0</v>
      </c>
      <c r="J52" s="20">
        <f t="shared" si="12"/>
        <v>0</v>
      </c>
      <c r="K52" s="20">
        <f t="shared" si="12"/>
        <v>0</v>
      </c>
      <c r="L52" s="20">
        <f t="shared" si="12"/>
        <v>0</v>
      </c>
      <c r="M52" s="20">
        <f t="shared" si="12"/>
        <v>0</v>
      </c>
      <c r="N52" s="20">
        <f t="shared" si="12"/>
        <v>0</v>
      </c>
      <c r="O52" s="20">
        <f t="shared" si="12"/>
        <v>0</v>
      </c>
      <c r="P52" s="20">
        <f t="shared" si="12"/>
        <v>0</v>
      </c>
      <c r="Q52" s="20">
        <f t="shared" si="12"/>
        <v>0</v>
      </c>
      <c r="R52" s="20">
        <f t="shared" si="12"/>
        <v>0</v>
      </c>
      <c r="S52" s="20">
        <f t="shared" si="12"/>
        <v>0</v>
      </c>
      <c r="T52" s="20">
        <f t="shared" si="12"/>
        <v>0</v>
      </c>
      <c r="U52" s="20">
        <f t="shared" si="12"/>
        <v>0</v>
      </c>
      <c r="V52" s="20">
        <f t="shared" si="12"/>
        <v>0</v>
      </c>
      <c r="W52" s="20">
        <f t="shared" si="12"/>
        <v>0</v>
      </c>
      <c r="X52" s="20">
        <f t="shared" si="12"/>
        <v>0</v>
      </c>
      <c r="Y52" s="20">
        <f t="shared" si="12"/>
        <v>0</v>
      </c>
      <c r="Z52" s="20">
        <f t="shared" si="12"/>
        <v>0</v>
      </c>
      <c r="AA52" s="20">
        <f t="shared" si="12"/>
        <v>0</v>
      </c>
      <c r="AB52" s="20">
        <f t="shared" si="12"/>
        <v>0</v>
      </c>
      <c r="AC52" s="20">
        <f t="shared" si="12"/>
        <v>0</v>
      </c>
      <c r="AD52" s="20">
        <f t="shared" si="12"/>
        <v>0</v>
      </c>
      <c r="AE52" s="20">
        <f t="shared" si="12"/>
        <v>0</v>
      </c>
      <c r="AF52" s="20">
        <f t="shared" si="12"/>
        <v>0</v>
      </c>
      <c r="AG52" s="20">
        <f t="shared" si="12"/>
        <v>0</v>
      </c>
      <c r="AH52" s="20">
        <f t="shared" si="12"/>
        <v>0</v>
      </c>
      <c r="AI52" s="20">
        <f t="shared" si="12"/>
        <v>0</v>
      </c>
      <c r="AJ52" s="21">
        <f t="shared" si="5"/>
        <v>0</v>
      </c>
    </row>
    <row r="53" spans="1:38" ht="15" customHeight="1">
      <c r="A53" s="2">
        <v>5</v>
      </c>
      <c r="B53" s="2" t="s">
        <v>129</v>
      </c>
      <c r="C53" s="503" t="s">
        <v>115</v>
      </c>
      <c r="D53" s="501"/>
      <c r="E53" s="20">
        <f t="shared" ref="E53:AI53" si="13">E15-D15</f>
        <v>269</v>
      </c>
      <c r="F53" s="20">
        <f t="shared" si="13"/>
        <v>99</v>
      </c>
      <c r="G53" s="20">
        <f t="shared" si="13"/>
        <v>195</v>
      </c>
      <c r="H53" s="20">
        <f t="shared" si="13"/>
        <v>184</v>
      </c>
      <c r="I53" s="20">
        <f t="shared" si="13"/>
        <v>98</v>
      </c>
      <c r="J53" s="20">
        <f t="shared" si="13"/>
        <v>110</v>
      </c>
      <c r="K53" s="20">
        <f t="shared" si="13"/>
        <v>219</v>
      </c>
      <c r="L53" s="20">
        <f t="shared" si="13"/>
        <v>206</v>
      </c>
      <c r="M53" s="20">
        <f t="shared" si="13"/>
        <v>188</v>
      </c>
      <c r="N53" s="20">
        <f t="shared" si="13"/>
        <v>197</v>
      </c>
      <c r="O53" s="20">
        <f t="shared" si="13"/>
        <v>148</v>
      </c>
      <c r="P53" s="20">
        <f t="shared" si="13"/>
        <v>118</v>
      </c>
      <c r="Q53" s="20">
        <f t="shared" si="13"/>
        <v>108</v>
      </c>
      <c r="R53" s="20">
        <f t="shared" si="13"/>
        <v>224</v>
      </c>
      <c r="S53" s="20">
        <f t="shared" si="13"/>
        <v>235</v>
      </c>
      <c r="T53" s="20">
        <f t="shared" si="13"/>
        <v>208</v>
      </c>
      <c r="U53" s="20">
        <f t="shared" si="13"/>
        <v>213</v>
      </c>
      <c r="V53" s="20">
        <f t="shared" si="13"/>
        <v>193</v>
      </c>
      <c r="W53" s="20">
        <f t="shared" si="13"/>
        <v>97</v>
      </c>
      <c r="X53" s="20">
        <f t="shared" si="13"/>
        <v>103</v>
      </c>
      <c r="Y53" s="20">
        <f t="shared" si="13"/>
        <v>229</v>
      </c>
      <c r="Z53" s="20">
        <f t="shared" si="13"/>
        <v>196</v>
      </c>
      <c r="AA53" s="20">
        <f t="shared" si="13"/>
        <v>216</v>
      </c>
      <c r="AB53" s="20">
        <f t="shared" si="13"/>
        <v>205</v>
      </c>
      <c r="AC53" s="20">
        <f t="shared" si="13"/>
        <v>192</v>
      </c>
      <c r="AD53" s="20">
        <f t="shared" si="13"/>
        <v>119</v>
      </c>
      <c r="AE53" s="20">
        <f t="shared" si="13"/>
        <v>121</v>
      </c>
      <c r="AF53" s="20">
        <f t="shared" si="13"/>
        <v>195</v>
      </c>
      <c r="AG53" s="20">
        <f t="shared" si="13"/>
        <v>184</v>
      </c>
      <c r="AH53" s="20">
        <f t="shared" si="13"/>
        <v>117</v>
      </c>
      <c r="AI53" s="20">
        <f t="shared" si="13"/>
        <v>95</v>
      </c>
      <c r="AJ53" s="21">
        <f t="shared" si="5"/>
        <v>5281</v>
      </c>
    </row>
    <row r="54" spans="1:38" ht="15" customHeight="1">
      <c r="A54" s="2"/>
      <c r="B54" s="2"/>
      <c r="C54" s="531" t="s">
        <v>22</v>
      </c>
      <c r="D54" s="501"/>
      <c r="E54" s="20">
        <f t="shared" ref="E54:AI54" si="14">E16-D16</f>
        <v>39</v>
      </c>
      <c r="F54" s="20">
        <f t="shared" si="14"/>
        <v>2</v>
      </c>
      <c r="G54" s="20">
        <f t="shared" si="14"/>
        <v>0</v>
      </c>
      <c r="H54" s="20">
        <f t="shared" si="14"/>
        <v>0</v>
      </c>
      <c r="I54" s="20">
        <f t="shared" si="14"/>
        <v>0</v>
      </c>
      <c r="J54" s="20">
        <f t="shared" si="14"/>
        <v>0</v>
      </c>
      <c r="K54" s="20">
        <f t="shared" si="14"/>
        <v>0</v>
      </c>
      <c r="L54" s="20">
        <f t="shared" si="14"/>
        <v>1</v>
      </c>
      <c r="M54" s="20">
        <f t="shared" si="14"/>
        <v>21</v>
      </c>
      <c r="N54" s="20">
        <f t="shared" si="14"/>
        <v>0</v>
      </c>
      <c r="O54" s="20">
        <f t="shared" si="14"/>
        <v>1</v>
      </c>
      <c r="P54" s="20">
        <f t="shared" si="14"/>
        <v>0</v>
      </c>
      <c r="Q54" s="20">
        <f t="shared" si="14"/>
        <v>0</v>
      </c>
      <c r="R54" s="20">
        <f t="shared" si="14"/>
        <v>0</v>
      </c>
      <c r="S54" s="20">
        <f t="shared" si="14"/>
        <v>0</v>
      </c>
      <c r="T54" s="20">
        <f t="shared" si="14"/>
        <v>0</v>
      </c>
      <c r="U54" s="20">
        <f t="shared" si="14"/>
        <v>0</v>
      </c>
      <c r="V54" s="20">
        <f t="shared" si="14"/>
        <v>11</v>
      </c>
      <c r="W54" s="20">
        <f t="shared" si="14"/>
        <v>0</v>
      </c>
      <c r="X54" s="20">
        <f t="shared" si="14"/>
        <v>0</v>
      </c>
      <c r="Y54" s="20">
        <f t="shared" si="14"/>
        <v>0</v>
      </c>
      <c r="Z54" s="20">
        <f t="shared" si="14"/>
        <v>0</v>
      </c>
      <c r="AA54" s="20">
        <f t="shared" si="14"/>
        <v>0</v>
      </c>
      <c r="AB54" s="20">
        <f t="shared" si="14"/>
        <v>0</v>
      </c>
      <c r="AC54" s="20">
        <f t="shared" si="14"/>
        <v>0</v>
      </c>
      <c r="AD54" s="20">
        <f t="shared" si="14"/>
        <v>0</v>
      </c>
      <c r="AE54" s="20">
        <f t="shared" si="14"/>
        <v>0</v>
      </c>
      <c r="AF54" s="20">
        <f t="shared" si="14"/>
        <v>0</v>
      </c>
      <c r="AG54" s="20">
        <f t="shared" si="14"/>
        <v>0</v>
      </c>
      <c r="AH54" s="20">
        <f t="shared" si="14"/>
        <v>0</v>
      </c>
      <c r="AI54" s="20">
        <f t="shared" si="14"/>
        <v>0</v>
      </c>
      <c r="AJ54" s="105">
        <f t="shared" si="5"/>
        <v>75</v>
      </c>
      <c r="AK54" s="115" t="s">
        <v>20</v>
      </c>
      <c r="AL54" s="116">
        <f>SUM(AJ7,AJ9,AJ11,AJ13,AJ15,AJ17,AJ19,AJ21)</f>
        <v>51115</v>
      </c>
    </row>
    <row r="55" spans="1:38" ht="15" customHeight="1">
      <c r="A55" s="2">
        <v>6</v>
      </c>
      <c r="B55" s="2" t="s">
        <v>129</v>
      </c>
      <c r="C55" s="503" t="s">
        <v>116</v>
      </c>
      <c r="D55" s="501"/>
      <c r="E55" s="20">
        <f t="shared" ref="E55:AI55" si="15">E17-D17</f>
        <v>299</v>
      </c>
      <c r="F55" s="20">
        <f t="shared" si="15"/>
        <v>132</v>
      </c>
      <c r="G55" s="20">
        <f t="shared" si="15"/>
        <v>250</v>
      </c>
      <c r="H55" s="20">
        <f t="shared" si="15"/>
        <v>232</v>
      </c>
      <c r="I55" s="20">
        <f t="shared" si="15"/>
        <v>120</v>
      </c>
      <c r="J55" s="20">
        <f t="shared" si="15"/>
        <v>112</v>
      </c>
      <c r="K55" s="20">
        <f t="shared" si="15"/>
        <v>245</v>
      </c>
      <c r="L55" s="20">
        <f t="shared" si="15"/>
        <v>218</v>
      </c>
      <c r="M55" s="20">
        <f t="shared" si="15"/>
        <v>211</v>
      </c>
      <c r="N55" s="20">
        <f t="shared" si="15"/>
        <v>198</v>
      </c>
      <c r="O55" s="20">
        <f t="shared" si="15"/>
        <v>200</v>
      </c>
      <c r="P55" s="20">
        <f t="shared" si="15"/>
        <v>105</v>
      </c>
      <c r="Q55" s="20">
        <f t="shared" si="15"/>
        <v>113</v>
      </c>
      <c r="R55" s="20">
        <f t="shared" si="15"/>
        <v>246</v>
      </c>
      <c r="S55" s="20">
        <f t="shared" si="15"/>
        <v>268</v>
      </c>
      <c r="T55" s="20">
        <f t="shared" si="15"/>
        <v>241</v>
      </c>
      <c r="U55" s="20">
        <f t="shared" si="15"/>
        <v>241</v>
      </c>
      <c r="V55" s="20">
        <f t="shared" si="15"/>
        <v>208</v>
      </c>
      <c r="W55" s="20">
        <f t="shared" si="15"/>
        <v>99</v>
      </c>
      <c r="X55" s="20">
        <f t="shared" si="15"/>
        <v>118</v>
      </c>
      <c r="Y55" s="20">
        <f t="shared" si="15"/>
        <v>226</v>
      </c>
      <c r="Z55" s="20">
        <f t="shared" si="15"/>
        <v>216</v>
      </c>
      <c r="AA55" s="20">
        <f t="shared" si="15"/>
        <v>146</v>
      </c>
      <c r="AB55" s="20">
        <f t="shared" si="15"/>
        <v>318</v>
      </c>
      <c r="AC55" s="20">
        <f t="shared" si="15"/>
        <v>231</v>
      </c>
      <c r="AD55" s="20">
        <f t="shared" si="15"/>
        <v>140</v>
      </c>
      <c r="AE55" s="20">
        <f t="shared" si="15"/>
        <v>144</v>
      </c>
      <c r="AF55" s="20">
        <f t="shared" si="15"/>
        <v>236</v>
      </c>
      <c r="AG55" s="20">
        <f t="shared" si="15"/>
        <v>228</v>
      </c>
      <c r="AH55" s="20">
        <f t="shared" si="15"/>
        <v>193</v>
      </c>
      <c r="AI55" s="20">
        <f t="shared" si="15"/>
        <v>65</v>
      </c>
      <c r="AJ55" s="105">
        <f t="shared" si="5"/>
        <v>5999</v>
      </c>
      <c r="AK55" s="115" t="s">
        <v>21</v>
      </c>
      <c r="AL55" s="116">
        <f>SUM(AJ24,AJ26,AJ28,AJ30)</f>
        <v>7920</v>
      </c>
    </row>
    <row r="56" spans="1:38" ht="15" customHeight="1">
      <c r="A56" s="2"/>
      <c r="B56" s="2"/>
      <c r="C56" s="531" t="s">
        <v>22</v>
      </c>
      <c r="D56" s="501"/>
      <c r="E56" s="20">
        <f t="shared" ref="E56:AI56" si="16">E18-D18</f>
        <v>31</v>
      </c>
      <c r="F56" s="20">
        <f t="shared" si="16"/>
        <v>2</v>
      </c>
      <c r="G56" s="20">
        <f t="shared" si="16"/>
        <v>0</v>
      </c>
      <c r="H56" s="20">
        <f t="shared" si="16"/>
        <v>0</v>
      </c>
      <c r="I56" s="20">
        <f t="shared" si="16"/>
        <v>0</v>
      </c>
      <c r="J56" s="20">
        <f t="shared" si="16"/>
        <v>0</v>
      </c>
      <c r="K56" s="20">
        <f t="shared" si="16"/>
        <v>0</v>
      </c>
      <c r="L56" s="20">
        <f t="shared" si="16"/>
        <v>2</v>
      </c>
      <c r="M56" s="20">
        <f t="shared" si="16"/>
        <v>23</v>
      </c>
      <c r="N56" s="20">
        <f t="shared" si="16"/>
        <v>0</v>
      </c>
      <c r="O56" s="20">
        <f t="shared" si="16"/>
        <v>2</v>
      </c>
      <c r="P56" s="20">
        <f t="shared" si="16"/>
        <v>0</v>
      </c>
      <c r="Q56" s="20">
        <f t="shared" si="16"/>
        <v>0</v>
      </c>
      <c r="R56" s="20">
        <f t="shared" si="16"/>
        <v>0</v>
      </c>
      <c r="S56" s="20">
        <f t="shared" si="16"/>
        <v>0</v>
      </c>
      <c r="T56" s="20">
        <f t="shared" si="16"/>
        <v>0</v>
      </c>
      <c r="U56" s="20">
        <f t="shared" si="16"/>
        <v>0</v>
      </c>
      <c r="V56" s="20">
        <f t="shared" si="16"/>
        <v>9</v>
      </c>
      <c r="W56" s="20">
        <f t="shared" si="16"/>
        <v>0</v>
      </c>
      <c r="X56" s="20">
        <f t="shared" si="16"/>
        <v>0</v>
      </c>
      <c r="Y56" s="20">
        <f t="shared" si="16"/>
        <v>0</v>
      </c>
      <c r="Z56" s="20">
        <f t="shared" si="16"/>
        <v>0</v>
      </c>
      <c r="AA56" s="20">
        <f t="shared" si="16"/>
        <v>0</v>
      </c>
      <c r="AB56" s="20">
        <f t="shared" si="16"/>
        <v>0</v>
      </c>
      <c r="AC56" s="20">
        <f t="shared" si="16"/>
        <v>0</v>
      </c>
      <c r="AD56" s="20">
        <f t="shared" si="16"/>
        <v>0</v>
      </c>
      <c r="AE56" s="20">
        <f t="shared" si="16"/>
        <v>0</v>
      </c>
      <c r="AF56" s="20">
        <f t="shared" si="16"/>
        <v>0</v>
      </c>
      <c r="AG56" s="20">
        <f t="shared" si="16"/>
        <v>0</v>
      </c>
      <c r="AH56" s="20">
        <f t="shared" si="16"/>
        <v>0</v>
      </c>
      <c r="AI56" s="20">
        <f t="shared" si="16"/>
        <v>0</v>
      </c>
      <c r="AJ56" s="105">
        <f t="shared" si="5"/>
        <v>69</v>
      </c>
      <c r="AK56" s="115" t="s">
        <v>23</v>
      </c>
      <c r="AL56" s="116">
        <f>SUM(AJ33,AJ34,AJ35,AJ36)/2</f>
        <v>34289.5</v>
      </c>
    </row>
    <row r="57" spans="1:38" ht="15" customHeight="1">
      <c r="A57" s="2">
        <v>7</v>
      </c>
      <c r="B57" s="2" t="s">
        <v>129</v>
      </c>
      <c r="C57" s="503" t="s">
        <v>117</v>
      </c>
      <c r="D57" s="501"/>
      <c r="E57" s="20">
        <f t="shared" ref="E57:AI57" si="17">E19-D19</f>
        <v>1065</v>
      </c>
      <c r="F57" s="20">
        <f t="shared" si="17"/>
        <v>338</v>
      </c>
      <c r="G57" s="20">
        <f t="shared" si="17"/>
        <v>631</v>
      </c>
      <c r="H57" s="20">
        <f t="shared" si="17"/>
        <v>672</v>
      </c>
      <c r="I57" s="20">
        <f t="shared" si="17"/>
        <v>479</v>
      </c>
      <c r="J57" s="20">
        <f t="shared" si="17"/>
        <v>264</v>
      </c>
      <c r="K57" s="20">
        <f t="shared" si="17"/>
        <v>662</v>
      </c>
      <c r="L57" s="20">
        <f t="shared" si="17"/>
        <v>635</v>
      </c>
      <c r="M57" s="20">
        <f t="shared" si="17"/>
        <v>573</v>
      </c>
      <c r="N57" s="20">
        <f t="shared" si="17"/>
        <v>639</v>
      </c>
      <c r="O57" s="20">
        <f t="shared" si="17"/>
        <v>630</v>
      </c>
      <c r="P57" s="20">
        <f t="shared" si="17"/>
        <v>420</v>
      </c>
      <c r="Q57" s="20">
        <f t="shared" si="17"/>
        <v>263</v>
      </c>
      <c r="R57" s="20">
        <f t="shared" si="17"/>
        <v>903</v>
      </c>
      <c r="S57" s="20">
        <f t="shared" si="17"/>
        <v>698</v>
      </c>
      <c r="T57" s="20">
        <f t="shared" si="17"/>
        <v>695</v>
      </c>
      <c r="U57" s="20">
        <f t="shared" si="17"/>
        <v>731</v>
      </c>
      <c r="V57" s="20">
        <f t="shared" si="17"/>
        <v>630</v>
      </c>
      <c r="W57" s="20">
        <f t="shared" si="17"/>
        <v>378</v>
      </c>
      <c r="X57" s="20">
        <f t="shared" si="17"/>
        <v>582</v>
      </c>
      <c r="Y57" s="20">
        <f t="shared" si="17"/>
        <v>704</v>
      </c>
      <c r="Z57" s="20">
        <f t="shared" si="17"/>
        <v>649</v>
      </c>
      <c r="AA57" s="20">
        <f t="shared" si="17"/>
        <v>698</v>
      </c>
      <c r="AB57" s="20">
        <f t="shared" si="17"/>
        <v>719</v>
      </c>
      <c r="AC57" s="20">
        <f t="shared" si="17"/>
        <v>623</v>
      </c>
      <c r="AD57" s="20">
        <f t="shared" si="17"/>
        <v>408</v>
      </c>
      <c r="AE57" s="20">
        <f t="shared" si="17"/>
        <v>458</v>
      </c>
      <c r="AF57" s="20">
        <f t="shared" si="17"/>
        <v>665</v>
      </c>
      <c r="AG57" s="20">
        <f t="shared" si="17"/>
        <v>711</v>
      </c>
      <c r="AH57" s="20">
        <f t="shared" si="17"/>
        <v>571</v>
      </c>
      <c r="AI57" s="20">
        <f t="shared" si="17"/>
        <v>164</v>
      </c>
      <c r="AJ57" s="105">
        <f t="shared" si="5"/>
        <v>18258</v>
      </c>
      <c r="AK57" s="117" t="s">
        <v>22</v>
      </c>
      <c r="AL57" s="118">
        <f>SUM(AJ8,AJ10,AJ12,AJ14,AJ16,AJ18,AJ20,AJ22,AJ25,AJ27,AJ29,AJ31)</f>
        <v>746</v>
      </c>
    </row>
    <row r="58" spans="1:38" ht="15" customHeight="1">
      <c r="A58" s="2"/>
      <c r="B58" s="2"/>
      <c r="C58" s="531" t="s">
        <v>22</v>
      </c>
      <c r="D58" s="501"/>
      <c r="E58" s="20">
        <f t="shared" ref="E58:AI58" si="18">E20-D20</f>
        <v>95</v>
      </c>
      <c r="F58" s="20">
        <f t="shared" si="18"/>
        <v>9</v>
      </c>
      <c r="G58" s="20">
        <f t="shared" si="18"/>
        <v>0</v>
      </c>
      <c r="H58" s="20">
        <f t="shared" si="18"/>
        <v>0</v>
      </c>
      <c r="I58" s="20">
        <f t="shared" si="18"/>
        <v>0</v>
      </c>
      <c r="J58" s="20">
        <f t="shared" si="18"/>
        <v>0</v>
      </c>
      <c r="K58" s="20">
        <f t="shared" si="18"/>
        <v>0</v>
      </c>
      <c r="L58" s="20">
        <f t="shared" si="18"/>
        <v>6</v>
      </c>
      <c r="M58" s="20">
        <f t="shared" si="18"/>
        <v>40</v>
      </c>
      <c r="N58" s="20">
        <f t="shared" si="18"/>
        <v>0</v>
      </c>
      <c r="O58" s="20">
        <f t="shared" si="18"/>
        <v>4</v>
      </c>
      <c r="P58" s="20">
        <f t="shared" si="18"/>
        <v>0</v>
      </c>
      <c r="Q58" s="20">
        <f t="shared" si="18"/>
        <v>0</v>
      </c>
      <c r="R58" s="20">
        <f t="shared" si="18"/>
        <v>0</v>
      </c>
      <c r="S58" s="20">
        <f t="shared" si="18"/>
        <v>0</v>
      </c>
      <c r="T58" s="20">
        <f t="shared" si="18"/>
        <v>0</v>
      </c>
      <c r="U58" s="20">
        <f t="shared" si="18"/>
        <v>0</v>
      </c>
      <c r="V58" s="20">
        <f t="shared" si="18"/>
        <v>46</v>
      </c>
      <c r="W58" s="20">
        <f t="shared" si="18"/>
        <v>0</v>
      </c>
      <c r="X58" s="20">
        <f t="shared" si="18"/>
        <v>0</v>
      </c>
      <c r="Y58" s="20">
        <f t="shared" si="18"/>
        <v>0</v>
      </c>
      <c r="Z58" s="20">
        <f t="shared" si="18"/>
        <v>0</v>
      </c>
      <c r="AA58" s="20">
        <f t="shared" si="18"/>
        <v>0</v>
      </c>
      <c r="AB58" s="20">
        <f t="shared" si="18"/>
        <v>0</v>
      </c>
      <c r="AC58" s="20">
        <f t="shared" si="18"/>
        <v>0</v>
      </c>
      <c r="AD58" s="20">
        <f t="shared" si="18"/>
        <v>0</v>
      </c>
      <c r="AE58" s="20">
        <f t="shared" si="18"/>
        <v>0</v>
      </c>
      <c r="AF58" s="20">
        <f t="shared" si="18"/>
        <v>0</v>
      </c>
      <c r="AG58" s="20">
        <f t="shared" si="18"/>
        <v>0</v>
      </c>
      <c r="AH58" s="20">
        <f t="shared" si="18"/>
        <v>0</v>
      </c>
      <c r="AI58" s="20">
        <f t="shared" si="18"/>
        <v>0</v>
      </c>
      <c r="AJ58" s="21">
        <f t="shared" si="5"/>
        <v>200</v>
      </c>
    </row>
    <row r="59" spans="1:38" ht="15" customHeight="1">
      <c r="A59" s="2">
        <v>8</v>
      </c>
      <c r="B59" s="2" t="s">
        <v>129</v>
      </c>
      <c r="C59" s="503" t="s">
        <v>118</v>
      </c>
      <c r="D59" s="501"/>
      <c r="E59" s="20">
        <f t="shared" ref="E59:AI59" si="19">E21-D21</f>
        <v>262</v>
      </c>
      <c r="F59" s="20">
        <f t="shared" si="19"/>
        <v>60</v>
      </c>
      <c r="G59" s="20">
        <f t="shared" si="19"/>
        <v>152</v>
      </c>
      <c r="H59" s="20">
        <f t="shared" si="19"/>
        <v>163</v>
      </c>
      <c r="I59" s="20">
        <f t="shared" si="19"/>
        <v>135</v>
      </c>
      <c r="J59" s="20">
        <f t="shared" si="19"/>
        <v>172</v>
      </c>
      <c r="K59" s="20">
        <f t="shared" si="19"/>
        <v>145</v>
      </c>
      <c r="L59" s="20">
        <f t="shared" si="19"/>
        <v>175</v>
      </c>
      <c r="M59" s="20">
        <f t="shared" si="19"/>
        <v>94</v>
      </c>
      <c r="N59" s="20">
        <f t="shared" si="19"/>
        <v>181</v>
      </c>
      <c r="O59" s="20">
        <f t="shared" si="19"/>
        <v>141</v>
      </c>
      <c r="P59" s="20">
        <f t="shared" si="19"/>
        <v>141</v>
      </c>
      <c r="Q59" s="20">
        <f t="shared" si="19"/>
        <v>126</v>
      </c>
      <c r="R59" s="20">
        <f t="shared" si="19"/>
        <v>95</v>
      </c>
      <c r="S59" s="20">
        <f t="shared" si="19"/>
        <v>70</v>
      </c>
      <c r="T59" s="20">
        <f t="shared" si="19"/>
        <v>103</v>
      </c>
      <c r="U59" s="20">
        <f t="shared" si="19"/>
        <v>110</v>
      </c>
      <c r="V59" s="20">
        <f t="shared" si="19"/>
        <v>129</v>
      </c>
      <c r="W59" s="20">
        <f t="shared" si="19"/>
        <v>127</v>
      </c>
      <c r="X59" s="20">
        <f t="shared" si="19"/>
        <v>118</v>
      </c>
      <c r="Y59" s="20">
        <f t="shared" si="19"/>
        <v>189</v>
      </c>
      <c r="Z59" s="20">
        <f t="shared" si="19"/>
        <v>136</v>
      </c>
      <c r="AA59" s="20">
        <f t="shared" si="19"/>
        <v>163</v>
      </c>
      <c r="AB59" s="20">
        <f t="shared" si="19"/>
        <v>90</v>
      </c>
      <c r="AC59" s="20">
        <f t="shared" si="19"/>
        <v>72</v>
      </c>
      <c r="AD59" s="20">
        <f t="shared" si="19"/>
        <v>67</v>
      </c>
      <c r="AE59" s="20">
        <f t="shared" si="19"/>
        <v>67</v>
      </c>
      <c r="AF59" s="20">
        <f t="shared" si="19"/>
        <v>80</v>
      </c>
      <c r="AG59" s="20">
        <f t="shared" si="19"/>
        <v>80</v>
      </c>
      <c r="AH59" s="20">
        <f t="shared" si="19"/>
        <v>73</v>
      </c>
      <c r="AI59" s="20">
        <f t="shared" si="19"/>
        <v>35</v>
      </c>
      <c r="AJ59" s="21">
        <f t="shared" si="5"/>
        <v>3751</v>
      </c>
    </row>
    <row r="60" spans="1:38" ht="15" customHeight="1">
      <c r="A60" s="2"/>
      <c r="B60" s="2"/>
      <c r="C60" s="531" t="s">
        <v>22</v>
      </c>
      <c r="D60" s="501"/>
      <c r="E60" s="20">
        <f t="shared" ref="E60:AI60" si="20">E22-D22</f>
        <v>38</v>
      </c>
      <c r="F60" s="20">
        <f t="shared" si="20"/>
        <v>2</v>
      </c>
      <c r="G60" s="20">
        <f t="shared" si="20"/>
        <v>0</v>
      </c>
      <c r="H60" s="20">
        <f t="shared" si="20"/>
        <v>0</v>
      </c>
      <c r="I60" s="20">
        <f t="shared" si="20"/>
        <v>0</v>
      </c>
      <c r="J60" s="20">
        <f t="shared" si="20"/>
        <v>0</v>
      </c>
      <c r="K60" s="20">
        <f t="shared" si="20"/>
        <v>0</v>
      </c>
      <c r="L60" s="20">
        <f t="shared" si="20"/>
        <v>0</v>
      </c>
      <c r="M60" s="20">
        <f t="shared" si="20"/>
        <v>6</v>
      </c>
      <c r="N60" s="20">
        <f t="shared" si="20"/>
        <v>0</v>
      </c>
      <c r="O60" s="20">
        <f t="shared" si="20"/>
        <v>0</v>
      </c>
      <c r="P60" s="20">
        <f t="shared" si="20"/>
        <v>0</v>
      </c>
      <c r="Q60" s="20">
        <f t="shared" si="20"/>
        <v>0</v>
      </c>
      <c r="R60" s="20">
        <f t="shared" si="20"/>
        <v>0</v>
      </c>
      <c r="S60" s="20">
        <f t="shared" si="20"/>
        <v>0</v>
      </c>
      <c r="T60" s="20">
        <f t="shared" si="20"/>
        <v>0</v>
      </c>
      <c r="U60" s="20">
        <f t="shared" si="20"/>
        <v>0</v>
      </c>
      <c r="V60" s="20">
        <f t="shared" si="20"/>
        <v>12</v>
      </c>
      <c r="W60" s="20">
        <f t="shared" si="20"/>
        <v>0</v>
      </c>
      <c r="X60" s="20">
        <f t="shared" si="20"/>
        <v>0</v>
      </c>
      <c r="Y60" s="20">
        <f t="shared" si="20"/>
        <v>0</v>
      </c>
      <c r="Z60" s="20">
        <f t="shared" si="20"/>
        <v>0</v>
      </c>
      <c r="AA60" s="20">
        <f t="shared" si="20"/>
        <v>0</v>
      </c>
      <c r="AB60" s="20">
        <f t="shared" si="20"/>
        <v>0</v>
      </c>
      <c r="AC60" s="20">
        <f t="shared" si="20"/>
        <v>0</v>
      </c>
      <c r="AD60" s="20">
        <f t="shared" si="20"/>
        <v>0</v>
      </c>
      <c r="AE60" s="20">
        <f t="shared" si="20"/>
        <v>0</v>
      </c>
      <c r="AF60" s="20">
        <f t="shared" si="20"/>
        <v>0</v>
      </c>
      <c r="AG60" s="20">
        <f t="shared" si="20"/>
        <v>0</v>
      </c>
      <c r="AH60" s="20">
        <f t="shared" si="20"/>
        <v>0</v>
      </c>
      <c r="AI60" s="20">
        <f t="shared" si="20"/>
        <v>0</v>
      </c>
      <c r="AJ60" s="21">
        <f t="shared" si="5"/>
        <v>58</v>
      </c>
    </row>
    <row r="61" spans="1:38" ht="15" customHeight="1">
      <c r="A61" s="99"/>
      <c r="B61" s="99"/>
      <c r="C61" s="500" t="s">
        <v>130</v>
      </c>
      <c r="D61" s="501"/>
      <c r="E61" s="23">
        <f t="shared" ref="E61:AI61" si="21">SUM(E59,E57,E55,E53,E51,E49,E47,E45)</f>
        <v>2772</v>
      </c>
      <c r="F61" s="23">
        <f t="shared" si="21"/>
        <v>1107</v>
      </c>
      <c r="G61" s="23">
        <f t="shared" si="21"/>
        <v>1887</v>
      </c>
      <c r="H61" s="23">
        <f t="shared" si="21"/>
        <v>1857</v>
      </c>
      <c r="I61" s="23">
        <f t="shared" si="21"/>
        <v>1303</v>
      </c>
      <c r="J61" s="23">
        <f t="shared" si="21"/>
        <v>1133</v>
      </c>
      <c r="K61" s="23">
        <f t="shared" si="21"/>
        <v>1939</v>
      </c>
      <c r="L61" s="23">
        <f t="shared" si="21"/>
        <v>1878</v>
      </c>
      <c r="M61" s="23">
        <f t="shared" si="21"/>
        <v>1614</v>
      </c>
      <c r="N61" s="23">
        <f t="shared" si="21"/>
        <v>1828</v>
      </c>
      <c r="O61" s="23">
        <f t="shared" si="21"/>
        <v>1702</v>
      </c>
      <c r="P61" s="23">
        <f t="shared" si="21"/>
        <v>1274</v>
      </c>
      <c r="Q61" s="23">
        <f t="shared" si="21"/>
        <v>1093</v>
      </c>
      <c r="R61" s="23">
        <f t="shared" si="21"/>
        <v>2107</v>
      </c>
      <c r="S61" s="23">
        <f t="shared" si="21"/>
        <v>1969</v>
      </c>
      <c r="T61" s="23">
        <f t="shared" si="21"/>
        <v>1869</v>
      </c>
      <c r="U61" s="23">
        <f t="shared" si="21"/>
        <v>1959</v>
      </c>
      <c r="V61" s="23">
        <f t="shared" si="21"/>
        <v>1736</v>
      </c>
      <c r="W61" s="23">
        <f t="shared" si="21"/>
        <v>1170</v>
      </c>
      <c r="X61" s="23">
        <f t="shared" si="21"/>
        <v>1386</v>
      </c>
      <c r="Y61" s="23">
        <f t="shared" si="21"/>
        <v>2074</v>
      </c>
      <c r="Z61" s="23">
        <f t="shared" si="21"/>
        <v>1799</v>
      </c>
      <c r="AA61" s="23">
        <f t="shared" si="21"/>
        <v>1874</v>
      </c>
      <c r="AB61" s="23">
        <f t="shared" si="21"/>
        <v>1974</v>
      </c>
      <c r="AC61" s="23">
        <f t="shared" si="21"/>
        <v>1706</v>
      </c>
      <c r="AD61" s="23">
        <f t="shared" si="21"/>
        <v>1221</v>
      </c>
      <c r="AE61" s="23">
        <f t="shared" si="21"/>
        <v>1287</v>
      </c>
      <c r="AF61" s="23">
        <f t="shared" si="21"/>
        <v>1751</v>
      </c>
      <c r="AG61" s="23">
        <f t="shared" si="21"/>
        <v>1780</v>
      </c>
      <c r="AH61" s="23">
        <f t="shared" si="21"/>
        <v>1442</v>
      </c>
      <c r="AI61" s="23">
        <f t="shared" si="21"/>
        <v>624</v>
      </c>
      <c r="AJ61" s="24">
        <f t="shared" si="5"/>
        <v>51115</v>
      </c>
      <c r="AK61" s="78"/>
    </row>
    <row r="62" spans="1:38" ht="15" customHeight="1">
      <c r="A62" s="99"/>
      <c r="B62" s="99"/>
      <c r="C62" s="63" t="s">
        <v>131</v>
      </c>
      <c r="D62" s="108"/>
      <c r="E62" s="23">
        <f t="shared" ref="E62:AI62" si="22">SUM(E46,E48,E50,E52,E54,E56,E58,E60)</f>
        <v>324</v>
      </c>
      <c r="F62" s="23">
        <f t="shared" si="22"/>
        <v>25</v>
      </c>
      <c r="G62" s="23">
        <f t="shared" si="22"/>
        <v>0</v>
      </c>
      <c r="H62" s="23">
        <f t="shared" si="22"/>
        <v>0</v>
      </c>
      <c r="I62" s="23">
        <f t="shared" si="22"/>
        <v>0</v>
      </c>
      <c r="J62" s="23">
        <f t="shared" si="22"/>
        <v>0</v>
      </c>
      <c r="K62" s="23">
        <f t="shared" si="22"/>
        <v>0</v>
      </c>
      <c r="L62" s="23">
        <f t="shared" si="22"/>
        <v>12</v>
      </c>
      <c r="M62" s="23">
        <f t="shared" si="22"/>
        <v>163</v>
      </c>
      <c r="N62" s="23">
        <f t="shared" si="22"/>
        <v>0</v>
      </c>
      <c r="O62" s="23">
        <f t="shared" si="22"/>
        <v>11</v>
      </c>
      <c r="P62" s="23">
        <f t="shared" si="22"/>
        <v>0</v>
      </c>
      <c r="Q62" s="23">
        <f t="shared" si="22"/>
        <v>0</v>
      </c>
      <c r="R62" s="23">
        <f t="shared" si="22"/>
        <v>0</v>
      </c>
      <c r="S62" s="23">
        <f t="shared" si="22"/>
        <v>0</v>
      </c>
      <c r="T62" s="23">
        <f t="shared" si="22"/>
        <v>0</v>
      </c>
      <c r="U62" s="23">
        <f t="shared" si="22"/>
        <v>0</v>
      </c>
      <c r="V62" s="23">
        <f t="shared" si="22"/>
        <v>110</v>
      </c>
      <c r="W62" s="23">
        <f t="shared" si="22"/>
        <v>0</v>
      </c>
      <c r="X62" s="23">
        <f t="shared" si="22"/>
        <v>0</v>
      </c>
      <c r="Y62" s="23">
        <f t="shared" si="22"/>
        <v>0</v>
      </c>
      <c r="Z62" s="23">
        <f t="shared" si="22"/>
        <v>0</v>
      </c>
      <c r="AA62" s="23">
        <f t="shared" si="22"/>
        <v>0</v>
      </c>
      <c r="AB62" s="23">
        <f t="shared" si="22"/>
        <v>0</v>
      </c>
      <c r="AC62" s="23">
        <f t="shared" si="22"/>
        <v>0</v>
      </c>
      <c r="AD62" s="23">
        <f t="shared" si="22"/>
        <v>0</v>
      </c>
      <c r="AE62" s="23">
        <f t="shared" si="22"/>
        <v>0</v>
      </c>
      <c r="AF62" s="23">
        <f t="shared" si="22"/>
        <v>0</v>
      </c>
      <c r="AG62" s="23">
        <f t="shared" si="22"/>
        <v>0</v>
      </c>
      <c r="AH62" s="23">
        <f t="shared" si="22"/>
        <v>0</v>
      </c>
      <c r="AI62" s="23">
        <f t="shared" si="22"/>
        <v>0</v>
      </c>
      <c r="AJ62" s="24">
        <f t="shared" si="5"/>
        <v>645</v>
      </c>
    </row>
    <row r="63" spans="1:38" ht="14.5" customHeight="1">
      <c r="A63" s="101"/>
      <c r="B63" s="101"/>
      <c r="C63" s="539" t="s">
        <v>132</v>
      </c>
      <c r="D63" s="501"/>
      <c r="E63" s="102">
        <f t="shared" ref="E63:AJ63" si="23">E61</f>
        <v>2772</v>
      </c>
      <c r="F63" s="102">
        <f t="shared" si="23"/>
        <v>1107</v>
      </c>
      <c r="G63" s="102">
        <f t="shared" si="23"/>
        <v>1887</v>
      </c>
      <c r="H63" s="102">
        <f t="shared" si="23"/>
        <v>1857</v>
      </c>
      <c r="I63" s="102">
        <f t="shared" si="23"/>
        <v>1303</v>
      </c>
      <c r="J63" s="102">
        <f t="shared" si="23"/>
        <v>1133</v>
      </c>
      <c r="K63" s="102">
        <f t="shared" si="23"/>
        <v>1939</v>
      </c>
      <c r="L63" s="102">
        <f t="shared" si="23"/>
        <v>1878</v>
      </c>
      <c r="M63" s="102">
        <f t="shared" si="23"/>
        <v>1614</v>
      </c>
      <c r="N63" s="102">
        <f t="shared" si="23"/>
        <v>1828</v>
      </c>
      <c r="O63" s="102">
        <f t="shared" si="23"/>
        <v>1702</v>
      </c>
      <c r="P63" s="102">
        <f t="shared" si="23"/>
        <v>1274</v>
      </c>
      <c r="Q63" s="102">
        <f t="shared" si="23"/>
        <v>1093</v>
      </c>
      <c r="R63" s="102">
        <f t="shared" si="23"/>
        <v>2107</v>
      </c>
      <c r="S63" s="102">
        <f t="shared" si="23"/>
        <v>1969</v>
      </c>
      <c r="T63" s="102">
        <f t="shared" si="23"/>
        <v>1869</v>
      </c>
      <c r="U63" s="102">
        <f t="shared" si="23"/>
        <v>1959</v>
      </c>
      <c r="V63" s="102">
        <f t="shared" si="23"/>
        <v>1736</v>
      </c>
      <c r="W63" s="102">
        <f t="shared" si="23"/>
        <v>1170</v>
      </c>
      <c r="X63" s="102">
        <f t="shared" si="23"/>
        <v>1386</v>
      </c>
      <c r="Y63" s="102">
        <f t="shared" si="23"/>
        <v>2074</v>
      </c>
      <c r="Z63" s="102">
        <f t="shared" si="23"/>
        <v>1799</v>
      </c>
      <c r="AA63" s="102">
        <f t="shared" si="23"/>
        <v>1874</v>
      </c>
      <c r="AB63" s="102">
        <f t="shared" si="23"/>
        <v>1974</v>
      </c>
      <c r="AC63" s="102">
        <f t="shared" si="23"/>
        <v>1706</v>
      </c>
      <c r="AD63" s="102">
        <f t="shared" si="23"/>
        <v>1221</v>
      </c>
      <c r="AE63" s="102">
        <f t="shared" si="23"/>
        <v>1287</v>
      </c>
      <c r="AF63" s="102">
        <f t="shared" si="23"/>
        <v>1751</v>
      </c>
      <c r="AG63" s="102">
        <f t="shared" si="23"/>
        <v>1780</v>
      </c>
      <c r="AH63" s="102">
        <f t="shared" si="23"/>
        <v>1442</v>
      </c>
      <c r="AI63" s="102">
        <f t="shared" si="23"/>
        <v>624</v>
      </c>
      <c r="AJ63" s="102">
        <f t="shared" si="23"/>
        <v>51115</v>
      </c>
    </row>
    <row r="64" spans="1:38" ht="13" customHeight="1">
      <c r="A64" s="94"/>
      <c r="B64" s="27"/>
      <c r="C64" s="27"/>
      <c r="D64" s="10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</row>
    <row r="65" spans="1:38" ht="14.5" customHeight="1">
      <c r="A65" s="28" t="s">
        <v>133</v>
      </c>
      <c r="B65" s="28" t="s">
        <v>100</v>
      </c>
      <c r="C65" s="523" t="s">
        <v>101</v>
      </c>
      <c r="D65" s="50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103"/>
    </row>
    <row r="66" spans="1:38" ht="14.5" customHeight="1">
      <c r="A66" s="2">
        <v>1</v>
      </c>
      <c r="B66" s="2" t="s">
        <v>129</v>
      </c>
      <c r="C66" s="506" t="s">
        <v>119</v>
      </c>
      <c r="D66" s="501"/>
      <c r="E66" s="30">
        <f t="shared" ref="E66:AI66" si="24">E24-D24</f>
        <v>138</v>
      </c>
      <c r="F66" s="30">
        <f t="shared" si="24"/>
        <v>2</v>
      </c>
      <c r="G66" s="30">
        <f t="shared" si="24"/>
        <v>95</v>
      </c>
      <c r="H66" s="30">
        <f t="shared" si="24"/>
        <v>89</v>
      </c>
      <c r="I66" s="30">
        <f t="shared" si="24"/>
        <v>0</v>
      </c>
      <c r="J66" s="30">
        <f t="shared" si="24"/>
        <v>0</v>
      </c>
      <c r="K66" s="30">
        <f t="shared" si="24"/>
        <v>99</v>
      </c>
      <c r="L66" s="30">
        <f t="shared" si="24"/>
        <v>84</v>
      </c>
      <c r="M66" s="30">
        <f t="shared" si="24"/>
        <v>89</v>
      </c>
      <c r="N66" s="30">
        <f t="shared" si="24"/>
        <v>79</v>
      </c>
      <c r="O66" s="30">
        <f t="shared" si="24"/>
        <v>82</v>
      </c>
      <c r="P66" s="30">
        <f t="shared" si="24"/>
        <v>0</v>
      </c>
      <c r="Q66" s="30">
        <f t="shared" si="24"/>
        <v>0</v>
      </c>
      <c r="R66" s="30">
        <f t="shared" si="24"/>
        <v>90</v>
      </c>
      <c r="S66" s="30">
        <f t="shared" si="24"/>
        <v>76</v>
      </c>
      <c r="T66" s="30">
        <f t="shared" si="24"/>
        <v>85</v>
      </c>
      <c r="U66" s="30">
        <f t="shared" si="24"/>
        <v>83</v>
      </c>
      <c r="V66" s="30">
        <f t="shared" si="24"/>
        <v>69</v>
      </c>
      <c r="W66" s="30">
        <f t="shared" si="24"/>
        <v>48</v>
      </c>
      <c r="X66" s="30">
        <f t="shared" si="24"/>
        <v>0</v>
      </c>
      <c r="Y66" s="30">
        <f t="shared" si="24"/>
        <v>86</v>
      </c>
      <c r="Z66" s="30">
        <f t="shared" si="24"/>
        <v>88</v>
      </c>
      <c r="AA66" s="30">
        <f t="shared" si="24"/>
        <v>93</v>
      </c>
      <c r="AB66" s="30">
        <f t="shared" si="24"/>
        <v>81</v>
      </c>
      <c r="AC66" s="30">
        <f t="shared" si="24"/>
        <v>88</v>
      </c>
      <c r="AD66" s="30">
        <f t="shared" si="24"/>
        <v>56</v>
      </c>
      <c r="AE66" s="30">
        <f t="shared" si="24"/>
        <v>0</v>
      </c>
      <c r="AF66" s="30">
        <f t="shared" si="24"/>
        <v>77</v>
      </c>
      <c r="AG66" s="30">
        <f t="shared" si="24"/>
        <v>74</v>
      </c>
      <c r="AH66" s="30">
        <f t="shared" si="24"/>
        <v>70</v>
      </c>
      <c r="AI66" s="30">
        <f t="shared" si="24"/>
        <v>0</v>
      </c>
      <c r="AJ66" s="30">
        <f t="shared" ref="AJ66:AJ79" si="25">SUM(E66:AI66)</f>
        <v>1921</v>
      </c>
      <c r="AL66" s="78"/>
    </row>
    <row r="67" spans="1:38" ht="14.5" customHeight="1">
      <c r="A67" s="2"/>
      <c r="B67" s="2"/>
      <c r="C67" s="532" t="s">
        <v>22</v>
      </c>
      <c r="D67" s="501"/>
      <c r="E67" s="30">
        <f t="shared" ref="E67:AI67" si="26">E25-D25</f>
        <v>13</v>
      </c>
      <c r="F67" s="30">
        <f t="shared" si="26"/>
        <v>0</v>
      </c>
      <c r="G67" s="30">
        <f t="shared" si="26"/>
        <v>0</v>
      </c>
      <c r="H67" s="30">
        <f t="shared" si="26"/>
        <v>0</v>
      </c>
      <c r="I67" s="30">
        <f t="shared" si="26"/>
        <v>0</v>
      </c>
      <c r="J67" s="30">
        <f t="shared" si="26"/>
        <v>0</v>
      </c>
      <c r="K67" s="30">
        <f t="shared" si="26"/>
        <v>0</v>
      </c>
      <c r="L67" s="30">
        <f t="shared" si="26"/>
        <v>1</v>
      </c>
      <c r="M67" s="30">
        <f t="shared" si="26"/>
        <v>2</v>
      </c>
      <c r="N67" s="30">
        <f t="shared" si="26"/>
        <v>0</v>
      </c>
      <c r="O67" s="30">
        <f t="shared" si="26"/>
        <v>1</v>
      </c>
      <c r="P67" s="30">
        <f t="shared" si="26"/>
        <v>0</v>
      </c>
      <c r="Q67" s="30">
        <f t="shared" si="26"/>
        <v>0</v>
      </c>
      <c r="R67" s="30">
        <f t="shared" si="26"/>
        <v>0</v>
      </c>
      <c r="S67" s="30">
        <f t="shared" si="26"/>
        <v>0</v>
      </c>
      <c r="T67" s="30">
        <f t="shared" si="26"/>
        <v>0</v>
      </c>
      <c r="U67" s="30">
        <f t="shared" si="26"/>
        <v>0</v>
      </c>
      <c r="V67" s="30">
        <f t="shared" si="26"/>
        <v>8</v>
      </c>
      <c r="W67" s="30">
        <f t="shared" si="26"/>
        <v>0</v>
      </c>
      <c r="X67" s="30">
        <f t="shared" si="26"/>
        <v>0</v>
      </c>
      <c r="Y67" s="30">
        <f t="shared" si="26"/>
        <v>0</v>
      </c>
      <c r="Z67" s="30">
        <f t="shared" si="26"/>
        <v>0</v>
      </c>
      <c r="AA67" s="30">
        <f t="shared" si="26"/>
        <v>0</v>
      </c>
      <c r="AB67" s="30">
        <f t="shared" si="26"/>
        <v>0</v>
      </c>
      <c r="AC67" s="30">
        <f t="shared" si="26"/>
        <v>0</v>
      </c>
      <c r="AD67" s="30">
        <f t="shared" si="26"/>
        <v>0</v>
      </c>
      <c r="AE67" s="30">
        <f t="shared" si="26"/>
        <v>0</v>
      </c>
      <c r="AF67" s="30">
        <f t="shared" si="26"/>
        <v>0</v>
      </c>
      <c r="AG67" s="30">
        <f t="shared" si="26"/>
        <v>0</v>
      </c>
      <c r="AH67" s="30">
        <f t="shared" si="26"/>
        <v>0</v>
      </c>
      <c r="AI67" s="30">
        <f t="shared" si="26"/>
        <v>0</v>
      </c>
      <c r="AJ67" s="30">
        <f t="shared" si="25"/>
        <v>25</v>
      </c>
    </row>
    <row r="68" spans="1:38" ht="14.5" customHeight="1">
      <c r="A68" s="2">
        <v>2</v>
      </c>
      <c r="B68" s="2" t="s">
        <v>129</v>
      </c>
      <c r="C68" s="506" t="s">
        <v>120</v>
      </c>
      <c r="D68" s="501"/>
      <c r="E68" s="30">
        <f t="shared" ref="E68:AI68" si="27">E26-D26</f>
        <v>134</v>
      </c>
      <c r="F68" s="30">
        <f t="shared" si="27"/>
        <v>1</v>
      </c>
      <c r="G68" s="30">
        <f t="shared" si="27"/>
        <v>101</v>
      </c>
      <c r="H68" s="30">
        <f t="shared" si="27"/>
        <v>80</v>
      </c>
      <c r="I68" s="30">
        <f t="shared" si="27"/>
        <v>0</v>
      </c>
      <c r="J68" s="30">
        <f t="shared" si="27"/>
        <v>0</v>
      </c>
      <c r="K68" s="30">
        <f t="shared" si="27"/>
        <v>106</v>
      </c>
      <c r="L68" s="30">
        <f t="shared" si="27"/>
        <v>73</v>
      </c>
      <c r="M68" s="30">
        <f t="shared" si="27"/>
        <v>83</v>
      </c>
      <c r="N68" s="30">
        <f t="shared" si="27"/>
        <v>84</v>
      </c>
      <c r="O68" s="30">
        <f t="shared" si="27"/>
        <v>92</v>
      </c>
      <c r="P68" s="30">
        <f t="shared" si="27"/>
        <v>0</v>
      </c>
      <c r="Q68" s="30">
        <f t="shared" si="27"/>
        <v>0</v>
      </c>
      <c r="R68" s="30">
        <f t="shared" si="27"/>
        <v>106</v>
      </c>
      <c r="S68" s="30">
        <f t="shared" si="27"/>
        <v>98</v>
      </c>
      <c r="T68" s="30">
        <f t="shared" si="27"/>
        <v>89</v>
      </c>
      <c r="U68" s="30">
        <f t="shared" si="27"/>
        <v>82</v>
      </c>
      <c r="V68" s="30">
        <f t="shared" si="27"/>
        <v>84</v>
      </c>
      <c r="W68" s="30">
        <f t="shared" si="27"/>
        <v>30</v>
      </c>
      <c r="X68" s="30">
        <f t="shared" si="27"/>
        <v>0</v>
      </c>
      <c r="Y68" s="30">
        <f t="shared" si="27"/>
        <v>98</v>
      </c>
      <c r="Z68" s="30">
        <f t="shared" si="27"/>
        <v>98</v>
      </c>
      <c r="AA68" s="30">
        <f t="shared" si="27"/>
        <v>97</v>
      </c>
      <c r="AB68" s="30">
        <f t="shared" si="27"/>
        <v>93</v>
      </c>
      <c r="AC68" s="30">
        <f t="shared" si="27"/>
        <v>89</v>
      </c>
      <c r="AD68" s="30">
        <f t="shared" si="27"/>
        <v>53</v>
      </c>
      <c r="AE68" s="30">
        <f t="shared" si="27"/>
        <v>0</v>
      </c>
      <c r="AF68" s="30">
        <f t="shared" si="27"/>
        <v>104</v>
      </c>
      <c r="AG68" s="30">
        <f t="shared" si="27"/>
        <v>102</v>
      </c>
      <c r="AH68" s="30">
        <f t="shared" si="27"/>
        <v>94</v>
      </c>
      <c r="AI68" s="30">
        <f t="shared" si="27"/>
        <v>0</v>
      </c>
      <c r="AJ68" s="30">
        <f t="shared" si="25"/>
        <v>2071</v>
      </c>
    </row>
    <row r="69" spans="1:38" ht="14.5" customHeight="1">
      <c r="A69" s="2"/>
      <c r="B69" s="2"/>
      <c r="C69" s="532" t="s">
        <v>22</v>
      </c>
      <c r="D69" s="501"/>
      <c r="E69" s="30">
        <f t="shared" ref="E69:AI69" si="28">E27-D27</f>
        <v>10</v>
      </c>
      <c r="F69" s="30">
        <f t="shared" si="28"/>
        <v>0</v>
      </c>
      <c r="G69" s="30">
        <f t="shared" si="28"/>
        <v>0</v>
      </c>
      <c r="H69" s="30">
        <f t="shared" si="28"/>
        <v>0</v>
      </c>
      <c r="I69" s="30">
        <f t="shared" si="28"/>
        <v>0</v>
      </c>
      <c r="J69" s="30">
        <f t="shared" si="28"/>
        <v>0</v>
      </c>
      <c r="K69" s="30">
        <f t="shared" si="28"/>
        <v>0</v>
      </c>
      <c r="L69" s="30">
        <f t="shared" si="28"/>
        <v>1</v>
      </c>
      <c r="M69" s="30">
        <f t="shared" si="28"/>
        <v>2</v>
      </c>
      <c r="N69" s="30">
        <f t="shared" si="28"/>
        <v>0</v>
      </c>
      <c r="O69" s="30">
        <f t="shared" si="28"/>
        <v>0</v>
      </c>
      <c r="P69" s="30">
        <f t="shared" si="28"/>
        <v>0</v>
      </c>
      <c r="Q69" s="30">
        <f t="shared" si="28"/>
        <v>0</v>
      </c>
      <c r="R69" s="30">
        <f t="shared" si="28"/>
        <v>1</v>
      </c>
      <c r="S69" s="30">
        <f t="shared" si="28"/>
        <v>0</v>
      </c>
      <c r="T69" s="30">
        <f t="shared" si="28"/>
        <v>0</v>
      </c>
      <c r="U69" s="30">
        <f t="shared" si="28"/>
        <v>0</v>
      </c>
      <c r="V69" s="30">
        <f t="shared" si="28"/>
        <v>9</v>
      </c>
      <c r="W69" s="30">
        <f t="shared" si="28"/>
        <v>0</v>
      </c>
      <c r="X69" s="30">
        <f t="shared" si="28"/>
        <v>0</v>
      </c>
      <c r="Y69" s="30">
        <f t="shared" si="28"/>
        <v>0</v>
      </c>
      <c r="Z69" s="30">
        <f t="shared" si="28"/>
        <v>0</v>
      </c>
      <c r="AA69" s="30">
        <f t="shared" si="28"/>
        <v>0</v>
      </c>
      <c r="AB69" s="30">
        <f t="shared" si="28"/>
        <v>0</v>
      </c>
      <c r="AC69" s="30">
        <f t="shared" si="28"/>
        <v>0</v>
      </c>
      <c r="AD69" s="30">
        <f t="shared" si="28"/>
        <v>0</v>
      </c>
      <c r="AE69" s="30">
        <f t="shared" si="28"/>
        <v>0</v>
      </c>
      <c r="AF69" s="30">
        <f t="shared" si="28"/>
        <v>0</v>
      </c>
      <c r="AG69" s="30">
        <f t="shared" si="28"/>
        <v>0</v>
      </c>
      <c r="AH69" s="30">
        <f t="shared" si="28"/>
        <v>0</v>
      </c>
      <c r="AI69" s="30">
        <f t="shared" si="28"/>
        <v>0</v>
      </c>
      <c r="AJ69" s="30">
        <f t="shared" si="25"/>
        <v>23</v>
      </c>
    </row>
    <row r="70" spans="1:38" ht="14.5" customHeight="1">
      <c r="A70" s="2">
        <v>3</v>
      </c>
      <c r="B70" s="2" t="s">
        <v>129</v>
      </c>
      <c r="C70" s="506" t="s">
        <v>121</v>
      </c>
      <c r="D70" s="501"/>
      <c r="E70" s="30">
        <f t="shared" ref="E70:AI70" si="29">E28-D28</f>
        <v>147</v>
      </c>
      <c r="F70" s="30">
        <f t="shared" si="29"/>
        <v>0</v>
      </c>
      <c r="G70" s="30">
        <f t="shared" si="29"/>
        <v>99</v>
      </c>
      <c r="H70" s="30">
        <f t="shared" si="29"/>
        <v>88</v>
      </c>
      <c r="I70" s="30">
        <f t="shared" si="29"/>
        <v>0</v>
      </c>
      <c r="J70" s="30">
        <f t="shared" si="29"/>
        <v>0</v>
      </c>
      <c r="K70" s="30">
        <f t="shared" si="29"/>
        <v>98</v>
      </c>
      <c r="L70" s="30">
        <f t="shared" si="29"/>
        <v>95</v>
      </c>
      <c r="M70" s="30">
        <f t="shared" si="29"/>
        <v>97</v>
      </c>
      <c r="N70" s="30">
        <f t="shared" si="29"/>
        <v>93</v>
      </c>
      <c r="O70" s="30">
        <f t="shared" si="29"/>
        <v>95</v>
      </c>
      <c r="P70" s="30">
        <f t="shared" si="29"/>
        <v>0</v>
      </c>
      <c r="Q70" s="30">
        <f t="shared" si="29"/>
        <v>0</v>
      </c>
      <c r="R70" s="30">
        <f t="shared" si="29"/>
        <v>89</v>
      </c>
      <c r="S70" s="30">
        <f t="shared" si="29"/>
        <v>94</v>
      </c>
      <c r="T70" s="30">
        <f t="shared" si="29"/>
        <v>105</v>
      </c>
      <c r="U70" s="30">
        <f t="shared" si="29"/>
        <v>104</v>
      </c>
      <c r="V70" s="30">
        <f t="shared" si="29"/>
        <v>87</v>
      </c>
      <c r="W70" s="30">
        <f t="shared" si="29"/>
        <v>34</v>
      </c>
      <c r="X70" s="30">
        <f t="shared" si="29"/>
        <v>0</v>
      </c>
      <c r="Y70" s="30">
        <f t="shared" si="29"/>
        <v>106</v>
      </c>
      <c r="Z70" s="30">
        <f t="shared" si="29"/>
        <v>105</v>
      </c>
      <c r="AA70" s="30">
        <f t="shared" si="29"/>
        <v>109</v>
      </c>
      <c r="AB70" s="30">
        <f t="shared" si="29"/>
        <v>101</v>
      </c>
      <c r="AC70" s="30">
        <f t="shared" si="29"/>
        <v>98</v>
      </c>
      <c r="AD70" s="30">
        <f t="shared" si="29"/>
        <v>17</v>
      </c>
      <c r="AE70" s="30">
        <f t="shared" si="29"/>
        <v>0</v>
      </c>
      <c r="AF70" s="30">
        <f t="shared" si="29"/>
        <v>83</v>
      </c>
      <c r="AG70" s="30">
        <f t="shared" si="29"/>
        <v>63</v>
      </c>
      <c r="AH70" s="30">
        <f t="shared" si="29"/>
        <v>70</v>
      </c>
      <c r="AI70" s="30">
        <f t="shared" si="29"/>
        <v>0</v>
      </c>
      <c r="AJ70" s="30">
        <f t="shared" si="25"/>
        <v>2077</v>
      </c>
    </row>
    <row r="71" spans="1:38" ht="14.5" customHeight="1">
      <c r="A71" s="2"/>
      <c r="B71" s="2"/>
      <c r="C71" s="532" t="s">
        <v>22</v>
      </c>
      <c r="D71" s="501"/>
      <c r="E71" s="30">
        <f t="shared" ref="E71:AI71" si="30">E29-D29</f>
        <v>14</v>
      </c>
      <c r="F71" s="30">
        <f t="shared" si="30"/>
        <v>0</v>
      </c>
      <c r="G71" s="30">
        <f t="shared" si="30"/>
        <v>0</v>
      </c>
      <c r="H71" s="30">
        <f t="shared" si="30"/>
        <v>0</v>
      </c>
      <c r="I71" s="30">
        <f t="shared" si="30"/>
        <v>0</v>
      </c>
      <c r="J71" s="30">
        <f t="shared" si="30"/>
        <v>0</v>
      </c>
      <c r="K71" s="30">
        <f t="shared" si="30"/>
        <v>0</v>
      </c>
      <c r="L71" s="30">
        <f t="shared" si="30"/>
        <v>1</v>
      </c>
      <c r="M71" s="30">
        <f t="shared" si="30"/>
        <v>1</v>
      </c>
      <c r="N71" s="30">
        <f t="shared" si="30"/>
        <v>0</v>
      </c>
      <c r="O71" s="30">
        <f t="shared" si="30"/>
        <v>1</v>
      </c>
      <c r="P71" s="30">
        <f t="shared" si="30"/>
        <v>0</v>
      </c>
      <c r="Q71" s="30">
        <f t="shared" si="30"/>
        <v>0</v>
      </c>
      <c r="R71" s="30">
        <f t="shared" si="30"/>
        <v>0</v>
      </c>
      <c r="S71" s="30">
        <f t="shared" si="30"/>
        <v>0</v>
      </c>
      <c r="T71" s="30">
        <f t="shared" si="30"/>
        <v>0</v>
      </c>
      <c r="U71" s="30">
        <f t="shared" si="30"/>
        <v>0</v>
      </c>
      <c r="V71" s="30">
        <f t="shared" si="30"/>
        <v>11</v>
      </c>
      <c r="W71" s="30">
        <f t="shared" si="30"/>
        <v>0</v>
      </c>
      <c r="X71" s="30">
        <f t="shared" si="30"/>
        <v>0</v>
      </c>
      <c r="Y71" s="30">
        <f t="shared" si="30"/>
        <v>0</v>
      </c>
      <c r="Z71" s="30">
        <f t="shared" si="30"/>
        <v>0</v>
      </c>
      <c r="AA71" s="30">
        <f t="shared" si="30"/>
        <v>0</v>
      </c>
      <c r="AB71" s="30">
        <f t="shared" si="30"/>
        <v>0</v>
      </c>
      <c r="AC71" s="30">
        <f t="shared" si="30"/>
        <v>0</v>
      </c>
      <c r="AD71" s="30">
        <f t="shared" si="30"/>
        <v>0</v>
      </c>
      <c r="AE71" s="30">
        <f t="shared" si="30"/>
        <v>0</v>
      </c>
      <c r="AF71" s="30">
        <f t="shared" si="30"/>
        <v>0</v>
      </c>
      <c r="AG71" s="30">
        <f t="shared" si="30"/>
        <v>0</v>
      </c>
      <c r="AH71" s="30">
        <f t="shared" si="30"/>
        <v>0</v>
      </c>
      <c r="AI71" s="30">
        <f t="shared" si="30"/>
        <v>0</v>
      </c>
      <c r="AJ71" s="30">
        <f t="shared" si="25"/>
        <v>28</v>
      </c>
    </row>
    <row r="72" spans="1:38" ht="14.5" customHeight="1">
      <c r="A72" s="2">
        <v>4</v>
      </c>
      <c r="B72" s="2" t="s">
        <v>129</v>
      </c>
      <c r="C72" s="506" t="s">
        <v>122</v>
      </c>
      <c r="D72" s="501"/>
      <c r="E72" s="30">
        <f t="shared" ref="E72:AI72" si="31">E30-D30</f>
        <v>134</v>
      </c>
      <c r="F72" s="30">
        <f t="shared" si="31"/>
        <v>1</v>
      </c>
      <c r="G72" s="30">
        <f t="shared" si="31"/>
        <v>87</v>
      </c>
      <c r="H72" s="30">
        <f t="shared" si="31"/>
        <v>87</v>
      </c>
      <c r="I72" s="30">
        <f t="shared" si="31"/>
        <v>0</v>
      </c>
      <c r="J72" s="30">
        <f t="shared" si="31"/>
        <v>0</v>
      </c>
      <c r="K72" s="30">
        <f t="shared" si="31"/>
        <v>92</v>
      </c>
      <c r="L72" s="30">
        <f t="shared" si="31"/>
        <v>85</v>
      </c>
      <c r="M72" s="30">
        <f t="shared" si="31"/>
        <v>95</v>
      </c>
      <c r="N72" s="30">
        <f t="shared" si="31"/>
        <v>88</v>
      </c>
      <c r="O72" s="30">
        <f t="shared" si="31"/>
        <v>85</v>
      </c>
      <c r="P72" s="30">
        <f t="shared" si="31"/>
        <v>0</v>
      </c>
      <c r="Q72" s="30">
        <f t="shared" si="31"/>
        <v>0</v>
      </c>
      <c r="R72" s="30">
        <f t="shared" si="31"/>
        <v>95</v>
      </c>
      <c r="S72" s="30">
        <f t="shared" si="31"/>
        <v>85</v>
      </c>
      <c r="T72" s="30">
        <f t="shared" si="31"/>
        <v>89</v>
      </c>
      <c r="U72" s="30">
        <f t="shared" si="31"/>
        <v>83</v>
      </c>
      <c r="V72" s="30">
        <f t="shared" si="31"/>
        <v>74</v>
      </c>
      <c r="W72" s="30">
        <f t="shared" si="31"/>
        <v>50</v>
      </c>
      <c r="X72" s="30">
        <f t="shared" si="31"/>
        <v>0</v>
      </c>
      <c r="Y72" s="30">
        <f t="shared" si="31"/>
        <v>88</v>
      </c>
      <c r="Z72" s="30">
        <f t="shared" si="31"/>
        <v>84</v>
      </c>
      <c r="AA72" s="30">
        <f t="shared" si="31"/>
        <v>91</v>
      </c>
      <c r="AB72" s="30">
        <f t="shared" si="31"/>
        <v>51</v>
      </c>
      <c r="AC72" s="30">
        <f t="shared" si="31"/>
        <v>64</v>
      </c>
      <c r="AD72" s="30">
        <f t="shared" si="31"/>
        <v>44</v>
      </c>
      <c r="AE72" s="30">
        <f t="shared" si="31"/>
        <v>0</v>
      </c>
      <c r="AF72" s="30">
        <f t="shared" si="31"/>
        <v>67</v>
      </c>
      <c r="AG72" s="30">
        <f t="shared" si="31"/>
        <v>72</v>
      </c>
      <c r="AH72" s="30">
        <f t="shared" si="31"/>
        <v>60</v>
      </c>
      <c r="AI72" s="30">
        <f t="shared" si="31"/>
        <v>0</v>
      </c>
      <c r="AJ72" s="30">
        <f t="shared" si="25"/>
        <v>1851</v>
      </c>
    </row>
    <row r="73" spans="1:38" ht="14.5" customHeight="1">
      <c r="A73" s="2"/>
      <c r="B73" s="2"/>
      <c r="C73" s="532" t="s">
        <v>22</v>
      </c>
      <c r="D73" s="501"/>
      <c r="E73" s="30">
        <f t="shared" ref="E73:AI73" si="32">E31-D31</f>
        <v>12</v>
      </c>
      <c r="F73" s="30">
        <f t="shared" si="32"/>
        <v>0</v>
      </c>
      <c r="G73" s="30">
        <f t="shared" si="32"/>
        <v>0</v>
      </c>
      <c r="H73" s="30">
        <f t="shared" si="32"/>
        <v>0</v>
      </c>
      <c r="I73" s="30">
        <f t="shared" si="32"/>
        <v>0</v>
      </c>
      <c r="J73" s="30">
        <f t="shared" si="32"/>
        <v>0</v>
      </c>
      <c r="K73" s="30">
        <f t="shared" si="32"/>
        <v>0</v>
      </c>
      <c r="L73" s="30">
        <f t="shared" si="32"/>
        <v>1</v>
      </c>
      <c r="M73" s="30">
        <f t="shared" si="32"/>
        <v>1</v>
      </c>
      <c r="N73" s="30">
        <f t="shared" si="32"/>
        <v>0</v>
      </c>
      <c r="O73" s="30">
        <f t="shared" si="32"/>
        <v>1</v>
      </c>
      <c r="P73" s="30">
        <f t="shared" si="32"/>
        <v>0</v>
      </c>
      <c r="Q73" s="30">
        <f t="shared" si="32"/>
        <v>0</v>
      </c>
      <c r="R73" s="30">
        <f t="shared" si="32"/>
        <v>0</v>
      </c>
      <c r="S73" s="30">
        <f t="shared" si="32"/>
        <v>0</v>
      </c>
      <c r="T73" s="30">
        <f t="shared" si="32"/>
        <v>0</v>
      </c>
      <c r="U73" s="30">
        <f t="shared" si="32"/>
        <v>0</v>
      </c>
      <c r="V73" s="30">
        <f t="shared" si="32"/>
        <v>10</v>
      </c>
      <c r="W73" s="30">
        <f t="shared" si="32"/>
        <v>0</v>
      </c>
      <c r="X73" s="30">
        <f t="shared" si="32"/>
        <v>0</v>
      </c>
      <c r="Y73" s="30">
        <f t="shared" si="32"/>
        <v>0</v>
      </c>
      <c r="Z73" s="30">
        <f t="shared" si="32"/>
        <v>0</v>
      </c>
      <c r="AA73" s="30">
        <f t="shared" si="32"/>
        <v>0</v>
      </c>
      <c r="AB73" s="30">
        <f t="shared" si="32"/>
        <v>0</v>
      </c>
      <c r="AC73" s="30">
        <f t="shared" si="32"/>
        <v>0</v>
      </c>
      <c r="AD73" s="30">
        <f t="shared" si="32"/>
        <v>0</v>
      </c>
      <c r="AE73" s="30">
        <f t="shared" si="32"/>
        <v>0</v>
      </c>
      <c r="AF73" s="30">
        <f t="shared" si="32"/>
        <v>0</v>
      </c>
      <c r="AG73" s="30">
        <f t="shared" si="32"/>
        <v>0</v>
      </c>
      <c r="AH73" s="30">
        <f t="shared" si="32"/>
        <v>0</v>
      </c>
      <c r="AI73" s="30">
        <f t="shared" si="32"/>
        <v>0</v>
      </c>
      <c r="AJ73" s="30">
        <f t="shared" si="25"/>
        <v>25</v>
      </c>
    </row>
    <row r="74" spans="1:38" ht="25.5" customHeight="1">
      <c r="A74" s="99"/>
      <c r="B74" s="99"/>
      <c r="C74" s="500" t="s">
        <v>134</v>
      </c>
      <c r="D74" s="501"/>
      <c r="E74" s="23">
        <f t="shared" ref="E74:AI74" si="33">SUM(E66,E68,E70,E72)</f>
        <v>553</v>
      </c>
      <c r="F74" s="23">
        <f t="shared" si="33"/>
        <v>4</v>
      </c>
      <c r="G74" s="23">
        <f t="shared" si="33"/>
        <v>382</v>
      </c>
      <c r="H74" s="23">
        <f t="shared" si="33"/>
        <v>344</v>
      </c>
      <c r="I74" s="23">
        <f t="shared" si="33"/>
        <v>0</v>
      </c>
      <c r="J74" s="23">
        <f t="shared" si="33"/>
        <v>0</v>
      </c>
      <c r="K74" s="23">
        <f t="shared" si="33"/>
        <v>395</v>
      </c>
      <c r="L74" s="23">
        <f t="shared" si="33"/>
        <v>337</v>
      </c>
      <c r="M74" s="23">
        <f t="shared" si="33"/>
        <v>364</v>
      </c>
      <c r="N74" s="23">
        <f t="shared" si="33"/>
        <v>344</v>
      </c>
      <c r="O74" s="23">
        <f t="shared" si="33"/>
        <v>354</v>
      </c>
      <c r="P74" s="23">
        <f t="shared" si="33"/>
        <v>0</v>
      </c>
      <c r="Q74" s="23">
        <f t="shared" si="33"/>
        <v>0</v>
      </c>
      <c r="R74" s="23">
        <f t="shared" si="33"/>
        <v>380</v>
      </c>
      <c r="S74" s="23">
        <f t="shared" si="33"/>
        <v>353</v>
      </c>
      <c r="T74" s="23">
        <f t="shared" si="33"/>
        <v>368</v>
      </c>
      <c r="U74" s="23">
        <f t="shared" si="33"/>
        <v>352</v>
      </c>
      <c r="V74" s="23">
        <f t="shared" si="33"/>
        <v>314</v>
      </c>
      <c r="W74" s="23">
        <f t="shared" si="33"/>
        <v>162</v>
      </c>
      <c r="X74" s="23">
        <f t="shared" si="33"/>
        <v>0</v>
      </c>
      <c r="Y74" s="23">
        <f t="shared" si="33"/>
        <v>378</v>
      </c>
      <c r="Z74" s="23">
        <f t="shared" si="33"/>
        <v>375</v>
      </c>
      <c r="AA74" s="23">
        <f t="shared" si="33"/>
        <v>390</v>
      </c>
      <c r="AB74" s="23">
        <f t="shared" si="33"/>
        <v>326</v>
      </c>
      <c r="AC74" s="23">
        <f t="shared" si="33"/>
        <v>339</v>
      </c>
      <c r="AD74" s="23">
        <f t="shared" si="33"/>
        <v>170</v>
      </c>
      <c r="AE74" s="23">
        <f t="shared" si="33"/>
        <v>0</v>
      </c>
      <c r="AF74" s="23">
        <f t="shared" si="33"/>
        <v>331</v>
      </c>
      <c r="AG74" s="23">
        <f t="shared" si="33"/>
        <v>311</v>
      </c>
      <c r="AH74" s="23">
        <f t="shared" si="33"/>
        <v>294</v>
      </c>
      <c r="AI74" s="23">
        <f t="shared" si="33"/>
        <v>0</v>
      </c>
      <c r="AJ74" s="24">
        <f t="shared" si="25"/>
        <v>7920</v>
      </c>
      <c r="AK74" s="78"/>
      <c r="AL74" s="78"/>
    </row>
    <row r="75" spans="1:38" ht="25.5" customHeight="1">
      <c r="A75" s="99"/>
      <c r="B75" s="99"/>
      <c r="C75" s="513" t="s">
        <v>135</v>
      </c>
      <c r="D75" s="501"/>
      <c r="E75" s="23">
        <f t="shared" ref="E75:AI75" si="34">SUM(E67,E69,E71,E73)</f>
        <v>49</v>
      </c>
      <c r="F75" s="23">
        <f t="shared" si="34"/>
        <v>0</v>
      </c>
      <c r="G75" s="23">
        <f t="shared" si="34"/>
        <v>0</v>
      </c>
      <c r="H75" s="23">
        <f t="shared" si="34"/>
        <v>0</v>
      </c>
      <c r="I75" s="23">
        <f t="shared" si="34"/>
        <v>0</v>
      </c>
      <c r="J75" s="23">
        <f t="shared" si="34"/>
        <v>0</v>
      </c>
      <c r="K75" s="23">
        <f t="shared" si="34"/>
        <v>0</v>
      </c>
      <c r="L75" s="23">
        <f t="shared" si="34"/>
        <v>4</v>
      </c>
      <c r="M75" s="23">
        <f t="shared" si="34"/>
        <v>6</v>
      </c>
      <c r="N75" s="23">
        <f t="shared" si="34"/>
        <v>0</v>
      </c>
      <c r="O75" s="23">
        <f t="shared" si="34"/>
        <v>3</v>
      </c>
      <c r="P75" s="23">
        <f t="shared" si="34"/>
        <v>0</v>
      </c>
      <c r="Q75" s="23">
        <f t="shared" si="34"/>
        <v>0</v>
      </c>
      <c r="R75" s="23">
        <f t="shared" si="34"/>
        <v>1</v>
      </c>
      <c r="S75" s="23">
        <f t="shared" si="34"/>
        <v>0</v>
      </c>
      <c r="T75" s="23">
        <f t="shared" si="34"/>
        <v>0</v>
      </c>
      <c r="U75" s="23">
        <f t="shared" si="34"/>
        <v>0</v>
      </c>
      <c r="V75" s="23">
        <f t="shared" si="34"/>
        <v>38</v>
      </c>
      <c r="W75" s="23">
        <f t="shared" si="34"/>
        <v>0</v>
      </c>
      <c r="X75" s="23">
        <f t="shared" si="34"/>
        <v>0</v>
      </c>
      <c r="Y75" s="23">
        <f t="shared" si="34"/>
        <v>0</v>
      </c>
      <c r="Z75" s="23">
        <f t="shared" si="34"/>
        <v>0</v>
      </c>
      <c r="AA75" s="23">
        <f t="shared" si="34"/>
        <v>0</v>
      </c>
      <c r="AB75" s="23">
        <f t="shared" si="34"/>
        <v>0</v>
      </c>
      <c r="AC75" s="23">
        <f t="shared" si="34"/>
        <v>0</v>
      </c>
      <c r="AD75" s="23">
        <f t="shared" si="34"/>
        <v>0</v>
      </c>
      <c r="AE75" s="23">
        <f t="shared" si="34"/>
        <v>0</v>
      </c>
      <c r="AF75" s="23">
        <f t="shared" si="34"/>
        <v>0</v>
      </c>
      <c r="AG75" s="23">
        <f t="shared" si="34"/>
        <v>0</v>
      </c>
      <c r="AH75" s="23">
        <f t="shared" si="34"/>
        <v>0</v>
      </c>
      <c r="AI75" s="23">
        <f t="shared" si="34"/>
        <v>0</v>
      </c>
      <c r="AJ75" s="24">
        <f t="shared" si="25"/>
        <v>101</v>
      </c>
      <c r="AK75" s="78"/>
      <c r="AL75" s="78"/>
    </row>
    <row r="76" spans="1:38" ht="14.5" customHeight="1">
      <c r="A76" s="2">
        <v>1</v>
      </c>
      <c r="B76" s="2" t="s">
        <v>129</v>
      </c>
      <c r="C76" s="503" t="s">
        <v>123</v>
      </c>
      <c r="D76" s="501"/>
      <c r="E76" s="30">
        <f t="shared" ref="E76:AI76" si="35">E33-D33</f>
        <v>1140</v>
      </c>
      <c r="F76" s="30">
        <f t="shared" si="35"/>
        <v>0</v>
      </c>
      <c r="G76" s="30">
        <f t="shared" si="35"/>
        <v>917</v>
      </c>
      <c r="H76" s="30">
        <f t="shared" si="35"/>
        <v>712</v>
      </c>
      <c r="I76" s="30">
        <f t="shared" si="35"/>
        <v>0</v>
      </c>
      <c r="J76" s="30">
        <f t="shared" si="35"/>
        <v>0</v>
      </c>
      <c r="K76" s="30">
        <f t="shared" si="35"/>
        <v>1182</v>
      </c>
      <c r="L76" s="30">
        <f t="shared" si="35"/>
        <v>826</v>
      </c>
      <c r="M76" s="30">
        <f t="shared" si="35"/>
        <v>611</v>
      </c>
      <c r="N76" s="30">
        <f t="shared" si="35"/>
        <v>810</v>
      </c>
      <c r="O76" s="30">
        <f t="shared" si="35"/>
        <v>461</v>
      </c>
      <c r="P76" s="30">
        <f t="shared" si="35"/>
        <v>0</v>
      </c>
      <c r="Q76" s="30">
        <f t="shared" si="35"/>
        <v>0</v>
      </c>
      <c r="R76" s="30">
        <f t="shared" si="35"/>
        <v>901</v>
      </c>
      <c r="S76" s="30">
        <f t="shared" si="35"/>
        <v>758</v>
      </c>
      <c r="T76" s="30">
        <f t="shared" si="35"/>
        <v>565</v>
      </c>
      <c r="U76" s="30">
        <f t="shared" si="35"/>
        <v>584</v>
      </c>
      <c r="V76" s="30">
        <f t="shared" si="35"/>
        <v>589</v>
      </c>
      <c r="W76" s="30">
        <f t="shared" si="35"/>
        <v>169</v>
      </c>
      <c r="X76" s="30">
        <f t="shared" si="35"/>
        <v>0</v>
      </c>
      <c r="Y76" s="30">
        <f t="shared" si="35"/>
        <v>851</v>
      </c>
      <c r="Z76" s="30">
        <f t="shared" si="35"/>
        <v>731</v>
      </c>
      <c r="AA76" s="30">
        <f t="shared" si="35"/>
        <v>710</v>
      </c>
      <c r="AB76" s="30">
        <f t="shared" si="35"/>
        <v>684</v>
      </c>
      <c r="AC76" s="30">
        <f t="shared" si="35"/>
        <v>495</v>
      </c>
      <c r="AD76" s="30">
        <f t="shared" si="35"/>
        <v>172</v>
      </c>
      <c r="AE76" s="30">
        <f t="shared" si="35"/>
        <v>0</v>
      </c>
      <c r="AF76" s="30">
        <f t="shared" si="35"/>
        <v>879</v>
      </c>
      <c r="AG76" s="30">
        <f t="shared" si="35"/>
        <v>634</v>
      </c>
      <c r="AH76" s="30">
        <f t="shared" si="35"/>
        <v>343</v>
      </c>
      <c r="AI76" s="30">
        <f t="shared" si="35"/>
        <v>0</v>
      </c>
      <c r="AJ76" s="30">
        <f t="shared" si="25"/>
        <v>15724</v>
      </c>
      <c r="AL76" s="78"/>
    </row>
    <row r="77" spans="1:38" ht="14.5" customHeight="1">
      <c r="A77" s="2">
        <v>2</v>
      </c>
      <c r="B77" s="2" t="s">
        <v>129</v>
      </c>
      <c r="C77" s="503" t="s">
        <v>124</v>
      </c>
      <c r="D77" s="501"/>
      <c r="E77" s="30">
        <f t="shared" ref="E77:AI77" si="36">E34-D34</f>
        <v>1322</v>
      </c>
      <c r="F77" s="30">
        <f t="shared" si="36"/>
        <v>0</v>
      </c>
      <c r="G77" s="30">
        <f t="shared" si="36"/>
        <v>1005</v>
      </c>
      <c r="H77" s="30">
        <f t="shared" si="36"/>
        <v>898</v>
      </c>
      <c r="I77" s="30">
        <f t="shared" si="36"/>
        <v>0</v>
      </c>
      <c r="J77" s="30">
        <f t="shared" si="36"/>
        <v>0</v>
      </c>
      <c r="K77" s="30">
        <f t="shared" si="36"/>
        <v>1220</v>
      </c>
      <c r="L77" s="30">
        <f t="shared" si="36"/>
        <v>1075</v>
      </c>
      <c r="M77" s="30">
        <f t="shared" si="36"/>
        <v>939</v>
      </c>
      <c r="N77" s="30">
        <f t="shared" si="36"/>
        <v>914</v>
      </c>
      <c r="O77" s="30">
        <f t="shared" si="36"/>
        <v>596</v>
      </c>
      <c r="P77" s="30">
        <f t="shared" si="36"/>
        <v>0</v>
      </c>
      <c r="Q77" s="30">
        <f t="shared" si="36"/>
        <v>0</v>
      </c>
      <c r="R77" s="30">
        <f t="shared" si="36"/>
        <v>1093</v>
      </c>
      <c r="S77" s="30">
        <f t="shared" si="36"/>
        <v>862</v>
      </c>
      <c r="T77" s="30">
        <f t="shared" si="36"/>
        <v>708</v>
      </c>
      <c r="U77" s="30">
        <f t="shared" si="36"/>
        <v>680</v>
      </c>
      <c r="V77" s="30">
        <f t="shared" si="36"/>
        <v>693</v>
      </c>
      <c r="W77" s="30">
        <f t="shared" si="36"/>
        <v>321</v>
      </c>
      <c r="X77" s="30">
        <f t="shared" si="36"/>
        <v>0</v>
      </c>
      <c r="Y77" s="30">
        <f t="shared" si="36"/>
        <v>936</v>
      </c>
      <c r="Z77" s="30">
        <f t="shared" si="36"/>
        <v>886</v>
      </c>
      <c r="AA77" s="30">
        <f t="shared" si="36"/>
        <v>808</v>
      </c>
      <c r="AB77" s="30">
        <f t="shared" si="36"/>
        <v>881</v>
      </c>
      <c r="AC77" s="30">
        <f t="shared" si="36"/>
        <v>648</v>
      </c>
      <c r="AD77" s="30">
        <f t="shared" si="36"/>
        <v>322</v>
      </c>
      <c r="AE77" s="30">
        <f t="shared" si="36"/>
        <v>0</v>
      </c>
      <c r="AF77" s="30">
        <f t="shared" si="36"/>
        <v>1038</v>
      </c>
      <c r="AG77" s="30">
        <f t="shared" si="36"/>
        <v>732</v>
      </c>
      <c r="AH77" s="30">
        <f t="shared" si="36"/>
        <v>669</v>
      </c>
      <c r="AI77" s="30">
        <f t="shared" si="36"/>
        <v>0</v>
      </c>
      <c r="AJ77" s="30">
        <f t="shared" si="25"/>
        <v>19246</v>
      </c>
    </row>
    <row r="78" spans="1:38" ht="14.5" customHeight="1">
      <c r="A78" s="2">
        <v>3</v>
      </c>
      <c r="B78" s="2" t="s">
        <v>129</v>
      </c>
      <c r="C78" s="503" t="s">
        <v>125</v>
      </c>
      <c r="D78" s="501"/>
      <c r="E78" s="30">
        <f t="shared" ref="E78:AI78" si="37">E35-D35</f>
        <v>1230</v>
      </c>
      <c r="F78" s="30">
        <f t="shared" si="37"/>
        <v>0</v>
      </c>
      <c r="G78" s="30">
        <f t="shared" si="37"/>
        <v>922</v>
      </c>
      <c r="H78" s="30">
        <f t="shared" si="37"/>
        <v>773</v>
      </c>
      <c r="I78" s="30">
        <f t="shared" si="37"/>
        <v>0</v>
      </c>
      <c r="J78" s="30">
        <f t="shared" si="37"/>
        <v>0</v>
      </c>
      <c r="K78" s="30">
        <f t="shared" si="37"/>
        <v>1209</v>
      </c>
      <c r="L78" s="30">
        <f t="shared" si="37"/>
        <v>742</v>
      </c>
      <c r="M78" s="30">
        <f t="shared" si="37"/>
        <v>718</v>
      </c>
      <c r="N78" s="30">
        <f t="shared" si="37"/>
        <v>787</v>
      </c>
      <c r="O78" s="30">
        <f t="shared" si="37"/>
        <v>677</v>
      </c>
      <c r="P78" s="30">
        <f t="shared" si="37"/>
        <v>0</v>
      </c>
      <c r="Q78" s="30">
        <f t="shared" si="37"/>
        <v>0</v>
      </c>
      <c r="R78" s="30">
        <f t="shared" si="37"/>
        <v>996</v>
      </c>
      <c r="S78" s="30">
        <f t="shared" si="37"/>
        <v>720</v>
      </c>
      <c r="T78" s="30">
        <f t="shared" si="37"/>
        <v>765</v>
      </c>
      <c r="U78" s="30">
        <f t="shared" si="37"/>
        <v>726</v>
      </c>
      <c r="V78" s="30">
        <f t="shared" si="37"/>
        <v>677</v>
      </c>
      <c r="W78" s="30">
        <f t="shared" si="37"/>
        <v>368</v>
      </c>
      <c r="X78" s="30">
        <f t="shared" si="37"/>
        <v>0</v>
      </c>
      <c r="Y78" s="30">
        <f t="shared" si="37"/>
        <v>922</v>
      </c>
      <c r="Z78" s="30">
        <f t="shared" si="37"/>
        <v>811</v>
      </c>
      <c r="AA78" s="30">
        <f t="shared" si="37"/>
        <v>754</v>
      </c>
      <c r="AB78" s="30">
        <f t="shared" si="37"/>
        <v>706</v>
      </c>
      <c r="AC78" s="30">
        <f t="shared" si="37"/>
        <v>581</v>
      </c>
      <c r="AD78" s="30">
        <f t="shared" si="37"/>
        <v>191</v>
      </c>
      <c r="AE78" s="30">
        <f t="shared" si="37"/>
        <v>0</v>
      </c>
      <c r="AF78" s="30">
        <f t="shared" si="37"/>
        <v>744</v>
      </c>
      <c r="AG78" s="30">
        <f t="shared" si="37"/>
        <v>627</v>
      </c>
      <c r="AH78" s="30">
        <f t="shared" si="37"/>
        <v>386</v>
      </c>
      <c r="AI78" s="30">
        <f t="shared" si="37"/>
        <v>0</v>
      </c>
      <c r="AJ78" s="30">
        <f t="shared" si="25"/>
        <v>17032</v>
      </c>
    </row>
    <row r="79" spans="1:38" ht="14.5" customHeight="1">
      <c r="A79" s="2">
        <v>4</v>
      </c>
      <c r="B79" s="2" t="s">
        <v>129</v>
      </c>
      <c r="C79" s="503" t="s">
        <v>126</v>
      </c>
      <c r="D79" s="501"/>
      <c r="E79" s="30">
        <f t="shared" ref="E79:AI79" si="38">E36-D36</f>
        <v>1048</v>
      </c>
      <c r="F79" s="30">
        <f t="shared" si="38"/>
        <v>0</v>
      </c>
      <c r="G79" s="30">
        <f t="shared" si="38"/>
        <v>1062</v>
      </c>
      <c r="H79" s="30">
        <f t="shared" si="38"/>
        <v>839</v>
      </c>
      <c r="I79" s="30">
        <f t="shared" si="38"/>
        <v>0</v>
      </c>
      <c r="J79" s="30">
        <f t="shared" si="38"/>
        <v>0</v>
      </c>
      <c r="K79" s="30">
        <f t="shared" si="38"/>
        <v>1401</v>
      </c>
      <c r="L79" s="30">
        <f t="shared" si="38"/>
        <v>982</v>
      </c>
      <c r="M79" s="30">
        <f t="shared" si="38"/>
        <v>812</v>
      </c>
      <c r="N79" s="30">
        <f t="shared" si="38"/>
        <v>699</v>
      </c>
      <c r="O79" s="30">
        <f t="shared" si="38"/>
        <v>591</v>
      </c>
      <c r="P79" s="30">
        <f t="shared" si="38"/>
        <v>0</v>
      </c>
      <c r="Q79" s="30">
        <f t="shared" si="38"/>
        <v>0</v>
      </c>
      <c r="R79" s="30">
        <f t="shared" si="38"/>
        <v>1129</v>
      </c>
      <c r="S79" s="30">
        <f t="shared" si="38"/>
        <v>752</v>
      </c>
      <c r="T79" s="30">
        <f t="shared" si="38"/>
        <v>814</v>
      </c>
      <c r="U79" s="30">
        <f t="shared" si="38"/>
        <v>671</v>
      </c>
      <c r="V79" s="30">
        <f t="shared" si="38"/>
        <v>597</v>
      </c>
      <c r="W79" s="30">
        <f t="shared" si="38"/>
        <v>202</v>
      </c>
      <c r="X79" s="30">
        <f t="shared" si="38"/>
        <v>0</v>
      </c>
      <c r="Y79" s="30">
        <f t="shared" si="38"/>
        <v>979</v>
      </c>
      <c r="Z79" s="30">
        <f t="shared" si="38"/>
        <v>722</v>
      </c>
      <c r="AA79" s="30">
        <f t="shared" si="38"/>
        <v>738</v>
      </c>
      <c r="AB79" s="30">
        <f t="shared" si="38"/>
        <v>633</v>
      </c>
      <c r="AC79" s="30">
        <f t="shared" si="38"/>
        <v>433</v>
      </c>
      <c r="AD79" s="30">
        <f t="shared" si="38"/>
        <v>156</v>
      </c>
      <c r="AE79" s="30">
        <f t="shared" si="38"/>
        <v>0</v>
      </c>
      <c r="AF79" s="30">
        <f t="shared" si="38"/>
        <v>698</v>
      </c>
      <c r="AG79" s="30">
        <f t="shared" si="38"/>
        <v>338</v>
      </c>
      <c r="AH79" s="30">
        <f t="shared" si="38"/>
        <v>281</v>
      </c>
      <c r="AI79" s="30">
        <f t="shared" si="38"/>
        <v>0</v>
      </c>
      <c r="AJ79" s="30">
        <f t="shared" si="25"/>
        <v>16577</v>
      </c>
    </row>
    <row r="80" spans="1:38" ht="15" customHeight="1">
      <c r="A80" s="99"/>
      <c r="B80" s="99"/>
      <c r="C80" s="500" t="s">
        <v>136</v>
      </c>
      <c r="D80" s="501"/>
      <c r="E80" s="23">
        <f t="shared" ref="E80:AJ80" si="39">SUM(E76:E79)</f>
        <v>4740</v>
      </c>
      <c r="F80" s="23">
        <f t="shared" si="39"/>
        <v>0</v>
      </c>
      <c r="G80" s="23">
        <f t="shared" si="39"/>
        <v>3906</v>
      </c>
      <c r="H80" s="23">
        <f t="shared" si="39"/>
        <v>3222</v>
      </c>
      <c r="I80" s="23">
        <f t="shared" si="39"/>
        <v>0</v>
      </c>
      <c r="J80" s="23">
        <f t="shared" si="39"/>
        <v>0</v>
      </c>
      <c r="K80" s="23">
        <f t="shared" si="39"/>
        <v>5012</v>
      </c>
      <c r="L80" s="23">
        <f t="shared" si="39"/>
        <v>3625</v>
      </c>
      <c r="M80" s="23">
        <f t="shared" si="39"/>
        <v>3080</v>
      </c>
      <c r="N80" s="23">
        <f t="shared" si="39"/>
        <v>3210</v>
      </c>
      <c r="O80" s="23">
        <f t="shared" si="39"/>
        <v>2325</v>
      </c>
      <c r="P80" s="23">
        <f t="shared" si="39"/>
        <v>0</v>
      </c>
      <c r="Q80" s="23">
        <f t="shared" si="39"/>
        <v>0</v>
      </c>
      <c r="R80" s="23">
        <f t="shared" si="39"/>
        <v>4119</v>
      </c>
      <c r="S80" s="23">
        <f t="shared" si="39"/>
        <v>3092</v>
      </c>
      <c r="T80" s="23">
        <f t="shared" si="39"/>
        <v>2852</v>
      </c>
      <c r="U80" s="23">
        <f t="shared" si="39"/>
        <v>2661</v>
      </c>
      <c r="V80" s="23">
        <f t="shared" si="39"/>
        <v>2556</v>
      </c>
      <c r="W80" s="23">
        <f t="shared" si="39"/>
        <v>1060</v>
      </c>
      <c r="X80" s="23">
        <f t="shared" si="39"/>
        <v>0</v>
      </c>
      <c r="Y80" s="23">
        <f t="shared" si="39"/>
        <v>3688</v>
      </c>
      <c r="Z80" s="23">
        <f t="shared" si="39"/>
        <v>3150</v>
      </c>
      <c r="AA80" s="23">
        <f t="shared" si="39"/>
        <v>3010</v>
      </c>
      <c r="AB80" s="23">
        <f t="shared" si="39"/>
        <v>2904</v>
      </c>
      <c r="AC80" s="23">
        <f t="shared" si="39"/>
        <v>2157</v>
      </c>
      <c r="AD80" s="23">
        <f t="shared" si="39"/>
        <v>841</v>
      </c>
      <c r="AE80" s="23">
        <f t="shared" si="39"/>
        <v>0</v>
      </c>
      <c r="AF80" s="23">
        <f t="shared" si="39"/>
        <v>3359</v>
      </c>
      <c r="AG80" s="23">
        <f t="shared" si="39"/>
        <v>2331</v>
      </c>
      <c r="AH80" s="23">
        <f t="shared" si="39"/>
        <v>1679</v>
      </c>
      <c r="AI80" s="23">
        <f t="shared" si="39"/>
        <v>0</v>
      </c>
      <c r="AJ80" s="24">
        <f t="shared" si="39"/>
        <v>68579</v>
      </c>
      <c r="AK80" s="78"/>
    </row>
  </sheetData>
  <mergeCells count="49">
    <mergeCell ref="E2:AI2"/>
    <mergeCell ref="C58:D58"/>
    <mergeCell ref="B3:B6"/>
    <mergeCell ref="C45:D45"/>
    <mergeCell ref="C74:D74"/>
    <mergeCell ref="B40:D40"/>
    <mergeCell ref="A2:D2"/>
    <mergeCell ref="C79:D79"/>
    <mergeCell ref="C73:D73"/>
    <mergeCell ref="C47:D47"/>
    <mergeCell ref="C54:D54"/>
    <mergeCell ref="C63:D63"/>
    <mergeCell ref="C65:D65"/>
    <mergeCell ref="C78:D78"/>
    <mergeCell ref="C49:D49"/>
    <mergeCell ref="C77:D77"/>
    <mergeCell ref="C68:D68"/>
    <mergeCell ref="A41:A44"/>
    <mergeCell ref="A3:A6"/>
    <mergeCell ref="C50:D50"/>
    <mergeCell ref="AJ3:AJ6"/>
    <mergeCell ref="C75:D75"/>
    <mergeCell ref="C55:D55"/>
    <mergeCell ref="D3:D6"/>
    <mergeCell ref="C72:D72"/>
    <mergeCell ref="C67:D67"/>
    <mergeCell ref="C57:D57"/>
    <mergeCell ref="C3:C6"/>
    <mergeCell ref="C66:D66"/>
    <mergeCell ref="C41:D44"/>
    <mergeCell ref="C53:D53"/>
    <mergeCell ref="B39:D39"/>
    <mergeCell ref="C69:D69"/>
    <mergeCell ref="C80:D80"/>
    <mergeCell ref="C56:D56"/>
    <mergeCell ref="C59:D59"/>
    <mergeCell ref="A23:AJ23"/>
    <mergeCell ref="A32:AJ32"/>
    <mergeCell ref="AJ41:AJ44"/>
    <mergeCell ref="C46:D46"/>
    <mergeCell ref="C60:D60"/>
    <mergeCell ref="C51:D51"/>
    <mergeCell ref="C76:D76"/>
    <mergeCell ref="C71:D71"/>
    <mergeCell ref="C61:D61"/>
    <mergeCell ref="C52:D52"/>
    <mergeCell ref="C70:D70"/>
    <mergeCell ref="C48:D48"/>
    <mergeCell ref="B41:B44"/>
  </mergeCell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K80"/>
  <sheetViews>
    <sheetView topLeftCell="L52" zoomScaleNormal="100" workbookViewId="0">
      <selection activeCell="A22" sqref="A22:AJ22"/>
    </sheetView>
  </sheetViews>
  <sheetFormatPr defaultColWidth="18" defaultRowHeight="14.5"/>
  <cols>
    <col min="1" max="1" width="14" style="70" bestFit="1" customWidth="1"/>
    <col min="2" max="2" width="27" style="70" bestFit="1" customWidth="1"/>
    <col min="3" max="3" width="32" style="89" bestFit="1" customWidth="1"/>
    <col min="4" max="4" width="20" style="110" bestFit="1" customWidth="1"/>
    <col min="5" max="5" width="23" style="70" bestFit="1" customWidth="1"/>
    <col min="6" max="19" width="23" customWidth="1"/>
    <col min="20" max="22" width="23" style="70" bestFit="1" customWidth="1"/>
    <col min="23" max="26" width="23" customWidth="1"/>
    <col min="27" max="28" width="23" style="70" bestFit="1" customWidth="1"/>
    <col min="29" max="29" width="23" customWidth="1"/>
    <col min="30" max="32" width="23" style="70" bestFit="1" customWidth="1"/>
    <col min="33" max="33" width="23" style="70" customWidth="1"/>
    <col min="34" max="34" width="23" style="70" bestFit="1" customWidth="1"/>
    <col min="35" max="35" width="18" style="70" bestFit="1" customWidth="1"/>
    <col min="36" max="36" width="14" style="70" customWidth="1"/>
    <col min="37" max="38" width="18" style="70" customWidth="1"/>
    <col min="39" max="16384" width="18" style="70"/>
  </cols>
  <sheetData>
    <row r="2" spans="1:36" ht="16.5" customHeight="1">
      <c r="A2" s="537"/>
      <c r="B2" s="526"/>
      <c r="C2" s="526"/>
      <c r="D2" s="527"/>
      <c r="E2" s="535" t="s">
        <v>145</v>
      </c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7"/>
      <c r="AI2" s="69"/>
    </row>
    <row r="3" spans="1:36" ht="13" customHeight="1">
      <c r="A3" s="533" t="s">
        <v>99</v>
      </c>
      <c r="B3" s="533" t="s">
        <v>100</v>
      </c>
      <c r="C3" s="533" t="s">
        <v>101</v>
      </c>
      <c r="D3" s="536" t="s">
        <v>102</v>
      </c>
      <c r="E3" s="71">
        <v>45597</v>
      </c>
      <c r="F3" s="71">
        <v>45598</v>
      </c>
      <c r="G3" s="71">
        <v>45599</v>
      </c>
      <c r="H3" s="71">
        <v>45600</v>
      </c>
      <c r="I3" s="71">
        <v>45601</v>
      </c>
      <c r="J3" s="71">
        <v>45602</v>
      </c>
      <c r="K3" s="71">
        <v>45603</v>
      </c>
      <c r="L3" s="71">
        <v>45604</v>
      </c>
      <c r="M3" s="71">
        <v>45605</v>
      </c>
      <c r="N3" s="71">
        <v>45606</v>
      </c>
      <c r="O3" s="71">
        <v>45607</v>
      </c>
      <c r="P3" s="71">
        <v>45608</v>
      </c>
      <c r="Q3" s="71">
        <v>45609</v>
      </c>
      <c r="R3" s="71">
        <v>45610</v>
      </c>
      <c r="S3" s="71">
        <v>45611</v>
      </c>
      <c r="T3" s="71">
        <v>45612</v>
      </c>
      <c r="U3" s="71">
        <v>45613</v>
      </c>
      <c r="V3" s="71">
        <v>45614</v>
      </c>
      <c r="W3" s="71">
        <v>45615</v>
      </c>
      <c r="X3" s="71">
        <v>45616</v>
      </c>
      <c r="Y3" s="71">
        <v>45617</v>
      </c>
      <c r="Z3" s="71">
        <v>45618</v>
      </c>
      <c r="AA3" s="71">
        <v>45619</v>
      </c>
      <c r="AB3" s="71">
        <v>45620</v>
      </c>
      <c r="AC3" s="71">
        <v>45621</v>
      </c>
      <c r="AD3" s="71">
        <v>45622</v>
      </c>
      <c r="AE3" s="71">
        <v>45623</v>
      </c>
      <c r="AF3" s="71">
        <v>45624</v>
      </c>
      <c r="AG3" s="71">
        <v>45625</v>
      </c>
      <c r="AH3" s="71">
        <v>45626</v>
      </c>
      <c r="AI3" s="530" t="s">
        <v>1</v>
      </c>
    </row>
    <row r="4" spans="1:36" ht="13" customHeight="1">
      <c r="A4" s="511"/>
      <c r="B4" s="511"/>
      <c r="C4" s="511"/>
      <c r="D4" s="511"/>
      <c r="E4" s="72" t="s">
        <v>103</v>
      </c>
      <c r="F4" s="72" t="s">
        <v>104</v>
      </c>
      <c r="G4" s="72" t="s">
        <v>105</v>
      </c>
      <c r="H4" s="72" t="s">
        <v>106</v>
      </c>
      <c r="I4" s="72" t="s">
        <v>107</v>
      </c>
      <c r="J4" s="72" t="s">
        <v>108</v>
      </c>
      <c r="K4" s="72" t="s">
        <v>109</v>
      </c>
      <c r="L4" s="72" t="s">
        <v>103</v>
      </c>
      <c r="M4" s="72" t="s">
        <v>104</v>
      </c>
      <c r="N4" s="72" t="s">
        <v>105</v>
      </c>
      <c r="O4" s="72" t="s">
        <v>106</v>
      </c>
      <c r="P4" s="72" t="s">
        <v>107</v>
      </c>
      <c r="Q4" s="72" t="s">
        <v>108</v>
      </c>
      <c r="R4" s="72" t="s">
        <v>109</v>
      </c>
      <c r="S4" s="72" t="s">
        <v>103</v>
      </c>
      <c r="T4" s="72" t="s">
        <v>104</v>
      </c>
      <c r="U4" s="72" t="s">
        <v>105</v>
      </c>
      <c r="V4" s="72" t="s">
        <v>106</v>
      </c>
      <c r="W4" s="72" t="s">
        <v>107</v>
      </c>
      <c r="X4" s="72" t="s">
        <v>108</v>
      </c>
      <c r="Y4" s="72" t="s">
        <v>109</v>
      </c>
      <c r="Z4" s="72" t="s">
        <v>103</v>
      </c>
      <c r="AA4" s="72" t="s">
        <v>104</v>
      </c>
      <c r="AB4" s="72" t="s">
        <v>105</v>
      </c>
      <c r="AC4" s="72" t="s">
        <v>106</v>
      </c>
      <c r="AD4" s="72" t="s">
        <v>107</v>
      </c>
      <c r="AE4" s="72" t="s">
        <v>108</v>
      </c>
      <c r="AF4" s="72" t="s">
        <v>109</v>
      </c>
      <c r="AG4" s="72" t="s">
        <v>103</v>
      </c>
      <c r="AH4" s="72" t="s">
        <v>104</v>
      </c>
      <c r="AI4" s="511"/>
    </row>
    <row r="5" spans="1:36" ht="13" customHeight="1">
      <c r="A5" s="511"/>
      <c r="B5" s="511"/>
      <c r="C5" s="511"/>
      <c r="D5" s="511"/>
      <c r="E5" s="72" t="s">
        <v>110</v>
      </c>
      <c r="F5" s="72" t="s">
        <v>110</v>
      </c>
      <c r="G5" s="72" t="s">
        <v>110</v>
      </c>
      <c r="H5" s="72" t="s">
        <v>110</v>
      </c>
      <c r="I5" s="72" t="s">
        <v>110</v>
      </c>
      <c r="J5" s="72" t="s">
        <v>110</v>
      </c>
      <c r="K5" s="72" t="s">
        <v>110</v>
      </c>
      <c r="L5" s="72" t="s">
        <v>110</v>
      </c>
      <c r="M5" s="72" t="s">
        <v>110</v>
      </c>
      <c r="N5" s="72" t="s">
        <v>110</v>
      </c>
      <c r="O5" s="72" t="s">
        <v>110</v>
      </c>
      <c r="P5" s="72" t="s">
        <v>110</v>
      </c>
      <c r="Q5" s="72" t="s">
        <v>110</v>
      </c>
      <c r="R5" s="72" t="s">
        <v>110</v>
      </c>
      <c r="S5" s="72" t="s">
        <v>110</v>
      </c>
      <c r="T5" s="72" t="s">
        <v>110</v>
      </c>
      <c r="U5" s="72" t="s">
        <v>110</v>
      </c>
      <c r="V5" s="72" t="s">
        <v>110</v>
      </c>
      <c r="W5" s="72" t="s">
        <v>110</v>
      </c>
      <c r="X5" s="72" t="s">
        <v>110</v>
      </c>
      <c r="Y5" s="72" t="s">
        <v>110</v>
      </c>
      <c r="Z5" s="72" t="s">
        <v>110</v>
      </c>
      <c r="AA5" s="72" t="s">
        <v>110</v>
      </c>
      <c r="AB5" s="72" t="s">
        <v>110</v>
      </c>
      <c r="AC5" s="72" t="s">
        <v>110</v>
      </c>
      <c r="AD5" s="72" t="s">
        <v>110</v>
      </c>
      <c r="AE5" s="72" t="s">
        <v>110</v>
      </c>
      <c r="AF5" s="72" t="s">
        <v>110</v>
      </c>
      <c r="AG5" s="72" t="s">
        <v>110</v>
      </c>
      <c r="AH5" s="72" t="s">
        <v>110</v>
      </c>
      <c r="AI5" s="511"/>
    </row>
    <row r="6" spans="1:36" ht="13" customHeight="1">
      <c r="A6" s="512"/>
      <c r="B6" s="512"/>
      <c r="C6" s="512"/>
      <c r="D6" s="512"/>
      <c r="E6" s="73">
        <v>0.33333333333333331</v>
      </c>
      <c r="F6" s="73">
        <v>0.33333333333333331</v>
      </c>
      <c r="G6" s="73">
        <v>0.33333333333333331</v>
      </c>
      <c r="H6" s="73">
        <v>0.33333333333333331</v>
      </c>
      <c r="I6" s="73">
        <v>0.33333333333333331</v>
      </c>
      <c r="J6" s="73">
        <v>0.33333333333333331</v>
      </c>
      <c r="K6" s="73">
        <v>0.33333333333333331</v>
      </c>
      <c r="L6" s="73">
        <v>0.33333333333333331</v>
      </c>
      <c r="M6" s="73">
        <v>0.33333333333333331</v>
      </c>
      <c r="N6" s="73">
        <v>0.33333333333333331</v>
      </c>
      <c r="O6" s="73">
        <v>0.33333333333333331</v>
      </c>
      <c r="P6" s="73">
        <v>0.33333333333333331</v>
      </c>
      <c r="Q6" s="73">
        <v>0.33333333333333331</v>
      </c>
      <c r="R6" s="73">
        <v>0.33333333333333331</v>
      </c>
      <c r="S6" s="73">
        <v>0.33333333333333331</v>
      </c>
      <c r="T6" s="73">
        <v>0.33333333333333331</v>
      </c>
      <c r="U6" s="73">
        <v>0.33333333333333331</v>
      </c>
      <c r="V6" s="73">
        <v>0.33333333333333331</v>
      </c>
      <c r="W6" s="73">
        <v>0.33333333333333331</v>
      </c>
      <c r="X6" s="73">
        <v>0.33333333333333331</v>
      </c>
      <c r="Y6" s="73">
        <v>0.33333333333333331</v>
      </c>
      <c r="Z6" s="73">
        <v>0.33333333333333331</v>
      </c>
      <c r="AA6" s="73">
        <v>0.33333333333333331</v>
      </c>
      <c r="AB6" s="73">
        <v>0.33333333333333331</v>
      </c>
      <c r="AC6" s="73">
        <v>0.33333333333333331</v>
      </c>
      <c r="AD6" s="73">
        <v>0.33333333333333331</v>
      </c>
      <c r="AE6" s="73">
        <v>0.33333333333333331</v>
      </c>
      <c r="AF6" s="73">
        <v>0.33333333333333331</v>
      </c>
      <c r="AG6" s="73">
        <v>0.33333333333333331</v>
      </c>
      <c r="AH6" s="73">
        <v>0.33333333333333331</v>
      </c>
      <c r="AI6" s="512"/>
    </row>
    <row r="7" spans="1:36" ht="20.149999999999999" customHeight="1">
      <c r="A7" s="54">
        <v>1</v>
      </c>
      <c r="B7" s="54" t="s">
        <v>129</v>
      </c>
      <c r="C7" s="54" t="s">
        <v>111</v>
      </c>
      <c r="D7" s="74">
        <v>62276</v>
      </c>
      <c r="E7" s="4">
        <v>62591</v>
      </c>
      <c r="F7" s="4">
        <v>62802</v>
      </c>
      <c r="G7" s="49">
        <v>63034</v>
      </c>
      <c r="H7" s="5">
        <v>63289</v>
      </c>
      <c r="I7" s="4">
        <v>63523</v>
      </c>
      <c r="J7" s="4">
        <v>63788</v>
      </c>
      <c r="K7" s="4">
        <v>64044</v>
      </c>
      <c r="L7" s="58">
        <v>64300</v>
      </c>
      <c r="M7" s="48">
        <v>64518</v>
      </c>
      <c r="N7" s="59">
        <v>64730</v>
      </c>
      <c r="O7" s="4">
        <v>64968</v>
      </c>
      <c r="P7" s="58">
        <v>65239</v>
      </c>
      <c r="Q7" s="48">
        <v>65508</v>
      </c>
      <c r="R7" s="59">
        <v>65746</v>
      </c>
      <c r="S7" s="4">
        <v>66001</v>
      </c>
      <c r="T7" s="4">
        <v>66173</v>
      </c>
      <c r="U7" s="4">
        <v>66383</v>
      </c>
      <c r="V7" s="125">
        <v>66645</v>
      </c>
      <c r="W7" s="4">
        <v>66927</v>
      </c>
      <c r="X7" s="4">
        <v>67179</v>
      </c>
      <c r="Y7" s="4">
        <v>67433</v>
      </c>
      <c r="Z7" s="4">
        <v>67688</v>
      </c>
      <c r="AA7" s="4">
        <v>67894</v>
      </c>
      <c r="AB7" s="4">
        <v>68118</v>
      </c>
      <c r="AC7" s="4">
        <v>68368</v>
      </c>
      <c r="AD7" s="2">
        <v>68628</v>
      </c>
      <c r="AE7" s="2">
        <v>68907</v>
      </c>
      <c r="AF7" s="54">
        <v>69171</v>
      </c>
      <c r="AG7" s="54">
        <v>69415</v>
      </c>
      <c r="AH7" s="54">
        <v>69543</v>
      </c>
      <c r="AI7" s="77">
        <f t="shared" ref="AI7:AI22" si="0">AH7-D7</f>
        <v>7267</v>
      </c>
      <c r="AJ7" s="78"/>
    </row>
    <row r="8" spans="1:36" ht="20.149999999999999" customHeight="1">
      <c r="A8" s="49"/>
      <c r="B8" s="49"/>
      <c r="C8" s="79" t="s">
        <v>22</v>
      </c>
      <c r="D8" s="79">
        <v>3678</v>
      </c>
      <c r="E8" s="49">
        <v>3678</v>
      </c>
      <c r="F8" s="49">
        <v>3678</v>
      </c>
      <c r="G8" s="49">
        <v>3678</v>
      </c>
      <c r="H8" s="49">
        <v>3678</v>
      </c>
      <c r="I8" s="49">
        <v>3682</v>
      </c>
      <c r="J8" s="49">
        <v>3682</v>
      </c>
      <c r="K8" s="49">
        <v>3682</v>
      </c>
      <c r="L8" s="49">
        <v>3682</v>
      </c>
      <c r="M8" s="54">
        <v>3684</v>
      </c>
      <c r="N8" s="54">
        <v>3684</v>
      </c>
      <c r="O8" s="49">
        <v>3718</v>
      </c>
      <c r="P8" s="49">
        <v>3718</v>
      </c>
      <c r="Q8" s="49">
        <v>3718</v>
      </c>
      <c r="R8" s="49">
        <v>3737</v>
      </c>
      <c r="S8" s="49">
        <v>3737</v>
      </c>
      <c r="T8" s="49">
        <v>3775</v>
      </c>
      <c r="U8" s="49">
        <v>3775</v>
      </c>
      <c r="V8" s="49">
        <v>3775</v>
      </c>
      <c r="W8" s="49">
        <v>3775</v>
      </c>
      <c r="X8" s="49">
        <v>3775</v>
      </c>
      <c r="Y8" s="49">
        <v>3775</v>
      </c>
      <c r="Z8" s="49">
        <v>3775</v>
      </c>
      <c r="AA8" s="49">
        <v>3775</v>
      </c>
      <c r="AB8" s="49">
        <v>3775</v>
      </c>
      <c r="AC8" s="49">
        <v>3790</v>
      </c>
      <c r="AD8" s="49">
        <v>3790</v>
      </c>
      <c r="AE8" s="49">
        <v>3790</v>
      </c>
      <c r="AF8" s="49">
        <v>3790</v>
      </c>
      <c r="AG8" s="49">
        <v>3790</v>
      </c>
      <c r="AH8" s="49">
        <v>3790</v>
      </c>
      <c r="AI8" s="77">
        <f t="shared" si="0"/>
        <v>112</v>
      </c>
      <c r="AJ8" s="78"/>
    </row>
    <row r="9" spans="1:36" ht="20.149999999999999" customHeight="1">
      <c r="A9" s="2">
        <v>2</v>
      </c>
      <c r="B9" s="2" t="s">
        <v>129</v>
      </c>
      <c r="C9" s="2" t="s">
        <v>112</v>
      </c>
      <c r="D9" s="80">
        <v>1956</v>
      </c>
      <c r="E9" s="2">
        <v>1956</v>
      </c>
      <c r="F9" s="2">
        <v>1956</v>
      </c>
      <c r="G9" s="2">
        <v>1956</v>
      </c>
      <c r="H9" s="2">
        <v>1956</v>
      </c>
      <c r="I9" s="2">
        <v>1956</v>
      </c>
      <c r="J9" s="2">
        <v>1956</v>
      </c>
      <c r="K9" s="2">
        <v>1956</v>
      </c>
      <c r="L9" s="2">
        <v>1956</v>
      </c>
      <c r="M9" s="2">
        <v>1956</v>
      </c>
      <c r="N9" s="2">
        <v>1956</v>
      </c>
      <c r="O9" s="2">
        <v>1956</v>
      </c>
      <c r="P9" s="2">
        <v>1956</v>
      </c>
      <c r="Q9" s="2">
        <v>1956</v>
      </c>
      <c r="R9" s="2">
        <v>1956</v>
      </c>
      <c r="S9" s="2">
        <v>1956</v>
      </c>
      <c r="T9" s="2">
        <v>1956</v>
      </c>
      <c r="U9" s="2">
        <v>1956</v>
      </c>
      <c r="V9" s="2">
        <v>1956</v>
      </c>
      <c r="W9" s="2">
        <v>1956</v>
      </c>
      <c r="X9" s="2">
        <v>1956</v>
      </c>
      <c r="Y9" s="2">
        <v>1956</v>
      </c>
      <c r="Z9" s="2">
        <v>1956</v>
      </c>
      <c r="AA9" s="2">
        <v>1956</v>
      </c>
      <c r="AB9" s="2">
        <v>1956</v>
      </c>
      <c r="AC9" s="2">
        <v>1956</v>
      </c>
      <c r="AD9" s="2">
        <v>1956</v>
      </c>
      <c r="AE9" s="2">
        <v>1956</v>
      </c>
      <c r="AF9" s="2">
        <v>1956</v>
      </c>
      <c r="AG9" s="2">
        <v>1956</v>
      </c>
      <c r="AH9" s="2">
        <v>1956</v>
      </c>
      <c r="AI9" s="77">
        <f t="shared" si="0"/>
        <v>0</v>
      </c>
    </row>
    <row r="10" spans="1:36" ht="20.149999999999999" customHeight="1">
      <c r="A10" s="2"/>
      <c r="B10" s="2"/>
      <c r="C10" s="79" t="s">
        <v>22</v>
      </c>
      <c r="D10" s="80">
        <v>28.6</v>
      </c>
      <c r="E10" s="2">
        <v>28.6</v>
      </c>
      <c r="F10" s="2">
        <v>28.6</v>
      </c>
      <c r="G10" s="2">
        <v>28.6</v>
      </c>
      <c r="H10" s="2">
        <v>28.6</v>
      </c>
      <c r="I10" s="2">
        <v>28.6</v>
      </c>
      <c r="J10" s="2">
        <v>28.6</v>
      </c>
      <c r="K10" s="2">
        <v>28.6</v>
      </c>
      <c r="L10" s="2">
        <v>28.6</v>
      </c>
      <c r="M10" s="2">
        <v>28.6</v>
      </c>
      <c r="N10" s="2">
        <v>28.6</v>
      </c>
      <c r="O10" s="2">
        <v>28.6</v>
      </c>
      <c r="P10" s="2">
        <v>28.6</v>
      </c>
      <c r="Q10" s="2">
        <v>28.6</v>
      </c>
      <c r="R10" s="2">
        <v>28.6</v>
      </c>
      <c r="S10" s="2">
        <v>28.6</v>
      </c>
      <c r="T10" s="2">
        <v>28.6</v>
      </c>
      <c r="U10" s="2">
        <v>28.6</v>
      </c>
      <c r="V10" s="2">
        <v>28.6</v>
      </c>
      <c r="W10" s="2">
        <v>28.6</v>
      </c>
      <c r="X10" s="2">
        <v>28.6</v>
      </c>
      <c r="Y10" s="2">
        <v>28.6</v>
      </c>
      <c r="Z10" s="2">
        <v>28.6</v>
      </c>
      <c r="AA10" s="2">
        <v>28.6</v>
      </c>
      <c r="AB10" s="2">
        <v>28.6</v>
      </c>
      <c r="AC10" s="2">
        <v>28.6</v>
      </c>
      <c r="AD10" s="2">
        <v>28.6</v>
      </c>
      <c r="AE10" s="2">
        <v>28.6</v>
      </c>
      <c r="AF10" s="2">
        <v>28.6</v>
      </c>
      <c r="AG10" s="2">
        <v>28.6</v>
      </c>
      <c r="AH10" s="2">
        <v>28.6</v>
      </c>
      <c r="AI10" s="77">
        <f t="shared" si="0"/>
        <v>0</v>
      </c>
    </row>
    <row r="11" spans="1:36" ht="20.149999999999999" customHeight="1">
      <c r="A11" s="2">
        <v>3</v>
      </c>
      <c r="B11" s="2" t="s">
        <v>129</v>
      </c>
      <c r="C11" s="2" t="s">
        <v>113</v>
      </c>
      <c r="D11" s="79">
        <v>93430</v>
      </c>
      <c r="E11" s="4">
        <v>93829</v>
      </c>
      <c r="F11" s="4">
        <v>94127</v>
      </c>
      <c r="G11" s="4">
        <v>94430</v>
      </c>
      <c r="H11" s="4">
        <v>94789</v>
      </c>
      <c r="I11" s="4">
        <v>95105</v>
      </c>
      <c r="J11" s="4">
        <v>95495</v>
      </c>
      <c r="K11" s="4">
        <v>95867</v>
      </c>
      <c r="L11" s="4">
        <v>96230</v>
      </c>
      <c r="M11" s="4">
        <v>96520</v>
      </c>
      <c r="N11" s="4">
        <v>96800</v>
      </c>
      <c r="O11" s="4">
        <v>97145</v>
      </c>
      <c r="P11" s="4">
        <v>97502</v>
      </c>
      <c r="Q11" s="4">
        <v>97931</v>
      </c>
      <c r="R11" s="4">
        <v>98268</v>
      </c>
      <c r="S11" s="4">
        <v>98634</v>
      </c>
      <c r="T11" s="4">
        <v>98860</v>
      </c>
      <c r="U11" s="4">
        <v>99135</v>
      </c>
      <c r="V11" s="4">
        <v>99511</v>
      </c>
      <c r="W11" s="4">
        <v>99915</v>
      </c>
      <c r="X11" s="4">
        <v>100274</v>
      </c>
      <c r="Y11" s="4">
        <v>100643</v>
      </c>
      <c r="Z11" s="49">
        <v>100989</v>
      </c>
      <c r="AA11" s="49">
        <v>101274</v>
      </c>
      <c r="AB11" s="4">
        <v>101565</v>
      </c>
      <c r="AC11" s="4">
        <v>101922</v>
      </c>
      <c r="AD11" s="49">
        <v>102295</v>
      </c>
      <c r="AE11" s="49">
        <v>102695</v>
      </c>
      <c r="AF11" s="49">
        <v>103072</v>
      </c>
      <c r="AG11" s="49">
        <v>103421</v>
      </c>
      <c r="AH11" s="49">
        <v>103577</v>
      </c>
      <c r="AI11" s="77">
        <f t="shared" si="0"/>
        <v>10147</v>
      </c>
    </row>
    <row r="12" spans="1:36" ht="20.149999999999999" customHeight="1">
      <c r="A12" s="2"/>
      <c r="B12" s="2"/>
      <c r="C12" s="79" t="s">
        <v>22</v>
      </c>
      <c r="D12" s="80">
        <v>5538</v>
      </c>
      <c r="E12" s="2">
        <v>5538</v>
      </c>
      <c r="F12" s="2">
        <v>5538</v>
      </c>
      <c r="G12" s="2">
        <v>5538</v>
      </c>
      <c r="H12" s="2">
        <v>5538</v>
      </c>
      <c r="I12" s="2">
        <v>5543</v>
      </c>
      <c r="J12" s="2">
        <v>5543</v>
      </c>
      <c r="K12" s="2">
        <v>5543</v>
      </c>
      <c r="L12" s="2">
        <v>5543</v>
      </c>
      <c r="M12" s="2">
        <v>5547</v>
      </c>
      <c r="N12" s="2">
        <v>5547</v>
      </c>
      <c r="O12" s="2">
        <v>5591</v>
      </c>
      <c r="P12" s="2">
        <v>5591</v>
      </c>
      <c r="Q12" s="2">
        <v>5591</v>
      </c>
      <c r="R12" s="2">
        <v>5615</v>
      </c>
      <c r="S12" s="2">
        <v>5615</v>
      </c>
      <c r="T12" s="2">
        <v>5667</v>
      </c>
      <c r="U12" s="2">
        <v>5667</v>
      </c>
      <c r="V12" s="2">
        <v>5667</v>
      </c>
      <c r="W12" s="2">
        <v>5667</v>
      </c>
      <c r="X12" s="2">
        <v>5667</v>
      </c>
      <c r="Y12" s="2">
        <v>5667</v>
      </c>
      <c r="Z12" s="2">
        <v>5667</v>
      </c>
      <c r="AA12" s="2">
        <v>5667</v>
      </c>
      <c r="AB12" s="2">
        <v>5667</v>
      </c>
      <c r="AC12" s="2">
        <v>5686</v>
      </c>
      <c r="AD12" s="2">
        <v>5686</v>
      </c>
      <c r="AE12" s="2">
        <v>5686</v>
      </c>
      <c r="AF12" s="2">
        <v>5686</v>
      </c>
      <c r="AG12" s="2">
        <v>5686</v>
      </c>
      <c r="AH12" s="2">
        <v>5686</v>
      </c>
      <c r="AI12" s="77">
        <f t="shared" si="0"/>
        <v>148</v>
      </c>
    </row>
    <row r="13" spans="1:36" ht="20.149999999999999" customHeight="1">
      <c r="A13" s="2">
        <v>4</v>
      </c>
      <c r="B13" s="2" t="s">
        <v>129</v>
      </c>
      <c r="C13" s="2" t="s">
        <v>114</v>
      </c>
      <c r="D13" s="80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77">
        <f t="shared" si="0"/>
        <v>0</v>
      </c>
    </row>
    <row r="14" spans="1:36" ht="20.149999999999999" customHeight="1">
      <c r="A14" s="2"/>
      <c r="B14" s="2"/>
      <c r="C14" s="79" t="s">
        <v>22</v>
      </c>
      <c r="D14" s="80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77">
        <f t="shared" si="0"/>
        <v>0</v>
      </c>
    </row>
    <row r="15" spans="1:36" ht="20.149999999999999" customHeight="1">
      <c r="A15" s="2">
        <v>5</v>
      </c>
      <c r="B15" s="2" t="s">
        <v>129</v>
      </c>
      <c r="C15" s="2" t="s">
        <v>115</v>
      </c>
      <c r="D15" s="79">
        <v>39703</v>
      </c>
      <c r="E15" s="4">
        <v>39862</v>
      </c>
      <c r="F15" s="4">
        <v>39901</v>
      </c>
      <c r="G15" s="4">
        <v>40106</v>
      </c>
      <c r="H15" s="4">
        <v>40302</v>
      </c>
      <c r="I15" s="4">
        <v>40476</v>
      </c>
      <c r="J15" s="4">
        <v>40696</v>
      </c>
      <c r="K15" s="4">
        <v>40890</v>
      </c>
      <c r="L15" s="4">
        <v>41078</v>
      </c>
      <c r="M15" s="4">
        <v>41179</v>
      </c>
      <c r="N15" s="4">
        <v>41306</v>
      </c>
      <c r="O15" s="4">
        <v>41492</v>
      </c>
      <c r="P15" s="4">
        <v>41699</v>
      </c>
      <c r="Q15" s="4">
        <v>41899</v>
      </c>
      <c r="R15" s="4">
        <v>42073</v>
      </c>
      <c r="S15" s="4">
        <v>42256</v>
      </c>
      <c r="T15" s="4">
        <v>42354</v>
      </c>
      <c r="U15" s="33">
        <v>42459</v>
      </c>
      <c r="V15" s="4">
        <v>42670</v>
      </c>
      <c r="W15" s="4">
        <v>42889</v>
      </c>
      <c r="X15" s="4">
        <v>43089</v>
      </c>
      <c r="Y15" s="4">
        <v>43302</v>
      </c>
      <c r="Z15" s="49">
        <v>43503</v>
      </c>
      <c r="AA15" s="49">
        <v>43626</v>
      </c>
      <c r="AB15" s="4">
        <v>43741</v>
      </c>
      <c r="AC15" s="4">
        <v>43943</v>
      </c>
      <c r="AD15" s="49">
        <v>44162</v>
      </c>
      <c r="AE15" s="49">
        <v>44392</v>
      </c>
      <c r="AF15" s="49">
        <v>44616</v>
      </c>
      <c r="AG15" s="49">
        <v>44820</v>
      </c>
      <c r="AH15" s="49">
        <v>44885</v>
      </c>
      <c r="AI15" s="77">
        <f t="shared" si="0"/>
        <v>5182</v>
      </c>
    </row>
    <row r="16" spans="1:36" ht="20.149999999999999" customHeight="1">
      <c r="A16" s="2"/>
      <c r="B16" s="2"/>
      <c r="C16" s="79" t="s">
        <v>22</v>
      </c>
      <c r="D16" s="80">
        <v>2826</v>
      </c>
      <c r="E16" s="2">
        <v>2826</v>
      </c>
      <c r="F16" s="2">
        <v>2826</v>
      </c>
      <c r="G16" s="2">
        <v>2826</v>
      </c>
      <c r="H16" s="2">
        <v>2826</v>
      </c>
      <c r="I16" s="2">
        <v>2829</v>
      </c>
      <c r="J16" s="2">
        <v>2829</v>
      </c>
      <c r="K16" s="2">
        <v>2829</v>
      </c>
      <c r="L16" s="2">
        <v>2829</v>
      </c>
      <c r="M16" s="2">
        <v>2831</v>
      </c>
      <c r="N16" s="2">
        <v>2831</v>
      </c>
      <c r="O16" s="2">
        <v>2848</v>
      </c>
      <c r="P16" s="2">
        <v>2848</v>
      </c>
      <c r="Q16" s="2">
        <v>2848</v>
      </c>
      <c r="R16" s="2">
        <v>2859</v>
      </c>
      <c r="S16" s="2">
        <v>2859</v>
      </c>
      <c r="T16" s="2">
        <v>2878</v>
      </c>
      <c r="U16" s="2">
        <v>2878</v>
      </c>
      <c r="V16" s="2">
        <v>2878</v>
      </c>
      <c r="W16" s="2">
        <v>2878</v>
      </c>
      <c r="X16" s="2">
        <v>2878</v>
      </c>
      <c r="Y16" s="2">
        <v>2878</v>
      </c>
      <c r="Z16" s="2">
        <v>2878</v>
      </c>
      <c r="AA16" s="2">
        <v>2878</v>
      </c>
      <c r="AB16" s="2">
        <v>2878</v>
      </c>
      <c r="AC16" s="2">
        <v>2886</v>
      </c>
      <c r="AD16" s="2">
        <v>2886</v>
      </c>
      <c r="AE16" s="2">
        <v>2886</v>
      </c>
      <c r="AF16" s="2">
        <v>2886</v>
      </c>
      <c r="AG16" s="2">
        <v>2886</v>
      </c>
      <c r="AH16" s="2">
        <v>2886</v>
      </c>
      <c r="AI16" s="77">
        <f t="shared" si="0"/>
        <v>60</v>
      </c>
    </row>
    <row r="17" spans="1:35" ht="20.149999999999999" customHeight="1">
      <c r="A17" s="2">
        <v>6</v>
      </c>
      <c r="B17" s="2" t="s">
        <v>129</v>
      </c>
      <c r="C17" s="2" t="s">
        <v>142</v>
      </c>
      <c r="D17" s="79">
        <v>53462</v>
      </c>
      <c r="E17" s="4">
        <v>53637</v>
      </c>
      <c r="F17" s="4">
        <v>53768</v>
      </c>
      <c r="G17" s="4">
        <v>53894</v>
      </c>
      <c r="H17" s="4">
        <v>54130</v>
      </c>
      <c r="I17" s="4">
        <v>54364</v>
      </c>
      <c r="J17" s="4">
        <v>54575</v>
      </c>
      <c r="K17" s="4">
        <v>54840</v>
      </c>
      <c r="L17" s="4">
        <v>55064</v>
      </c>
      <c r="M17" s="4">
        <v>55207</v>
      </c>
      <c r="N17" s="4">
        <v>55307</v>
      </c>
      <c r="O17" s="4">
        <v>55546</v>
      </c>
      <c r="P17" s="4">
        <v>55788</v>
      </c>
      <c r="Q17" s="4">
        <v>56022</v>
      </c>
      <c r="R17" s="4">
        <v>56230</v>
      </c>
      <c r="S17" s="4">
        <v>56426</v>
      </c>
      <c r="T17" s="4">
        <v>56512</v>
      </c>
      <c r="U17" s="4">
        <v>56600</v>
      </c>
      <c r="V17" s="4">
        <v>56816</v>
      </c>
      <c r="W17" s="4">
        <v>57025</v>
      </c>
      <c r="X17" s="4">
        <v>57260</v>
      </c>
      <c r="Y17" s="4">
        <v>57467</v>
      </c>
      <c r="Z17" s="2">
        <v>57690</v>
      </c>
      <c r="AA17" s="49">
        <v>57785</v>
      </c>
      <c r="AB17" s="4">
        <v>57807</v>
      </c>
      <c r="AC17" s="4">
        <v>58110</v>
      </c>
      <c r="AD17" s="2">
        <v>58338</v>
      </c>
      <c r="AE17" s="49">
        <v>58589</v>
      </c>
      <c r="AF17" s="2">
        <v>58813</v>
      </c>
      <c r="AG17" s="49">
        <v>59036</v>
      </c>
      <c r="AH17" s="49">
        <v>59104</v>
      </c>
      <c r="AI17" s="77">
        <f t="shared" si="0"/>
        <v>5642</v>
      </c>
    </row>
    <row r="18" spans="1:35" ht="20.149999999999999" customHeight="1">
      <c r="A18" s="2"/>
      <c r="B18" s="2"/>
      <c r="C18" s="79" t="s">
        <v>22</v>
      </c>
      <c r="D18" s="104">
        <v>3732</v>
      </c>
      <c r="E18" s="104">
        <v>3732</v>
      </c>
      <c r="F18" s="104">
        <v>3732</v>
      </c>
      <c r="G18" s="104">
        <v>3732</v>
      </c>
      <c r="H18" s="104">
        <v>3732</v>
      </c>
      <c r="I18" s="2">
        <v>3735</v>
      </c>
      <c r="J18" s="2">
        <v>3735</v>
      </c>
      <c r="K18" s="2">
        <v>3735</v>
      </c>
      <c r="L18" s="2">
        <v>3735</v>
      </c>
      <c r="M18" s="2">
        <v>3740</v>
      </c>
      <c r="N18" s="2">
        <v>3740</v>
      </c>
      <c r="O18" s="2">
        <v>3757</v>
      </c>
      <c r="P18" s="2">
        <v>3757</v>
      </c>
      <c r="Q18" s="2">
        <v>3757</v>
      </c>
      <c r="R18" s="2">
        <v>3766</v>
      </c>
      <c r="S18" s="2">
        <v>3766</v>
      </c>
      <c r="T18" s="2">
        <v>3785</v>
      </c>
      <c r="U18" s="2">
        <v>3785</v>
      </c>
      <c r="V18" s="2">
        <v>3785</v>
      </c>
      <c r="W18" s="2">
        <v>3785</v>
      </c>
      <c r="X18" s="2">
        <v>3785</v>
      </c>
      <c r="Y18" s="2">
        <v>3785</v>
      </c>
      <c r="Z18" s="2">
        <v>3785</v>
      </c>
      <c r="AA18" s="2">
        <v>3785</v>
      </c>
      <c r="AB18" s="2">
        <v>3785</v>
      </c>
      <c r="AC18" s="2">
        <v>3794</v>
      </c>
      <c r="AD18" s="2">
        <v>3794</v>
      </c>
      <c r="AE18" s="2">
        <v>3794</v>
      </c>
      <c r="AF18" s="2">
        <v>3794</v>
      </c>
      <c r="AG18" s="2">
        <v>3794</v>
      </c>
      <c r="AH18" s="2">
        <v>3794</v>
      </c>
      <c r="AI18" s="77">
        <f t="shared" si="0"/>
        <v>62</v>
      </c>
    </row>
    <row r="19" spans="1:35" ht="20.149999999999999" customHeight="1">
      <c r="A19" s="2">
        <v>7</v>
      </c>
      <c r="B19" s="2" t="s">
        <v>129</v>
      </c>
      <c r="C19" s="2" t="s">
        <v>117</v>
      </c>
      <c r="D19" s="79">
        <v>180492</v>
      </c>
      <c r="E19" s="4">
        <v>180679</v>
      </c>
      <c r="F19" s="4">
        <v>181067</v>
      </c>
      <c r="G19" s="4">
        <v>181462</v>
      </c>
      <c r="H19" s="4">
        <v>182065</v>
      </c>
      <c r="I19" s="4">
        <v>182586</v>
      </c>
      <c r="J19" s="4">
        <v>183366</v>
      </c>
      <c r="K19" s="4">
        <v>183961</v>
      </c>
      <c r="L19" s="4">
        <v>184660</v>
      </c>
      <c r="M19" s="4">
        <v>185152</v>
      </c>
      <c r="N19" s="5">
        <v>185503</v>
      </c>
      <c r="O19" s="4">
        <v>186137</v>
      </c>
      <c r="P19" s="4">
        <v>186836</v>
      </c>
      <c r="Q19" s="4">
        <v>187547</v>
      </c>
      <c r="R19" s="4">
        <v>188196</v>
      </c>
      <c r="S19" s="5">
        <v>188899</v>
      </c>
      <c r="T19" s="4">
        <v>189404</v>
      </c>
      <c r="U19" s="4">
        <v>189880</v>
      </c>
      <c r="V19" s="4">
        <v>190523</v>
      </c>
      <c r="W19" s="4">
        <v>191238</v>
      </c>
      <c r="X19" s="4">
        <v>191944</v>
      </c>
      <c r="Y19" s="4">
        <v>192607</v>
      </c>
      <c r="Z19" s="49">
        <v>193262</v>
      </c>
      <c r="AA19" s="49">
        <v>193823</v>
      </c>
      <c r="AB19" s="4">
        <v>194191</v>
      </c>
      <c r="AC19" s="4">
        <v>194862</v>
      </c>
      <c r="AD19" s="49">
        <v>195542</v>
      </c>
      <c r="AE19" s="49">
        <v>196247</v>
      </c>
      <c r="AF19" s="49">
        <v>196907</v>
      </c>
      <c r="AG19" s="49">
        <v>197525</v>
      </c>
      <c r="AH19" s="49">
        <v>197767</v>
      </c>
      <c r="AI19" s="77">
        <f t="shared" si="0"/>
        <v>17275</v>
      </c>
    </row>
    <row r="20" spans="1:35" ht="20.149999999999999" customHeight="1">
      <c r="A20" s="2"/>
      <c r="B20" s="2"/>
      <c r="C20" s="79" t="s">
        <v>22</v>
      </c>
      <c r="D20" s="80">
        <v>10150</v>
      </c>
      <c r="E20" s="2">
        <v>10150</v>
      </c>
      <c r="F20" s="2">
        <v>10150</v>
      </c>
      <c r="G20" s="2">
        <v>10150</v>
      </c>
      <c r="H20" s="2">
        <v>10150</v>
      </c>
      <c r="I20" s="2">
        <v>10158</v>
      </c>
      <c r="J20" s="2">
        <v>10158</v>
      </c>
      <c r="K20" s="2">
        <v>10158</v>
      </c>
      <c r="L20" s="2">
        <v>10158</v>
      </c>
      <c r="M20" s="2">
        <v>10165</v>
      </c>
      <c r="N20" s="2">
        <v>10165</v>
      </c>
      <c r="O20" s="2">
        <v>10208</v>
      </c>
      <c r="P20" s="2">
        <v>10208</v>
      </c>
      <c r="Q20" s="2">
        <v>10208</v>
      </c>
      <c r="R20" s="2">
        <v>10238</v>
      </c>
      <c r="S20" s="2">
        <v>10238</v>
      </c>
      <c r="T20" s="2">
        <v>10292</v>
      </c>
      <c r="U20" s="2">
        <v>10292</v>
      </c>
      <c r="V20" s="2">
        <v>10292</v>
      </c>
      <c r="W20" s="2">
        <v>10292</v>
      </c>
      <c r="X20" s="2">
        <v>10292</v>
      </c>
      <c r="Y20" s="2">
        <v>10292</v>
      </c>
      <c r="Z20" s="2">
        <v>10292</v>
      </c>
      <c r="AA20" s="2">
        <v>10292</v>
      </c>
      <c r="AB20" s="2">
        <v>10292</v>
      </c>
      <c r="AC20" s="2">
        <v>10303</v>
      </c>
      <c r="AD20" s="2">
        <v>10303</v>
      </c>
      <c r="AE20" s="2">
        <v>10303</v>
      </c>
      <c r="AF20" s="2">
        <v>10303</v>
      </c>
      <c r="AG20" s="2">
        <v>10303</v>
      </c>
      <c r="AH20" s="2">
        <v>10303</v>
      </c>
      <c r="AI20" s="77">
        <f t="shared" si="0"/>
        <v>153</v>
      </c>
    </row>
    <row r="21" spans="1:35" ht="20.149999999999999" customHeight="1">
      <c r="A21" s="2">
        <v>8</v>
      </c>
      <c r="B21" s="2" t="s">
        <v>129</v>
      </c>
      <c r="C21" s="2" t="s">
        <v>118</v>
      </c>
      <c r="D21" s="79">
        <v>39721</v>
      </c>
      <c r="E21" s="4">
        <v>39814</v>
      </c>
      <c r="F21" s="4">
        <v>39886</v>
      </c>
      <c r="G21" s="4">
        <v>39965</v>
      </c>
      <c r="H21" s="4">
        <v>40057</v>
      </c>
      <c r="I21" s="4">
        <v>40129</v>
      </c>
      <c r="J21" s="4">
        <v>40220</v>
      </c>
      <c r="K21" s="4">
        <v>40307</v>
      </c>
      <c r="L21" s="4">
        <v>40386</v>
      </c>
      <c r="M21" s="4">
        <v>40401</v>
      </c>
      <c r="N21" s="4">
        <v>40527</v>
      </c>
      <c r="O21" s="4">
        <v>40593</v>
      </c>
      <c r="P21" s="4">
        <v>40671</v>
      </c>
      <c r="Q21" s="4">
        <v>40749</v>
      </c>
      <c r="R21" s="4">
        <v>40865</v>
      </c>
      <c r="S21" s="4">
        <v>41027</v>
      </c>
      <c r="T21" s="4">
        <v>41133</v>
      </c>
      <c r="U21" s="4">
        <v>41280</v>
      </c>
      <c r="V21" s="4">
        <v>41405</v>
      </c>
      <c r="W21" s="4">
        <v>41548</v>
      </c>
      <c r="X21" s="4">
        <v>41624</v>
      </c>
      <c r="Y21" s="4">
        <v>41722</v>
      </c>
      <c r="Z21" s="49">
        <v>41808</v>
      </c>
      <c r="AA21" s="49">
        <v>41919</v>
      </c>
      <c r="AB21" s="4">
        <v>42102</v>
      </c>
      <c r="AC21" s="4">
        <v>42235</v>
      </c>
      <c r="AD21" s="49">
        <v>42401</v>
      </c>
      <c r="AE21" s="49">
        <v>42513</v>
      </c>
      <c r="AF21" s="49">
        <v>42614</v>
      </c>
      <c r="AG21" s="49">
        <v>42662</v>
      </c>
      <c r="AH21" s="49">
        <v>42702</v>
      </c>
      <c r="AI21" s="77">
        <f t="shared" si="0"/>
        <v>2981</v>
      </c>
    </row>
    <row r="22" spans="1:35" ht="20.149999999999999" customHeight="1">
      <c r="A22" s="2"/>
      <c r="B22" s="2"/>
      <c r="C22" s="79" t="s">
        <v>22</v>
      </c>
      <c r="D22" s="80">
        <v>1945</v>
      </c>
      <c r="E22" s="2">
        <v>1945</v>
      </c>
      <c r="F22" s="2">
        <v>1945</v>
      </c>
      <c r="G22" s="2">
        <v>1945</v>
      </c>
      <c r="H22" s="2">
        <v>1945</v>
      </c>
      <c r="I22" s="2">
        <v>1946</v>
      </c>
      <c r="J22" s="2">
        <v>1946</v>
      </c>
      <c r="K22" s="2">
        <v>1946</v>
      </c>
      <c r="L22" s="2">
        <v>1946</v>
      </c>
      <c r="M22" s="2">
        <v>1948</v>
      </c>
      <c r="N22" s="2">
        <v>1948</v>
      </c>
      <c r="O22" s="2">
        <v>1960</v>
      </c>
      <c r="P22" s="2">
        <v>1960</v>
      </c>
      <c r="Q22" s="2">
        <v>1960</v>
      </c>
      <c r="R22" s="2">
        <v>1960</v>
      </c>
      <c r="S22" s="2">
        <v>1960</v>
      </c>
      <c r="T22" s="2">
        <v>1980</v>
      </c>
      <c r="U22" s="2">
        <v>1980</v>
      </c>
      <c r="V22" s="2">
        <v>1980</v>
      </c>
      <c r="W22" s="2">
        <v>1980</v>
      </c>
      <c r="X22" s="2">
        <v>1980</v>
      </c>
      <c r="Y22" s="2">
        <v>1980</v>
      </c>
      <c r="Z22" s="2">
        <v>1980</v>
      </c>
      <c r="AA22" s="2">
        <v>1980</v>
      </c>
      <c r="AB22" s="2">
        <v>1980</v>
      </c>
      <c r="AC22" s="2">
        <v>1983</v>
      </c>
      <c r="AD22" s="2">
        <v>1983</v>
      </c>
      <c r="AE22" s="2">
        <v>1983</v>
      </c>
      <c r="AF22" s="2">
        <v>1983</v>
      </c>
      <c r="AG22" s="2">
        <v>1983</v>
      </c>
      <c r="AH22" s="2">
        <v>1983</v>
      </c>
      <c r="AI22" s="77">
        <f t="shared" si="0"/>
        <v>38</v>
      </c>
    </row>
    <row r="23" spans="1:35" ht="14.5" customHeight="1">
      <c r="A23" s="503"/>
      <c r="B23" s="504"/>
      <c r="C23" s="504"/>
      <c r="D23" s="504"/>
      <c r="E23" s="504"/>
      <c r="F23" s="504"/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4"/>
      <c r="AA23" s="504"/>
      <c r="AB23" s="504"/>
      <c r="AC23" s="504"/>
      <c r="AD23" s="504"/>
      <c r="AE23" s="504"/>
      <c r="AF23" s="504"/>
      <c r="AG23" s="504"/>
      <c r="AH23" s="504"/>
      <c r="AI23" s="501"/>
    </row>
    <row r="24" spans="1:35" ht="14.5" customHeight="1">
      <c r="A24" s="2">
        <v>1</v>
      </c>
      <c r="B24" s="2" t="s">
        <v>129</v>
      </c>
      <c r="C24" s="2" t="s">
        <v>119</v>
      </c>
      <c r="D24" s="79">
        <v>19096</v>
      </c>
      <c r="E24" s="49">
        <v>19096</v>
      </c>
      <c r="F24" s="4">
        <v>19161</v>
      </c>
      <c r="G24" s="4">
        <v>19161</v>
      </c>
      <c r="H24" s="4">
        <v>19262</v>
      </c>
      <c r="I24" s="4">
        <v>19352</v>
      </c>
      <c r="J24" s="4">
        <v>19437</v>
      </c>
      <c r="K24" s="4">
        <v>19518</v>
      </c>
      <c r="L24" s="4">
        <v>19594</v>
      </c>
      <c r="M24" s="4">
        <v>19639</v>
      </c>
      <c r="N24" s="4">
        <v>19639</v>
      </c>
      <c r="O24" s="4">
        <v>19732</v>
      </c>
      <c r="P24" s="4">
        <v>19815</v>
      </c>
      <c r="Q24" s="4">
        <v>19907</v>
      </c>
      <c r="R24" s="4">
        <v>20002</v>
      </c>
      <c r="S24" s="4">
        <v>20093</v>
      </c>
      <c r="T24" s="4">
        <v>20160</v>
      </c>
      <c r="U24" s="4">
        <v>20160</v>
      </c>
      <c r="V24" s="4">
        <v>20249</v>
      </c>
      <c r="W24" s="4">
        <v>20306</v>
      </c>
      <c r="X24" s="4">
        <v>20362</v>
      </c>
      <c r="Y24" s="4">
        <v>20409</v>
      </c>
      <c r="Z24" s="2">
        <v>20471</v>
      </c>
      <c r="AA24" s="2">
        <v>20528</v>
      </c>
      <c r="AB24" s="4">
        <v>20528</v>
      </c>
      <c r="AC24" s="4">
        <v>20604</v>
      </c>
      <c r="AD24" s="2">
        <v>20683</v>
      </c>
      <c r="AE24" s="2">
        <v>20760</v>
      </c>
      <c r="AF24" s="2">
        <v>20802</v>
      </c>
      <c r="AG24" s="49">
        <v>20853</v>
      </c>
      <c r="AH24" s="49">
        <v>20893</v>
      </c>
      <c r="AI24" s="82">
        <f t="shared" ref="AI24:AI31" si="1">AH24-D24</f>
        <v>1797</v>
      </c>
    </row>
    <row r="25" spans="1:35" ht="13" customHeight="1">
      <c r="A25" s="2"/>
      <c r="B25" s="2"/>
      <c r="C25" s="80" t="s">
        <v>22</v>
      </c>
      <c r="D25" s="80">
        <v>1804</v>
      </c>
      <c r="E25" s="2">
        <v>1804</v>
      </c>
      <c r="F25" s="2">
        <v>1804</v>
      </c>
      <c r="G25" s="2">
        <v>1804</v>
      </c>
      <c r="H25" s="2">
        <v>1804</v>
      </c>
      <c r="I25" s="2">
        <v>1806</v>
      </c>
      <c r="J25" s="2">
        <v>1806</v>
      </c>
      <c r="K25" s="2">
        <v>1806</v>
      </c>
      <c r="L25" s="2">
        <v>1806</v>
      </c>
      <c r="M25" s="2">
        <v>1808</v>
      </c>
      <c r="N25" s="2">
        <v>1808</v>
      </c>
      <c r="O25" s="2">
        <v>1808</v>
      </c>
      <c r="P25" s="2">
        <v>1808</v>
      </c>
      <c r="Q25" s="2">
        <v>1808</v>
      </c>
      <c r="R25" s="2">
        <v>1808</v>
      </c>
      <c r="S25" s="2">
        <v>1808</v>
      </c>
      <c r="T25" s="2">
        <v>1811</v>
      </c>
      <c r="U25" s="2">
        <v>1811</v>
      </c>
      <c r="V25" s="2">
        <v>1811</v>
      </c>
      <c r="W25" s="2">
        <v>1811</v>
      </c>
      <c r="X25" s="2">
        <v>1811</v>
      </c>
      <c r="Y25" s="2">
        <v>1811</v>
      </c>
      <c r="Z25" s="2">
        <v>1811</v>
      </c>
      <c r="AA25" s="2">
        <v>1811</v>
      </c>
      <c r="AB25" s="2">
        <v>1811</v>
      </c>
      <c r="AC25" s="2">
        <v>1811</v>
      </c>
      <c r="AD25" s="2">
        <v>1811</v>
      </c>
      <c r="AE25" s="2">
        <v>1811</v>
      </c>
      <c r="AF25" s="2">
        <v>1811</v>
      </c>
      <c r="AG25" s="2">
        <v>1811</v>
      </c>
      <c r="AH25" s="2">
        <v>1811</v>
      </c>
      <c r="AI25" s="82">
        <f t="shared" si="1"/>
        <v>7</v>
      </c>
    </row>
    <row r="26" spans="1:35" ht="14.5" customHeight="1">
      <c r="A26" s="2">
        <v>2</v>
      </c>
      <c r="B26" s="2" t="s">
        <v>129</v>
      </c>
      <c r="C26" s="2" t="s">
        <v>120</v>
      </c>
      <c r="D26" s="79">
        <v>18091</v>
      </c>
      <c r="E26" s="4">
        <v>18091</v>
      </c>
      <c r="F26" s="4">
        <v>18143</v>
      </c>
      <c r="G26" s="4">
        <v>18143</v>
      </c>
      <c r="H26" s="4">
        <v>18246</v>
      </c>
      <c r="I26" s="4">
        <v>18337</v>
      </c>
      <c r="J26" s="4">
        <v>18430</v>
      </c>
      <c r="K26" s="4">
        <v>18513</v>
      </c>
      <c r="L26" s="4">
        <v>18589</v>
      </c>
      <c r="M26" s="4">
        <v>18633</v>
      </c>
      <c r="N26" s="4">
        <v>18633</v>
      </c>
      <c r="O26" s="4">
        <v>18723</v>
      </c>
      <c r="P26" s="4">
        <v>18811</v>
      </c>
      <c r="Q26" s="4">
        <v>18897</v>
      </c>
      <c r="R26" s="4">
        <v>18985</v>
      </c>
      <c r="S26" s="4">
        <v>18999</v>
      </c>
      <c r="T26" s="4">
        <v>19130</v>
      </c>
      <c r="U26" s="4">
        <v>19130</v>
      </c>
      <c r="V26" s="4">
        <v>19188</v>
      </c>
      <c r="W26" s="4">
        <v>19287</v>
      </c>
      <c r="X26" s="4">
        <v>19345</v>
      </c>
      <c r="Y26" s="4">
        <v>19389</v>
      </c>
      <c r="Z26" s="49">
        <v>19460</v>
      </c>
      <c r="AA26" s="49">
        <v>19516</v>
      </c>
      <c r="AB26" s="4">
        <v>19516</v>
      </c>
      <c r="AC26" s="4">
        <v>19594</v>
      </c>
      <c r="AD26" s="49">
        <v>19677</v>
      </c>
      <c r="AE26" s="49">
        <v>19747</v>
      </c>
      <c r="AF26" s="49">
        <v>19804</v>
      </c>
      <c r="AG26" s="49">
        <v>19864</v>
      </c>
      <c r="AH26" s="49">
        <v>19914</v>
      </c>
      <c r="AI26" s="82">
        <f t="shared" si="1"/>
        <v>1823</v>
      </c>
    </row>
    <row r="27" spans="1:35" ht="13" customHeight="1">
      <c r="A27" s="2"/>
      <c r="B27" s="2"/>
      <c r="C27" s="80" t="s">
        <v>22</v>
      </c>
      <c r="D27" s="80">
        <v>1758</v>
      </c>
      <c r="E27" s="2">
        <v>1758</v>
      </c>
      <c r="F27" s="2">
        <v>1758</v>
      </c>
      <c r="G27" s="2">
        <v>1758</v>
      </c>
      <c r="H27" s="2">
        <v>1758</v>
      </c>
      <c r="I27" s="2">
        <v>1760</v>
      </c>
      <c r="J27" s="2">
        <v>1760</v>
      </c>
      <c r="K27" s="2">
        <v>1760</v>
      </c>
      <c r="L27" s="2">
        <v>1760</v>
      </c>
      <c r="M27" s="2">
        <v>1762</v>
      </c>
      <c r="N27" s="2">
        <v>1762</v>
      </c>
      <c r="O27" s="2">
        <v>1762</v>
      </c>
      <c r="P27" s="2">
        <v>1762</v>
      </c>
      <c r="Q27" s="2">
        <v>1762</v>
      </c>
      <c r="R27" s="2">
        <v>1762</v>
      </c>
      <c r="S27" s="2">
        <v>1762</v>
      </c>
      <c r="T27" s="2">
        <v>1764</v>
      </c>
      <c r="U27" s="2">
        <v>1764</v>
      </c>
      <c r="V27" s="2">
        <v>1764</v>
      </c>
      <c r="W27" s="2">
        <v>1764</v>
      </c>
      <c r="X27" s="2">
        <v>1764</v>
      </c>
      <c r="Y27" s="2">
        <v>1764</v>
      </c>
      <c r="Z27" s="2">
        <v>1764</v>
      </c>
      <c r="AA27" s="2">
        <v>1764</v>
      </c>
      <c r="AB27" s="2">
        <v>1764</v>
      </c>
      <c r="AC27" s="2">
        <v>1764</v>
      </c>
      <c r="AD27" s="2">
        <v>1764</v>
      </c>
      <c r="AE27" s="2">
        <v>1764</v>
      </c>
      <c r="AF27" s="2">
        <v>1764</v>
      </c>
      <c r="AG27" s="2">
        <v>1764</v>
      </c>
      <c r="AH27" s="2">
        <v>1764</v>
      </c>
      <c r="AI27" s="82">
        <f t="shared" si="1"/>
        <v>6</v>
      </c>
    </row>
    <row r="28" spans="1:35" ht="14.5" customHeight="1">
      <c r="A28" s="2">
        <v>3</v>
      </c>
      <c r="B28" s="2" t="s">
        <v>129</v>
      </c>
      <c r="C28" s="2" t="s">
        <v>121</v>
      </c>
      <c r="D28" s="80">
        <v>17608</v>
      </c>
      <c r="E28" s="2">
        <v>17608</v>
      </c>
      <c r="F28" s="4">
        <v>17662</v>
      </c>
      <c r="G28" s="4">
        <v>17662</v>
      </c>
      <c r="H28" s="4">
        <v>17770</v>
      </c>
      <c r="I28" s="4">
        <v>17862</v>
      </c>
      <c r="J28" s="4">
        <v>17948</v>
      </c>
      <c r="K28" s="4">
        <v>18035</v>
      </c>
      <c r="L28" s="4">
        <v>18177</v>
      </c>
      <c r="M28" s="4">
        <v>18177</v>
      </c>
      <c r="N28" s="4">
        <v>18177</v>
      </c>
      <c r="O28" s="4">
        <v>18284</v>
      </c>
      <c r="P28" s="4">
        <v>18377</v>
      </c>
      <c r="Q28" s="4">
        <v>18434</v>
      </c>
      <c r="R28" s="4">
        <v>18535</v>
      </c>
      <c r="S28" s="4">
        <v>18599</v>
      </c>
      <c r="T28" s="4">
        <v>18636</v>
      </c>
      <c r="U28" s="4">
        <v>18636</v>
      </c>
      <c r="V28" s="4">
        <v>18690</v>
      </c>
      <c r="W28" s="4">
        <v>18809</v>
      </c>
      <c r="X28" s="4">
        <v>18894</v>
      </c>
      <c r="Y28" s="4">
        <v>18948</v>
      </c>
      <c r="Z28" s="2">
        <v>19023</v>
      </c>
      <c r="AA28" s="2">
        <v>19094</v>
      </c>
      <c r="AB28" s="4">
        <v>19094</v>
      </c>
      <c r="AC28" s="4">
        <v>19191</v>
      </c>
      <c r="AD28" s="2">
        <v>19285</v>
      </c>
      <c r="AE28" s="2">
        <v>19376</v>
      </c>
      <c r="AF28" s="2">
        <v>19458</v>
      </c>
      <c r="AG28" s="2">
        <v>19546</v>
      </c>
      <c r="AH28" s="2">
        <v>19597</v>
      </c>
      <c r="AI28" s="82">
        <f t="shared" si="1"/>
        <v>1989</v>
      </c>
    </row>
    <row r="29" spans="1:35" ht="13" customHeight="1">
      <c r="A29" s="2"/>
      <c r="B29" s="2"/>
      <c r="C29" s="80" t="s">
        <v>22</v>
      </c>
      <c r="D29" s="80">
        <v>1854</v>
      </c>
      <c r="E29" s="2">
        <v>1854</v>
      </c>
      <c r="F29" s="2">
        <v>1854</v>
      </c>
      <c r="G29" s="2">
        <v>1854</v>
      </c>
      <c r="H29" s="2">
        <v>1854</v>
      </c>
      <c r="I29" s="2">
        <v>1856</v>
      </c>
      <c r="J29" s="2">
        <v>1856</v>
      </c>
      <c r="K29" s="2">
        <v>1856</v>
      </c>
      <c r="L29" s="2">
        <v>1856</v>
      </c>
      <c r="M29" s="2">
        <v>1856</v>
      </c>
      <c r="N29" s="2">
        <v>1856</v>
      </c>
      <c r="O29" s="2">
        <v>1857</v>
      </c>
      <c r="P29" s="2">
        <v>1857</v>
      </c>
      <c r="Q29" s="2">
        <v>1857</v>
      </c>
      <c r="R29" s="2">
        <v>1857</v>
      </c>
      <c r="S29" s="2">
        <v>1857</v>
      </c>
      <c r="T29" s="2">
        <v>1858</v>
      </c>
      <c r="U29" s="2">
        <v>1858</v>
      </c>
      <c r="V29" s="2">
        <v>1858</v>
      </c>
      <c r="W29" s="2">
        <v>1858</v>
      </c>
      <c r="X29" s="2">
        <v>1858</v>
      </c>
      <c r="Y29" s="2">
        <v>1858</v>
      </c>
      <c r="Z29" s="2">
        <v>1858</v>
      </c>
      <c r="AA29" s="2">
        <v>1858</v>
      </c>
      <c r="AB29" s="2">
        <v>1858</v>
      </c>
      <c r="AC29" s="2">
        <v>1858</v>
      </c>
      <c r="AD29" s="2">
        <v>1858</v>
      </c>
      <c r="AE29" s="2">
        <v>1858</v>
      </c>
      <c r="AF29" s="2">
        <v>1858</v>
      </c>
      <c r="AG29" s="2">
        <v>1858</v>
      </c>
      <c r="AH29" s="2">
        <v>1858</v>
      </c>
      <c r="AI29" s="82">
        <f t="shared" si="1"/>
        <v>4</v>
      </c>
    </row>
    <row r="30" spans="1:35" ht="14.5" customHeight="1">
      <c r="A30" s="2">
        <v>4</v>
      </c>
      <c r="B30" s="2" t="s">
        <v>129</v>
      </c>
      <c r="C30" s="2" t="s">
        <v>122</v>
      </c>
      <c r="D30" s="79">
        <v>16687</v>
      </c>
      <c r="E30" s="4">
        <v>16688</v>
      </c>
      <c r="F30" s="4">
        <v>16731</v>
      </c>
      <c r="G30" s="4">
        <v>16731</v>
      </c>
      <c r="H30" s="4">
        <v>16820</v>
      </c>
      <c r="I30" s="4">
        <v>16899</v>
      </c>
      <c r="J30" s="4">
        <v>16973</v>
      </c>
      <c r="K30" s="4">
        <v>17047</v>
      </c>
      <c r="L30" s="4">
        <v>17118</v>
      </c>
      <c r="M30" s="4">
        <v>17162</v>
      </c>
      <c r="N30" s="4">
        <v>17162</v>
      </c>
      <c r="O30" s="4">
        <v>17240</v>
      </c>
      <c r="P30" s="4">
        <v>17314</v>
      </c>
      <c r="Q30" s="4">
        <v>17390</v>
      </c>
      <c r="R30" s="4">
        <v>17477</v>
      </c>
      <c r="S30" s="4">
        <v>17555</v>
      </c>
      <c r="T30" s="4">
        <v>17610</v>
      </c>
      <c r="U30" s="4">
        <v>17610</v>
      </c>
      <c r="V30" s="4">
        <v>17696</v>
      </c>
      <c r="W30" s="4">
        <v>17793</v>
      </c>
      <c r="X30" s="4">
        <v>17891</v>
      </c>
      <c r="Y30" s="4">
        <v>17995</v>
      </c>
      <c r="Z30" s="2">
        <v>18083</v>
      </c>
      <c r="AA30" s="2">
        <v>18163</v>
      </c>
      <c r="AB30" s="4">
        <v>18163</v>
      </c>
      <c r="AC30" s="4">
        <v>18276</v>
      </c>
      <c r="AD30" s="2">
        <v>18395</v>
      </c>
      <c r="AE30" s="2">
        <v>18506</v>
      </c>
      <c r="AF30" s="2">
        <v>18597</v>
      </c>
      <c r="AG30" s="49">
        <v>18689</v>
      </c>
      <c r="AH30" s="49">
        <v>18702</v>
      </c>
      <c r="AI30" s="82">
        <f t="shared" si="1"/>
        <v>2015</v>
      </c>
    </row>
    <row r="31" spans="1:35" ht="13" customHeight="1">
      <c r="A31" s="2"/>
      <c r="B31" s="2"/>
      <c r="C31" s="80" t="s">
        <v>22</v>
      </c>
      <c r="D31" s="80">
        <v>1662</v>
      </c>
      <c r="E31" s="2">
        <v>1662</v>
      </c>
      <c r="F31" s="2">
        <v>1662</v>
      </c>
      <c r="G31" s="2">
        <v>1662</v>
      </c>
      <c r="H31" s="2">
        <v>1662</v>
      </c>
      <c r="I31" s="2">
        <v>1663</v>
      </c>
      <c r="J31" s="2">
        <v>1663</v>
      </c>
      <c r="K31" s="2">
        <v>1663</v>
      </c>
      <c r="L31" s="2">
        <v>1663</v>
      </c>
      <c r="M31" s="2">
        <v>1666</v>
      </c>
      <c r="N31" s="2">
        <v>1666</v>
      </c>
      <c r="O31" s="2">
        <v>1666</v>
      </c>
      <c r="P31" s="2">
        <v>1666</v>
      </c>
      <c r="Q31" s="2">
        <v>1666</v>
      </c>
      <c r="R31" s="2">
        <v>1666</v>
      </c>
      <c r="S31" s="2">
        <v>1666</v>
      </c>
      <c r="T31" s="2">
        <v>1668</v>
      </c>
      <c r="U31" s="2">
        <v>1668</v>
      </c>
      <c r="V31" s="2">
        <v>1668</v>
      </c>
      <c r="W31" s="2">
        <v>1668</v>
      </c>
      <c r="X31" s="2">
        <v>1668</v>
      </c>
      <c r="Y31" s="2">
        <v>1668</v>
      </c>
      <c r="Z31" s="2">
        <v>1668</v>
      </c>
      <c r="AA31" s="2">
        <v>1668</v>
      </c>
      <c r="AB31" s="2">
        <v>1668</v>
      </c>
      <c r="AC31" s="2">
        <v>1668</v>
      </c>
      <c r="AD31" s="2">
        <v>1668</v>
      </c>
      <c r="AE31" s="2">
        <v>1668</v>
      </c>
      <c r="AF31" s="2">
        <v>1668</v>
      </c>
      <c r="AG31" s="2">
        <v>1668</v>
      </c>
      <c r="AH31" s="2">
        <v>1668</v>
      </c>
      <c r="AI31" s="82">
        <f t="shared" si="1"/>
        <v>6</v>
      </c>
    </row>
    <row r="32" spans="1:35" ht="14.5" customHeight="1">
      <c r="A32" s="503"/>
      <c r="B32" s="504"/>
      <c r="C32" s="504"/>
      <c r="D32" s="504"/>
      <c r="E32" s="50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  <c r="R32" s="504"/>
      <c r="S32" s="504"/>
      <c r="T32" s="504"/>
      <c r="U32" s="504"/>
      <c r="V32" s="504"/>
      <c r="W32" s="504"/>
      <c r="X32" s="504"/>
      <c r="Y32" s="504"/>
      <c r="Z32" s="504"/>
      <c r="AA32" s="504"/>
      <c r="AB32" s="504"/>
      <c r="AC32" s="504"/>
      <c r="AD32" s="504"/>
      <c r="AE32" s="504"/>
      <c r="AF32" s="504"/>
      <c r="AG32" s="504"/>
      <c r="AH32" s="504"/>
      <c r="AI32" s="501"/>
    </row>
    <row r="33" spans="1:35" ht="14.5" customHeight="1">
      <c r="A33" s="2">
        <v>1</v>
      </c>
      <c r="B33" s="2" t="s">
        <v>129</v>
      </c>
      <c r="C33" s="2" t="s">
        <v>123</v>
      </c>
      <c r="D33" s="83">
        <v>159746</v>
      </c>
      <c r="E33" s="10">
        <v>159746</v>
      </c>
      <c r="F33" s="10">
        <v>159746</v>
      </c>
      <c r="G33" s="10">
        <v>159746</v>
      </c>
      <c r="H33" s="10">
        <v>160588</v>
      </c>
      <c r="I33" s="10">
        <v>161250</v>
      </c>
      <c r="J33" s="10">
        <v>161983</v>
      </c>
      <c r="K33" s="10">
        <v>162627</v>
      </c>
      <c r="L33" s="10">
        <v>163033</v>
      </c>
      <c r="M33" s="10">
        <v>163234</v>
      </c>
      <c r="N33" s="10">
        <v>163234</v>
      </c>
      <c r="O33" s="11">
        <v>164074</v>
      </c>
      <c r="P33" s="11">
        <v>164717</v>
      </c>
      <c r="Q33" s="11">
        <v>165038</v>
      </c>
      <c r="R33" s="11">
        <v>165508</v>
      </c>
      <c r="S33" s="11">
        <v>165863</v>
      </c>
      <c r="T33" s="11">
        <v>166140</v>
      </c>
      <c r="U33" s="11">
        <v>166140</v>
      </c>
      <c r="V33" s="11">
        <v>166851</v>
      </c>
      <c r="W33" s="11">
        <v>167333</v>
      </c>
      <c r="X33" s="11">
        <v>167838</v>
      </c>
      <c r="Y33" s="11">
        <v>168357</v>
      </c>
      <c r="Z33" s="85">
        <v>168799</v>
      </c>
      <c r="AA33" s="85">
        <v>169040</v>
      </c>
      <c r="AB33" s="85">
        <v>169040</v>
      </c>
      <c r="AC33" s="11">
        <v>169649</v>
      </c>
      <c r="AD33" s="85">
        <v>170367</v>
      </c>
      <c r="AE33" s="85">
        <v>170936</v>
      </c>
      <c r="AF33" s="85">
        <v>171426</v>
      </c>
      <c r="AG33" s="86">
        <v>171793</v>
      </c>
      <c r="AH33" s="86">
        <v>172072</v>
      </c>
      <c r="AI33" s="82">
        <f>AH33-D33</f>
        <v>12326</v>
      </c>
    </row>
    <row r="34" spans="1:35" ht="14.5" customHeight="1">
      <c r="A34" s="2">
        <v>2</v>
      </c>
      <c r="B34" s="2" t="s">
        <v>129</v>
      </c>
      <c r="C34" s="2" t="s">
        <v>124</v>
      </c>
      <c r="D34" s="83">
        <v>171381</v>
      </c>
      <c r="E34" s="10">
        <v>171381</v>
      </c>
      <c r="F34" s="10">
        <v>171948</v>
      </c>
      <c r="G34" s="10">
        <v>171948</v>
      </c>
      <c r="H34" s="10">
        <v>172877</v>
      </c>
      <c r="I34" s="10">
        <v>173536</v>
      </c>
      <c r="J34" s="10">
        <v>174280</v>
      </c>
      <c r="K34" s="10">
        <v>174891</v>
      </c>
      <c r="L34" s="10">
        <v>175456</v>
      </c>
      <c r="M34" s="10">
        <v>175708</v>
      </c>
      <c r="N34" s="10">
        <v>175708</v>
      </c>
      <c r="O34" s="11">
        <v>176618</v>
      </c>
      <c r="P34" s="11">
        <v>177263</v>
      </c>
      <c r="Q34" s="11">
        <v>177828</v>
      </c>
      <c r="R34" s="11">
        <v>178343</v>
      </c>
      <c r="S34" s="11">
        <v>178824</v>
      </c>
      <c r="T34" s="11">
        <v>179188</v>
      </c>
      <c r="U34" s="11">
        <v>179188</v>
      </c>
      <c r="V34" s="11">
        <v>179839</v>
      </c>
      <c r="W34" s="11">
        <v>180530</v>
      </c>
      <c r="X34" s="11">
        <v>181000</v>
      </c>
      <c r="Y34" s="11">
        <v>181503</v>
      </c>
      <c r="Z34" s="85">
        <v>181962</v>
      </c>
      <c r="AA34" s="85">
        <v>182249</v>
      </c>
      <c r="AB34" s="11">
        <v>182249</v>
      </c>
      <c r="AC34" s="11">
        <v>182793</v>
      </c>
      <c r="AD34" s="11">
        <v>183431</v>
      </c>
      <c r="AE34" s="85">
        <v>183944</v>
      </c>
      <c r="AF34" s="85">
        <v>184378</v>
      </c>
      <c r="AG34" s="86">
        <v>184731</v>
      </c>
      <c r="AH34" s="86">
        <v>185120</v>
      </c>
      <c r="AI34" s="82">
        <f>AH34-D34</f>
        <v>13739</v>
      </c>
    </row>
    <row r="35" spans="1:35" ht="14.5" customHeight="1">
      <c r="A35" s="2">
        <v>3</v>
      </c>
      <c r="B35" s="2" t="s">
        <v>129</v>
      </c>
      <c r="C35" s="2" t="s">
        <v>125</v>
      </c>
      <c r="D35" s="83">
        <v>176009</v>
      </c>
      <c r="E35" s="86">
        <v>176009</v>
      </c>
      <c r="F35" s="10">
        <v>176389</v>
      </c>
      <c r="G35" s="10">
        <v>176389</v>
      </c>
      <c r="H35" s="10">
        <v>177114</v>
      </c>
      <c r="I35" s="10">
        <v>177732</v>
      </c>
      <c r="J35" s="10">
        <v>178387</v>
      </c>
      <c r="K35" s="10">
        <v>179039</v>
      </c>
      <c r="L35" s="10">
        <v>179533</v>
      </c>
      <c r="M35" s="10">
        <v>179760</v>
      </c>
      <c r="N35" s="10">
        <v>179760</v>
      </c>
      <c r="O35" s="11">
        <v>180606</v>
      </c>
      <c r="P35" s="11">
        <v>181230</v>
      </c>
      <c r="Q35" s="11">
        <v>181712</v>
      </c>
      <c r="R35" s="11">
        <v>182335</v>
      </c>
      <c r="S35" s="11">
        <v>182782</v>
      </c>
      <c r="T35" s="11">
        <v>183063</v>
      </c>
      <c r="U35" s="11">
        <v>183063</v>
      </c>
      <c r="V35" s="11">
        <v>183713</v>
      </c>
      <c r="W35" s="11">
        <v>184384</v>
      </c>
      <c r="X35" s="11">
        <v>184902</v>
      </c>
      <c r="Y35" s="11">
        <v>185365</v>
      </c>
      <c r="Z35" s="11">
        <v>185834</v>
      </c>
      <c r="AA35" s="11">
        <v>186143</v>
      </c>
      <c r="AB35" s="11">
        <v>186143</v>
      </c>
      <c r="AC35" s="11">
        <v>186624</v>
      </c>
      <c r="AD35" s="11">
        <v>187254</v>
      </c>
      <c r="AE35" s="85">
        <v>187744</v>
      </c>
      <c r="AF35" s="85">
        <v>188085</v>
      </c>
      <c r="AG35" s="86">
        <v>188204</v>
      </c>
      <c r="AH35" s="86">
        <v>188463</v>
      </c>
      <c r="AI35" s="82">
        <f>AH35-D35</f>
        <v>12454</v>
      </c>
    </row>
    <row r="36" spans="1:35" ht="14.5" customHeight="1">
      <c r="A36" s="2">
        <v>4</v>
      </c>
      <c r="B36" s="2" t="s">
        <v>129</v>
      </c>
      <c r="C36" s="2" t="s">
        <v>126</v>
      </c>
      <c r="D36" s="83">
        <v>194290</v>
      </c>
      <c r="E36" s="86">
        <v>194290</v>
      </c>
      <c r="F36" s="10">
        <v>194621</v>
      </c>
      <c r="G36" s="10">
        <v>194621</v>
      </c>
      <c r="H36" s="10">
        <v>195393</v>
      </c>
      <c r="I36" s="10">
        <v>195974</v>
      </c>
      <c r="J36" s="10">
        <v>196583</v>
      </c>
      <c r="K36" s="10">
        <v>197135</v>
      </c>
      <c r="L36" s="10">
        <v>197498</v>
      </c>
      <c r="M36" s="10">
        <v>197681</v>
      </c>
      <c r="N36" s="10">
        <v>197681</v>
      </c>
      <c r="O36" s="11">
        <v>198465</v>
      </c>
      <c r="P36" s="11">
        <v>199030</v>
      </c>
      <c r="Q36" s="11">
        <v>199619</v>
      </c>
      <c r="R36" s="11">
        <v>200220</v>
      </c>
      <c r="S36" s="11">
        <v>200783</v>
      </c>
      <c r="T36" s="11">
        <v>201041</v>
      </c>
      <c r="U36" s="11">
        <v>201041</v>
      </c>
      <c r="V36" s="11">
        <v>201645</v>
      </c>
      <c r="W36" s="11">
        <v>202346</v>
      </c>
      <c r="X36" s="11">
        <v>202923</v>
      </c>
      <c r="Y36" s="11">
        <v>203318</v>
      </c>
      <c r="Z36" s="85">
        <v>203746</v>
      </c>
      <c r="AA36" s="85">
        <v>203946</v>
      </c>
      <c r="AB36" s="11">
        <v>203946</v>
      </c>
      <c r="AC36" s="11">
        <v>204470</v>
      </c>
      <c r="AD36" s="11">
        <v>205098</v>
      </c>
      <c r="AE36" s="85">
        <v>205698</v>
      </c>
      <c r="AF36" s="85">
        <v>206199</v>
      </c>
      <c r="AG36" s="86">
        <v>206586</v>
      </c>
      <c r="AH36" s="86">
        <v>206669</v>
      </c>
      <c r="AI36" s="82">
        <f>AH36-D36</f>
        <v>12379</v>
      </c>
    </row>
    <row r="37" spans="1:35">
      <c r="D37" s="106"/>
      <c r="E37" s="90"/>
      <c r="AC37" s="76"/>
      <c r="AI37" s="78"/>
    </row>
    <row r="38" spans="1:35" ht="13" customHeight="1">
      <c r="A38" s="91"/>
      <c r="B38" s="92"/>
      <c r="C38" s="92"/>
      <c r="D38" s="107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</row>
    <row r="39" spans="1:35" ht="14.5" customHeight="1">
      <c r="A39" s="93"/>
      <c r="B39" s="534" t="s">
        <v>127</v>
      </c>
      <c r="C39" s="504"/>
      <c r="D39" s="501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</row>
    <row r="40" spans="1:35" ht="14.5" customHeight="1">
      <c r="A40" s="94"/>
      <c r="B40" s="538" t="s">
        <v>128</v>
      </c>
      <c r="C40" s="504"/>
      <c r="D40" s="501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</row>
    <row r="41" spans="1:35" ht="13" customHeight="1">
      <c r="A41" s="529" t="s">
        <v>99</v>
      </c>
      <c r="B41" s="529" t="s">
        <v>100</v>
      </c>
      <c r="C41" s="529" t="s">
        <v>101</v>
      </c>
      <c r="D41" s="517"/>
      <c r="E41" s="95">
        <f t="shared" ref="E41:AH41" si="2">E3</f>
        <v>45597</v>
      </c>
      <c r="F41" s="95">
        <f t="shared" si="2"/>
        <v>45598</v>
      </c>
      <c r="G41" s="95">
        <f t="shared" si="2"/>
        <v>45599</v>
      </c>
      <c r="H41" s="95">
        <f t="shared" si="2"/>
        <v>45600</v>
      </c>
      <c r="I41" s="95">
        <f t="shared" si="2"/>
        <v>45601</v>
      </c>
      <c r="J41" s="95">
        <f t="shared" si="2"/>
        <v>45602</v>
      </c>
      <c r="K41" s="95">
        <f t="shared" si="2"/>
        <v>45603</v>
      </c>
      <c r="L41" s="95">
        <f t="shared" si="2"/>
        <v>45604</v>
      </c>
      <c r="M41" s="95">
        <f t="shared" si="2"/>
        <v>45605</v>
      </c>
      <c r="N41" s="95">
        <f t="shared" si="2"/>
        <v>45606</v>
      </c>
      <c r="O41" s="95">
        <f t="shared" si="2"/>
        <v>45607</v>
      </c>
      <c r="P41" s="95">
        <f t="shared" si="2"/>
        <v>45608</v>
      </c>
      <c r="Q41" s="95">
        <f t="shared" si="2"/>
        <v>45609</v>
      </c>
      <c r="R41" s="95">
        <f t="shared" si="2"/>
        <v>45610</v>
      </c>
      <c r="S41" s="95">
        <f t="shared" si="2"/>
        <v>45611</v>
      </c>
      <c r="T41" s="95">
        <f t="shared" si="2"/>
        <v>45612</v>
      </c>
      <c r="U41" s="95">
        <f t="shared" si="2"/>
        <v>45613</v>
      </c>
      <c r="V41" s="95">
        <f t="shared" si="2"/>
        <v>45614</v>
      </c>
      <c r="W41" s="95">
        <f t="shared" si="2"/>
        <v>45615</v>
      </c>
      <c r="X41" s="95">
        <f t="shared" si="2"/>
        <v>45616</v>
      </c>
      <c r="Y41" s="95">
        <f t="shared" si="2"/>
        <v>45617</v>
      </c>
      <c r="Z41" s="95">
        <f t="shared" si="2"/>
        <v>45618</v>
      </c>
      <c r="AA41" s="95">
        <f t="shared" si="2"/>
        <v>45619</v>
      </c>
      <c r="AB41" s="95">
        <f t="shared" si="2"/>
        <v>45620</v>
      </c>
      <c r="AC41" s="95">
        <f t="shared" si="2"/>
        <v>45621</v>
      </c>
      <c r="AD41" s="95">
        <f t="shared" si="2"/>
        <v>45622</v>
      </c>
      <c r="AE41" s="95">
        <f t="shared" si="2"/>
        <v>45623</v>
      </c>
      <c r="AF41" s="95">
        <f t="shared" si="2"/>
        <v>45624</v>
      </c>
      <c r="AG41" s="95">
        <f t="shared" si="2"/>
        <v>45625</v>
      </c>
      <c r="AH41" s="95">
        <f t="shared" si="2"/>
        <v>45626</v>
      </c>
      <c r="AI41" s="529" t="s">
        <v>1</v>
      </c>
    </row>
    <row r="42" spans="1:35" ht="13" customHeight="1">
      <c r="A42" s="508"/>
      <c r="B42" s="508"/>
      <c r="C42" s="518"/>
      <c r="D42" s="519"/>
      <c r="E42" s="96" t="str">
        <f t="shared" ref="E42:AH42" si="3">E4</f>
        <v>Fri</v>
      </c>
      <c r="F42" s="96" t="str">
        <f t="shared" si="3"/>
        <v>Sat</v>
      </c>
      <c r="G42" s="96" t="str">
        <f t="shared" si="3"/>
        <v>Sun</v>
      </c>
      <c r="H42" s="96" t="str">
        <f t="shared" si="3"/>
        <v>Mon</v>
      </c>
      <c r="I42" s="96" t="str">
        <f t="shared" si="3"/>
        <v>Tue</v>
      </c>
      <c r="J42" s="96" t="str">
        <f t="shared" si="3"/>
        <v>Wed</v>
      </c>
      <c r="K42" s="96" t="str">
        <f t="shared" si="3"/>
        <v>Thu</v>
      </c>
      <c r="L42" s="96" t="str">
        <f t="shared" si="3"/>
        <v>Fri</v>
      </c>
      <c r="M42" s="96" t="str">
        <f t="shared" si="3"/>
        <v>Sat</v>
      </c>
      <c r="N42" s="96" t="str">
        <f t="shared" si="3"/>
        <v>Sun</v>
      </c>
      <c r="O42" s="96" t="str">
        <f t="shared" si="3"/>
        <v>Mon</v>
      </c>
      <c r="P42" s="96" t="str">
        <f t="shared" si="3"/>
        <v>Tue</v>
      </c>
      <c r="Q42" s="96" t="str">
        <f t="shared" si="3"/>
        <v>Wed</v>
      </c>
      <c r="R42" s="96" t="str">
        <f t="shared" si="3"/>
        <v>Thu</v>
      </c>
      <c r="S42" s="96" t="str">
        <f t="shared" si="3"/>
        <v>Fri</v>
      </c>
      <c r="T42" s="96" t="str">
        <f t="shared" si="3"/>
        <v>Sat</v>
      </c>
      <c r="U42" s="96" t="str">
        <f t="shared" si="3"/>
        <v>Sun</v>
      </c>
      <c r="V42" s="96" t="str">
        <f t="shared" si="3"/>
        <v>Mon</v>
      </c>
      <c r="W42" s="96" t="str">
        <f t="shared" si="3"/>
        <v>Tue</v>
      </c>
      <c r="X42" s="96" t="str">
        <f t="shared" si="3"/>
        <v>Wed</v>
      </c>
      <c r="Y42" s="96" t="str">
        <f t="shared" si="3"/>
        <v>Thu</v>
      </c>
      <c r="Z42" s="96" t="str">
        <f t="shared" si="3"/>
        <v>Fri</v>
      </c>
      <c r="AA42" s="96" t="str">
        <f t="shared" si="3"/>
        <v>Sat</v>
      </c>
      <c r="AB42" s="96" t="str">
        <f t="shared" si="3"/>
        <v>Sun</v>
      </c>
      <c r="AC42" s="96" t="str">
        <f t="shared" si="3"/>
        <v>Mon</v>
      </c>
      <c r="AD42" s="96" t="str">
        <f t="shared" si="3"/>
        <v>Tue</v>
      </c>
      <c r="AE42" s="96" t="str">
        <f t="shared" si="3"/>
        <v>Wed</v>
      </c>
      <c r="AF42" s="96" t="str">
        <f t="shared" si="3"/>
        <v>Thu</v>
      </c>
      <c r="AG42" s="95" t="str">
        <f t="shared" si="3"/>
        <v>Fri</v>
      </c>
      <c r="AH42" s="96" t="str">
        <f t="shared" si="3"/>
        <v>Sat</v>
      </c>
      <c r="AI42" s="508"/>
    </row>
    <row r="43" spans="1:35" ht="13" customHeight="1">
      <c r="A43" s="508"/>
      <c r="B43" s="508"/>
      <c r="C43" s="518"/>
      <c r="D43" s="519"/>
      <c r="E43" s="97" t="s">
        <v>110</v>
      </c>
      <c r="F43" s="97" t="s">
        <v>110</v>
      </c>
      <c r="G43" s="97" t="s">
        <v>110</v>
      </c>
      <c r="H43" s="97" t="s">
        <v>110</v>
      </c>
      <c r="I43" s="97" t="s">
        <v>110</v>
      </c>
      <c r="J43" s="97" t="s">
        <v>110</v>
      </c>
      <c r="K43" s="97" t="s">
        <v>110</v>
      </c>
      <c r="L43" s="97" t="s">
        <v>110</v>
      </c>
      <c r="M43" s="97" t="s">
        <v>110</v>
      </c>
      <c r="N43" s="97" t="s">
        <v>110</v>
      </c>
      <c r="O43" s="97" t="s">
        <v>110</v>
      </c>
      <c r="P43" s="97" t="s">
        <v>110</v>
      </c>
      <c r="Q43" s="97" t="s">
        <v>110</v>
      </c>
      <c r="R43" s="97" t="s">
        <v>110</v>
      </c>
      <c r="S43" s="97" t="s">
        <v>110</v>
      </c>
      <c r="T43" s="97" t="s">
        <v>110</v>
      </c>
      <c r="U43" s="97" t="s">
        <v>110</v>
      </c>
      <c r="V43" s="97" t="s">
        <v>110</v>
      </c>
      <c r="W43" s="97" t="s">
        <v>110</v>
      </c>
      <c r="X43" s="97" t="s">
        <v>110</v>
      </c>
      <c r="Y43" s="97" t="s">
        <v>110</v>
      </c>
      <c r="Z43" s="97" t="s">
        <v>110</v>
      </c>
      <c r="AA43" s="97" t="s">
        <v>110</v>
      </c>
      <c r="AB43" s="97" t="s">
        <v>110</v>
      </c>
      <c r="AC43" s="97" t="s">
        <v>110</v>
      </c>
      <c r="AD43" s="97" t="s">
        <v>110</v>
      </c>
      <c r="AE43" s="97" t="s">
        <v>110</v>
      </c>
      <c r="AF43" s="97" t="s">
        <v>110</v>
      </c>
      <c r="AG43" s="95" t="str">
        <f>AG5</f>
        <v>Time</v>
      </c>
      <c r="AH43" s="97" t="s">
        <v>110</v>
      </c>
      <c r="AI43" s="508"/>
    </row>
    <row r="44" spans="1:35" ht="13" customHeight="1">
      <c r="A44" s="509"/>
      <c r="B44" s="509"/>
      <c r="C44" s="520"/>
      <c r="D44" s="521"/>
      <c r="E44" s="98">
        <v>0.33333333333333331</v>
      </c>
      <c r="F44" s="98">
        <v>0.33333333333333331</v>
      </c>
      <c r="G44" s="98">
        <v>0.33333333333333331</v>
      </c>
      <c r="H44" s="98">
        <v>0.33333333333333331</v>
      </c>
      <c r="I44" s="98">
        <v>0.33333333333333331</v>
      </c>
      <c r="J44" s="98">
        <v>0.33333333333333331</v>
      </c>
      <c r="K44" s="98">
        <v>0.33333333333333331</v>
      </c>
      <c r="L44" s="98">
        <v>0.33333333333333331</v>
      </c>
      <c r="M44" s="98">
        <v>0.33333333333333331</v>
      </c>
      <c r="N44" s="98">
        <v>0.33333333333333331</v>
      </c>
      <c r="O44" s="98">
        <v>0.33333333333333331</v>
      </c>
      <c r="P44" s="98">
        <v>0.33333333333333331</v>
      </c>
      <c r="Q44" s="98">
        <v>0.33333333333333331</v>
      </c>
      <c r="R44" s="98">
        <v>0.33333333333333331</v>
      </c>
      <c r="S44" s="98">
        <v>0.33333333333333331</v>
      </c>
      <c r="T44" s="98">
        <v>0.33333333333333331</v>
      </c>
      <c r="U44" s="98">
        <v>0.33333333333333331</v>
      </c>
      <c r="V44" s="98">
        <v>0.33333333333333331</v>
      </c>
      <c r="W44" s="98">
        <v>0.33333333333333331</v>
      </c>
      <c r="X44" s="98">
        <v>0.33333333333333331</v>
      </c>
      <c r="Y44" s="98">
        <v>0.33333333333333331</v>
      </c>
      <c r="Z44" s="98">
        <v>0.33333333333333331</v>
      </c>
      <c r="AA44" s="98">
        <v>0.33333333333333331</v>
      </c>
      <c r="AB44" s="98">
        <v>0.33333333333333331</v>
      </c>
      <c r="AC44" s="98">
        <v>0.33333333333333331</v>
      </c>
      <c r="AD44" s="98">
        <v>0.33333333333333331</v>
      </c>
      <c r="AE44" s="98">
        <v>0.33333333333333331</v>
      </c>
      <c r="AF44" s="98">
        <v>0.33333333333333331</v>
      </c>
      <c r="AG44" s="98">
        <v>0.33333333333333331</v>
      </c>
      <c r="AH44" s="98">
        <v>0.33333333333333331</v>
      </c>
      <c r="AI44" s="509"/>
    </row>
    <row r="45" spans="1:35" ht="15" customHeight="1">
      <c r="A45" s="2">
        <v>1</v>
      </c>
      <c r="B45" s="2" t="s">
        <v>129</v>
      </c>
      <c r="C45" s="503" t="s">
        <v>111</v>
      </c>
      <c r="D45" s="501"/>
      <c r="E45" s="20">
        <f t="shared" ref="E45:AH45" si="4">E7-D7</f>
        <v>315</v>
      </c>
      <c r="F45" s="20">
        <f t="shared" si="4"/>
        <v>211</v>
      </c>
      <c r="G45" s="20">
        <f t="shared" si="4"/>
        <v>232</v>
      </c>
      <c r="H45" s="20">
        <f t="shared" si="4"/>
        <v>255</v>
      </c>
      <c r="I45" s="20">
        <f t="shared" si="4"/>
        <v>234</v>
      </c>
      <c r="J45" s="20">
        <f t="shared" si="4"/>
        <v>265</v>
      </c>
      <c r="K45" s="20">
        <f t="shared" si="4"/>
        <v>256</v>
      </c>
      <c r="L45" s="20">
        <f t="shared" si="4"/>
        <v>256</v>
      </c>
      <c r="M45" s="20">
        <f t="shared" si="4"/>
        <v>218</v>
      </c>
      <c r="N45" s="20">
        <f t="shared" si="4"/>
        <v>212</v>
      </c>
      <c r="O45" s="20">
        <f t="shared" si="4"/>
        <v>238</v>
      </c>
      <c r="P45" s="20">
        <f t="shared" si="4"/>
        <v>271</v>
      </c>
      <c r="Q45" s="20">
        <f t="shared" si="4"/>
        <v>269</v>
      </c>
      <c r="R45" s="20">
        <f t="shared" si="4"/>
        <v>238</v>
      </c>
      <c r="S45" s="20">
        <f t="shared" si="4"/>
        <v>255</v>
      </c>
      <c r="T45" s="20">
        <f t="shared" si="4"/>
        <v>172</v>
      </c>
      <c r="U45" s="20">
        <f t="shared" si="4"/>
        <v>210</v>
      </c>
      <c r="V45" s="20">
        <f t="shared" si="4"/>
        <v>262</v>
      </c>
      <c r="W45" s="20">
        <f t="shared" si="4"/>
        <v>282</v>
      </c>
      <c r="X45" s="20">
        <f t="shared" si="4"/>
        <v>252</v>
      </c>
      <c r="Y45" s="20">
        <f t="shared" si="4"/>
        <v>254</v>
      </c>
      <c r="Z45" s="20">
        <f t="shared" si="4"/>
        <v>255</v>
      </c>
      <c r="AA45" s="20">
        <f t="shared" si="4"/>
        <v>206</v>
      </c>
      <c r="AB45" s="20">
        <f t="shared" si="4"/>
        <v>224</v>
      </c>
      <c r="AC45" s="20">
        <f t="shared" si="4"/>
        <v>250</v>
      </c>
      <c r="AD45" s="20">
        <f t="shared" si="4"/>
        <v>260</v>
      </c>
      <c r="AE45" s="20">
        <f t="shared" si="4"/>
        <v>279</v>
      </c>
      <c r="AF45" s="20">
        <f t="shared" si="4"/>
        <v>264</v>
      </c>
      <c r="AG45" s="20">
        <f t="shared" si="4"/>
        <v>244</v>
      </c>
      <c r="AH45" s="20">
        <f t="shared" si="4"/>
        <v>128</v>
      </c>
      <c r="AI45" s="21">
        <f t="shared" ref="AI45:AI62" si="5">SUM(E45:AH45)</f>
        <v>7267</v>
      </c>
    </row>
    <row r="46" spans="1:35" ht="15" customHeight="1">
      <c r="A46" s="2"/>
      <c r="B46" s="2"/>
      <c r="C46" s="531" t="s">
        <v>22</v>
      </c>
      <c r="D46" s="501"/>
      <c r="E46" s="20">
        <f t="shared" ref="E46:E60" si="6">E8-D8</f>
        <v>0</v>
      </c>
      <c r="F46" s="20">
        <f>G7-E8</f>
        <v>59356</v>
      </c>
      <c r="G46" s="20">
        <f>G8-G7</f>
        <v>-59356</v>
      </c>
      <c r="H46" s="20">
        <f t="shared" ref="H46:AH46" si="7">H8-G8</f>
        <v>0</v>
      </c>
      <c r="I46" s="20">
        <f t="shared" si="7"/>
        <v>4</v>
      </c>
      <c r="J46" s="20">
        <f t="shared" si="7"/>
        <v>0</v>
      </c>
      <c r="K46" s="20">
        <f t="shared" si="7"/>
        <v>0</v>
      </c>
      <c r="L46" s="20">
        <f t="shared" si="7"/>
        <v>0</v>
      </c>
      <c r="M46" s="20">
        <f t="shared" si="7"/>
        <v>2</v>
      </c>
      <c r="N46" s="20">
        <f t="shared" si="7"/>
        <v>0</v>
      </c>
      <c r="O46" s="20">
        <f t="shared" si="7"/>
        <v>34</v>
      </c>
      <c r="P46" s="20">
        <f t="shared" si="7"/>
        <v>0</v>
      </c>
      <c r="Q46" s="20">
        <f t="shared" si="7"/>
        <v>0</v>
      </c>
      <c r="R46" s="20">
        <f t="shared" si="7"/>
        <v>19</v>
      </c>
      <c r="S46" s="20">
        <f t="shared" si="7"/>
        <v>0</v>
      </c>
      <c r="T46" s="20">
        <f t="shared" si="7"/>
        <v>38</v>
      </c>
      <c r="U46" s="20">
        <f t="shared" si="7"/>
        <v>0</v>
      </c>
      <c r="V46" s="20">
        <f t="shared" si="7"/>
        <v>0</v>
      </c>
      <c r="W46" s="20">
        <f t="shared" si="7"/>
        <v>0</v>
      </c>
      <c r="X46" s="20">
        <f t="shared" si="7"/>
        <v>0</v>
      </c>
      <c r="Y46" s="20">
        <f t="shared" si="7"/>
        <v>0</v>
      </c>
      <c r="Z46" s="20">
        <f t="shared" si="7"/>
        <v>0</v>
      </c>
      <c r="AA46" s="20">
        <f t="shared" si="7"/>
        <v>0</v>
      </c>
      <c r="AB46" s="20">
        <f t="shared" si="7"/>
        <v>0</v>
      </c>
      <c r="AC46" s="20">
        <f t="shared" si="7"/>
        <v>15</v>
      </c>
      <c r="AD46" s="20">
        <f t="shared" si="7"/>
        <v>0</v>
      </c>
      <c r="AE46" s="20">
        <f t="shared" si="7"/>
        <v>0</v>
      </c>
      <c r="AF46" s="20">
        <f t="shared" si="7"/>
        <v>0</v>
      </c>
      <c r="AG46" s="20">
        <f t="shared" si="7"/>
        <v>0</v>
      </c>
      <c r="AH46" s="20">
        <f t="shared" si="7"/>
        <v>0</v>
      </c>
      <c r="AI46" s="21">
        <f t="shared" si="5"/>
        <v>112</v>
      </c>
    </row>
    <row r="47" spans="1:35" ht="15" customHeight="1">
      <c r="A47" s="2">
        <v>2</v>
      </c>
      <c r="B47" s="2" t="s">
        <v>129</v>
      </c>
      <c r="C47" s="503" t="s">
        <v>112</v>
      </c>
      <c r="D47" s="501"/>
      <c r="E47" s="20">
        <f t="shared" si="6"/>
        <v>0</v>
      </c>
      <c r="F47" s="20">
        <f t="shared" ref="F47:G60" si="8">F9-E9</f>
        <v>0</v>
      </c>
      <c r="G47" s="20">
        <f t="shared" si="8"/>
        <v>0</v>
      </c>
      <c r="H47" s="20">
        <f t="shared" ref="H47:AH47" si="9">H9-G9</f>
        <v>0</v>
      </c>
      <c r="I47" s="20">
        <f t="shared" si="9"/>
        <v>0</v>
      </c>
      <c r="J47" s="20">
        <f t="shared" si="9"/>
        <v>0</v>
      </c>
      <c r="K47" s="20">
        <f t="shared" si="9"/>
        <v>0</v>
      </c>
      <c r="L47" s="20">
        <f t="shared" si="9"/>
        <v>0</v>
      </c>
      <c r="M47" s="20">
        <f t="shared" si="9"/>
        <v>0</v>
      </c>
      <c r="N47" s="20">
        <f t="shared" si="9"/>
        <v>0</v>
      </c>
      <c r="O47" s="20">
        <f t="shared" si="9"/>
        <v>0</v>
      </c>
      <c r="P47" s="20">
        <f t="shared" si="9"/>
        <v>0</v>
      </c>
      <c r="Q47" s="20">
        <f t="shared" si="9"/>
        <v>0</v>
      </c>
      <c r="R47" s="20">
        <f t="shared" si="9"/>
        <v>0</v>
      </c>
      <c r="S47" s="20">
        <f t="shared" si="9"/>
        <v>0</v>
      </c>
      <c r="T47" s="20">
        <f t="shared" si="9"/>
        <v>0</v>
      </c>
      <c r="U47" s="20">
        <f t="shared" si="9"/>
        <v>0</v>
      </c>
      <c r="V47" s="20">
        <f t="shared" si="9"/>
        <v>0</v>
      </c>
      <c r="W47" s="20">
        <f t="shared" si="9"/>
        <v>0</v>
      </c>
      <c r="X47" s="20">
        <f t="shared" si="9"/>
        <v>0</v>
      </c>
      <c r="Y47" s="20">
        <f t="shared" si="9"/>
        <v>0</v>
      </c>
      <c r="Z47" s="20">
        <f t="shared" si="9"/>
        <v>0</v>
      </c>
      <c r="AA47" s="20">
        <f t="shared" si="9"/>
        <v>0</v>
      </c>
      <c r="AB47" s="20">
        <f t="shared" si="9"/>
        <v>0</v>
      </c>
      <c r="AC47" s="20">
        <f t="shared" si="9"/>
        <v>0</v>
      </c>
      <c r="AD47" s="20">
        <f t="shared" si="9"/>
        <v>0</v>
      </c>
      <c r="AE47" s="20">
        <f t="shared" si="9"/>
        <v>0</v>
      </c>
      <c r="AF47" s="20">
        <f t="shared" si="9"/>
        <v>0</v>
      </c>
      <c r="AG47" s="20">
        <f t="shared" si="9"/>
        <v>0</v>
      </c>
      <c r="AH47" s="20">
        <f t="shared" si="9"/>
        <v>0</v>
      </c>
      <c r="AI47" s="21">
        <f t="shared" si="5"/>
        <v>0</v>
      </c>
    </row>
    <row r="48" spans="1:35" ht="15" customHeight="1">
      <c r="A48" s="2"/>
      <c r="B48" s="2"/>
      <c r="C48" s="531" t="s">
        <v>22</v>
      </c>
      <c r="D48" s="501"/>
      <c r="E48" s="20">
        <f t="shared" si="6"/>
        <v>0</v>
      </c>
      <c r="F48" s="20">
        <f t="shared" si="8"/>
        <v>0</v>
      </c>
      <c r="G48" s="20">
        <f t="shared" si="8"/>
        <v>0</v>
      </c>
      <c r="H48" s="20">
        <f t="shared" ref="H48:AH48" si="10">H10-G10</f>
        <v>0</v>
      </c>
      <c r="I48" s="20">
        <f t="shared" si="10"/>
        <v>0</v>
      </c>
      <c r="J48" s="20">
        <f t="shared" si="10"/>
        <v>0</v>
      </c>
      <c r="K48" s="20">
        <f t="shared" si="10"/>
        <v>0</v>
      </c>
      <c r="L48" s="20">
        <f t="shared" si="10"/>
        <v>0</v>
      </c>
      <c r="M48" s="20">
        <f t="shared" si="10"/>
        <v>0</v>
      </c>
      <c r="N48" s="20">
        <f t="shared" si="10"/>
        <v>0</v>
      </c>
      <c r="O48" s="20">
        <f t="shared" si="10"/>
        <v>0</v>
      </c>
      <c r="P48" s="20">
        <f t="shared" si="10"/>
        <v>0</v>
      </c>
      <c r="Q48" s="20">
        <f t="shared" si="10"/>
        <v>0</v>
      </c>
      <c r="R48" s="20">
        <f t="shared" si="10"/>
        <v>0</v>
      </c>
      <c r="S48" s="20">
        <f t="shared" si="10"/>
        <v>0</v>
      </c>
      <c r="T48" s="20">
        <f t="shared" si="10"/>
        <v>0</v>
      </c>
      <c r="U48" s="20">
        <f t="shared" si="10"/>
        <v>0</v>
      </c>
      <c r="V48" s="20">
        <f t="shared" si="10"/>
        <v>0</v>
      </c>
      <c r="W48" s="20">
        <f t="shared" si="10"/>
        <v>0</v>
      </c>
      <c r="X48" s="20">
        <f t="shared" si="10"/>
        <v>0</v>
      </c>
      <c r="Y48" s="20">
        <f t="shared" si="10"/>
        <v>0</v>
      </c>
      <c r="Z48" s="20">
        <f t="shared" si="10"/>
        <v>0</v>
      </c>
      <c r="AA48" s="20">
        <f t="shared" si="10"/>
        <v>0</v>
      </c>
      <c r="AB48" s="20">
        <f t="shared" si="10"/>
        <v>0</v>
      </c>
      <c r="AC48" s="20">
        <f t="shared" si="10"/>
        <v>0</v>
      </c>
      <c r="AD48" s="20">
        <f t="shared" si="10"/>
        <v>0</v>
      </c>
      <c r="AE48" s="20">
        <f t="shared" si="10"/>
        <v>0</v>
      </c>
      <c r="AF48" s="20">
        <f t="shared" si="10"/>
        <v>0</v>
      </c>
      <c r="AG48" s="20">
        <f t="shared" si="10"/>
        <v>0</v>
      </c>
      <c r="AH48" s="20">
        <f t="shared" si="10"/>
        <v>0</v>
      </c>
      <c r="AI48" s="21">
        <f t="shared" si="5"/>
        <v>0</v>
      </c>
    </row>
    <row r="49" spans="1:37" ht="15" customHeight="1">
      <c r="A49" s="2">
        <v>3</v>
      </c>
      <c r="B49" s="2" t="s">
        <v>129</v>
      </c>
      <c r="C49" s="503" t="s">
        <v>113</v>
      </c>
      <c r="D49" s="501"/>
      <c r="E49" s="20">
        <f t="shared" si="6"/>
        <v>399</v>
      </c>
      <c r="F49" s="20">
        <f t="shared" si="8"/>
        <v>298</v>
      </c>
      <c r="G49" s="20">
        <f t="shared" si="8"/>
        <v>303</v>
      </c>
      <c r="H49" s="20">
        <f t="shared" ref="H49:AH49" si="11">H11-G11</f>
        <v>359</v>
      </c>
      <c r="I49" s="20">
        <f t="shared" si="11"/>
        <v>316</v>
      </c>
      <c r="J49" s="20">
        <f t="shared" si="11"/>
        <v>390</v>
      </c>
      <c r="K49" s="20">
        <f t="shared" si="11"/>
        <v>372</v>
      </c>
      <c r="L49" s="20">
        <f t="shared" si="11"/>
        <v>363</v>
      </c>
      <c r="M49" s="20">
        <f t="shared" si="11"/>
        <v>290</v>
      </c>
      <c r="N49" s="20">
        <f t="shared" si="11"/>
        <v>280</v>
      </c>
      <c r="O49" s="20">
        <f t="shared" si="11"/>
        <v>345</v>
      </c>
      <c r="P49" s="20">
        <f t="shared" si="11"/>
        <v>357</v>
      </c>
      <c r="Q49" s="20">
        <f t="shared" si="11"/>
        <v>429</v>
      </c>
      <c r="R49" s="20">
        <f t="shared" si="11"/>
        <v>337</v>
      </c>
      <c r="S49" s="20">
        <f t="shared" si="11"/>
        <v>366</v>
      </c>
      <c r="T49" s="20">
        <f t="shared" si="11"/>
        <v>226</v>
      </c>
      <c r="U49" s="20">
        <f t="shared" si="11"/>
        <v>275</v>
      </c>
      <c r="V49" s="20">
        <f t="shared" si="11"/>
        <v>376</v>
      </c>
      <c r="W49" s="20">
        <f t="shared" si="11"/>
        <v>404</v>
      </c>
      <c r="X49" s="20">
        <f t="shared" si="11"/>
        <v>359</v>
      </c>
      <c r="Y49" s="20">
        <f t="shared" si="11"/>
        <v>369</v>
      </c>
      <c r="Z49" s="20">
        <f t="shared" si="11"/>
        <v>346</v>
      </c>
      <c r="AA49" s="20">
        <f t="shared" si="11"/>
        <v>285</v>
      </c>
      <c r="AB49" s="20">
        <f t="shared" si="11"/>
        <v>291</v>
      </c>
      <c r="AC49" s="20">
        <f t="shared" si="11"/>
        <v>357</v>
      </c>
      <c r="AD49" s="20">
        <f t="shared" si="11"/>
        <v>373</v>
      </c>
      <c r="AE49" s="20">
        <f t="shared" si="11"/>
        <v>400</v>
      </c>
      <c r="AF49" s="20">
        <f t="shared" si="11"/>
        <v>377</v>
      </c>
      <c r="AG49" s="20">
        <f t="shared" si="11"/>
        <v>349</v>
      </c>
      <c r="AH49" s="20">
        <f t="shared" si="11"/>
        <v>156</v>
      </c>
      <c r="AI49" s="21">
        <f t="shared" si="5"/>
        <v>10147</v>
      </c>
    </row>
    <row r="50" spans="1:37" ht="15" customHeight="1">
      <c r="A50" s="2"/>
      <c r="B50" s="2"/>
      <c r="C50" s="531" t="s">
        <v>22</v>
      </c>
      <c r="D50" s="501"/>
      <c r="E50" s="20">
        <f t="shared" si="6"/>
        <v>0</v>
      </c>
      <c r="F50" s="20">
        <f t="shared" si="8"/>
        <v>0</v>
      </c>
      <c r="G50" s="20">
        <f t="shared" si="8"/>
        <v>0</v>
      </c>
      <c r="H50" s="20">
        <f t="shared" ref="H50:AH50" si="12">H12-G12</f>
        <v>0</v>
      </c>
      <c r="I50" s="20">
        <f t="shared" si="12"/>
        <v>5</v>
      </c>
      <c r="J50" s="20">
        <f t="shared" si="12"/>
        <v>0</v>
      </c>
      <c r="K50" s="20">
        <f t="shared" si="12"/>
        <v>0</v>
      </c>
      <c r="L50" s="20">
        <f t="shared" si="12"/>
        <v>0</v>
      </c>
      <c r="M50" s="20">
        <f t="shared" si="12"/>
        <v>4</v>
      </c>
      <c r="N50" s="20">
        <f t="shared" si="12"/>
        <v>0</v>
      </c>
      <c r="O50" s="20">
        <f t="shared" si="12"/>
        <v>44</v>
      </c>
      <c r="P50" s="20">
        <f t="shared" si="12"/>
        <v>0</v>
      </c>
      <c r="Q50" s="20">
        <f t="shared" si="12"/>
        <v>0</v>
      </c>
      <c r="R50" s="20">
        <f t="shared" si="12"/>
        <v>24</v>
      </c>
      <c r="S50" s="20">
        <f t="shared" si="12"/>
        <v>0</v>
      </c>
      <c r="T50" s="20">
        <f t="shared" si="12"/>
        <v>52</v>
      </c>
      <c r="U50" s="20">
        <f t="shared" si="12"/>
        <v>0</v>
      </c>
      <c r="V50" s="20">
        <f t="shared" si="12"/>
        <v>0</v>
      </c>
      <c r="W50" s="20">
        <f t="shared" si="12"/>
        <v>0</v>
      </c>
      <c r="X50" s="20">
        <f t="shared" si="12"/>
        <v>0</v>
      </c>
      <c r="Y50" s="20">
        <f t="shared" si="12"/>
        <v>0</v>
      </c>
      <c r="Z50" s="20">
        <f t="shared" si="12"/>
        <v>0</v>
      </c>
      <c r="AA50" s="20">
        <f t="shared" si="12"/>
        <v>0</v>
      </c>
      <c r="AB50" s="20">
        <f t="shared" si="12"/>
        <v>0</v>
      </c>
      <c r="AC50" s="20">
        <f t="shared" si="12"/>
        <v>19</v>
      </c>
      <c r="AD50" s="20">
        <f t="shared" si="12"/>
        <v>0</v>
      </c>
      <c r="AE50" s="20">
        <f t="shared" si="12"/>
        <v>0</v>
      </c>
      <c r="AF50" s="20">
        <f t="shared" si="12"/>
        <v>0</v>
      </c>
      <c r="AG50" s="20">
        <f t="shared" si="12"/>
        <v>0</v>
      </c>
      <c r="AH50" s="20">
        <f t="shared" si="12"/>
        <v>0</v>
      </c>
      <c r="AI50" s="21">
        <f t="shared" si="5"/>
        <v>148</v>
      </c>
    </row>
    <row r="51" spans="1:37" ht="15" customHeight="1">
      <c r="A51" s="2">
        <v>4</v>
      </c>
      <c r="B51" s="2" t="s">
        <v>129</v>
      </c>
      <c r="C51" s="503" t="s">
        <v>114</v>
      </c>
      <c r="D51" s="501"/>
      <c r="E51" s="20">
        <f t="shared" si="6"/>
        <v>0</v>
      </c>
      <c r="F51" s="20">
        <f t="shared" si="8"/>
        <v>0</v>
      </c>
      <c r="G51" s="20">
        <f t="shared" si="8"/>
        <v>0</v>
      </c>
      <c r="H51" s="20">
        <f t="shared" ref="H51:AH51" si="13">H13-G13</f>
        <v>0</v>
      </c>
      <c r="I51" s="20">
        <f t="shared" si="13"/>
        <v>0</v>
      </c>
      <c r="J51" s="20">
        <f t="shared" si="13"/>
        <v>0</v>
      </c>
      <c r="K51" s="20">
        <f t="shared" si="13"/>
        <v>0</v>
      </c>
      <c r="L51" s="20">
        <f t="shared" si="13"/>
        <v>0</v>
      </c>
      <c r="M51" s="20">
        <f t="shared" si="13"/>
        <v>0</v>
      </c>
      <c r="N51" s="20">
        <f t="shared" si="13"/>
        <v>0</v>
      </c>
      <c r="O51" s="20">
        <f t="shared" si="13"/>
        <v>0</v>
      </c>
      <c r="P51" s="20">
        <f t="shared" si="13"/>
        <v>0</v>
      </c>
      <c r="Q51" s="20">
        <f t="shared" si="13"/>
        <v>0</v>
      </c>
      <c r="R51" s="20">
        <f t="shared" si="13"/>
        <v>0</v>
      </c>
      <c r="S51" s="20">
        <f t="shared" si="13"/>
        <v>0</v>
      </c>
      <c r="T51" s="20">
        <f t="shared" si="13"/>
        <v>0</v>
      </c>
      <c r="U51" s="20">
        <f t="shared" si="13"/>
        <v>0</v>
      </c>
      <c r="V51" s="20">
        <f t="shared" si="13"/>
        <v>0</v>
      </c>
      <c r="W51" s="20">
        <f t="shared" si="13"/>
        <v>0</v>
      </c>
      <c r="X51" s="20">
        <f t="shared" si="13"/>
        <v>0</v>
      </c>
      <c r="Y51" s="20">
        <f t="shared" si="13"/>
        <v>0</v>
      </c>
      <c r="Z51" s="20">
        <f t="shared" si="13"/>
        <v>0</v>
      </c>
      <c r="AA51" s="20">
        <f t="shared" si="13"/>
        <v>0</v>
      </c>
      <c r="AB51" s="20">
        <f t="shared" si="13"/>
        <v>0</v>
      </c>
      <c r="AC51" s="20">
        <f t="shared" si="13"/>
        <v>0</v>
      </c>
      <c r="AD51" s="20">
        <f t="shared" si="13"/>
        <v>0</v>
      </c>
      <c r="AE51" s="20">
        <f t="shared" si="13"/>
        <v>0</v>
      </c>
      <c r="AF51" s="20">
        <f t="shared" si="13"/>
        <v>0</v>
      </c>
      <c r="AG51" s="20">
        <f t="shared" si="13"/>
        <v>0</v>
      </c>
      <c r="AH51" s="20">
        <f t="shared" si="13"/>
        <v>0</v>
      </c>
      <c r="AI51" s="21">
        <f t="shared" si="5"/>
        <v>0</v>
      </c>
    </row>
    <row r="52" spans="1:37" ht="15" customHeight="1">
      <c r="A52" s="2"/>
      <c r="B52" s="2"/>
      <c r="C52" s="531" t="s">
        <v>22</v>
      </c>
      <c r="D52" s="501"/>
      <c r="E52" s="20">
        <f t="shared" si="6"/>
        <v>0</v>
      </c>
      <c r="F52" s="20">
        <f t="shared" si="8"/>
        <v>0</v>
      </c>
      <c r="G52" s="20">
        <f t="shared" si="8"/>
        <v>0</v>
      </c>
      <c r="H52" s="20">
        <f t="shared" ref="H52:AH52" si="14">H14-G14</f>
        <v>0</v>
      </c>
      <c r="I52" s="20">
        <f t="shared" si="14"/>
        <v>0</v>
      </c>
      <c r="J52" s="20">
        <f t="shared" si="14"/>
        <v>0</v>
      </c>
      <c r="K52" s="20">
        <f t="shared" si="14"/>
        <v>0</v>
      </c>
      <c r="L52" s="20">
        <f t="shared" si="14"/>
        <v>0</v>
      </c>
      <c r="M52" s="20">
        <f t="shared" si="14"/>
        <v>0</v>
      </c>
      <c r="N52" s="20">
        <f t="shared" si="14"/>
        <v>0</v>
      </c>
      <c r="O52" s="20">
        <f t="shared" si="14"/>
        <v>0</v>
      </c>
      <c r="P52" s="20">
        <f t="shared" si="14"/>
        <v>0</v>
      </c>
      <c r="Q52" s="20">
        <f t="shared" si="14"/>
        <v>0</v>
      </c>
      <c r="R52" s="20">
        <f t="shared" si="14"/>
        <v>0</v>
      </c>
      <c r="S52" s="20">
        <f t="shared" si="14"/>
        <v>0</v>
      </c>
      <c r="T52" s="20">
        <f t="shared" si="14"/>
        <v>0</v>
      </c>
      <c r="U52" s="20">
        <f t="shared" si="14"/>
        <v>0</v>
      </c>
      <c r="V52" s="20">
        <f t="shared" si="14"/>
        <v>0</v>
      </c>
      <c r="W52" s="20">
        <f t="shared" si="14"/>
        <v>0</v>
      </c>
      <c r="X52" s="20">
        <f t="shared" si="14"/>
        <v>0</v>
      </c>
      <c r="Y52" s="20">
        <f t="shared" si="14"/>
        <v>0</v>
      </c>
      <c r="Z52" s="20">
        <f t="shared" si="14"/>
        <v>0</v>
      </c>
      <c r="AA52" s="20">
        <f t="shared" si="14"/>
        <v>0</v>
      </c>
      <c r="AB52" s="20">
        <f t="shared" si="14"/>
        <v>0</v>
      </c>
      <c r="AC52" s="20">
        <f t="shared" si="14"/>
        <v>0</v>
      </c>
      <c r="AD52" s="20">
        <f t="shared" si="14"/>
        <v>0</v>
      </c>
      <c r="AE52" s="20">
        <f t="shared" si="14"/>
        <v>0</v>
      </c>
      <c r="AF52" s="20">
        <f t="shared" si="14"/>
        <v>0</v>
      </c>
      <c r="AG52" s="20">
        <f t="shared" si="14"/>
        <v>0</v>
      </c>
      <c r="AH52" s="20">
        <f t="shared" si="14"/>
        <v>0</v>
      </c>
      <c r="AI52" s="21">
        <f t="shared" si="5"/>
        <v>0</v>
      </c>
    </row>
    <row r="53" spans="1:37" ht="15" customHeight="1">
      <c r="A53" s="2">
        <v>5</v>
      </c>
      <c r="B53" s="2" t="s">
        <v>129</v>
      </c>
      <c r="C53" s="503" t="s">
        <v>115</v>
      </c>
      <c r="D53" s="501"/>
      <c r="E53" s="20">
        <f t="shared" si="6"/>
        <v>159</v>
      </c>
      <c r="F53" s="20">
        <f t="shared" si="8"/>
        <v>39</v>
      </c>
      <c r="G53" s="20">
        <f t="shared" si="8"/>
        <v>205</v>
      </c>
      <c r="H53" s="20">
        <f t="shared" ref="H53:AH53" si="15">H15-G15</f>
        <v>196</v>
      </c>
      <c r="I53" s="20">
        <f t="shared" si="15"/>
        <v>174</v>
      </c>
      <c r="J53" s="20">
        <f t="shared" si="15"/>
        <v>220</v>
      </c>
      <c r="K53" s="20">
        <f t="shared" si="15"/>
        <v>194</v>
      </c>
      <c r="L53" s="20">
        <f t="shared" si="15"/>
        <v>188</v>
      </c>
      <c r="M53" s="20">
        <f t="shared" si="15"/>
        <v>101</v>
      </c>
      <c r="N53" s="20">
        <f t="shared" si="15"/>
        <v>127</v>
      </c>
      <c r="O53" s="20">
        <f t="shared" si="15"/>
        <v>186</v>
      </c>
      <c r="P53" s="20">
        <f t="shared" si="15"/>
        <v>207</v>
      </c>
      <c r="Q53" s="20">
        <f t="shared" si="15"/>
        <v>200</v>
      </c>
      <c r="R53" s="20">
        <f t="shared" si="15"/>
        <v>174</v>
      </c>
      <c r="S53" s="20">
        <f t="shared" si="15"/>
        <v>183</v>
      </c>
      <c r="T53" s="20">
        <f t="shared" si="15"/>
        <v>98</v>
      </c>
      <c r="U53" s="20">
        <f t="shared" si="15"/>
        <v>105</v>
      </c>
      <c r="V53" s="20">
        <f t="shared" si="15"/>
        <v>211</v>
      </c>
      <c r="W53" s="20">
        <f t="shared" si="15"/>
        <v>219</v>
      </c>
      <c r="X53" s="20">
        <f t="shared" si="15"/>
        <v>200</v>
      </c>
      <c r="Y53" s="20">
        <f t="shared" si="15"/>
        <v>213</v>
      </c>
      <c r="Z53" s="20">
        <f t="shared" si="15"/>
        <v>201</v>
      </c>
      <c r="AA53" s="20">
        <f t="shared" si="15"/>
        <v>123</v>
      </c>
      <c r="AB53" s="20">
        <f t="shared" si="15"/>
        <v>115</v>
      </c>
      <c r="AC53" s="20">
        <f t="shared" si="15"/>
        <v>202</v>
      </c>
      <c r="AD53" s="20">
        <f t="shared" si="15"/>
        <v>219</v>
      </c>
      <c r="AE53" s="20">
        <f t="shared" si="15"/>
        <v>230</v>
      </c>
      <c r="AF53" s="20">
        <f t="shared" si="15"/>
        <v>224</v>
      </c>
      <c r="AG53" s="20">
        <f t="shared" si="15"/>
        <v>204</v>
      </c>
      <c r="AH53" s="20">
        <f t="shared" si="15"/>
        <v>65</v>
      </c>
      <c r="AI53" s="21">
        <f t="shared" si="5"/>
        <v>5182</v>
      </c>
    </row>
    <row r="54" spans="1:37" ht="15" customHeight="1">
      <c r="A54" s="2"/>
      <c r="B54" s="2"/>
      <c r="C54" s="531" t="s">
        <v>22</v>
      </c>
      <c r="D54" s="501"/>
      <c r="E54" s="20">
        <f t="shared" si="6"/>
        <v>0</v>
      </c>
      <c r="F54" s="20">
        <f t="shared" si="8"/>
        <v>0</v>
      </c>
      <c r="G54" s="20">
        <f t="shared" si="8"/>
        <v>0</v>
      </c>
      <c r="H54" s="20">
        <f t="shared" ref="H54:AH54" si="16">H16-G16</f>
        <v>0</v>
      </c>
      <c r="I54" s="20">
        <f t="shared" si="16"/>
        <v>3</v>
      </c>
      <c r="J54" s="20">
        <f t="shared" si="16"/>
        <v>0</v>
      </c>
      <c r="K54" s="20">
        <f t="shared" si="16"/>
        <v>0</v>
      </c>
      <c r="L54" s="20">
        <f t="shared" si="16"/>
        <v>0</v>
      </c>
      <c r="M54" s="20">
        <f t="shared" si="16"/>
        <v>2</v>
      </c>
      <c r="N54" s="20">
        <f t="shared" si="16"/>
        <v>0</v>
      </c>
      <c r="O54" s="20">
        <f t="shared" si="16"/>
        <v>17</v>
      </c>
      <c r="P54" s="20">
        <f t="shared" si="16"/>
        <v>0</v>
      </c>
      <c r="Q54" s="20">
        <f t="shared" si="16"/>
        <v>0</v>
      </c>
      <c r="R54" s="20">
        <f t="shared" si="16"/>
        <v>11</v>
      </c>
      <c r="S54" s="20">
        <f t="shared" si="16"/>
        <v>0</v>
      </c>
      <c r="T54" s="20">
        <f t="shared" si="16"/>
        <v>19</v>
      </c>
      <c r="U54" s="20">
        <f t="shared" si="16"/>
        <v>0</v>
      </c>
      <c r="V54" s="20">
        <f t="shared" si="16"/>
        <v>0</v>
      </c>
      <c r="W54" s="20">
        <f t="shared" si="16"/>
        <v>0</v>
      </c>
      <c r="X54" s="20">
        <f t="shared" si="16"/>
        <v>0</v>
      </c>
      <c r="Y54" s="20">
        <f t="shared" si="16"/>
        <v>0</v>
      </c>
      <c r="Z54" s="20">
        <f t="shared" si="16"/>
        <v>0</v>
      </c>
      <c r="AA54" s="20">
        <f t="shared" si="16"/>
        <v>0</v>
      </c>
      <c r="AB54" s="20">
        <f t="shared" si="16"/>
        <v>0</v>
      </c>
      <c r="AC54" s="20">
        <f t="shared" si="16"/>
        <v>8</v>
      </c>
      <c r="AD54" s="20">
        <f t="shared" si="16"/>
        <v>0</v>
      </c>
      <c r="AE54" s="20">
        <f t="shared" si="16"/>
        <v>0</v>
      </c>
      <c r="AF54" s="20">
        <f t="shared" si="16"/>
        <v>0</v>
      </c>
      <c r="AG54" s="20">
        <f t="shared" si="16"/>
        <v>0</v>
      </c>
      <c r="AH54" s="20">
        <f t="shared" si="16"/>
        <v>0</v>
      </c>
      <c r="AI54" s="105">
        <f t="shared" si="5"/>
        <v>60</v>
      </c>
      <c r="AJ54" s="115" t="s">
        <v>20</v>
      </c>
      <c r="AK54" s="116">
        <f>SUM(AI7,AI9,AI11,AI13,AI15,AI17,AI19,AI21)</f>
        <v>48494</v>
      </c>
    </row>
    <row r="55" spans="1:37" ht="15" customHeight="1">
      <c r="A55" s="2">
        <v>6</v>
      </c>
      <c r="B55" s="2" t="s">
        <v>129</v>
      </c>
      <c r="C55" s="503" t="s">
        <v>116</v>
      </c>
      <c r="D55" s="501"/>
      <c r="E55" s="20">
        <f t="shared" si="6"/>
        <v>175</v>
      </c>
      <c r="F55" s="20">
        <f t="shared" si="8"/>
        <v>131</v>
      </c>
      <c r="G55" s="20">
        <f t="shared" si="8"/>
        <v>126</v>
      </c>
      <c r="H55" s="20">
        <f t="shared" ref="H55:AH55" si="17">H17-G17</f>
        <v>236</v>
      </c>
      <c r="I55" s="20">
        <f t="shared" si="17"/>
        <v>234</v>
      </c>
      <c r="J55" s="20">
        <f t="shared" si="17"/>
        <v>211</v>
      </c>
      <c r="K55" s="20">
        <f t="shared" si="17"/>
        <v>265</v>
      </c>
      <c r="L55" s="20">
        <f t="shared" si="17"/>
        <v>224</v>
      </c>
      <c r="M55" s="20">
        <f t="shared" si="17"/>
        <v>143</v>
      </c>
      <c r="N55" s="20">
        <f t="shared" si="17"/>
        <v>100</v>
      </c>
      <c r="O55" s="20">
        <f t="shared" si="17"/>
        <v>239</v>
      </c>
      <c r="P55" s="20">
        <f t="shared" si="17"/>
        <v>242</v>
      </c>
      <c r="Q55" s="20">
        <f t="shared" si="17"/>
        <v>234</v>
      </c>
      <c r="R55" s="20">
        <f t="shared" si="17"/>
        <v>208</v>
      </c>
      <c r="S55" s="20">
        <f t="shared" si="17"/>
        <v>196</v>
      </c>
      <c r="T55" s="20">
        <f t="shared" si="17"/>
        <v>86</v>
      </c>
      <c r="U55" s="20">
        <f t="shared" si="17"/>
        <v>88</v>
      </c>
      <c r="V55" s="20">
        <f t="shared" si="17"/>
        <v>216</v>
      </c>
      <c r="W55" s="20">
        <f t="shared" si="17"/>
        <v>209</v>
      </c>
      <c r="X55" s="20">
        <f t="shared" si="17"/>
        <v>235</v>
      </c>
      <c r="Y55" s="20">
        <f t="shared" si="17"/>
        <v>207</v>
      </c>
      <c r="Z55" s="20">
        <f t="shared" si="17"/>
        <v>223</v>
      </c>
      <c r="AA55" s="20">
        <f t="shared" si="17"/>
        <v>95</v>
      </c>
      <c r="AB55" s="20">
        <f t="shared" si="17"/>
        <v>22</v>
      </c>
      <c r="AC55" s="20">
        <f t="shared" si="17"/>
        <v>303</v>
      </c>
      <c r="AD55" s="20">
        <f t="shared" si="17"/>
        <v>228</v>
      </c>
      <c r="AE55" s="20">
        <f t="shared" si="17"/>
        <v>251</v>
      </c>
      <c r="AF55" s="20">
        <f t="shared" si="17"/>
        <v>224</v>
      </c>
      <c r="AG55" s="20">
        <f t="shared" si="17"/>
        <v>223</v>
      </c>
      <c r="AH55" s="20">
        <f t="shared" si="17"/>
        <v>68</v>
      </c>
      <c r="AI55" s="105">
        <f t="shared" si="5"/>
        <v>5642</v>
      </c>
      <c r="AJ55" s="115" t="s">
        <v>21</v>
      </c>
      <c r="AK55" s="116">
        <f>SUM(AI24,AI26,AI28,AI30)</f>
        <v>7624</v>
      </c>
    </row>
    <row r="56" spans="1:37" ht="15" customHeight="1">
      <c r="A56" s="2"/>
      <c r="B56" s="2"/>
      <c r="C56" s="531" t="s">
        <v>22</v>
      </c>
      <c r="D56" s="501"/>
      <c r="E56" s="20">
        <f t="shared" si="6"/>
        <v>0</v>
      </c>
      <c r="F56" s="20">
        <f t="shared" si="8"/>
        <v>0</v>
      </c>
      <c r="G56" s="20">
        <f t="shared" si="8"/>
        <v>0</v>
      </c>
      <c r="H56" s="20">
        <f t="shared" ref="H56:AH56" si="18">H18-G18</f>
        <v>0</v>
      </c>
      <c r="I56" s="20">
        <f t="shared" si="18"/>
        <v>3</v>
      </c>
      <c r="J56" s="20">
        <f t="shared" si="18"/>
        <v>0</v>
      </c>
      <c r="K56" s="20">
        <f t="shared" si="18"/>
        <v>0</v>
      </c>
      <c r="L56" s="20">
        <f t="shared" si="18"/>
        <v>0</v>
      </c>
      <c r="M56" s="20">
        <f t="shared" si="18"/>
        <v>5</v>
      </c>
      <c r="N56" s="20">
        <f t="shared" si="18"/>
        <v>0</v>
      </c>
      <c r="O56" s="20">
        <f t="shared" si="18"/>
        <v>17</v>
      </c>
      <c r="P56" s="20">
        <f t="shared" si="18"/>
        <v>0</v>
      </c>
      <c r="Q56" s="20">
        <f t="shared" si="18"/>
        <v>0</v>
      </c>
      <c r="R56" s="20">
        <f t="shared" si="18"/>
        <v>9</v>
      </c>
      <c r="S56" s="20">
        <f t="shared" si="18"/>
        <v>0</v>
      </c>
      <c r="T56" s="20">
        <f t="shared" si="18"/>
        <v>19</v>
      </c>
      <c r="U56" s="20">
        <f t="shared" si="18"/>
        <v>0</v>
      </c>
      <c r="V56" s="20">
        <f t="shared" si="18"/>
        <v>0</v>
      </c>
      <c r="W56" s="20">
        <f t="shared" si="18"/>
        <v>0</v>
      </c>
      <c r="X56" s="20">
        <f t="shared" si="18"/>
        <v>0</v>
      </c>
      <c r="Y56" s="20">
        <f t="shared" si="18"/>
        <v>0</v>
      </c>
      <c r="Z56" s="20">
        <f t="shared" si="18"/>
        <v>0</v>
      </c>
      <c r="AA56" s="20">
        <f t="shared" si="18"/>
        <v>0</v>
      </c>
      <c r="AB56" s="20">
        <f t="shared" si="18"/>
        <v>0</v>
      </c>
      <c r="AC56" s="20">
        <f t="shared" si="18"/>
        <v>9</v>
      </c>
      <c r="AD56" s="20">
        <f t="shared" si="18"/>
        <v>0</v>
      </c>
      <c r="AE56" s="20">
        <f t="shared" si="18"/>
        <v>0</v>
      </c>
      <c r="AF56" s="20">
        <f t="shared" si="18"/>
        <v>0</v>
      </c>
      <c r="AG56" s="20">
        <f t="shared" si="18"/>
        <v>0</v>
      </c>
      <c r="AH56" s="20">
        <f t="shared" si="18"/>
        <v>0</v>
      </c>
      <c r="AI56" s="105">
        <f t="shared" si="5"/>
        <v>62</v>
      </c>
      <c r="AJ56" s="115" t="s">
        <v>23</v>
      </c>
      <c r="AK56" s="116">
        <f>AI80*40%</f>
        <v>20359.2</v>
      </c>
    </row>
    <row r="57" spans="1:37" ht="15" customHeight="1">
      <c r="A57" s="2">
        <v>7</v>
      </c>
      <c r="B57" s="2" t="s">
        <v>129</v>
      </c>
      <c r="C57" s="503" t="s">
        <v>117</v>
      </c>
      <c r="D57" s="501"/>
      <c r="E57" s="20">
        <f t="shared" si="6"/>
        <v>187</v>
      </c>
      <c r="F57" s="20">
        <f t="shared" si="8"/>
        <v>388</v>
      </c>
      <c r="G57" s="20">
        <f t="shared" si="8"/>
        <v>395</v>
      </c>
      <c r="H57" s="20">
        <f t="shared" ref="H57:AH57" si="19">H19-G19</f>
        <v>603</v>
      </c>
      <c r="I57" s="20">
        <f t="shared" si="19"/>
        <v>521</v>
      </c>
      <c r="J57" s="20">
        <f t="shared" si="19"/>
        <v>780</v>
      </c>
      <c r="K57" s="20">
        <f t="shared" si="19"/>
        <v>595</v>
      </c>
      <c r="L57" s="20">
        <f t="shared" si="19"/>
        <v>699</v>
      </c>
      <c r="M57" s="20">
        <f t="shared" si="19"/>
        <v>492</v>
      </c>
      <c r="N57" s="20">
        <f t="shared" si="19"/>
        <v>351</v>
      </c>
      <c r="O57" s="20">
        <f t="shared" si="19"/>
        <v>634</v>
      </c>
      <c r="P57" s="20">
        <f t="shared" si="19"/>
        <v>699</v>
      </c>
      <c r="Q57" s="20">
        <f t="shared" si="19"/>
        <v>711</v>
      </c>
      <c r="R57" s="20">
        <f t="shared" si="19"/>
        <v>649</v>
      </c>
      <c r="S57" s="20">
        <f t="shared" si="19"/>
        <v>703</v>
      </c>
      <c r="T57" s="20">
        <f t="shared" si="19"/>
        <v>505</v>
      </c>
      <c r="U57" s="20">
        <f t="shared" si="19"/>
        <v>476</v>
      </c>
      <c r="V57" s="20">
        <f t="shared" si="19"/>
        <v>643</v>
      </c>
      <c r="W57" s="20">
        <f t="shared" si="19"/>
        <v>715</v>
      </c>
      <c r="X57" s="20">
        <f t="shared" si="19"/>
        <v>706</v>
      </c>
      <c r="Y57" s="20">
        <f t="shared" si="19"/>
        <v>663</v>
      </c>
      <c r="Z57" s="20">
        <f t="shared" si="19"/>
        <v>655</v>
      </c>
      <c r="AA57" s="20">
        <f t="shared" si="19"/>
        <v>561</v>
      </c>
      <c r="AB57" s="20">
        <f t="shared" si="19"/>
        <v>368</v>
      </c>
      <c r="AC57" s="20">
        <f t="shared" si="19"/>
        <v>671</v>
      </c>
      <c r="AD57" s="20">
        <f t="shared" si="19"/>
        <v>680</v>
      </c>
      <c r="AE57" s="20">
        <f t="shared" si="19"/>
        <v>705</v>
      </c>
      <c r="AF57" s="20">
        <f t="shared" si="19"/>
        <v>660</v>
      </c>
      <c r="AG57" s="20">
        <f t="shared" si="19"/>
        <v>618</v>
      </c>
      <c r="AH57" s="20">
        <f t="shared" si="19"/>
        <v>242</v>
      </c>
      <c r="AI57" s="105">
        <f t="shared" si="5"/>
        <v>17275</v>
      </c>
      <c r="AJ57" s="117" t="s">
        <v>22</v>
      </c>
      <c r="AK57" s="118">
        <f>SUM(AI8,AI10,AI12,AI14,AI16,AI18,AI20,AI22,AI25,AI27,AI29,AI31)</f>
        <v>596</v>
      </c>
    </row>
    <row r="58" spans="1:37" ht="15" customHeight="1">
      <c r="A58" s="2"/>
      <c r="B58" s="2"/>
      <c r="C58" s="531" t="s">
        <v>22</v>
      </c>
      <c r="D58" s="501"/>
      <c r="E58" s="20">
        <f t="shared" si="6"/>
        <v>0</v>
      </c>
      <c r="F58" s="20">
        <f t="shared" si="8"/>
        <v>0</v>
      </c>
      <c r="G58" s="20">
        <f t="shared" si="8"/>
        <v>0</v>
      </c>
      <c r="H58" s="20">
        <f t="shared" ref="H58:AH58" si="20">H20-G20</f>
        <v>0</v>
      </c>
      <c r="I58" s="20">
        <f t="shared" si="20"/>
        <v>8</v>
      </c>
      <c r="J58" s="20">
        <f t="shared" si="20"/>
        <v>0</v>
      </c>
      <c r="K58" s="20">
        <f t="shared" si="20"/>
        <v>0</v>
      </c>
      <c r="L58" s="20">
        <f t="shared" si="20"/>
        <v>0</v>
      </c>
      <c r="M58" s="20">
        <f t="shared" si="20"/>
        <v>7</v>
      </c>
      <c r="N58" s="20">
        <f t="shared" si="20"/>
        <v>0</v>
      </c>
      <c r="O58" s="20">
        <f t="shared" si="20"/>
        <v>43</v>
      </c>
      <c r="P58" s="20">
        <f t="shared" si="20"/>
        <v>0</v>
      </c>
      <c r="Q58" s="20">
        <f t="shared" si="20"/>
        <v>0</v>
      </c>
      <c r="R58" s="20">
        <f t="shared" si="20"/>
        <v>30</v>
      </c>
      <c r="S58" s="20">
        <f t="shared" si="20"/>
        <v>0</v>
      </c>
      <c r="T58" s="20">
        <f t="shared" si="20"/>
        <v>54</v>
      </c>
      <c r="U58" s="20">
        <f t="shared" si="20"/>
        <v>0</v>
      </c>
      <c r="V58" s="20">
        <f t="shared" si="20"/>
        <v>0</v>
      </c>
      <c r="W58" s="20">
        <f t="shared" si="20"/>
        <v>0</v>
      </c>
      <c r="X58" s="20">
        <f t="shared" si="20"/>
        <v>0</v>
      </c>
      <c r="Y58" s="20">
        <f t="shared" si="20"/>
        <v>0</v>
      </c>
      <c r="Z58" s="20">
        <f t="shared" si="20"/>
        <v>0</v>
      </c>
      <c r="AA58" s="20">
        <f t="shared" si="20"/>
        <v>0</v>
      </c>
      <c r="AB58" s="20">
        <f t="shared" si="20"/>
        <v>0</v>
      </c>
      <c r="AC58" s="20">
        <f t="shared" si="20"/>
        <v>11</v>
      </c>
      <c r="AD58" s="20">
        <f t="shared" si="20"/>
        <v>0</v>
      </c>
      <c r="AE58" s="20">
        <f t="shared" si="20"/>
        <v>0</v>
      </c>
      <c r="AF58" s="20">
        <f t="shared" si="20"/>
        <v>0</v>
      </c>
      <c r="AG58" s="20">
        <f t="shared" si="20"/>
        <v>0</v>
      </c>
      <c r="AH58" s="20">
        <f t="shared" si="20"/>
        <v>0</v>
      </c>
      <c r="AI58" s="21">
        <f t="shared" si="5"/>
        <v>153</v>
      </c>
    </row>
    <row r="59" spans="1:37" ht="15" customHeight="1">
      <c r="A59" s="2">
        <v>8</v>
      </c>
      <c r="B59" s="2" t="s">
        <v>129</v>
      </c>
      <c r="C59" s="503" t="s">
        <v>118</v>
      </c>
      <c r="D59" s="501"/>
      <c r="E59" s="20">
        <f t="shared" si="6"/>
        <v>93</v>
      </c>
      <c r="F59" s="20">
        <f t="shared" si="8"/>
        <v>72</v>
      </c>
      <c r="G59" s="20">
        <f t="shared" si="8"/>
        <v>79</v>
      </c>
      <c r="H59" s="20">
        <f t="shared" ref="H59:AH59" si="21">H21-G21</f>
        <v>92</v>
      </c>
      <c r="I59" s="20">
        <f t="shared" si="21"/>
        <v>72</v>
      </c>
      <c r="J59" s="20">
        <f t="shared" si="21"/>
        <v>91</v>
      </c>
      <c r="K59" s="20">
        <f t="shared" si="21"/>
        <v>87</v>
      </c>
      <c r="L59" s="20">
        <f t="shared" si="21"/>
        <v>79</v>
      </c>
      <c r="M59" s="20">
        <f t="shared" si="21"/>
        <v>15</v>
      </c>
      <c r="N59" s="20">
        <f t="shared" si="21"/>
        <v>126</v>
      </c>
      <c r="O59" s="20">
        <f t="shared" si="21"/>
        <v>66</v>
      </c>
      <c r="P59" s="20">
        <f t="shared" si="21"/>
        <v>78</v>
      </c>
      <c r="Q59" s="20">
        <f t="shared" si="21"/>
        <v>78</v>
      </c>
      <c r="R59" s="20">
        <f t="shared" si="21"/>
        <v>116</v>
      </c>
      <c r="S59" s="20">
        <f t="shared" si="21"/>
        <v>162</v>
      </c>
      <c r="T59" s="20">
        <f t="shared" si="21"/>
        <v>106</v>
      </c>
      <c r="U59" s="20">
        <f t="shared" si="21"/>
        <v>147</v>
      </c>
      <c r="V59" s="20">
        <f t="shared" si="21"/>
        <v>125</v>
      </c>
      <c r="W59" s="20">
        <f t="shared" si="21"/>
        <v>143</v>
      </c>
      <c r="X59" s="20">
        <f t="shared" si="21"/>
        <v>76</v>
      </c>
      <c r="Y59" s="20">
        <f t="shared" si="21"/>
        <v>98</v>
      </c>
      <c r="Z59" s="20">
        <f t="shared" si="21"/>
        <v>86</v>
      </c>
      <c r="AA59" s="20">
        <f t="shared" si="21"/>
        <v>111</v>
      </c>
      <c r="AB59" s="20">
        <f t="shared" si="21"/>
        <v>183</v>
      </c>
      <c r="AC59" s="20">
        <f t="shared" si="21"/>
        <v>133</v>
      </c>
      <c r="AD59" s="20">
        <f t="shared" si="21"/>
        <v>166</v>
      </c>
      <c r="AE59" s="20">
        <f t="shared" si="21"/>
        <v>112</v>
      </c>
      <c r="AF59" s="20">
        <f t="shared" si="21"/>
        <v>101</v>
      </c>
      <c r="AG59" s="20">
        <f t="shared" si="21"/>
        <v>48</v>
      </c>
      <c r="AH59" s="20">
        <f t="shared" si="21"/>
        <v>40</v>
      </c>
      <c r="AI59" s="21">
        <f t="shared" si="5"/>
        <v>2981</v>
      </c>
    </row>
    <row r="60" spans="1:37" ht="15" customHeight="1">
      <c r="A60" s="2"/>
      <c r="B60" s="2"/>
      <c r="C60" s="531" t="s">
        <v>22</v>
      </c>
      <c r="D60" s="501"/>
      <c r="E60" s="20">
        <f t="shared" si="6"/>
        <v>0</v>
      </c>
      <c r="F60" s="20">
        <f t="shared" si="8"/>
        <v>0</v>
      </c>
      <c r="G60" s="20">
        <f t="shared" si="8"/>
        <v>0</v>
      </c>
      <c r="H60" s="20">
        <f t="shared" ref="H60:AH60" si="22">H22-G22</f>
        <v>0</v>
      </c>
      <c r="I60" s="20">
        <f t="shared" si="22"/>
        <v>1</v>
      </c>
      <c r="J60" s="20">
        <f t="shared" si="22"/>
        <v>0</v>
      </c>
      <c r="K60" s="20">
        <f t="shared" si="22"/>
        <v>0</v>
      </c>
      <c r="L60" s="20">
        <f t="shared" si="22"/>
        <v>0</v>
      </c>
      <c r="M60" s="20">
        <f t="shared" si="22"/>
        <v>2</v>
      </c>
      <c r="N60" s="20">
        <f t="shared" si="22"/>
        <v>0</v>
      </c>
      <c r="O60" s="20">
        <f t="shared" si="22"/>
        <v>12</v>
      </c>
      <c r="P60" s="20">
        <f t="shared" si="22"/>
        <v>0</v>
      </c>
      <c r="Q60" s="20">
        <f t="shared" si="22"/>
        <v>0</v>
      </c>
      <c r="R60" s="20">
        <f t="shared" si="22"/>
        <v>0</v>
      </c>
      <c r="S60" s="20">
        <f t="shared" si="22"/>
        <v>0</v>
      </c>
      <c r="T60" s="20">
        <f t="shared" si="22"/>
        <v>20</v>
      </c>
      <c r="U60" s="20">
        <f t="shared" si="22"/>
        <v>0</v>
      </c>
      <c r="V60" s="20">
        <f t="shared" si="22"/>
        <v>0</v>
      </c>
      <c r="W60" s="20">
        <f t="shared" si="22"/>
        <v>0</v>
      </c>
      <c r="X60" s="20">
        <f t="shared" si="22"/>
        <v>0</v>
      </c>
      <c r="Y60" s="20">
        <f t="shared" si="22"/>
        <v>0</v>
      </c>
      <c r="Z60" s="20">
        <f t="shared" si="22"/>
        <v>0</v>
      </c>
      <c r="AA60" s="20">
        <f t="shared" si="22"/>
        <v>0</v>
      </c>
      <c r="AB60" s="20">
        <f t="shared" si="22"/>
        <v>0</v>
      </c>
      <c r="AC60" s="20">
        <f t="shared" si="22"/>
        <v>3</v>
      </c>
      <c r="AD60" s="20">
        <f t="shared" si="22"/>
        <v>0</v>
      </c>
      <c r="AE60" s="20">
        <f t="shared" si="22"/>
        <v>0</v>
      </c>
      <c r="AF60" s="20">
        <f t="shared" si="22"/>
        <v>0</v>
      </c>
      <c r="AG60" s="20">
        <f t="shared" si="22"/>
        <v>0</v>
      </c>
      <c r="AH60" s="20">
        <f t="shared" si="22"/>
        <v>0</v>
      </c>
      <c r="AI60" s="21">
        <f t="shared" si="5"/>
        <v>38</v>
      </c>
    </row>
    <row r="61" spans="1:37" ht="15" customHeight="1">
      <c r="A61" s="99"/>
      <c r="B61" s="99"/>
      <c r="C61" s="500" t="s">
        <v>130</v>
      </c>
      <c r="D61" s="501"/>
      <c r="E61" s="23">
        <f t="shared" ref="E61:AH61" si="23">SUM(E59,E57,E55,E53,E51,E49,E47,E45)</f>
        <v>1328</v>
      </c>
      <c r="F61" s="23">
        <f t="shared" si="23"/>
        <v>1139</v>
      </c>
      <c r="G61" s="23">
        <f t="shared" si="23"/>
        <v>1340</v>
      </c>
      <c r="H61" s="23">
        <f t="shared" si="23"/>
        <v>1741</v>
      </c>
      <c r="I61" s="23">
        <f t="shared" si="23"/>
        <v>1551</v>
      </c>
      <c r="J61" s="23">
        <f t="shared" si="23"/>
        <v>1957</v>
      </c>
      <c r="K61" s="23">
        <f t="shared" si="23"/>
        <v>1769</v>
      </c>
      <c r="L61" s="23">
        <f t="shared" si="23"/>
        <v>1809</v>
      </c>
      <c r="M61" s="23">
        <f t="shared" si="23"/>
        <v>1259</v>
      </c>
      <c r="N61" s="23">
        <f t="shared" si="23"/>
        <v>1196</v>
      </c>
      <c r="O61" s="23">
        <f t="shared" si="23"/>
        <v>1708</v>
      </c>
      <c r="P61" s="23">
        <f t="shared" si="23"/>
        <v>1854</v>
      </c>
      <c r="Q61" s="23">
        <f t="shared" si="23"/>
        <v>1921</v>
      </c>
      <c r="R61" s="23">
        <f t="shared" si="23"/>
        <v>1722</v>
      </c>
      <c r="S61" s="23">
        <f t="shared" si="23"/>
        <v>1865</v>
      </c>
      <c r="T61" s="23">
        <f t="shared" si="23"/>
        <v>1193</v>
      </c>
      <c r="U61" s="23">
        <f t="shared" si="23"/>
        <v>1301</v>
      </c>
      <c r="V61" s="23">
        <f t="shared" si="23"/>
        <v>1833</v>
      </c>
      <c r="W61" s="23">
        <f t="shared" si="23"/>
        <v>1972</v>
      </c>
      <c r="X61" s="23">
        <f t="shared" si="23"/>
        <v>1828</v>
      </c>
      <c r="Y61" s="23">
        <f t="shared" si="23"/>
        <v>1804</v>
      </c>
      <c r="Z61" s="23">
        <f t="shared" si="23"/>
        <v>1766</v>
      </c>
      <c r="AA61" s="23">
        <f t="shared" si="23"/>
        <v>1381</v>
      </c>
      <c r="AB61" s="23">
        <f t="shared" si="23"/>
        <v>1203</v>
      </c>
      <c r="AC61" s="23">
        <f t="shared" si="23"/>
        <v>1916</v>
      </c>
      <c r="AD61" s="23">
        <f t="shared" si="23"/>
        <v>1926</v>
      </c>
      <c r="AE61" s="23">
        <f t="shared" si="23"/>
        <v>1977</v>
      </c>
      <c r="AF61" s="23">
        <f t="shared" si="23"/>
        <v>1850</v>
      </c>
      <c r="AG61" s="23">
        <f t="shared" si="23"/>
        <v>1686</v>
      </c>
      <c r="AH61" s="23">
        <f t="shared" si="23"/>
        <v>699</v>
      </c>
      <c r="AI61" s="24">
        <f t="shared" si="5"/>
        <v>48494</v>
      </c>
      <c r="AJ61" s="78"/>
    </row>
    <row r="62" spans="1:37" ht="15" customHeight="1">
      <c r="A62" s="99"/>
      <c r="B62" s="99"/>
      <c r="C62" s="63" t="s">
        <v>131</v>
      </c>
      <c r="D62" s="108"/>
      <c r="E62" s="23">
        <f t="shared" ref="E62:AH62" si="24">SUM(E46,E48,E50,E52,E54,E56,E58,E60)</f>
        <v>0</v>
      </c>
      <c r="F62" s="23">
        <f t="shared" si="24"/>
        <v>59356</v>
      </c>
      <c r="G62" s="23">
        <f t="shared" si="24"/>
        <v>-59356</v>
      </c>
      <c r="H62" s="23">
        <f t="shared" si="24"/>
        <v>0</v>
      </c>
      <c r="I62" s="23">
        <f t="shared" si="24"/>
        <v>24</v>
      </c>
      <c r="J62" s="23">
        <f t="shared" si="24"/>
        <v>0</v>
      </c>
      <c r="K62" s="23">
        <f t="shared" si="24"/>
        <v>0</v>
      </c>
      <c r="L62" s="23">
        <f t="shared" si="24"/>
        <v>0</v>
      </c>
      <c r="M62" s="23">
        <f t="shared" si="24"/>
        <v>22</v>
      </c>
      <c r="N62" s="23">
        <f t="shared" si="24"/>
        <v>0</v>
      </c>
      <c r="O62" s="23">
        <f t="shared" si="24"/>
        <v>167</v>
      </c>
      <c r="P62" s="23">
        <f t="shared" si="24"/>
        <v>0</v>
      </c>
      <c r="Q62" s="23">
        <f t="shared" si="24"/>
        <v>0</v>
      </c>
      <c r="R62" s="23">
        <f t="shared" si="24"/>
        <v>93</v>
      </c>
      <c r="S62" s="23">
        <f t="shared" si="24"/>
        <v>0</v>
      </c>
      <c r="T62" s="23">
        <f t="shared" si="24"/>
        <v>202</v>
      </c>
      <c r="U62" s="23">
        <f t="shared" si="24"/>
        <v>0</v>
      </c>
      <c r="V62" s="23">
        <f t="shared" si="24"/>
        <v>0</v>
      </c>
      <c r="W62" s="23">
        <f t="shared" si="24"/>
        <v>0</v>
      </c>
      <c r="X62" s="23">
        <f t="shared" si="24"/>
        <v>0</v>
      </c>
      <c r="Y62" s="23">
        <f t="shared" si="24"/>
        <v>0</v>
      </c>
      <c r="Z62" s="23">
        <f t="shared" si="24"/>
        <v>0</v>
      </c>
      <c r="AA62" s="23">
        <f t="shared" si="24"/>
        <v>0</v>
      </c>
      <c r="AB62" s="23">
        <f t="shared" si="24"/>
        <v>0</v>
      </c>
      <c r="AC62" s="23">
        <f t="shared" si="24"/>
        <v>65</v>
      </c>
      <c r="AD62" s="23">
        <f t="shared" si="24"/>
        <v>0</v>
      </c>
      <c r="AE62" s="23">
        <f t="shared" si="24"/>
        <v>0</v>
      </c>
      <c r="AF62" s="23">
        <f t="shared" si="24"/>
        <v>0</v>
      </c>
      <c r="AG62" s="23">
        <f t="shared" si="24"/>
        <v>0</v>
      </c>
      <c r="AH62" s="23">
        <f t="shared" si="24"/>
        <v>0</v>
      </c>
      <c r="AI62" s="24">
        <f t="shared" si="5"/>
        <v>573</v>
      </c>
    </row>
    <row r="63" spans="1:37" ht="14.5" customHeight="1">
      <c r="A63" s="101"/>
      <c r="B63" s="101"/>
      <c r="C63" s="539" t="s">
        <v>132</v>
      </c>
      <c r="D63" s="501"/>
      <c r="E63" s="102">
        <f t="shared" ref="E63:AI63" si="25">E61</f>
        <v>1328</v>
      </c>
      <c r="F63" s="102">
        <f t="shared" si="25"/>
        <v>1139</v>
      </c>
      <c r="G63" s="102">
        <f t="shared" si="25"/>
        <v>1340</v>
      </c>
      <c r="H63" s="102">
        <f t="shared" si="25"/>
        <v>1741</v>
      </c>
      <c r="I63" s="102">
        <f t="shared" si="25"/>
        <v>1551</v>
      </c>
      <c r="J63" s="102">
        <f t="shared" si="25"/>
        <v>1957</v>
      </c>
      <c r="K63" s="102">
        <f t="shared" si="25"/>
        <v>1769</v>
      </c>
      <c r="L63" s="102">
        <f t="shared" si="25"/>
        <v>1809</v>
      </c>
      <c r="M63" s="102">
        <f t="shared" si="25"/>
        <v>1259</v>
      </c>
      <c r="N63" s="102">
        <f t="shared" si="25"/>
        <v>1196</v>
      </c>
      <c r="O63" s="102">
        <f t="shared" si="25"/>
        <v>1708</v>
      </c>
      <c r="P63" s="102">
        <f t="shared" si="25"/>
        <v>1854</v>
      </c>
      <c r="Q63" s="102">
        <f t="shared" si="25"/>
        <v>1921</v>
      </c>
      <c r="R63" s="102">
        <f t="shared" si="25"/>
        <v>1722</v>
      </c>
      <c r="S63" s="102">
        <f t="shared" si="25"/>
        <v>1865</v>
      </c>
      <c r="T63" s="102">
        <f t="shared" si="25"/>
        <v>1193</v>
      </c>
      <c r="U63" s="102">
        <f t="shared" si="25"/>
        <v>1301</v>
      </c>
      <c r="V63" s="102">
        <f t="shared" si="25"/>
        <v>1833</v>
      </c>
      <c r="W63" s="102">
        <f t="shared" si="25"/>
        <v>1972</v>
      </c>
      <c r="X63" s="102">
        <f t="shared" si="25"/>
        <v>1828</v>
      </c>
      <c r="Y63" s="102">
        <f t="shared" si="25"/>
        <v>1804</v>
      </c>
      <c r="Z63" s="102">
        <f t="shared" si="25"/>
        <v>1766</v>
      </c>
      <c r="AA63" s="102">
        <f t="shared" si="25"/>
        <v>1381</v>
      </c>
      <c r="AB63" s="102">
        <f t="shared" si="25"/>
        <v>1203</v>
      </c>
      <c r="AC63" s="102">
        <f t="shared" si="25"/>
        <v>1916</v>
      </c>
      <c r="AD63" s="102">
        <f t="shared" si="25"/>
        <v>1926</v>
      </c>
      <c r="AE63" s="102">
        <f t="shared" si="25"/>
        <v>1977</v>
      </c>
      <c r="AF63" s="102">
        <f t="shared" si="25"/>
        <v>1850</v>
      </c>
      <c r="AG63" s="102">
        <f t="shared" si="25"/>
        <v>1686</v>
      </c>
      <c r="AH63" s="102">
        <f t="shared" si="25"/>
        <v>699</v>
      </c>
      <c r="AI63" s="102">
        <f t="shared" si="25"/>
        <v>48494</v>
      </c>
    </row>
    <row r="64" spans="1:37" ht="13" customHeight="1">
      <c r="A64" s="94"/>
      <c r="B64" s="27"/>
      <c r="C64" s="27"/>
      <c r="D64" s="10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</row>
    <row r="65" spans="1:37" ht="14.5" customHeight="1">
      <c r="A65" s="28" t="s">
        <v>133</v>
      </c>
      <c r="B65" s="28" t="s">
        <v>100</v>
      </c>
      <c r="C65" s="523" t="s">
        <v>101</v>
      </c>
      <c r="D65" s="50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103"/>
    </row>
    <row r="66" spans="1:37" ht="14.5" customHeight="1">
      <c r="A66" s="2">
        <v>1</v>
      </c>
      <c r="B66" s="2" t="s">
        <v>129</v>
      </c>
      <c r="C66" s="506" t="s">
        <v>119</v>
      </c>
      <c r="D66" s="501"/>
      <c r="E66" s="30">
        <f t="shared" ref="E66:AH66" si="26">E24-D24</f>
        <v>0</v>
      </c>
      <c r="F66" s="30">
        <f t="shared" si="26"/>
        <v>65</v>
      </c>
      <c r="G66" s="30">
        <f t="shared" si="26"/>
        <v>0</v>
      </c>
      <c r="H66" s="30">
        <f t="shared" si="26"/>
        <v>101</v>
      </c>
      <c r="I66" s="30">
        <f t="shared" si="26"/>
        <v>90</v>
      </c>
      <c r="J66" s="30">
        <f t="shared" si="26"/>
        <v>85</v>
      </c>
      <c r="K66" s="30">
        <f t="shared" si="26"/>
        <v>81</v>
      </c>
      <c r="L66" s="30">
        <f t="shared" si="26"/>
        <v>76</v>
      </c>
      <c r="M66" s="30">
        <f t="shared" si="26"/>
        <v>45</v>
      </c>
      <c r="N66" s="30">
        <f t="shared" si="26"/>
        <v>0</v>
      </c>
      <c r="O66" s="30">
        <f t="shared" si="26"/>
        <v>93</v>
      </c>
      <c r="P66" s="30">
        <f t="shared" si="26"/>
        <v>83</v>
      </c>
      <c r="Q66" s="30">
        <f t="shared" si="26"/>
        <v>92</v>
      </c>
      <c r="R66" s="30">
        <f t="shared" si="26"/>
        <v>95</v>
      </c>
      <c r="S66" s="30">
        <f t="shared" si="26"/>
        <v>91</v>
      </c>
      <c r="T66" s="30">
        <f t="shared" si="26"/>
        <v>67</v>
      </c>
      <c r="U66" s="30">
        <f t="shared" si="26"/>
        <v>0</v>
      </c>
      <c r="V66" s="30">
        <f t="shared" si="26"/>
        <v>89</v>
      </c>
      <c r="W66" s="30">
        <f t="shared" si="26"/>
        <v>57</v>
      </c>
      <c r="X66" s="30">
        <f t="shared" si="26"/>
        <v>56</v>
      </c>
      <c r="Y66" s="30">
        <f t="shared" si="26"/>
        <v>47</v>
      </c>
      <c r="Z66" s="30">
        <f t="shared" si="26"/>
        <v>62</v>
      </c>
      <c r="AA66" s="30">
        <f t="shared" si="26"/>
        <v>57</v>
      </c>
      <c r="AB66" s="30">
        <f t="shared" si="26"/>
        <v>0</v>
      </c>
      <c r="AC66" s="30">
        <f t="shared" si="26"/>
        <v>76</v>
      </c>
      <c r="AD66" s="30">
        <f t="shared" si="26"/>
        <v>79</v>
      </c>
      <c r="AE66" s="30">
        <f t="shared" si="26"/>
        <v>77</v>
      </c>
      <c r="AF66" s="30">
        <f t="shared" si="26"/>
        <v>42</v>
      </c>
      <c r="AG66" s="30">
        <f t="shared" si="26"/>
        <v>51</v>
      </c>
      <c r="AH66" s="30">
        <f t="shared" si="26"/>
        <v>40</v>
      </c>
      <c r="AI66" s="30">
        <f t="shared" ref="AI66:AI79" si="27">SUM(E66:AH66)</f>
        <v>1797</v>
      </c>
      <c r="AK66" s="78"/>
    </row>
    <row r="67" spans="1:37" ht="14.5" customHeight="1">
      <c r="A67" s="2"/>
      <c r="B67" s="2"/>
      <c r="C67" s="532" t="s">
        <v>22</v>
      </c>
      <c r="D67" s="501"/>
      <c r="E67" s="30">
        <f t="shared" ref="E67:AH67" si="28">E25-D25</f>
        <v>0</v>
      </c>
      <c r="F67" s="30">
        <f t="shared" si="28"/>
        <v>0</v>
      </c>
      <c r="G67" s="30">
        <f t="shared" si="28"/>
        <v>0</v>
      </c>
      <c r="H67" s="30">
        <f t="shared" si="28"/>
        <v>0</v>
      </c>
      <c r="I67" s="30">
        <f t="shared" si="28"/>
        <v>2</v>
      </c>
      <c r="J67" s="30">
        <f t="shared" si="28"/>
        <v>0</v>
      </c>
      <c r="K67" s="30">
        <f t="shared" si="28"/>
        <v>0</v>
      </c>
      <c r="L67" s="30">
        <f t="shared" si="28"/>
        <v>0</v>
      </c>
      <c r="M67" s="30">
        <f t="shared" si="28"/>
        <v>2</v>
      </c>
      <c r="N67" s="30">
        <f t="shared" si="28"/>
        <v>0</v>
      </c>
      <c r="O67" s="30">
        <f t="shared" si="28"/>
        <v>0</v>
      </c>
      <c r="P67" s="30">
        <f t="shared" si="28"/>
        <v>0</v>
      </c>
      <c r="Q67" s="30">
        <f t="shared" si="28"/>
        <v>0</v>
      </c>
      <c r="R67" s="30">
        <f t="shared" si="28"/>
        <v>0</v>
      </c>
      <c r="S67" s="30">
        <f t="shared" si="28"/>
        <v>0</v>
      </c>
      <c r="T67" s="30">
        <f t="shared" si="28"/>
        <v>3</v>
      </c>
      <c r="U67" s="30">
        <f t="shared" si="28"/>
        <v>0</v>
      </c>
      <c r="V67" s="30">
        <f t="shared" si="28"/>
        <v>0</v>
      </c>
      <c r="W67" s="30">
        <f t="shared" si="28"/>
        <v>0</v>
      </c>
      <c r="X67" s="30">
        <f t="shared" si="28"/>
        <v>0</v>
      </c>
      <c r="Y67" s="30">
        <f t="shared" si="28"/>
        <v>0</v>
      </c>
      <c r="Z67" s="30">
        <f t="shared" si="28"/>
        <v>0</v>
      </c>
      <c r="AA67" s="30">
        <f t="shared" si="28"/>
        <v>0</v>
      </c>
      <c r="AB67" s="30">
        <f t="shared" si="28"/>
        <v>0</v>
      </c>
      <c r="AC67" s="30">
        <f t="shared" si="28"/>
        <v>0</v>
      </c>
      <c r="AD67" s="30">
        <f t="shared" si="28"/>
        <v>0</v>
      </c>
      <c r="AE67" s="30">
        <f t="shared" si="28"/>
        <v>0</v>
      </c>
      <c r="AF67" s="30">
        <f t="shared" si="28"/>
        <v>0</v>
      </c>
      <c r="AG67" s="30">
        <f t="shared" si="28"/>
        <v>0</v>
      </c>
      <c r="AH67" s="30">
        <f t="shared" si="28"/>
        <v>0</v>
      </c>
      <c r="AI67" s="30">
        <f t="shared" si="27"/>
        <v>7</v>
      </c>
    </row>
    <row r="68" spans="1:37" ht="14.5" customHeight="1">
      <c r="A68" s="2">
        <v>2</v>
      </c>
      <c r="B68" s="2" t="s">
        <v>129</v>
      </c>
      <c r="C68" s="506" t="s">
        <v>120</v>
      </c>
      <c r="D68" s="501"/>
      <c r="E68" s="30">
        <f t="shared" ref="E68:AH68" si="29">E26-D26</f>
        <v>0</v>
      </c>
      <c r="F68" s="30">
        <f t="shared" si="29"/>
        <v>52</v>
      </c>
      <c r="G68" s="30">
        <f t="shared" si="29"/>
        <v>0</v>
      </c>
      <c r="H68" s="30">
        <f t="shared" si="29"/>
        <v>103</v>
      </c>
      <c r="I68" s="30">
        <f t="shared" si="29"/>
        <v>91</v>
      </c>
      <c r="J68" s="30">
        <f t="shared" si="29"/>
        <v>93</v>
      </c>
      <c r="K68" s="30">
        <f t="shared" si="29"/>
        <v>83</v>
      </c>
      <c r="L68" s="30">
        <f t="shared" si="29"/>
        <v>76</v>
      </c>
      <c r="M68" s="30">
        <f t="shared" si="29"/>
        <v>44</v>
      </c>
      <c r="N68" s="30">
        <f t="shared" si="29"/>
        <v>0</v>
      </c>
      <c r="O68" s="30">
        <f t="shared" si="29"/>
        <v>90</v>
      </c>
      <c r="P68" s="30">
        <f t="shared" si="29"/>
        <v>88</v>
      </c>
      <c r="Q68" s="30">
        <f t="shared" si="29"/>
        <v>86</v>
      </c>
      <c r="R68" s="30">
        <f t="shared" si="29"/>
        <v>88</v>
      </c>
      <c r="S68" s="30">
        <f t="shared" si="29"/>
        <v>14</v>
      </c>
      <c r="T68" s="30">
        <f t="shared" si="29"/>
        <v>131</v>
      </c>
      <c r="U68" s="30">
        <f t="shared" si="29"/>
        <v>0</v>
      </c>
      <c r="V68" s="30">
        <f t="shared" si="29"/>
        <v>58</v>
      </c>
      <c r="W68" s="30">
        <f t="shared" si="29"/>
        <v>99</v>
      </c>
      <c r="X68" s="30">
        <f t="shared" si="29"/>
        <v>58</v>
      </c>
      <c r="Y68" s="30">
        <f t="shared" si="29"/>
        <v>44</v>
      </c>
      <c r="Z68" s="30">
        <f t="shared" si="29"/>
        <v>71</v>
      </c>
      <c r="AA68" s="30">
        <f t="shared" si="29"/>
        <v>56</v>
      </c>
      <c r="AB68" s="30">
        <f t="shared" si="29"/>
        <v>0</v>
      </c>
      <c r="AC68" s="30">
        <f t="shared" si="29"/>
        <v>78</v>
      </c>
      <c r="AD68" s="30">
        <f t="shared" si="29"/>
        <v>83</v>
      </c>
      <c r="AE68" s="30">
        <f t="shared" si="29"/>
        <v>70</v>
      </c>
      <c r="AF68" s="30">
        <f t="shared" si="29"/>
        <v>57</v>
      </c>
      <c r="AG68" s="30">
        <f t="shared" si="29"/>
        <v>60</v>
      </c>
      <c r="AH68" s="30">
        <f t="shared" si="29"/>
        <v>50</v>
      </c>
      <c r="AI68" s="30">
        <f t="shared" si="27"/>
        <v>1823</v>
      </c>
    </row>
    <row r="69" spans="1:37" ht="14.5" customHeight="1">
      <c r="A69" s="2"/>
      <c r="B69" s="2"/>
      <c r="C69" s="532" t="s">
        <v>22</v>
      </c>
      <c r="D69" s="501"/>
      <c r="E69" s="30">
        <f t="shared" ref="E69:AH69" si="30">E27-D27</f>
        <v>0</v>
      </c>
      <c r="F69" s="30">
        <f t="shared" si="30"/>
        <v>0</v>
      </c>
      <c r="G69" s="30">
        <f t="shared" si="30"/>
        <v>0</v>
      </c>
      <c r="H69" s="30">
        <f t="shared" si="30"/>
        <v>0</v>
      </c>
      <c r="I69" s="30">
        <f t="shared" si="30"/>
        <v>2</v>
      </c>
      <c r="J69" s="30">
        <f t="shared" si="30"/>
        <v>0</v>
      </c>
      <c r="K69" s="30">
        <f t="shared" si="30"/>
        <v>0</v>
      </c>
      <c r="L69" s="30">
        <f t="shared" si="30"/>
        <v>0</v>
      </c>
      <c r="M69" s="30">
        <f t="shared" si="30"/>
        <v>2</v>
      </c>
      <c r="N69" s="30">
        <f t="shared" si="30"/>
        <v>0</v>
      </c>
      <c r="O69" s="30">
        <f t="shared" si="30"/>
        <v>0</v>
      </c>
      <c r="P69" s="30">
        <f t="shared" si="30"/>
        <v>0</v>
      </c>
      <c r="Q69" s="30">
        <f t="shared" si="30"/>
        <v>0</v>
      </c>
      <c r="R69" s="30">
        <f t="shared" si="30"/>
        <v>0</v>
      </c>
      <c r="S69" s="30">
        <f t="shared" si="30"/>
        <v>0</v>
      </c>
      <c r="T69" s="30">
        <f t="shared" si="30"/>
        <v>2</v>
      </c>
      <c r="U69" s="30">
        <f t="shared" si="30"/>
        <v>0</v>
      </c>
      <c r="V69" s="30">
        <f t="shared" si="30"/>
        <v>0</v>
      </c>
      <c r="W69" s="30">
        <f t="shared" si="30"/>
        <v>0</v>
      </c>
      <c r="X69" s="30">
        <f t="shared" si="30"/>
        <v>0</v>
      </c>
      <c r="Y69" s="30">
        <f t="shared" si="30"/>
        <v>0</v>
      </c>
      <c r="Z69" s="30">
        <f t="shared" si="30"/>
        <v>0</v>
      </c>
      <c r="AA69" s="30">
        <f t="shared" si="30"/>
        <v>0</v>
      </c>
      <c r="AB69" s="30">
        <f t="shared" si="30"/>
        <v>0</v>
      </c>
      <c r="AC69" s="30">
        <f t="shared" si="30"/>
        <v>0</v>
      </c>
      <c r="AD69" s="30">
        <f t="shared" si="30"/>
        <v>0</v>
      </c>
      <c r="AE69" s="30">
        <f t="shared" si="30"/>
        <v>0</v>
      </c>
      <c r="AF69" s="30">
        <f t="shared" si="30"/>
        <v>0</v>
      </c>
      <c r="AG69" s="30">
        <f t="shared" si="30"/>
        <v>0</v>
      </c>
      <c r="AH69" s="30">
        <f t="shared" si="30"/>
        <v>0</v>
      </c>
      <c r="AI69" s="30">
        <f t="shared" si="27"/>
        <v>6</v>
      </c>
    </row>
    <row r="70" spans="1:37" ht="14.5" customHeight="1">
      <c r="A70" s="2">
        <v>3</v>
      </c>
      <c r="B70" s="2" t="s">
        <v>129</v>
      </c>
      <c r="C70" s="506" t="s">
        <v>121</v>
      </c>
      <c r="D70" s="501"/>
      <c r="E70" s="30">
        <f t="shared" ref="E70:AH70" si="31">E28-D28</f>
        <v>0</v>
      </c>
      <c r="F70" s="30">
        <f t="shared" si="31"/>
        <v>54</v>
      </c>
      <c r="G70" s="30">
        <f t="shared" si="31"/>
        <v>0</v>
      </c>
      <c r="H70" s="30">
        <f t="shared" si="31"/>
        <v>108</v>
      </c>
      <c r="I70" s="30">
        <f t="shared" si="31"/>
        <v>92</v>
      </c>
      <c r="J70" s="30">
        <f t="shared" si="31"/>
        <v>86</v>
      </c>
      <c r="K70" s="30">
        <f t="shared" si="31"/>
        <v>87</v>
      </c>
      <c r="L70" s="30">
        <f t="shared" si="31"/>
        <v>142</v>
      </c>
      <c r="M70" s="30">
        <f t="shared" si="31"/>
        <v>0</v>
      </c>
      <c r="N70" s="30">
        <f t="shared" si="31"/>
        <v>0</v>
      </c>
      <c r="O70" s="30">
        <f t="shared" si="31"/>
        <v>107</v>
      </c>
      <c r="P70" s="30">
        <f t="shared" si="31"/>
        <v>93</v>
      </c>
      <c r="Q70" s="30">
        <f t="shared" si="31"/>
        <v>57</v>
      </c>
      <c r="R70" s="30">
        <f t="shared" si="31"/>
        <v>101</v>
      </c>
      <c r="S70" s="30">
        <f t="shared" si="31"/>
        <v>64</v>
      </c>
      <c r="T70" s="30">
        <f t="shared" si="31"/>
        <v>37</v>
      </c>
      <c r="U70" s="30">
        <f t="shared" si="31"/>
        <v>0</v>
      </c>
      <c r="V70" s="30">
        <f t="shared" si="31"/>
        <v>54</v>
      </c>
      <c r="W70" s="30">
        <f t="shared" si="31"/>
        <v>119</v>
      </c>
      <c r="X70" s="30">
        <f t="shared" si="31"/>
        <v>85</v>
      </c>
      <c r="Y70" s="30">
        <f t="shared" si="31"/>
        <v>54</v>
      </c>
      <c r="Z70" s="30">
        <f t="shared" si="31"/>
        <v>75</v>
      </c>
      <c r="AA70" s="30">
        <f t="shared" si="31"/>
        <v>71</v>
      </c>
      <c r="AB70" s="30">
        <f t="shared" si="31"/>
        <v>0</v>
      </c>
      <c r="AC70" s="30">
        <f t="shared" si="31"/>
        <v>97</v>
      </c>
      <c r="AD70" s="30">
        <f t="shared" si="31"/>
        <v>94</v>
      </c>
      <c r="AE70" s="30">
        <f t="shared" si="31"/>
        <v>91</v>
      </c>
      <c r="AF70" s="30">
        <f t="shared" si="31"/>
        <v>82</v>
      </c>
      <c r="AG70" s="30">
        <f t="shared" si="31"/>
        <v>88</v>
      </c>
      <c r="AH70" s="30">
        <f t="shared" si="31"/>
        <v>51</v>
      </c>
      <c r="AI70" s="30">
        <f t="shared" si="27"/>
        <v>1989</v>
      </c>
    </row>
    <row r="71" spans="1:37" ht="14.5" customHeight="1">
      <c r="A71" s="2"/>
      <c r="B71" s="2"/>
      <c r="C71" s="532" t="s">
        <v>22</v>
      </c>
      <c r="D71" s="501"/>
      <c r="E71" s="30">
        <f t="shared" ref="E71:AH71" si="32">E29-D29</f>
        <v>0</v>
      </c>
      <c r="F71" s="30">
        <f t="shared" si="32"/>
        <v>0</v>
      </c>
      <c r="G71" s="30">
        <f t="shared" si="32"/>
        <v>0</v>
      </c>
      <c r="H71" s="30">
        <f t="shared" si="32"/>
        <v>0</v>
      </c>
      <c r="I71" s="30">
        <f t="shared" si="32"/>
        <v>2</v>
      </c>
      <c r="J71" s="30">
        <f t="shared" si="32"/>
        <v>0</v>
      </c>
      <c r="K71" s="30">
        <f t="shared" si="32"/>
        <v>0</v>
      </c>
      <c r="L71" s="30">
        <f t="shared" si="32"/>
        <v>0</v>
      </c>
      <c r="M71" s="30">
        <f t="shared" si="32"/>
        <v>0</v>
      </c>
      <c r="N71" s="30">
        <f t="shared" si="32"/>
        <v>0</v>
      </c>
      <c r="O71" s="30">
        <f t="shared" si="32"/>
        <v>1</v>
      </c>
      <c r="P71" s="30">
        <f t="shared" si="32"/>
        <v>0</v>
      </c>
      <c r="Q71" s="30">
        <f t="shared" si="32"/>
        <v>0</v>
      </c>
      <c r="R71" s="30">
        <f t="shared" si="32"/>
        <v>0</v>
      </c>
      <c r="S71" s="30">
        <f t="shared" si="32"/>
        <v>0</v>
      </c>
      <c r="T71" s="30">
        <f t="shared" si="32"/>
        <v>1</v>
      </c>
      <c r="U71" s="30">
        <f t="shared" si="32"/>
        <v>0</v>
      </c>
      <c r="V71" s="30">
        <f t="shared" si="32"/>
        <v>0</v>
      </c>
      <c r="W71" s="30">
        <f t="shared" si="32"/>
        <v>0</v>
      </c>
      <c r="X71" s="30">
        <f t="shared" si="32"/>
        <v>0</v>
      </c>
      <c r="Y71" s="30">
        <f t="shared" si="32"/>
        <v>0</v>
      </c>
      <c r="Z71" s="30">
        <f t="shared" si="32"/>
        <v>0</v>
      </c>
      <c r="AA71" s="30">
        <f t="shared" si="32"/>
        <v>0</v>
      </c>
      <c r="AB71" s="30">
        <f t="shared" si="32"/>
        <v>0</v>
      </c>
      <c r="AC71" s="30">
        <f t="shared" si="32"/>
        <v>0</v>
      </c>
      <c r="AD71" s="30">
        <f t="shared" si="32"/>
        <v>0</v>
      </c>
      <c r="AE71" s="30">
        <f t="shared" si="32"/>
        <v>0</v>
      </c>
      <c r="AF71" s="30">
        <f t="shared" si="32"/>
        <v>0</v>
      </c>
      <c r="AG71" s="30">
        <f t="shared" si="32"/>
        <v>0</v>
      </c>
      <c r="AH71" s="30">
        <f t="shared" si="32"/>
        <v>0</v>
      </c>
      <c r="AI71" s="30">
        <f t="shared" si="27"/>
        <v>4</v>
      </c>
    </row>
    <row r="72" spans="1:37" ht="14.5" customHeight="1">
      <c r="A72" s="2">
        <v>4</v>
      </c>
      <c r="B72" s="2" t="s">
        <v>129</v>
      </c>
      <c r="C72" s="506" t="s">
        <v>122</v>
      </c>
      <c r="D72" s="501"/>
      <c r="E72" s="30">
        <f t="shared" ref="E72:AH72" si="33">E30-D30</f>
        <v>1</v>
      </c>
      <c r="F72" s="30">
        <f t="shared" si="33"/>
        <v>43</v>
      </c>
      <c r="G72" s="30">
        <f t="shared" si="33"/>
        <v>0</v>
      </c>
      <c r="H72" s="30">
        <f t="shared" si="33"/>
        <v>89</v>
      </c>
      <c r="I72" s="30">
        <f t="shared" si="33"/>
        <v>79</v>
      </c>
      <c r="J72" s="30">
        <f t="shared" si="33"/>
        <v>74</v>
      </c>
      <c r="K72" s="30">
        <f t="shared" si="33"/>
        <v>74</v>
      </c>
      <c r="L72" s="30">
        <f t="shared" si="33"/>
        <v>71</v>
      </c>
      <c r="M72" s="30">
        <f t="shared" si="33"/>
        <v>44</v>
      </c>
      <c r="N72" s="30">
        <f t="shared" si="33"/>
        <v>0</v>
      </c>
      <c r="O72" s="30">
        <f t="shared" si="33"/>
        <v>78</v>
      </c>
      <c r="P72" s="30">
        <f t="shared" si="33"/>
        <v>74</v>
      </c>
      <c r="Q72" s="30">
        <f t="shared" si="33"/>
        <v>76</v>
      </c>
      <c r="R72" s="30">
        <f t="shared" si="33"/>
        <v>87</v>
      </c>
      <c r="S72" s="30">
        <f t="shared" si="33"/>
        <v>78</v>
      </c>
      <c r="T72" s="30">
        <f t="shared" si="33"/>
        <v>55</v>
      </c>
      <c r="U72" s="30">
        <f t="shared" si="33"/>
        <v>0</v>
      </c>
      <c r="V72" s="30">
        <f t="shared" si="33"/>
        <v>86</v>
      </c>
      <c r="W72" s="30">
        <f t="shared" si="33"/>
        <v>97</v>
      </c>
      <c r="X72" s="30">
        <f t="shared" si="33"/>
        <v>98</v>
      </c>
      <c r="Y72" s="30">
        <f t="shared" si="33"/>
        <v>104</v>
      </c>
      <c r="Z72" s="30">
        <f t="shared" si="33"/>
        <v>88</v>
      </c>
      <c r="AA72" s="30">
        <f t="shared" si="33"/>
        <v>80</v>
      </c>
      <c r="AB72" s="30">
        <f t="shared" si="33"/>
        <v>0</v>
      </c>
      <c r="AC72" s="30">
        <f t="shared" si="33"/>
        <v>113</v>
      </c>
      <c r="AD72" s="30">
        <f t="shared" si="33"/>
        <v>119</v>
      </c>
      <c r="AE72" s="30">
        <f t="shared" si="33"/>
        <v>111</v>
      </c>
      <c r="AF72" s="30">
        <f t="shared" si="33"/>
        <v>91</v>
      </c>
      <c r="AG72" s="30">
        <f t="shared" si="33"/>
        <v>92</v>
      </c>
      <c r="AH72" s="30">
        <f t="shared" si="33"/>
        <v>13</v>
      </c>
      <c r="AI72" s="30">
        <f t="shared" si="27"/>
        <v>2015</v>
      </c>
    </row>
    <row r="73" spans="1:37" ht="14.5" customHeight="1">
      <c r="A73" s="2"/>
      <c r="B73" s="2"/>
      <c r="C73" s="532" t="s">
        <v>22</v>
      </c>
      <c r="D73" s="501"/>
      <c r="E73" s="30">
        <f t="shared" ref="E73:AH73" si="34">E31-D31</f>
        <v>0</v>
      </c>
      <c r="F73" s="30">
        <f t="shared" si="34"/>
        <v>0</v>
      </c>
      <c r="G73" s="30">
        <f t="shared" si="34"/>
        <v>0</v>
      </c>
      <c r="H73" s="30">
        <f t="shared" si="34"/>
        <v>0</v>
      </c>
      <c r="I73" s="30">
        <f t="shared" si="34"/>
        <v>1</v>
      </c>
      <c r="J73" s="30">
        <f t="shared" si="34"/>
        <v>0</v>
      </c>
      <c r="K73" s="30">
        <f t="shared" si="34"/>
        <v>0</v>
      </c>
      <c r="L73" s="30">
        <f t="shared" si="34"/>
        <v>0</v>
      </c>
      <c r="M73" s="30">
        <f t="shared" si="34"/>
        <v>3</v>
      </c>
      <c r="N73" s="30">
        <f t="shared" si="34"/>
        <v>0</v>
      </c>
      <c r="O73" s="30">
        <f t="shared" si="34"/>
        <v>0</v>
      </c>
      <c r="P73" s="30">
        <f t="shared" si="34"/>
        <v>0</v>
      </c>
      <c r="Q73" s="30">
        <f t="shared" si="34"/>
        <v>0</v>
      </c>
      <c r="R73" s="30">
        <f t="shared" si="34"/>
        <v>0</v>
      </c>
      <c r="S73" s="30">
        <f t="shared" si="34"/>
        <v>0</v>
      </c>
      <c r="T73" s="30">
        <f t="shared" si="34"/>
        <v>2</v>
      </c>
      <c r="U73" s="30">
        <f t="shared" si="34"/>
        <v>0</v>
      </c>
      <c r="V73" s="30">
        <f t="shared" si="34"/>
        <v>0</v>
      </c>
      <c r="W73" s="30">
        <f t="shared" si="34"/>
        <v>0</v>
      </c>
      <c r="X73" s="30">
        <f t="shared" si="34"/>
        <v>0</v>
      </c>
      <c r="Y73" s="30">
        <f t="shared" si="34"/>
        <v>0</v>
      </c>
      <c r="Z73" s="30">
        <f t="shared" si="34"/>
        <v>0</v>
      </c>
      <c r="AA73" s="30">
        <f t="shared" si="34"/>
        <v>0</v>
      </c>
      <c r="AB73" s="30">
        <f t="shared" si="34"/>
        <v>0</v>
      </c>
      <c r="AC73" s="30">
        <f t="shared" si="34"/>
        <v>0</v>
      </c>
      <c r="AD73" s="30">
        <f t="shared" si="34"/>
        <v>0</v>
      </c>
      <c r="AE73" s="30">
        <f t="shared" si="34"/>
        <v>0</v>
      </c>
      <c r="AF73" s="30">
        <f t="shared" si="34"/>
        <v>0</v>
      </c>
      <c r="AG73" s="30">
        <f t="shared" si="34"/>
        <v>0</v>
      </c>
      <c r="AH73" s="30">
        <f t="shared" si="34"/>
        <v>0</v>
      </c>
      <c r="AI73" s="30">
        <f t="shared" si="27"/>
        <v>6</v>
      </c>
    </row>
    <row r="74" spans="1:37" ht="25.5" customHeight="1">
      <c r="A74" s="99"/>
      <c r="B74" s="99"/>
      <c r="C74" s="500" t="s">
        <v>134</v>
      </c>
      <c r="D74" s="501"/>
      <c r="E74" s="23">
        <f t="shared" ref="E74:AH74" si="35">SUM(E66,E68,E70,E72)</f>
        <v>1</v>
      </c>
      <c r="F74" s="23">
        <f t="shared" si="35"/>
        <v>214</v>
      </c>
      <c r="G74" s="23">
        <f t="shared" si="35"/>
        <v>0</v>
      </c>
      <c r="H74" s="23">
        <f t="shared" si="35"/>
        <v>401</v>
      </c>
      <c r="I74" s="23">
        <f t="shared" si="35"/>
        <v>352</v>
      </c>
      <c r="J74" s="23">
        <f t="shared" si="35"/>
        <v>338</v>
      </c>
      <c r="K74" s="23">
        <f t="shared" si="35"/>
        <v>325</v>
      </c>
      <c r="L74" s="23">
        <f t="shared" si="35"/>
        <v>365</v>
      </c>
      <c r="M74" s="23">
        <f t="shared" si="35"/>
        <v>133</v>
      </c>
      <c r="N74" s="23">
        <f t="shared" si="35"/>
        <v>0</v>
      </c>
      <c r="O74" s="23">
        <f t="shared" si="35"/>
        <v>368</v>
      </c>
      <c r="P74" s="23">
        <f t="shared" si="35"/>
        <v>338</v>
      </c>
      <c r="Q74" s="23">
        <f t="shared" si="35"/>
        <v>311</v>
      </c>
      <c r="R74" s="23">
        <f t="shared" si="35"/>
        <v>371</v>
      </c>
      <c r="S74" s="23">
        <f t="shared" si="35"/>
        <v>247</v>
      </c>
      <c r="T74" s="23">
        <f t="shared" si="35"/>
        <v>290</v>
      </c>
      <c r="U74" s="23">
        <f t="shared" si="35"/>
        <v>0</v>
      </c>
      <c r="V74" s="23">
        <f t="shared" si="35"/>
        <v>287</v>
      </c>
      <c r="W74" s="23">
        <f t="shared" si="35"/>
        <v>372</v>
      </c>
      <c r="X74" s="23">
        <f t="shared" si="35"/>
        <v>297</v>
      </c>
      <c r="Y74" s="23">
        <f t="shared" si="35"/>
        <v>249</v>
      </c>
      <c r="Z74" s="23">
        <f t="shared" si="35"/>
        <v>296</v>
      </c>
      <c r="AA74" s="23">
        <f t="shared" si="35"/>
        <v>264</v>
      </c>
      <c r="AB74" s="23">
        <f t="shared" si="35"/>
        <v>0</v>
      </c>
      <c r="AC74" s="23">
        <f t="shared" si="35"/>
        <v>364</v>
      </c>
      <c r="AD74" s="23">
        <f t="shared" si="35"/>
        <v>375</v>
      </c>
      <c r="AE74" s="23">
        <f t="shared" si="35"/>
        <v>349</v>
      </c>
      <c r="AF74" s="23">
        <f t="shared" si="35"/>
        <v>272</v>
      </c>
      <c r="AG74" s="23">
        <f t="shared" si="35"/>
        <v>291</v>
      </c>
      <c r="AH74" s="23">
        <f t="shared" si="35"/>
        <v>154</v>
      </c>
      <c r="AI74" s="24">
        <f t="shared" si="27"/>
        <v>7624</v>
      </c>
      <c r="AJ74" s="78"/>
      <c r="AK74" s="78"/>
    </row>
    <row r="75" spans="1:37" ht="25.5" customHeight="1">
      <c r="A75" s="99"/>
      <c r="B75" s="99"/>
      <c r="C75" s="513" t="s">
        <v>135</v>
      </c>
      <c r="D75" s="501"/>
      <c r="E75" s="23">
        <f t="shared" ref="E75:AH75" si="36">SUM(E67,E69,E71,E73)</f>
        <v>0</v>
      </c>
      <c r="F75" s="23">
        <f t="shared" si="36"/>
        <v>0</v>
      </c>
      <c r="G75" s="23">
        <f t="shared" si="36"/>
        <v>0</v>
      </c>
      <c r="H75" s="23">
        <f t="shared" si="36"/>
        <v>0</v>
      </c>
      <c r="I75" s="23">
        <f t="shared" si="36"/>
        <v>7</v>
      </c>
      <c r="J75" s="23">
        <f t="shared" si="36"/>
        <v>0</v>
      </c>
      <c r="K75" s="23">
        <f t="shared" si="36"/>
        <v>0</v>
      </c>
      <c r="L75" s="23">
        <f t="shared" si="36"/>
        <v>0</v>
      </c>
      <c r="M75" s="23">
        <f t="shared" si="36"/>
        <v>7</v>
      </c>
      <c r="N75" s="23">
        <f t="shared" si="36"/>
        <v>0</v>
      </c>
      <c r="O75" s="23">
        <f t="shared" si="36"/>
        <v>1</v>
      </c>
      <c r="P75" s="23">
        <f t="shared" si="36"/>
        <v>0</v>
      </c>
      <c r="Q75" s="23">
        <f t="shared" si="36"/>
        <v>0</v>
      </c>
      <c r="R75" s="23">
        <f t="shared" si="36"/>
        <v>0</v>
      </c>
      <c r="S75" s="23">
        <f t="shared" si="36"/>
        <v>0</v>
      </c>
      <c r="T75" s="23">
        <f t="shared" si="36"/>
        <v>8</v>
      </c>
      <c r="U75" s="23">
        <f t="shared" si="36"/>
        <v>0</v>
      </c>
      <c r="V75" s="23">
        <f t="shared" si="36"/>
        <v>0</v>
      </c>
      <c r="W75" s="23">
        <f t="shared" si="36"/>
        <v>0</v>
      </c>
      <c r="X75" s="23">
        <f t="shared" si="36"/>
        <v>0</v>
      </c>
      <c r="Y75" s="23">
        <f t="shared" si="36"/>
        <v>0</v>
      </c>
      <c r="Z75" s="23">
        <f t="shared" si="36"/>
        <v>0</v>
      </c>
      <c r="AA75" s="23">
        <f t="shared" si="36"/>
        <v>0</v>
      </c>
      <c r="AB75" s="23">
        <f t="shared" si="36"/>
        <v>0</v>
      </c>
      <c r="AC75" s="23">
        <f t="shared" si="36"/>
        <v>0</v>
      </c>
      <c r="AD75" s="23">
        <f t="shared" si="36"/>
        <v>0</v>
      </c>
      <c r="AE75" s="23">
        <f t="shared" si="36"/>
        <v>0</v>
      </c>
      <c r="AF75" s="23">
        <f t="shared" si="36"/>
        <v>0</v>
      </c>
      <c r="AG75" s="23">
        <f t="shared" si="36"/>
        <v>0</v>
      </c>
      <c r="AH75" s="23">
        <f t="shared" si="36"/>
        <v>0</v>
      </c>
      <c r="AI75" s="24">
        <f t="shared" si="27"/>
        <v>23</v>
      </c>
      <c r="AJ75" s="78"/>
      <c r="AK75" s="78"/>
    </row>
    <row r="76" spans="1:37" ht="14.5" customHeight="1">
      <c r="A76" s="2">
        <v>1</v>
      </c>
      <c r="B76" s="2" t="s">
        <v>129</v>
      </c>
      <c r="C76" s="503" t="s">
        <v>123</v>
      </c>
      <c r="D76" s="501"/>
      <c r="E76" s="30">
        <f t="shared" ref="E76:AH76" si="37">E33-D33</f>
        <v>0</v>
      </c>
      <c r="F76" s="30">
        <f t="shared" si="37"/>
        <v>0</v>
      </c>
      <c r="G76" s="30">
        <f t="shared" si="37"/>
        <v>0</v>
      </c>
      <c r="H76" s="30">
        <f t="shared" si="37"/>
        <v>842</v>
      </c>
      <c r="I76" s="30">
        <f t="shared" si="37"/>
        <v>662</v>
      </c>
      <c r="J76" s="30">
        <f t="shared" si="37"/>
        <v>733</v>
      </c>
      <c r="K76" s="30">
        <f t="shared" si="37"/>
        <v>644</v>
      </c>
      <c r="L76" s="30">
        <f t="shared" si="37"/>
        <v>406</v>
      </c>
      <c r="M76" s="30">
        <f t="shared" si="37"/>
        <v>201</v>
      </c>
      <c r="N76" s="30">
        <f t="shared" si="37"/>
        <v>0</v>
      </c>
      <c r="O76" s="30">
        <f t="shared" si="37"/>
        <v>840</v>
      </c>
      <c r="P76" s="30">
        <f t="shared" si="37"/>
        <v>643</v>
      </c>
      <c r="Q76" s="30">
        <f t="shared" si="37"/>
        <v>321</v>
      </c>
      <c r="R76" s="30">
        <f t="shared" si="37"/>
        <v>470</v>
      </c>
      <c r="S76" s="30">
        <f t="shared" si="37"/>
        <v>355</v>
      </c>
      <c r="T76" s="30">
        <f t="shared" si="37"/>
        <v>277</v>
      </c>
      <c r="U76" s="30">
        <f t="shared" si="37"/>
        <v>0</v>
      </c>
      <c r="V76" s="30">
        <f t="shared" si="37"/>
        <v>711</v>
      </c>
      <c r="W76" s="30">
        <f t="shared" si="37"/>
        <v>482</v>
      </c>
      <c r="X76" s="30">
        <f t="shared" si="37"/>
        <v>505</v>
      </c>
      <c r="Y76" s="30">
        <f t="shared" si="37"/>
        <v>519</v>
      </c>
      <c r="Z76" s="30">
        <f t="shared" si="37"/>
        <v>442</v>
      </c>
      <c r="AA76" s="30">
        <f t="shared" si="37"/>
        <v>241</v>
      </c>
      <c r="AB76" s="30">
        <f t="shared" si="37"/>
        <v>0</v>
      </c>
      <c r="AC76" s="30">
        <f t="shared" si="37"/>
        <v>609</v>
      </c>
      <c r="AD76" s="30">
        <f t="shared" si="37"/>
        <v>718</v>
      </c>
      <c r="AE76" s="30">
        <f t="shared" si="37"/>
        <v>569</v>
      </c>
      <c r="AF76" s="30">
        <f t="shared" si="37"/>
        <v>490</v>
      </c>
      <c r="AG76" s="30">
        <f t="shared" si="37"/>
        <v>367</v>
      </c>
      <c r="AH76" s="30">
        <f t="shared" si="37"/>
        <v>279</v>
      </c>
      <c r="AI76" s="30">
        <f t="shared" si="27"/>
        <v>12326</v>
      </c>
      <c r="AK76" s="78"/>
    </row>
    <row r="77" spans="1:37" ht="14.5" customHeight="1">
      <c r="A77" s="2">
        <v>2</v>
      </c>
      <c r="B77" s="2" t="s">
        <v>129</v>
      </c>
      <c r="C77" s="503" t="s">
        <v>124</v>
      </c>
      <c r="D77" s="501"/>
      <c r="E77" s="30">
        <f t="shared" ref="E77:AH77" si="38">E34-D34</f>
        <v>0</v>
      </c>
      <c r="F77" s="30">
        <f t="shared" si="38"/>
        <v>567</v>
      </c>
      <c r="G77" s="30">
        <f t="shared" si="38"/>
        <v>0</v>
      </c>
      <c r="H77" s="30">
        <f t="shared" si="38"/>
        <v>929</v>
      </c>
      <c r="I77" s="30">
        <f t="shared" si="38"/>
        <v>659</v>
      </c>
      <c r="J77" s="30">
        <f t="shared" si="38"/>
        <v>744</v>
      </c>
      <c r="K77" s="30">
        <f t="shared" si="38"/>
        <v>611</v>
      </c>
      <c r="L77" s="30">
        <f t="shared" si="38"/>
        <v>565</v>
      </c>
      <c r="M77" s="30">
        <f t="shared" si="38"/>
        <v>252</v>
      </c>
      <c r="N77" s="30">
        <f t="shared" si="38"/>
        <v>0</v>
      </c>
      <c r="O77" s="30">
        <f t="shared" si="38"/>
        <v>910</v>
      </c>
      <c r="P77" s="30">
        <f t="shared" si="38"/>
        <v>645</v>
      </c>
      <c r="Q77" s="30">
        <f t="shared" si="38"/>
        <v>565</v>
      </c>
      <c r="R77" s="30">
        <f t="shared" si="38"/>
        <v>515</v>
      </c>
      <c r="S77" s="30">
        <f t="shared" si="38"/>
        <v>481</v>
      </c>
      <c r="T77" s="30">
        <f t="shared" si="38"/>
        <v>364</v>
      </c>
      <c r="U77" s="30">
        <f t="shared" si="38"/>
        <v>0</v>
      </c>
      <c r="V77" s="30">
        <f t="shared" si="38"/>
        <v>651</v>
      </c>
      <c r="W77" s="30">
        <f t="shared" si="38"/>
        <v>691</v>
      </c>
      <c r="X77" s="30">
        <f t="shared" si="38"/>
        <v>470</v>
      </c>
      <c r="Y77" s="30">
        <f t="shared" si="38"/>
        <v>503</v>
      </c>
      <c r="Z77" s="30">
        <f t="shared" si="38"/>
        <v>459</v>
      </c>
      <c r="AA77" s="30">
        <f t="shared" si="38"/>
        <v>287</v>
      </c>
      <c r="AB77" s="30">
        <f t="shared" si="38"/>
        <v>0</v>
      </c>
      <c r="AC77" s="30">
        <f t="shared" si="38"/>
        <v>544</v>
      </c>
      <c r="AD77" s="30">
        <f t="shared" si="38"/>
        <v>638</v>
      </c>
      <c r="AE77" s="30">
        <f t="shared" si="38"/>
        <v>513</v>
      </c>
      <c r="AF77" s="30">
        <f t="shared" si="38"/>
        <v>434</v>
      </c>
      <c r="AG77" s="30">
        <f t="shared" si="38"/>
        <v>353</v>
      </c>
      <c r="AH77" s="30">
        <f t="shared" si="38"/>
        <v>389</v>
      </c>
      <c r="AI77" s="30">
        <f t="shared" si="27"/>
        <v>13739</v>
      </c>
    </row>
    <row r="78" spans="1:37" ht="14.5" customHeight="1">
      <c r="A78" s="2">
        <v>3</v>
      </c>
      <c r="B78" s="2" t="s">
        <v>129</v>
      </c>
      <c r="C78" s="503" t="s">
        <v>125</v>
      </c>
      <c r="D78" s="501"/>
      <c r="E78" s="30">
        <f t="shared" ref="E78:AH78" si="39">E35-D35</f>
        <v>0</v>
      </c>
      <c r="F78" s="30">
        <f t="shared" si="39"/>
        <v>380</v>
      </c>
      <c r="G78" s="30">
        <f t="shared" si="39"/>
        <v>0</v>
      </c>
      <c r="H78" s="30">
        <f t="shared" si="39"/>
        <v>725</v>
      </c>
      <c r="I78" s="30">
        <f t="shared" si="39"/>
        <v>618</v>
      </c>
      <c r="J78" s="30">
        <f t="shared" si="39"/>
        <v>655</v>
      </c>
      <c r="K78" s="30">
        <f t="shared" si="39"/>
        <v>652</v>
      </c>
      <c r="L78" s="30">
        <f t="shared" si="39"/>
        <v>494</v>
      </c>
      <c r="M78" s="30">
        <f t="shared" si="39"/>
        <v>227</v>
      </c>
      <c r="N78" s="30">
        <f t="shared" si="39"/>
        <v>0</v>
      </c>
      <c r="O78" s="30">
        <f t="shared" si="39"/>
        <v>846</v>
      </c>
      <c r="P78" s="30">
        <f t="shared" si="39"/>
        <v>624</v>
      </c>
      <c r="Q78" s="30">
        <f t="shared" si="39"/>
        <v>482</v>
      </c>
      <c r="R78" s="30">
        <f t="shared" si="39"/>
        <v>623</v>
      </c>
      <c r="S78" s="30">
        <f t="shared" si="39"/>
        <v>447</v>
      </c>
      <c r="T78" s="30">
        <f t="shared" si="39"/>
        <v>281</v>
      </c>
      <c r="U78" s="30">
        <f t="shared" si="39"/>
        <v>0</v>
      </c>
      <c r="V78" s="30">
        <f t="shared" si="39"/>
        <v>650</v>
      </c>
      <c r="W78" s="30">
        <f t="shared" si="39"/>
        <v>671</v>
      </c>
      <c r="X78" s="30">
        <f t="shared" si="39"/>
        <v>518</v>
      </c>
      <c r="Y78" s="30">
        <f t="shared" si="39"/>
        <v>463</v>
      </c>
      <c r="Z78" s="30">
        <f t="shared" si="39"/>
        <v>469</v>
      </c>
      <c r="AA78" s="30">
        <f t="shared" si="39"/>
        <v>309</v>
      </c>
      <c r="AB78" s="30">
        <f t="shared" si="39"/>
        <v>0</v>
      </c>
      <c r="AC78" s="30">
        <f t="shared" si="39"/>
        <v>481</v>
      </c>
      <c r="AD78" s="30">
        <f t="shared" si="39"/>
        <v>630</v>
      </c>
      <c r="AE78" s="30">
        <f t="shared" si="39"/>
        <v>490</v>
      </c>
      <c r="AF78" s="30">
        <f t="shared" si="39"/>
        <v>341</v>
      </c>
      <c r="AG78" s="30">
        <f t="shared" si="39"/>
        <v>119</v>
      </c>
      <c r="AH78" s="30">
        <f t="shared" si="39"/>
        <v>259</v>
      </c>
      <c r="AI78" s="30">
        <f t="shared" si="27"/>
        <v>12454</v>
      </c>
    </row>
    <row r="79" spans="1:37" ht="14.5" customHeight="1">
      <c r="A79" s="2">
        <v>4</v>
      </c>
      <c r="B79" s="2" t="s">
        <v>129</v>
      </c>
      <c r="C79" s="503" t="s">
        <v>126</v>
      </c>
      <c r="D79" s="501"/>
      <c r="E79" s="30">
        <f t="shared" ref="E79:AH79" si="40">E36-D36</f>
        <v>0</v>
      </c>
      <c r="F79" s="30">
        <f t="shared" si="40"/>
        <v>331</v>
      </c>
      <c r="G79" s="30">
        <f t="shared" si="40"/>
        <v>0</v>
      </c>
      <c r="H79" s="30">
        <f t="shared" si="40"/>
        <v>772</v>
      </c>
      <c r="I79" s="30">
        <f t="shared" si="40"/>
        <v>581</v>
      </c>
      <c r="J79" s="30">
        <f t="shared" si="40"/>
        <v>609</v>
      </c>
      <c r="K79" s="30">
        <f t="shared" si="40"/>
        <v>552</v>
      </c>
      <c r="L79" s="30">
        <f t="shared" si="40"/>
        <v>363</v>
      </c>
      <c r="M79" s="30">
        <f t="shared" si="40"/>
        <v>183</v>
      </c>
      <c r="N79" s="30">
        <f t="shared" si="40"/>
        <v>0</v>
      </c>
      <c r="O79" s="30">
        <f t="shared" si="40"/>
        <v>784</v>
      </c>
      <c r="P79" s="30">
        <f t="shared" si="40"/>
        <v>565</v>
      </c>
      <c r="Q79" s="30">
        <f t="shared" si="40"/>
        <v>589</v>
      </c>
      <c r="R79" s="30">
        <f t="shared" si="40"/>
        <v>601</v>
      </c>
      <c r="S79" s="30">
        <f t="shared" si="40"/>
        <v>563</v>
      </c>
      <c r="T79" s="30">
        <f t="shared" si="40"/>
        <v>258</v>
      </c>
      <c r="U79" s="30">
        <f t="shared" si="40"/>
        <v>0</v>
      </c>
      <c r="V79" s="30">
        <f t="shared" si="40"/>
        <v>604</v>
      </c>
      <c r="W79" s="30">
        <f t="shared" si="40"/>
        <v>701</v>
      </c>
      <c r="X79" s="30">
        <f t="shared" si="40"/>
        <v>577</v>
      </c>
      <c r="Y79" s="30">
        <f t="shared" si="40"/>
        <v>395</v>
      </c>
      <c r="Z79" s="30">
        <f t="shared" si="40"/>
        <v>428</v>
      </c>
      <c r="AA79" s="30">
        <f t="shared" si="40"/>
        <v>200</v>
      </c>
      <c r="AB79" s="30">
        <f t="shared" si="40"/>
        <v>0</v>
      </c>
      <c r="AC79" s="30">
        <f t="shared" si="40"/>
        <v>524</v>
      </c>
      <c r="AD79" s="30">
        <f t="shared" si="40"/>
        <v>628</v>
      </c>
      <c r="AE79" s="30">
        <f t="shared" si="40"/>
        <v>600</v>
      </c>
      <c r="AF79" s="30">
        <f t="shared" si="40"/>
        <v>501</v>
      </c>
      <c r="AG79" s="30">
        <f t="shared" si="40"/>
        <v>387</v>
      </c>
      <c r="AH79" s="30">
        <f t="shared" si="40"/>
        <v>83</v>
      </c>
      <c r="AI79" s="30">
        <f t="shared" si="27"/>
        <v>12379</v>
      </c>
    </row>
    <row r="80" spans="1:37" ht="15" customHeight="1">
      <c r="A80" s="99"/>
      <c r="B80" s="99"/>
      <c r="C80" s="500" t="s">
        <v>136</v>
      </c>
      <c r="D80" s="501"/>
      <c r="E80" s="23">
        <f t="shared" ref="E80:AI80" si="41">SUM(E76:E79)</f>
        <v>0</v>
      </c>
      <c r="F80" s="23">
        <f t="shared" si="41"/>
        <v>1278</v>
      </c>
      <c r="G80" s="23">
        <f t="shared" si="41"/>
        <v>0</v>
      </c>
      <c r="H80" s="23">
        <f t="shared" si="41"/>
        <v>3268</v>
      </c>
      <c r="I80" s="23">
        <f t="shared" si="41"/>
        <v>2520</v>
      </c>
      <c r="J80" s="23">
        <f t="shared" si="41"/>
        <v>2741</v>
      </c>
      <c r="K80" s="23">
        <f t="shared" si="41"/>
        <v>2459</v>
      </c>
      <c r="L80" s="23">
        <f t="shared" si="41"/>
        <v>1828</v>
      </c>
      <c r="M80" s="23">
        <f t="shared" si="41"/>
        <v>863</v>
      </c>
      <c r="N80" s="23">
        <f t="shared" si="41"/>
        <v>0</v>
      </c>
      <c r="O80" s="23">
        <f t="shared" si="41"/>
        <v>3380</v>
      </c>
      <c r="P80" s="23">
        <f t="shared" si="41"/>
        <v>2477</v>
      </c>
      <c r="Q80" s="23">
        <f t="shared" si="41"/>
        <v>1957</v>
      </c>
      <c r="R80" s="23">
        <f t="shared" si="41"/>
        <v>2209</v>
      </c>
      <c r="S80" s="23">
        <f t="shared" si="41"/>
        <v>1846</v>
      </c>
      <c r="T80" s="23">
        <f t="shared" si="41"/>
        <v>1180</v>
      </c>
      <c r="U80" s="23">
        <f t="shared" si="41"/>
        <v>0</v>
      </c>
      <c r="V80" s="23">
        <f t="shared" si="41"/>
        <v>2616</v>
      </c>
      <c r="W80" s="23">
        <f t="shared" si="41"/>
        <v>2545</v>
      </c>
      <c r="X80" s="23">
        <f t="shared" si="41"/>
        <v>2070</v>
      </c>
      <c r="Y80" s="23">
        <f t="shared" si="41"/>
        <v>1880</v>
      </c>
      <c r="Z80" s="23">
        <f t="shared" si="41"/>
        <v>1798</v>
      </c>
      <c r="AA80" s="23">
        <f t="shared" si="41"/>
        <v>1037</v>
      </c>
      <c r="AB80" s="23">
        <f t="shared" si="41"/>
        <v>0</v>
      </c>
      <c r="AC80" s="23">
        <f t="shared" si="41"/>
        <v>2158</v>
      </c>
      <c r="AD80" s="23">
        <f t="shared" si="41"/>
        <v>2614</v>
      </c>
      <c r="AE80" s="23">
        <f t="shared" si="41"/>
        <v>2172</v>
      </c>
      <c r="AF80" s="23">
        <f t="shared" si="41"/>
        <v>1766</v>
      </c>
      <c r="AG80" s="23">
        <f t="shared" si="41"/>
        <v>1226</v>
      </c>
      <c r="AH80" s="23">
        <f t="shared" si="41"/>
        <v>1010</v>
      </c>
      <c r="AI80" s="24">
        <f t="shared" si="41"/>
        <v>50898</v>
      </c>
      <c r="AJ80" s="78"/>
    </row>
  </sheetData>
  <mergeCells count="49">
    <mergeCell ref="B3:B6"/>
    <mergeCell ref="C45:D45"/>
    <mergeCell ref="C74:D74"/>
    <mergeCell ref="B40:D40"/>
    <mergeCell ref="C50:D50"/>
    <mergeCell ref="C75:D75"/>
    <mergeCell ref="C55:D55"/>
    <mergeCell ref="B41:B44"/>
    <mergeCell ref="C79:D79"/>
    <mergeCell ref="C73:D73"/>
    <mergeCell ref="C47:D47"/>
    <mergeCell ref="C54:D54"/>
    <mergeCell ref="C63:D63"/>
    <mergeCell ref="C65:D65"/>
    <mergeCell ref="C77:D77"/>
    <mergeCell ref="C68:D68"/>
    <mergeCell ref="C58:D58"/>
    <mergeCell ref="C80:D80"/>
    <mergeCell ref="E2:AH2"/>
    <mergeCell ref="C56:D56"/>
    <mergeCell ref="C59:D59"/>
    <mergeCell ref="C46:D46"/>
    <mergeCell ref="C60:D60"/>
    <mergeCell ref="C51:D51"/>
    <mergeCell ref="C76:D76"/>
    <mergeCell ref="C71:D71"/>
    <mergeCell ref="D3:D6"/>
    <mergeCell ref="C61:D61"/>
    <mergeCell ref="C72:D72"/>
    <mergeCell ref="A2:D2"/>
    <mergeCell ref="C78:D78"/>
    <mergeCell ref="A41:A44"/>
    <mergeCell ref="A3:A6"/>
    <mergeCell ref="AI41:AI44"/>
    <mergeCell ref="AI3:AI6"/>
    <mergeCell ref="C70:D70"/>
    <mergeCell ref="C52:D52"/>
    <mergeCell ref="C48:D48"/>
    <mergeCell ref="A32:AI32"/>
    <mergeCell ref="C67:D67"/>
    <mergeCell ref="A23:AI23"/>
    <mergeCell ref="C57:D57"/>
    <mergeCell ref="C3:C6"/>
    <mergeCell ref="C66:D66"/>
    <mergeCell ref="C41:D44"/>
    <mergeCell ref="C53:D53"/>
    <mergeCell ref="B39:D39"/>
    <mergeCell ref="C69:D69"/>
    <mergeCell ref="C49:D4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L80"/>
  <sheetViews>
    <sheetView topLeftCell="N1" workbookViewId="0">
      <pane ySplit="6" topLeftCell="A46" activePane="bottomLeft" state="frozen"/>
      <selection activeCell="A22" sqref="A22:AJ22"/>
      <selection pane="bottomLeft" activeCell="A22" sqref="A22:AJ22"/>
    </sheetView>
  </sheetViews>
  <sheetFormatPr defaultColWidth="18" defaultRowHeight="14.5"/>
  <cols>
    <col min="1" max="1" width="14" style="70" bestFit="1" customWidth="1"/>
    <col min="2" max="2" width="27" style="70" bestFit="1" customWidth="1"/>
    <col min="3" max="3" width="32" style="89" bestFit="1" customWidth="1"/>
    <col min="4" max="4" width="20" style="110" bestFit="1" customWidth="1"/>
    <col min="5" max="5" width="23" style="70" bestFit="1" customWidth="1"/>
    <col min="6" max="19" width="23" customWidth="1"/>
    <col min="20" max="22" width="23" style="70" bestFit="1" customWidth="1"/>
    <col min="23" max="26" width="23" customWidth="1"/>
    <col min="27" max="28" width="23" style="70" bestFit="1" customWidth="1"/>
    <col min="29" max="29" width="23" customWidth="1"/>
    <col min="30" max="30" width="23" style="70" bestFit="1" customWidth="1"/>
    <col min="31" max="31" width="23" style="70" customWidth="1"/>
    <col min="32" max="33" width="23" style="70" bestFit="1" customWidth="1"/>
    <col min="34" max="34" width="23" style="70" customWidth="1"/>
    <col min="35" max="35" width="23" style="70" bestFit="1" customWidth="1"/>
    <col min="36" max="36" width="18" style="70" bestFit="1" customWidth="1"/>
    <col min="37" max="37" width="14" style="70" customWidth="1"/>
    <col min="38" max="39" width="18" style="70" customWidth="1"/>
    <col min="40" max="16384" width="18" style="70"/>
  </cols>
  <sheetData>
    <row r="2" spans="1:37" ht="16.5" customHeight="1">
      <c r="A2" s="537"/>
      <c r="B2" s="526"/>
      <c r="C2" s="526"/>
      <c r="D2" s="527"/>
      <c r="E2" s="535" t="s">
        <v>146</v>
      </c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7"/>
      <c r="AJ2" s="69"/>
    </row>
    <row r="3" spans="1:37" ht="12.75" customHeight="1">
      <c r="A3" s="533" t="s">
        <v>99</v>
      </c>
      <c r="B3" s="533" t="s">
        <v>100</v>
      </c>
      <c r="C3" s="533" t="s">
        <v>101</v>
      </c>
      <c r="D3" s="536" t="s">
        <v>102</v>
      </c>
      <c r="E3" s="71">
        <v>45627</v>
      </c>
      <c r="F3" s="71">
        <v>45628</v>
      </c>
      <c r="G3" s="71">
        <v>45629</v>
      </c>
      <c r="H3" s="71">
        <v>45630</v>
      </c>
      <c r="I3" s="71">
        <v>45631</v>
      </c>
      <c r="J3" s="71">
        <v>45632</v>
      </c>
      <c r="K3" s="71">
        <v>45633</v>
      </c>
      <c r="L3" s="71">
        <v>45634</v>
      </c>
      <c r="M3" s="71">
        <v>45635</v>
      </c>
      <c r="N3" s="71">
        <v>45636</v>
      </c>
      <c r="O3" s="71">
        <v>45637</v>
      </c>
      <c r="P3" s="71">
        <v>45638</v>
      </c>
      <c r="Q3" s="71">
        <v>45639</v>
      </c>
      <c r="R3" s="71">
        <v>45640</v>
      </c>
      <c r="S3" s="71">
        <v>45641</v>
      </c>
      <c r="T3" s="71">
        <v>45642</v>
      </c>
      <c r="U3" s="71">
        <v>45643</v>
      </c>
      <c r="V3" s="71">
        <v>45644</v>
      </c>
      <c r="W3" s="71">
        <v>45645</v>
      </c>
      <c r="X3" s="71">
        <v>45646</v>
      </c>
      <c r="Y3" s="71">
        <v>45647</v>
      </c>
      <c r="Z3" s="71">
        <v>45648</v>
      </c>
      <c r="AA3" s="71">
        <v>45649</v>
      </c>
      <c r="AB3" s="71">
        <v>45650</v>
      </c>
      <c r="AC3" s="71">
        <v>45651</v>
      </c>
      <c r="AD3" s="71">
        <v>45652</v>
      </c>
      <c r="AE3" s="71">
        <v>45653</v>
      </c>
      <c r="AF3" s="71">
        <v>45654</v>
      </c>
      <c r="AG3" s="71">
        <v>45655</v>
      </c>
      <c r="AH3" s="71">
        <v>45656</v>
      </c>
      <c r="AI3" s="71">
        <v>45657</v>
      </c>
      <c r="AJ3" s="530" t="s">
        <v>1</v>
      </c>
    </row>
    <row r="4" spans="1:37" ht="13" customHeight="1">
      <c r="A4" s="511"/>
      <c r="B4" s="511"/>
      <c r="C4" s="511"/>
      <c r="D4" s="511"/>
      <c r="E4" s="72" t="s">
        <v>105</v>
      </c>
      <c r="F4" s="72" t="s">
        <v>106</v>
      </c>
      <c r="G4" s="72" t="s">
        <v>107</v>
      </c>
      <c r="H4" s="72" t="s">
        <v>108</v>
      </c>
      <c r="I4" s="72" t="s">
        <v>109</v>
      </c>
      <c r="J4" s="72" t="s">
        <v>103</v>
      </c>
      <c r="K4" s="72" t="s">
        <v>104</v>
      </c>
      <c r="L4" s="72" t="s">
        <v>105</v>
      </c>
      <c r="M4" s="72" t="s">
        <v>106</v>
      </c>
      <c r="N4" s="72" t="s">
        <v>107</v>
      </c>
      <c r="O4" s="72" t="s">
        <v>108</v>
      </c>
      <c r="P4" s="72" t="s">
        <v>109</v>
      </c>
      <c r="Q4" s="72" t="s">
        <v>103</v>
      </c>
      <c r="R4" s="72" t="s">
        <v>104</v>
      </c>
      <c r="S4" s="72" t="s">
        <v>105</v>
      </c>
      <c r="T4" s="72" t="s">
        <v>106</v>
      </c>
      <c r="U4" s="72" t="s">
        <v>107</v>
      </c>
      <c r="V4" s="72" t="s">
        <v>108</v>
      </c>
      <c r="W4" s="72" t="s">
        <v>109</v>
      </c>
      <c r="X4" s="72" t="s">
        <v>103</v>
      </c>
      <c r="Y4" s="72" t="s">
        <v>104</v>
      </c>
      <c r="Z4" s="72" t="s">
        <v>105</v>
      </c>
      <c r="AA4" s="72" t="s">
        <v>106</v>
      </c>
      <c r="AB4" s="72" t="s">
        <v>107</v>
      </c>
      <c r="AC4" s="72" t="s">
        <v>108</v>
      </c>
      <c r="AD4" s="72" t="s">
        <v>109</v>
      </c>
      <c r="AE4" s="72" t="s">
        <v>103</v>
      </c>
      <c r="AF4" s="72" t="s">
        <v>104</v>
      </c>
      <c r="AG4" s="72" t="s">
        <v>105</v>
      </c>
      <c r="AH4" s="72" t="s">
        <v>106</v>
      </c>
      <c r="AI4" s="72" t="s">
        <v>107</v>
      </c>
      <c r="AJ4" s="511"/>
    </row>
    <row r="5" spans="1:37" ht="13" customHeight="1">
      <c r="A5" s="511"/>
      <c r="B5" s="511"/>
      <c r="C5" s="511"/>
      <c r="D5" s="511"/>
      <c r="E5" s="72" t="s">
        <v>110</v>
      </c>
      <c r="F5" s="72" t="s">
        <v>110</v>
      </c>
      <c r="G5" s="72" t="s">
        <v>110</v>
      </c>
      <c r="H5" s="72" t="s">
        <v>110</v>
      </c>
      <c r="I5" s="72" t="s">
        <v>110</v>
      </c>
      <c r="J5" s="72" t="s">
        <v>110</v>
      </c>
      <c r="K5" s="72" t="s">
        <v>110</v>
      </c>
      <c r="L5" s="72" t="s">
        <v>110</v>
      </c>
      <c r="M5" s="72" t="s">
        <v>110</v>
      </c>
      <c r="N5" s="72" t="s">
        <v>110</v>
      </c>
      <c r="O5" s="72" t="s">
        <v>110</v>
      </c>
      <c r="P5" s="72" t="s">
        <v>110</v>
      </c>
      <c r="Q5" s="72" t="s">
        <v>110</v>
      </c>
      <c r="R5" s="72" t="s">
        <v>110</v>
      </c>
      <c r="S5" s="72" t="s">
        <v>110</v>
      </c>
      <c r="T5" s="72" t="s">
        <v>110</v>
      </c>
      <c r="U5" s="72" t="s">
        <v>110</v>
      </c>
      <c r="V5" s="72" t="s">
        <v>110</v>
      </c>
      <c r="W5" s="72" t="s">
        <v>110</v>
      </c>
      <c r="X5" s="72" t="s">
        <v>110</v>
      </c>
      <c r="Y5" s="72" t="s">
        <v>110</v>
      </c>
      <c r="Z5" s="72" t="s">
        <v>110</v>
      </c>
      <c r="AA5" s="72" t="s">
        <v>110</v>
      </c>
      <c r="AB5" s="72" t="s">
        <v>110</v>
      </c>
      <c r="AC5" s="72" t="s">
        <v>110</v>
      </c>
      <c r="AD5" s="72" t="s">
        <v>110</v>
      </c>
      <c r="AE5" s="72" t="s">
        <v>110</v>
      </c>
      <c r="AF5" s="72" t="s">
        <v>110</v>
      </c>
      <c r="AG5" s="72" t="s">
        <v>110</v>
      </c>
      <c r="AH5" s="72" t="s">
        <v>110</v>
      </c>
      <c r="AI5" s="72" t="s">
        <v>110</v>
      </c>
      <c r="AJ5" s="511"/>
    </row>
    <row r="6" spans="1:37" ht="13" customHeight="1">
      <c r="A6" s="512"/>
      <c r="B6" s="512"/>
      <c r="C6" s="512"/>
      <c r="D6" s="512"/>
      <c r="E6" s="73">
        <v>0.33333333333333331</v>
      </c>
      <c r="F6" s="73">
        <v>0.33333333333333331</v>
      </c>
      <c r="G6" s="73">
        <v>0.33333333333333331</v>
      </c>
      <c r="H6" s="73">
        <v>0.33333333333333331</v>
      </c>
      <c r="I6" s="73">
        <v>0.33333333333333331</v>
      </c>
      <c r="J6" s="73">
        <v>0.33333333333333331</v>
      </c>
      <c r="K6" s="73">
        <v>0.33333333333333331</v>
      </c>
      <c r="L6" s="73">
        <v>0.33333333333333331</v>
      </c>
      <c r="M6" s="73">
        <v>0.33333333333333331</v>
      </c>
      <c r="N6" s="73">
        <v>0.33333333333333331</v>
      </c>
      <c r="O6" s="73">
        <v>0.33333333333333331</v>
      </c>
      <c r="P6" s="73">
        <v>0.33333333333333331</v>
      </c>
      <c r="Q6" s="73">
        <v>0.33333333333333331</v>
      </c>
      <c r="R6" s="73">
        <v>0.33333333333333331</v>
      </c>
      <c r="S6" s="73">
        <v>0.33333333333333331</v>
      </c>
      <c r="T6" s="73">
        <v>0.33333333333333331</v>
      </c>
      <c r="U6" s="73">
        <v>0.33333333333333331</v>
      </c>
      <c r="V6" s="73">
        <v>0.33333333333333331</v>
      </c>
      <c r="W6" s="73">
        <v>0.33333333333333331</v>
      </c>
      <c r="X6" s="73">
        <v>0.33333333333333331</v>
      </c>
      <c r="Y6" s="73">
        <v>0.33333333333333331</v>
      </c>
      <c r="Z6" s="73">
        <v>0.33333333333333331</v>
      </c>
      <c r="AA6" s="73">
        <v>0.33333333333333331</v>
      </c>
      <c r="AB6" s="73">
        <v>0.33333333333333331</v>
      </c>
      <c r="AC6" s="73">
        <v>0.33333333333333331</v>
      </c>
      <c r="AD6" s="73">
        <v>0.33333333333333331</v>
      </c>
      <c r="AE6" s="73">
        <v>0.33333333333333331</v>
      </c>
      <c r="AF6" s="73">
        <v>0.33333333333333331</v>
      </c>
      <c r="AG6" s="73">
        <v>0.33333333333333331</v>
      </c>
      <c r="AH6" s="73">
        <v>0.33333333333333331</v>
      </c>
      <c r="AI6" s="73">
        <v>0.33333333333333331</v>
      </c>
      <c r="AJ6" s="512"/>
    </row>
    <row r="7" spans="1:37" ht="20.149999999999999" customHeight="1">
      <c r="A7" s="54">
        <v>1</v>
      </c>
      <c r="B7" s="54" t="s">
        <v>129</v>
      </c>
      <c r="C7" s="54" t="s">
        <v>111</v>
      </c>
      <c r="D7" s="74">
        <v>69543</v>
      </c>
      <c r="E7" s="4">
        <v>69870</v>
      </c>
      <c r="F7" s="4">
        <v>70134</v>
      </c>
      <c r="G7" s="49">
        <v>70389</v>
      </c>
      <c r="H7" s="5">
        <v>70653</v>
      </c>
      <c r="I7" s="4">
        <v>70926</v>
      </c>
      <c r="J7" s="4">
        <v>71172</v>
      </c>
      <c r="K7" s="4">
        <v>71394</v>
      </c>
      <c r="L7" s="58">
        <v>71605</v>
      </c>
      <c r="M7" s="48">
        <v>71885</v>
      </c>
      <c r="N7" s="59">
        <v>72143</v>
      </c>
      <c r="O7" s="4">
        <v>72403</v>
      </c>
      <c r="P7" s="58">
        <v>72664</v>
      </c>
      <c r="Q7" s="48">
        <v>72900</v>
      </c>
      <c r="R7" s="59">
        <v>73046</v>
      </c>
      <c r="S7" s="4">
        <v>73265</v>
      </c>
      <c r="T7" s="4">
        <v>73528</v>
      </c>
      <c r="U7" s="4">
        <v>73802</v>
      </c>
      <c r="V7" s="125">
        <v>74058</v>
      </c>
      <c r="W7" s="4">
        <v>74309</v>
      </c>
      <c r="X7" s="4">
        <v>74560</v>
      </c>
      <c r="Y7" s="4">
        <v>74780</v>
      </c>
      <c r="Z7" s="4">
        <v>74984</v>
      </c>
      <c r="AA7" s="4">
        <v>75215</v>
      </c>
      <c r="AB7" s="4">
        <v>75408</v>
      </c>
      <c r="AC7" s="4">
        <v>75736</v>
      </c>
      <c r="AD7" s="2">
        <v>75957</v>
      </c>
      <c r="AE7" s="2">
        <v>76179</v>
      </c>
      <c r="AF7" s="2">
        <v>76387</v>
      </c>
      <c r="AG7" s="54">
        <v>76602</v>
      </c>
      <c r="AH7" s="54">
        <v>76841</v>
      </c>
      <c r="AI7" s="54">
        <v>76944</v>
      </c>
      <c r="AJ7" s="77">
        <f t="shared" ref="AJ7:AJ22" si="0">AI7-D7</f>
        <v>7401</v>
      </c>
      <c r="AK7" s="78"/>
    </row>
    <row r="8" spans="1:37" ht="20.149999999999999" customHeight="1">
      <c r="A8" s="49"/>
      <c r="B8" s="49"/>
      <c r="C8" s="79" t="s">
        <v>22</v>
      </c>
      <c r="D8" s="79">
        <v>3790</v>
      </c>
      <c r="E8" s="4">
        <v>3790</v>
      </c>
      <c r="F8" s="4">
        <v>3790</v>
      </c>
      <c r="G8" s="4">
        <v>3790</v>
      </c>
      <c r="H8" s="4">
        <v>3790</v>
      </c>
      <c r="I8" s="4">
        <v>3790</v>
      </c>
      <c r="J8" s="4">
        <v>3790</v>
      </c>
      <c r="K8" s="4">
        <v>3790</v>
      </c>
      <c r="L8" s="4">
        <v>3790</v>
      </c>
      <c r="M8" s="4">
        <v>3790</v>
      </c>
      <c r="N8" s="4">
        <v>3790</v>
      </c>
      <c r="O8" s="4">
        <v>3790</v>
      </c>
      <c r="P8" s="4">
        <v>3790</v>
      </c>
      <c r="Q8" s="4">
        <v>3790</v>
      </c>
      <c r="R8" s="4">
        <v>3790</v>
      </c>
      <c r="S8" s="4">
        <v>3790</v>
      </c>
      <c r="T8" s="4">
        <v>3790</v>
      </c>
      <c r="U8" s="4">
        <v>3790</v>
      </c>
      <c r="V8" s="4">
        <v>3790</v>
      </c>
      <c r="W8" s="4">
        <v>3790</v>
      </c>
      <c r="X8" s="4">
        <v>3790</v>
      </c>
      <c r="Y8" s="49">
        <v>3793</v>
      </c>
      <c r="Z8" s="49">
        <v>3793</v>
      </c>
      <c r="AA8" s="49">
        <v>3801</v>
      </c>
      <c r="AB8" s="49">
        <v>3801</v>
      </c>
      <c r="AC8" s="49">
        <v>3801</v>
      </c>
      <c r="AD8" s="49">
        <v>3801</v>
      </c>
      <c r="AE8" s="49">
        <v>3801</v>
      </c>
      <c r="AF8" s="49">
        <v>3801</v>
      </c>
      <c r="AG8" s="49">
        <v>3801</v>
      </c>
      <c r="AH8" s="49">
        <v>3801</v>
      </c>
      <c r="AI8" s="49">
        <v>3801</v>
      </c>
      <c r="AJ8" s="77">
        <f t="shared" si="0"/>
        <v>11</v>
      </c>
      <c r="AK8" s="78"/>
    </row>
    <row r="9" spans="1:37" ht="20.149999999999999" customHeight="1">
      <c r="A9" s="2">
        <v>2</v>
      </c>
      <c r="B9" s="2" t="s">
        <v>129</v>
      </c>
      <c r="C9" s="2" t="s">
        <v>112</v>
      </c>
      <c r="D9" s="80">
        <v>1956</v>
      </c>
      <c r="E9" s="4">
        <v>1956</v>
      </c>
      <c r="F9" s="4">
        <v>1956</v>
      </c>
      <c r="G9" s="4">
        <v>1956</v>
      </c>
      <c r="H9" s="4">
        <v>1956</v>
      </c>
      <c r="I9" s="4">
        <v>1956</v>
      </c>
      <c r="J9" s="4">
        <v>1956</v>
      </c>
      <c r="K9" s="4">
        <v>1956</v>
      </c>
      <c r="L9" s="4">
        <v>1956</v>
      </c>
      <c r="M9" s="4">
        <v>1956</v>
      </c>
      <c r="N9" s="4">
        <v>1956</v>
      </c>
      <c r="O9" s="4">
        <v>1956</v>
      </c>
      <c r="P9" s="4">
        <v>1956</v>
      </c>
      <c r="Q9" s="4">
        <v>1956</v>
      </c>
      <c r="R9" s="4">
        <v>1956</v>
      </c>
      <c r="S9" s="4">
        <v>1956</v>
      </c>
      <c r="T9" s="4">
        <v>1956</v>
      </c>
      <c r="U9" s="4">
        <v>1956</v>
      </c>
      <c r="V9" s="4">
        <v>1956</v>
      </c>
      <c r="W9" s="4">
        <v>1956</v>
      </c>
      <c r="X9" s="4">
        <v>1956</v>
      </c>
      <c r="Y9" s="4">
        <v>1956</v>
      </c>
      <c r="Z9" s="4">
        <v>1956</v>
      </c>
      <c r="AA9" s="4">
        <v>1956</v>
      </c>
      <c r="AB9" s="4">
        <v>1956</v>
      </c>
      <c r="AC9" s="4">
        <v>1956</v>
      </c>
      <c r="AD9" s="4">
        <v>1956</v>
      </c>
      <c r="AE9" s="4">
        <v>1956</v>
      </c>
      <c r="AF9" s="4">
        <v>1956</v>
      </c>
      <c r="AG9" s="4">
        <v>1956</v>
      </c>
      <c r="AH9" s="4">
        <v>1956</v>
      </c>
      <c r="AI9" s="4">
        <v>1956</v>
      </c>
      <c r="AJ9" s="77">
        <f t="shared" si="0"/>
        <v>0</v>
      </c>
    </row>
    <row r="10" spans="1:37" ht="20.149999999999999" customHeight="1">
      <c r="A10" s="2"/>
      <c r="B10" s="2"/>
      <c r="C10" s="79" t="s">
        <v>22</v>
      </c>
      <c r="D10" s="80">
        <v>28.6</v>
      </c>
      <c r="E10" s="4">
        <v>28.6</v>
      </c>
      <c r="F10" s="4">
        <v>28.6</v>
      </c>
      <c r="G10" s="4">
        <v>28.6</v>
      </c>
      <c r="H10" s="4">
        <v>28.6</v>
      </c>
      <c r="I10" s="4">
        <v>28.6</v>
      </c>
      <c r="J10" s="4">
        <v>28.6</v>
      </c>
      <c r="K10" s="4">
        <v>28.6</v>
      </c>
      <c r="L10" s="4">
        <v>28.6</v>
      </c>
      <c r="M10" s="4">
        <v>28.6</v>
      </c>
      <c r="N10" s="4">
        <v>28.6</v>
      </c>
      <c r="O10" s="4">
        <v>28.6</v>
      </c>
      <c r="P10" s="4">
        <v>28.6</v>
      </c>
      <c r="Q10" s="4">
        <v>28.6</v>
      </c>
      <c r="R10" s="4">
        <v>28.6</v>
      </c>
      <c r="S10" s="4">
        <v>28.6</v>
      </c>
      <c r="T10" s="4">
        <v>28.6</v>
      </c>
      <c r="U10" s="4">
        <v>28.6</v>
      </c>
      <c r="V10" s="4">
        <v>28.6</v>
      </c>
      <c r="W10" s="4">
        <v>28.6</v>
      </c>
      <c r="X10" s="4">
        <v>28.6</v>
      </c>
      <c r="Y10" s="4">
        <v>28.6</v>
      </c>
      <c r="Z10" s="4">
        <v>28.6</v>
      </c>
      <c r="AA10" s="4">
        <v>28.6</v>
      </c>
      <c r="AB10" s="4">
        <v>28.6</v>
      </c>
      <c r="AC10" s="4">
        <v>28.6</v>
      </c>
      <c r="AD10" s="4">
        <v>28.6</v>
      </c>
      <c r="AE10" s="4">
        <v>28.6</v>
      </c>
      <c r="AF10" s="4">
        <v>28.6</v>
      </c>
      <c r="AG10" s="4">
        <v>28.6</v>
      </c>
      <c r="AH10" s="4">
        <v>28.6</v>
      </c>
      <c r="AI10" s="4">
        <v>28.6</v>
      </c>
      <c r="AJ10" s="77">
        <f t="shared" si="0"/>
        <v>0</v>
      </c>
    </row>
    <row r="11" spans="1:37" ht="20.149999999999999" customHeight="1">
      <c r="A11" s="2">
        <v>3</v>
      </c>
      <c r="B11" s="2" t="s">
        <v>129</v>
      </c>
      <c r="C11" s="2" t="s">
        <v>113</v>
      </c>
      <c r="D11" s="79">
        <v>103577</v>
      </c>
      <c r="E11" s="4">
        <v>104024</v>
      </c>
      <c r="F11" s="4">
        <v>104406</v>
      </c>
      <c r="G11" s="4">
        <v>104771</v>
      </c>
      <c r="H11" s="4">
        <v>105155</v>
      </c>
      <c r="I11" s="4">
        <v>105544</v>
      </c>
      <c r="J11" s="4">
        <v>105891</v>
      </c>
      <c r="K11" s="4">
        <v>106186</v>
      </c>
      <c r="L11" s="4">
        <v>106468</v>
      </c>
      <c r="M11" s="4">
        <v>106869</v>
      </c>
      <c r="N11" s="4">
        <v>107241</v>
      </c>
      <c r="O11" s="4">
        <v>107617</v>
      </c>
      <c r="P11" s="4">
        <v>107993</v>
      </c>
      <c r="Q11" s="4">
        <v>108345</v>
      </c>
      <c r="R11" s="4">
        <v>108521</v>
      </c>
      <c r="S11" s="4">
        <v>108815</v>
      </c>
      <c r="T11" s="4">
        <v>109201</v>
      </c>
      <c r="U11" s="4">
        <v>109579</v>
      </c>
      <c r="V11" s="4">
        <v>109938</v>
      </c>
      <c r="W11" s="4">
        <v>110301</v>
      </c>
      <c r="X11" s="4">
        <v>110626</v>
      </c>
      <c r="Y11" s="4">
        <v>110955</v>
      </c>
      <c r="Z11" s="4">
        <v>111228</v>
      </c>
      <c r="AA11" s="49">
        <v>111551</v>
      </c>
      <c r="AB11" s="49">
        <v>111865</v>
      </c>
      <c r="AC11" s="4">
        <v>112114</v>
      </c>
      <c r="AD11" s="4">
        <v>112447</v>
      </c>
      <c r="AE11" s="49">
        <v>112744</v>
      </c>
      <c r="AF11" s="49">
        <v>113018</v>
      </c>
      <c r="AG11" s="49">
        <v>113302</v>
      </c>
      <c r="AH11" s="49">
        <v>113623</v>
      </c>
      <c r="AI11" s="49">
        <v>113760</v>
      </c>
      <c r="AJ11" s="77">
        <f t="shared" si="0"/>
        <v>10183</v>
      </c>
    </row>
    <row r="12" spans="1:37" ht="20.149999999999999" customHeight="1">
      <c r="A12" s="2"/>
      <c r="B12" s="2"/>
      <c r="C12" s="79" t="s">
        <v>22</v>
      </c>
      <c r="D12" s="80">
        <v>5686</v>
      </c>
      <c r="E12" s="4">
        <v>5686</v>
      </c>
      <c r="F12" s="4">
        <v>5686</v>
      </c>
      <c r="G12" s="4">
        <v>5686</v>
      </c>
      <c r="H12" s="4">
        <v>5686</v>
      </c>
      <c r="I12" s="4">
        <v>5686</v>
      </c>
      <c r="J12" s="4">
        <v>5686</v>
      </c>
      <c r="K12" s="4">
        <v>5686</v>
      </c>
      <c r="L12" s="4">
        <v>5686</v>
      </c>
      <c r="M12" s="4">
        <v>5686</v>
      </c>
      <c r="N12" s="4">
        <v>5686</v>
      </c>
      <c r="O12" s="4">
        <v>5686</v>
      </c>
      <c r="P12" s="4">
        <v>5686</v>
      </c>
      <c r="Q12" s="4">
        <v>5686</v>
      </c>
      <c r="R12" s="4">
        <v>5686</v>
      </c>
      <c r="S12" s="4">
        <v>5686</v>
      </c>
      <c r="T12" s="4">
        <v>5686</v>
      </c>
      <c r="U12" s="4">
        <v>5686</v>
      </c>
      <c r="V12" s="4">
        <v>5686</v>
      </c>
      <c r="W12" s="4">
        <v>5686</v>
      </c>
      <c r="X12" s="4">
        <v>5686</v>
      </c>
      <c r="Y12" s="2">
        <v>5691</v>
      </c>
      <c r="Z12" s="2">
        <v>5702</v>
      </c>
      <c r="AA12" s="2">
        <v>5702</v>
      </c>
      <c r="AB12" s="2">
        <v>5702</v>
      </c>
      <c r="AC12" s="2">
        <v>5702</v>
      </c>
      <c r="AD12" s="2">
        <v>5702</v>
      </c>
      <c r="AE12" s="2">
        <v>5702</v>
      </c>
      <c r="AF12" s="2">
        <v>5702</v>
      </c>
      <c r="AG12" s="2">
        <v>5702</v>
      </c>
      <c r="AH12" s="2">
        <v>5702</v>
      </c>
      <c r="AI12" s="2">
        <v>5702</v>
      </c>
      <c r="AJ12" s="77">
        <f t="shared" si="0"/>
        <v>16</v>
      </c>
    </row>
    <row r="13" spans="1:37" ht="20.149999999999999" customHeight="1">
      <c r="A13" s="2">
        <v>4</v>
      </c>
      <c r="B13" s="2" t="s">
        <v>129</v>
      </c>
      <c r="C13" s="2" t="s">
        <v>114</v>
      </c>
      <c r="D13" s="80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77">
        <f t="shared" si="0"/>
        <v>0</v>
      </c>
    </row>
    <row r="14" spans="1:37" ht="20.149999999999999" customHeight="1">
      <c r="A14" s="2"/>
      <c r="B14" s="2"/>
      <c r="C14" s="79" t="s">
        <v>22</v>
      </c>
      <c r="D14" s="80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77">
        <f t="shared" si="0"/>
        <v>0</v>
      </c>
    </row>
    <row r="15" spans="1:37" ht="20.149999999999999" customHeight="1">
      <c r="A15" s="2">
        <v>5</v>
      </c>
      <c r="B15" s="2" t="s">
        <v>129</v>
      </c>
      <c r="C15" s="2" t="s">
        <v>115</v>
      </c>
      <c r="D15" s="79">
        <v>44885</v>
      </c>
      <c r="E15" s="4">
        <v>45068</v>
      </c>
      <c r="F15" s="4">
        <v>45283</v>
      </c>
      <c r="G15" s="4">
        <v>45458</v>
      </c>
      <c r="H15" s="4">
        <v>45700</v>
      </c>
      <c r="I15" s="4">
        <v>45919</v>
      </c>
      <c r="J15" s="4">
        <v>46122</v>
      </c>
      <c r="K15" s="4">
        <v>46240</v>
      </c>
      <c r="L15" s="4">
        <v>46354</v>
      </c>
      <c r="M15" s="4">
        <v>46538</v>
      </c>
      <c r="N15" s="4">
        <v>46724</v>
      </c>
      <c r="O15" s="4">
        <v>47019</v>
      </c>
      <c r="P15" s="4">
        <v>47230</v>
      </c>
      <c r="Q15" s="4">
        <v>47430</v>
      </c>
      <c r="R15" s="4">
        <v>47523</v>
      </c>
      <c r="S15" s="4">
        <v>47649</v>
      </c>
      <c r="T15" s="4">
        <v>47868</v>
      </c>
      <c r="U15" s="33">
        <v>48089</v>
      </c>
      <c r="V15" s="4">
        <v>48299</v>
      </c>
      <c r="W15" s="4">
        <v>48496</v>
      </c>
      <c r="X15" s="4">
        <v>48704</v>
      </c>
      <c r="Y15" s="4">
        <v>48823</v>
      </c>
      <c r="Z15" s="4">
        <v>48942</v>
      </c>
      <c r="AA15" s="49">
        <v>49122</v>
      </c>
      <c r="AB15" s="49">
        <v>49299</v>
      </c>
      <c r="AC15" s="4">
        <v>49435</v>
      </c>
      <c r="AD15" s="4">
        <v>49595</v>
      </c>
      <c r="AE15" s="49">
        <v>49746</v>
      </c>
      <c r="AF15" s="49">
        <v>49852</v>
      </c>
      <c r="AG15" s="49">
        <v>49961</v>
      </c>
      <c r="AH15" s="49">
        <v>50125</v>
      </c>
      <c r="AI15" s="49">
        <v>50207</v>
      </c>
      <c r="AJ15" s="77">
        <f t="shared" si="0"/>
        <v>5322</v>
      </c>
    </row>
    <row r="16" spans="1:37" ht="20.149999999999999" customHeight="1">
      <c r="A16" s="2"/>
      <c r="B16" s="2"/>
      <c r="C16" s="79" t="s">
        <v>22</v>
      </c>
      <c r="D16" s="80">
        <v>2886</v>
      </c>
      <c r="E16" s="4">
        <v>2886</v>
      </c>
      <c r="F16" s="4">
        <v>2886</v>
      </c>
      <c r="G16" s="4">
        <v>2886</v>
      </c>
      <c r="H16" s="4">
        <v>2886</v>
      </c>
      <c r="I16" s="4">
        <v>2886</v>
      </c>
      <c r="J16" s="4">
        <v>2886</v>
      </c>
      <c r="K16" s="4">
        <v>2886</v>
      </c>
      <c r="L16" s="4">
        <v>2886</v>
      </c>
      <c r="M16" s="4">
        <v>2886</v>
      </c>
      <c r="N16" s="4">
        <v>2886</v>
      </c>
      <c r="O16" s="4">
        <v>2886</v>
      </c>
      <c r="P16" s="4">
        <v>2886</v>
      </c>
      <c r="Q16" s="4">
        <v>2886</v>
      </c>
      <c r="R16" s="4">
        <v>2886</v>
      </c>
      <c r="S16" s="4">
        <v>2886</v>
      </c>
      <c r="T16" s="4">
        <v>2886</v>
      </c>
      <c r="U16" s="4">
        <v>2886</v>
      </c>
      <c r="V16" s="4">
        <v>2886</v>
      </c>
      <c r="W16" s="4">
        <v>2886</v>
      </c>
      <c r="X16" s="4">
        <v>2886</v>
      </c>
      <c r="Y16" s="2">
        <v>2888</v>
      </c>
      <c r="Z16" s="2">
        <v>2892</v>
      </c>
      <c r="AA16" s="2">
        <v>2892</v>
      </c>
      <c r="AB16" s="2">
        <v>2892</v>
      </c>
      <c r="AC16" s="2">
        <v>2892</v>
      </c>
      <c r="AD16" s="2">
        <v>2892</v>
      </c>
      <c r="AE16" s="2">
        <v>2892</v>
      </c>
      <c r="AF16" s="2">
        <v>2892</v>
      </c>
      <c r="AG16" s="2">
        <v>2892</v>
      </c>
      <c r="AH16" s="2">
        <v>2892</v>
      </c>
      <c r="AI16" s="2">
        <v>2892</v>
      </c>
      <c r="AJ16" s="77">
        <f t="shared" si="0"/>
        <v>6</v>
      </c>
    </row>
    <row r="17" spans="1:36" ht="20.149999999999999" customHeight="1">
      <c r="A17" s="2">
        <v>6</v>
      </c>
      <c r="B17" s="2" t="s">
        <v>129</v>
      </c>
      <c r="C17" s="2" t="s">
        <v>142</v>
      </c>
      <c r="D17" s="79">
        <v>59104</v>
      </c>
      <c r="E17" s="4">
        <v>59304</v>
      </c>
      <c r="F17" s="4">
        <v>59542</v>
      </c>
      <c r="G17" s="4">
        <v>59766</v>
      </c>
      <c r="H17" s="4">
        <v>59979</v>
      </c>
      <c r="I17" s="4">
        <v>60225</v>
      </c>
      <c r="J17" s="4">
        <v>60452</v>
      </c>
      <c r="K17" s="4">
        <v>60598</v>
      </c>
      <c r="L17" s="4">
        <v>60731</v>
      </c>
      <c r="M17" s="4">
        <v>60996</v>
      </c>
      <c r="N17" s="4">
        <v>61250</v>
      </c>
      <c r="O17" s="4">
        <v>61497</v>
      </c>
      <c r="P17" s="4">
        <v>61703</v>
      </c>
      <c r="Q17" s="4">
        <v>61904</v>
      </c>
      <c r="R17" s="4">
        <v>61938</v>
      </c>
      <c r="S17" s="4">
        <v>62027</v>
      </c>
      <c r="T17" s="4">
        <v>62253</v>
      </c>
      <c r="U17" s="4">
        <v>62465</v>
      </c>
      <c r="V17" s="4">
        <v>62680</v>
      </c>
      <c r="W17" s="4">
        <v>62842</v>
      </c>
      <c r="X17" s="4">
        <v>63131</v>
      </c>
      <c r="Y17" s="4">
        <v>63229</v>
      </c>
      <c r="Z17" s="4">
        <v>63364</v>
      </c>
      <c r="AA17" s="2">
        <v>63499</v>
      </c>
      <c r="AB17" s="49">
        <v>63729</v>
      </c>
      <c r="AC17" s="4">
        <v>63802</v>
      </c>
      <c r="AD17" s="4">
        <v>63940</v>
      </c>
      <c r="AE17" s="49">
        <v>63940</v>
      </c>
      <c r="AF17" s="49">
        <v>64070</v>
      </c>
      <c r="AG17" s="2">
        <v>64182</v>
      </c>
      <c r="AH17" s="49">
        <v>64265</v>
      </c>
      <c r="AI17" s="49">
        <v>64448</v>
      </c>
      <c r="AJ17" s="77">
        <f t="shared" si="0"/>
        <v>5344</v>
      </c>
    </row>
    <row r="18" spans="1:36" ht="20.149999999999999" customHeight="1">
      <c r="A18" s="2"/>
      <c r="B18" s="2"/>
      <c r="C18" s="79" t="s">
        <v>22</v>
      </c>
      <c r="D18" s="80">
        <v>3794</v>
      </c>
      <c r="E18" s="4">
        <v>3794</v>
      </c>
      <c r="F18" s="4">
        <v>3794</v>
      </c>
      <c r="G18" s="4">
        <v>3794</v>
      </c>
      <c r="H18" s="4">
        <v>3794</v>
      </c>
      <c r="I18" s="4">
        <v>3794</v>
      </c>
      <c r="J18" s="4">
        <v>3794</v>
      </c>
      <c r="K18" s="4">
        <v>3794</v>
      </c>
      <c r="L18" s="4">
        <v>3794</v>
      </c>
      <c r="M18" s="4">
        <v>3794</v>
      </c>
      <c r="N18" s="4">
        <v>3794</v>
      </c>
      <c r="O18" s="4">
        <v>3794</v>
      </c>
      <c r="P18" s="4">
        <v>3794</v>
      </c>
      <c r="Q18" s="4">
        <v>3794</v>
      </c>
      <c r="R18" s="4">
        <v>3794</v>
      </c>
      <c r="S18" s="4">
        <v>3794</v>
      </c>
      <c r="T18" s="4">
        <v>3794</v>
      </c>
      <c r="U18" s="4">
        <v>3794</v>
      </c>
      <c r="V18" s="4">
        <v>3794</v>
      </c>
      <c r="W18" s="4">
        <v>3794</v>
      </c>
      <c r="X18" s="4">
        <v>3794</v>
      </c>
      <c r="Y18" s="2">
        <v>3796</v>
      </c>
      <c r="Z18" s="2">
        <v>3800</v>
      </c>
      <c r="AA18" s="2">
        <v>3800</v>
      </c>
      <c r="AB18" s="2">
        <v>3800</v>
      </c>
      <c r="AC18" s="2">
        <v>3800</v>
      </c>
      <c r="AD18" s="2">
        <v>3800</v>
      </c>
      <c r="AE18" s="2">
        <v>3800</v>
      </c>
      <c r="AF18" s="2">
        <v>3800</v>
      </c>
      <c r="AG18" s="2">
        <v>3800</v>
      </c>
      <c r="AH18" s="2">
        <v>3800</v>
      </c>
      <c r="AI18" s="2">
        <v>3800</v>
      </c>
      <c r="AJ18" s="77">
        <f t="shared" si="0"/>
        <v>6</v>
      </c>
    </row>
    <row r="19" spans="1:36" ht="20.149999999999999" customHeight="1">
      <c r="A19" s="2">
        <v>7</v>
      </c>
      <c r="B19" s="2" t="s">
        <v>129</v>
      </c>
      <c r="C19" s="2" t="s">
        <v>117</v>
      </c>
      <c r="D19" s="79">
        <v>197767</v>
      </c>
      <c r="E19" s="4">
        <v>198596</v>
      </c>
      <c r="F19" s="4">
        <v>199287</v>
      </c>
      <c r="G19" s="4">
        <v>199981</v>
      </c>
      <c r="H19" s="4">
        <v>200748</v>
      </c>
      <c r="I19" s="4">
        <v>201539</v>
      </c>
      <c r="J19" s="4">
        <v>202275</v>
      </c>
      <c r="K19" s="4">
        <v>202876</v>
      </c>
      <c r="L19" s="4">
        <v>203303</v>
      </c>
      <c r="M19" s="4">
        <v>204066</v>
      </c>
      <c r="N19" s="5">
        <v>204806</v>
      </c>
      <c r="O19" s="4">
        <v>205574</v>
      </c>
      <c r="P19" s="4">
        <v>206358</v>
      </c>
      <c r="Q19" s="4">
        <v>207087</v>
      </c>
      <c r="R19" s="4">
        <v>207540</v>
      </c>
      <c r="S19" s="5">
        <v>208041</v>
      </c>
      <c r="T19" s="4">
        <v>208813</v>
      </c>
      <c r="U19" s="4">
        <v>209610</v>
      </c>
      <c r="V19" s="4">
        <v>210355</v>
      </c>
      <c r="W19" s="4">
        <v>211029</v>
      </c>
      <c r="X19" s="33">
        <v>211275</v>
      </c>
      <c r="Y19" s="4">
        <v>212639</v>
      </c>
      <c r="Z19" s="4">
        <v>213137</v>
      </c>
      <c r="AA19" s="49">
        <v>213796</v>
      </c>
      <c r="AB19" s="49">
        <v>214462</v>
      </c>
      <c r="AC19" s="4">
        <v>215001</v>
      </c>
      <c r="AD19" s="4">
        <v>215580</v>
      </c>
      <c r="AE19" s="49">
        <v>216082</v>
      </c>
      <c r="AF19" s="49">
        <v>216498</v>
      </c>
      <c r="AG19" s="49">
        <v>216835</v>
      </c>
      <c r="AH19" s="49">
        <v>217378</v>
      </c>
      <c r="AI19" s="49">
        <v>217622</v>
      </c>
      <c r="AJ19" s="77">
        <f t="shared" si="0"/>
        <v>19855</v>
      </c>
    </row>
    <row r="20" spans="1:36" ht="20.149999999999999" customHeight="1">
      <c r="A20" s="2"/>
      <c r="B20" s="2"/>
      <c r="C20" s="79" t="s">
        <v>22</v>
      </c>
      <c r="D20" s="80">
        <v>10303</v>
      </c>
      <c r="E20" s="4">
        <v>10303</v>
      </c>
      <c r="F20" s="4">
        <v>10303</v>
      </c>
      <c r="G20" s="4">
        <v>10303</v>
      </c>
      <c r="H20" s="4">
        <v>10303</v>
      </c>
      <c r="I20" s="4">
        <v>10303</v>
      </c>
      <c r="J20" s="4">
        <v>10303</v>
      </c>
      <c r="K20" s="4">
        <v>10303</v>
      </c>
      <c r="L20" s="4">
        <v>10303</v>
      </c>
      <c r="M20" s="4">
        <v>10303</v>
      </c>
      <c r="N20" s="4">
        <v>10303</v>
      </c>
      <c r="O20" s="4">
        <v>10303</v>
      </c>
      <c r="P20" s="4">
        <v>10303</v>
      </c>
      <c r="Q20" s="4">
        <v>10303</v>
      </c>
      <c r="R20" s="4">
        <v>10303</v>
      </c>
      <c r="S20" s="4">
        <v>10303</v>
      </c>
      <c r="T20" s="4">
        <v>10303</v>
      </c>
      <c r="U20" s="4">
        <v>10303</v>
      </c>
      <c r="V20" s="4">
        <v>10303</v>
      </c>
      <c r="W20" s="4">
        <v>10303</v>
      </c>
      <c r="X20" s="4">
        <v>10303</v>
      </c>
      <c r="Y20" s="2">
        <v>10310</v>
      </c>
      <c r="Z20" s="2">
        <v>10322</v>
      </c>
      <c r="AA20" s="2">
        <v>10322</v>
      </c>
      <c r="AB20" s="2">
        <v>10322</v>
      </c>
      <c r="AC20" s="2">
        <v>10322</v>
      </c>
      <c r="AD20" s="2">
        <v>10322</v>
      </c>
      <c r="AE20" s="2">
        <v>10322</v>
      </c>
      <c r="AF20" s="2">
        <v>10322</v>
      </c>
      <c r="AG20" s="2">
        <v>10322</v>
      </c>
      <c r="AH20" s="2">
        <v>10322</v>
      </c>
      <c r="AI20" s="2">
        <v>10322</v>
      </c>
      <c r="AJ20" s="77">
        <f t="shared" si="0"/>
        <v>19</v>
      </c>
    </row>
    <row r="21" spans="1:36" ht="20.149999999999999" customHeight="1">
      <c r="A21" s="2">
        <v>8</v>
      </c>
      <c r="B21" s="2" t="s">
        <v>129</v>
      </c>
      <c r="C21" s="2" t="s">
        <v>118</v>
      </c>
      <c r="D21" s="79">
        <v>42702</v>
      </c>
      <c r="E21" s="4">
        <v>42791</v>
      </c>
      <c r="F21" s="4">
        <v>42862</v>
      </c>
      <c r="G21" s="4">
        <v>42925</v>
      </c>
      <c r="H21" s="4">
        <v>43009</v>
      </c>
      <c r="I21" s="4">
        <v>43081</v>
      </c>
      <c r="J21" s="4">
        <v>43184</v>
      </c>
      <c r="K21" s="4">
        <v>43236</v>
      </c>
      <c r="L21" s="4">
        <v>43292</v>
      </c>
      <c r="M21" s="4">
        <v>43365</v>
      </c>
      <c r="N21" s="4">
        <v>43400</v>
      </c>
      <c r="O21" s="4">
        <v>43515</v>
      </c>
      <c r="P21" s="4">
        <v>43616</v>
      </c>
      <c r="Q21" s="4">
        <v>43701</v>
      </c>
      <c r="R21" s="4">
        <v>43768</v>
      </c>
      <c r="S21" s="4">
        <v>43873</v>
      </c>
      <c r="T21" s="4">
        <v>43965</v>
      </c>
      <c r="U21" s="4">
        <v>44067</v>
      </c>
      <c r="V21" s="4">
        <v>44147</v>
      </c>
      <c r="W21" s="4">
        <v>44231</v>
      </c>
      <c r="X21" s="4">
        <v>44311</v>
      </c>
      <c r="Y21" s="4">
        <v>44430</v>
      </c>
      <c r="Z21" s="4">
        <v>44476</v>
      </c>
      <c r="AA21" s="49">
        <v>44572</v>
      </c>
      <c r="AB21" s="49">
        <v>44648</v>
      </c>
      <c r="AC21" s="4">
        <v>44748</v>
      </c>
      <c r="AD21" s="4">
        <v>44829</v>
      </c>
      <c r="AE21" s="49">
        <v>44927</v>
      </c>
      <c r="AF21" s="49">
        <v>45024</v>
      </c>
      <c r="AG21" s="49">
        <v>45155</v>
      </c>
      <c r="AH21" s="49">
        <v>45237</v>
      </c>
      <c r="AI21" s="49">
        <v>45289</v>
      </c>
      <c r="AJ21" s="77">
        <f t="shared" si="0"/>
        <v>2587</v>
      </c>
    </row>
    <row r="22" spans="1:36" ht="20.149999999999999" customHeight="1">
      <c r="A22" s="2"/>
      <c r="B22" s="2"/>
      <c r="C22" s="79" t="s">
        <v>22</v>
      </c>
      <c r="D22" s="80">
        <v>1983</v>
      </c>
      <c r="E22" s="4">
        <v>1983</v>
      </c>
      <c r="F22" s="4">
        <v>1983</v>
      </c>
      <c r="G22" s="4">
        <v>1983</v>
      </c>
      <c r="H22" s="4">
        <v>1983</v>
      </c>
      <c r="I22" s="4">
        <v>1983</v>
      </c>
      <c r="J22" s="4">
        <v>1983</v>
      </c>
      <c r="K22" s="4">
        <v>1983</v>
      </c>
      <c r="L22" s="4">
        <v>1983</v>
      </c>
      <c r="M22" s="4">
        <v>1983</v>
      </c>
      <c r="N22" s="4">
        <v>1983</v>
      </c>
      <c r="O22" s="4">
        <v>1983</v>
      </c>
      <c r="P22" s="4">
        <v>1983</v>
      </c>
      <c r="Q22" s="4">
        <v>1983</v>
      </c>
      <c r="R22" s="4">
        <v>1983</v>
      </c>
      <c r="S22" s="4">
        <v>1983</v>
      </c>
      <c r="T22" s="4">
        <v>1983</v>
      </c>
      <c r="U22" s="4">
        <v>1983</v>
      </c>
      <c r="V22" s="4">
        <v>1983</v>
      </c>
      <c r="W22" s="4">
        <v>1983</v>
      </c>
      <c r="X22" s="4">
        <v>1983</v>
      </c>
      <c r="Y22" s="2">
        <v>1983</v>
      </c>
      <c r="Z22" s="2">
        <v>1985</v>
      </c>
      <c r="AA22" s="2">
        <v>1985</v>
      </c>
      <c r="AB22" s="2">
        <v>1985</v>
      </c>
      <c r="AC22" s="2">
        <v>1985</v>
      </c>
      <c r="AD22" s="2">
        <v>1985</v>
      </c>
      <c r="AE22" s="2">
        <v>1985</v>
      </c>
      <c r="AF22" s="2">
        <v>1985</v>
      </c>
      <c r="AG22" s="2">
        <v>1985</v>
      </c>
      <c r="AH22" s="2">
        <v>1985</v>
      </c>
      <c r="AI22" s="2">
        <v>1985</v>
      </c>
      <c r="AJ22" s="77">
        <f t="shared" si="0"/>
        <v>2</v>
      </c>
    </row>
    <row r="23" spans="1:36" ht="14.5" customHeight="1">
      <c r="A23" s="503"/>
      <c r="B23" s="504"/>
      <c r="C23" s="504"/>
      <c r="D23" s="504"/>
      <c r="E23" s="504"/>
      <c r="F23" s="504"/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4"/>
      <c r="AA23" s="504"/>
      <c r="AB23" s="504"/>
      <c r="AC23" s="504"/>
      <c r="AD23" s="504"/>
      <c r="AE23" s="504"/>
      <c r="AF23" s="504"/>
      <c r="AG23" s="504"/>
      <c r="AH23" s="504"/>
      <c r="AI23" s="504"/>
      <c r="AJ23" s="501"/>
    </row>
    <row r="24" spans="1:36" ht="14.5" customHeight="1">
      <c r="A24" s="2">
        <v>1</v>
      </c>
      <c r="B24" s="2" t="s">
        <v>129</v>
      </c>
      <c r="C24" s="2" t="s">
        <v>119</v>
      </c>
      <c r="D24" s="79">
        <v>20893</v>
      </c>
      <c r="E24" s="4">
        <v>20907</v>
      </c>
      <c r="F24" s="4">
        <v>20963</v>
      </c>
      <c r="G24" s="4">
        <v>20989</v>
      </c>
      <c r="H24" s="4">
        <v>21033</v>
      </c>
      <c r="I24" s="4">
        <v>21073</v>
      </c>
      <c r="J24" s="4">
        <v>21110</v>
      </c>
      <c r="K24" s="4">
        <v>21129</v>
      </c>
      <c r="L24" s="4">
        <v>21129</v>
      </c>
      <c r="M24" s="4">
        <v>21206</v>
      </c>
      <c r="N24" s="4">
        <v>21246</v>
      </c>
      <c r="O24" s="4">
        <v>21248</v>
      </c>
      <c r="P24" s="4">
        <v>21322</v>
      </c>
      <c r="Q24" s="4">
        <v>21361</v>
      </c>
      <c r="R24" s="4">
        <v>21372</v>
      </c>
      <c r="S24" s="4">
        <v>21372</v>
      </c>
      <c r="T24" s="4">
        <v>21417</v>
      </c>
      <c r="U24" s="4">
        <v>21465</v>
      </c>
      <c r="V24" s="4">
        <v>21500</v>
      </c>
      <c r="W24" s="4">
        <v>21534</v>
      </c>
      <c r="X24" s="4">
        <v>21571</v>
      </c>
      <c r="Y24" s="4">
        <v>21576</v>
      </c>
      <c r="Z24" s="4">
        <v>21577</v>
      </c>
      <c r="AA24" s="2">
        <v>21616</v>
      </c>
      <c r="AB24" s="2">
        <v>21650</v>
      </c>
      <c r="AC24" s="4">
        <v>21653</v>
      </c>
      <c r="AD24" s="4">
        <v>21718</v>
      </c>
      <c r="AE24" s="2">
        <v>21760</v>
      </c>
      <c r="AF24" s="2">
        <v>21775</v>
      </c>
      <c r="AG24" s="2">
        <v>21775</v>
      </c>
      <c r="AH24" s="49">
        <v>21814</v>
      </c>
      <c r="AI24" s="49">
        <v>21831</v>
      </c>
      <c r="AJ24" s="82">
        <f t="shared" ref="AJ24:AJ31" si="1">AI24-D24</f>
        <v>938</v>
      </c>
    </row>
    <row r="25" spans="1:36" ht="13" customHeight="1">
      <c r="A25" s="2"/>
      <c r="B25" s="2"/>
      <c r="C25" s="80" t="s">
        <v>22</v>
      </c>
      <c r="D25" s="80">
        <v>1811</v>
      </c>
      <c r="E25" s="2">
        <v>1811</v>
      </c>
      <c r="F25" s="2">
        <v>1811</v>
      </c>
      <c r="G25" s="2">
        <v>1811</v>
      </c>
      <c r="H25" s="2">
        <v>1811</v>
      </c>
      <c r="I25" s="2">
        <v>1811</v>
      </c>
      <c r="J25" s="2">
        <v>1811</v>
      </c>
      <c r="K25" s="2">
        <v>1811</v>
      </c>
      <c r="L25" s="2">
        <v>1811</v>
      </c>
      <c r="M25" s="2">
        <v>1811</v>
      </c>
      <c r="N25" s="2">
        <v>1811</v>
      </c>
      <c r="O25" s="2">
        <v>1811</v>
      </c>
      <c r="P25" s="2">
        <v>1811</v>
      </c>
      <c r="Q25" s="2">
        <v>1811</v>
      </c>
      <c r="R25" s="2">
        <v>1811</v>
      </c>
      <c r="S25" s="2">
        <v>1811</v>
      </c>
      <c r="T25" s="2">
        <v>1811</v>
      </c>
      <c r="U25" s="2">
        <v>1811</v>
      </c>
      <c r="V25" s="2">
        <v>1811</v>
      </c>
      <c r="W25" s="2">
        <v>1811</v>
      </c>
      <c r="X25" s="2">
        <v>1811</v>
      </c>
      <c r="Y25" s="2">
        <v>1811</v>
      </c>
      <c r="Z25" s="2">
        <v>1811</v>
      </c>
      <c r="AA25" s="2">
        <v>1811</v>
      </c>
      <c r="AB25" s="2">
        <v>1811</v>
      </c>
      <c r="AC25" s="2">
        <v>1811</v>
      </c>
      <c r="AD25" s="2">
        <v>1811</v>
      </c>
      <c r="AE25" s="2">
        <v>1811</v>
      </c>
      <c r="AF25" s="2">
        <v>1811</v>
      </c>
      <c r="AG25" s="2">
        <v>1811</v>
      </c>
      <c r="AH25" s="2">
        <v>1811</v>
      </c>
      <c r="AI25" s="2">
        <v>1811</v>
      </c>
      <c r="AJ25" s="82">
        <f t="shared" si="1"/>
        <v>0</v>
      </c>
    </row>
    <row r="26" spans="1:36" ht="14.5" customHeight="1">
      <c r="A26" s="2">
        <v>2</v>
      </c>
      <c r="B26" s="2" t="s">
        <v>129</v>
      </c>
      <c r="C26" s="2" t="s">
        <v>120</v>
      </c>
      <c r="D26" s="79">
        <v>19914</v>
      </c>
      <c r="E26" s="4">
        <v>19927</v>
      </c>
      <c r="F26" s="4">
        <v>19989</v>
      </c>
      <c r="G26" s="4">
        <v>20047</v>
      </c>
      <c r="H26" s="4">
        <v>20106</v>
      </c>
      <c r="I26" s="4">
        <v>20163</v>
      </c>
      <c r="J26" s="4">
        <v>20219</v>
      </c>
      <c r="K26" s="4">
        <v>20248</v>
      </c>
      <c r="L26" s="4">
        <v>20248</v>
      </c>
      <c r="M26" s="4">
        <v>20348</v>
      </c>
      <c r="N26" s="4">
        <v>20411</v>
      </c>
      <c r="O26" s="4">
        <v>20470</v>
      </c>
      <c r="P26" s="4">
        <v>20530</v>
      </c>
      <c r="Q26" s="4">
        <v>20592</v>
      </c>
      <c r="R26" s="4">
        <v>20616</v>
      </c>
      <c r="S26" s="4">
        <v>20616</v>
      </c>
      <c r="T26" s="4">
        <v>20682</v>
      </c>
      <c r="U26" s="4">
        <v>20735</v>
      </c>
      <c r="V26" s="4">
        <v>20804</v>
      </c>
      <c r="W26" s="4">
        <v>20858</v>
      </c>
      <c r="X26" s="4">
        <v>20916</v>
      </c>
      <c r="Y26" s="4">
        <v>20923</v>
      </c>
      <c r="Z26" s="4">
        <v>20923</v>
      </c>
      <c r="AA26" s="49">
        <v>20984</v>
      </c>
      <c r="AB26" s="49">
        <v>21039</v>
      </c>
      <c r="AC26" s="4">
        <v>21108</v>
      </c>
      <c r="AD26" s="4">
        <v>21228</v>
      </c>
      <c r="AE26" s="49">
        <v>21344</v>
      </c>
      <c r="AF26" s="49">
        <v>21379</v>
      </c>
      <c r="AG26" s="49">
        <v>21379</v>
      </c>
      <c r="AH26" s="49">
        <v>21444</v>
      </c>
      <c r="AI26" s="49">
        <v>21457</v>
      </c>
      <c r="AJ26" s="82">
        <f t="shared" si="1"/>
        <v>1543</v>
      </c>
    </row>
    <row r="27" spans="1:36" ht="13" customHeight="1">
      <c r="A27" s="2"/>
      <c r="B27" s="2"/>
      <c r="C27" s="80" t="s">
        <v>22</v>
      </c>
      <c r="D27" s="80">
        <v>1764</v>
      </c>
      <c r="E27" s="2">
        <v>1764</v>
      </c>
      <c r="F27" s="2">
        <v>1764</v>
      </c>
      <c r="G27" s="2">
        <v>1764</v>
      </c>
      <c r="H27" s="2">
        <v>1764</v>
      </c>
      <c r="I27" s="2">
        <v>1764</v>
      </c>
      <c r="J27" s="2">
        <v>1764</v>
      </c>
      <c r="K27" s="2">
        <v>1764</v>
      </c>
      <c r="L27" s="2">
        <v>1764</v>
      </c>
      <c r="M27" s="2">
        <v>1764</v>
      </c>
      <c r="N27" s="2">
        <v>1764</v>
      </c>
      <c r="O27" s="2">
        <v>1764</v>
      </c>
      <c r="P27" s="2">
        <v>1764</v>
      </c>
      <c r="Q27" s="2">
        <v>1764</v>
      </c>
      <c r="R27" s="2">
        <v>1764</v>
      </c>
      <c r="S27" s="2">
        <v>1764</v>
      </c>
      <c r="T27" s="2">
        <v>1764</v>
      </c>
      <c r="U27" s="2">
        <v>1764</v>
      </c>
      <c r="V27" s="2">
        <v>1764</v>
      </c>
      <c r="W27" s="2">
        <v>1764</v>
      </c>
      <c r="X27" s="2">
        <v>1764</v>
      </c>
      <c r="Y27" s="2">
        <v>1765</v>
      </c>
      <c r="Z27" s="2">
        <v>1765</v>
      </c>
      <c r="AA27" s="2">
        <v>1765</v>
      </c>
      <c r="AB27" s="2">
        <v>1765</v>
      </c>
      <c r="AC27" s="2">
        <v>1765</v>
      </c>
      <c r="AD27" s="2">
        <v>1765</v>
      </c>
      <c r="AE27" s="2">
        <v>1765</v>
      </c>
      <c r="AF27" s="2">
        <v>1765</v>
      </c>
      <c r="AG27" s="2">
        <v>1765</v>
      </c>
      <c r="AH27" s="2">
        <v>1765</v>
      </c>
      <c r="AI27" s="2">
        <v>1765</v>
      </c>
      <c r="AJ27" s="82">
        <f t="shared" si="1"/>
        <v>1</v>
      </c>
    </row>
    <row r="28" spans="1:36" ht="14.5" customHeight="1">
      <c r="A28" s="2">
        <v>3</v>
      </c>
      <c r="B28" s="2" t="s">
        <v>129</v>
      </c>
      <c r="C28" s="2" t="s">
        <v>121</v>
      </c>
      <c r="D28" s="80">
        <v>19597</v>
      </c>
      <c r="E28" s="4">
        <v>19610</v>
      </c>
      <c r="F28" s="4">
        <v>19688</v>
      </c>
      <c r="G28" s="4">
        <v>19760</v>
      </c>
      <c r="H28" s="4">
        <v>19830</v>
      </c>
      <c r="I28" s="4">
        <v>19897</v>
      </c>
      <c r="J28" s="4">
        <v>19979</v>
      </c>
      <c r="K28" s="4">
        <v>20025</v>
      </c>
      <c r="L28" s="4">
        <v>20025</v>
      </c>
      <c r="M28" s="4">
        <v>20106</v>
      </c>
      <c r="N28" s="4">
        <v>20185</v>
      </c>
      <c r="O28" s="4">
        <v>20275</v>
      </c>
      <c r="P28" s="4">
        <v>20363</v>
      </c>
      <c r="Q28" s="4">
        <v>20454</v>
      </c>
      <c r="R28" s="4">
        <v>20478</v>
      </c>
      <c r="S28" s="4">
        <v>20478</v>
      </c>
      <c r="T28" s="4">
        <v>20572</v>
      </c>
      <c r="U28" s="4">
        <v>20645</v>
      </c>
      <c r="V28" s="4">
        <v>20749</v>
      </c>
      <c r="W28" s="4">
        <v>20831</v>
      </c>
      <c r="X28" s="4">
        <v>20917</v>
      </c>
      <c r="Y28" s="4">
        <v>20928</v>
      </c>
      <c r="Z28" s="4">
        <v>20928</v>
      </c>
      <c r="AA28" s="2">
        <v>21022</v>
      </c>
      <c r="AB28" s="2">
        <v>21107</v>
      </c>
      <c r="AC28" s="4">
        <v>21110</v>
      </c>
      <c r="AD28" s="4">
        <v>21132</v>
      </c>
      <c r="AE28" s="2">
        <v>21145</v>
      </c>
      <c r="AF28" s="2">
        <v>21152</v>
      </c>
      <c r="AG28" s="2">
        <v>21152</v>
      </c>
      <c r="AH28" s="2">
        <v>21190</v>
      </c>
      <c r="AI28" s="2">
        <v>21190</v>
      </c>
      <c r="AJ28" s="82">
        <f t="shared" si="1"/>
        <v>1593</v>
      </c>
    </row>
    <row r="29" spans="1:36" ht="13" customHeight="1">
      <c r="A29" s="2"/>
      <c r="B29" s="2"/>
      <c r="C29" s="80" t="s">
        <v>22</v>
      </c>
      <c r="D29" s="80">
        <v>1858</v>
      </c>
      <c r="E29" s="2">
        <v>1858</v>
      </c>
      <c r="F29" s="2">
        <v>1858</v>
      </c>
      <c r="G29" s="2">
        <v>1858</v>
      </c>
      <c r="H29" s="2">
        <v>1858</v>
      </c>
      <c r="I29" s="2">
        <v>1858</v>
      </c>
      <c r="J29" s="2">
        <v>1858</v>
      </c>
      <c r="K29" s="2">
        <v>1858</v>
      </c>
      <c r="L29" s="2">
        <v>1858</v>
      </c>
      <c r="M29" s="2">
        <v>1858</v>
      </c>
      <c r="N29" s="2">
        <v>1858</v>
      </c>
      <c r="O29" s="2">
        <v>1858</v>
      </c>
      <c r="P29" s="2">
        <v>1858</v>
      </c>
      <c r="Q29" s="2">
        <v>1858</v>
      </c>
      <c r="R29" s="2">
        <v>1858</v>
      </c>
      <c r="S29" s="2">
        <v>1858</v>
      </c>
      <c r="T29" s="2">
        <v>1858</v>
      </c>
      <c r="U29" s="2">
        <v>1858</v>
      </c>
      <c r="V29" s="2">
        <v>1858</v>
      </c>
      <c r="W29" s="2">
        <v>1858</v>
      </c>
      <c r="X29" s="2">
        <v>1858</v>
      </c>
      <c r="Y29" s="2">
        <v>1859</v>
      </c>
      <c r="Z29" s="2">
        <v>1859</v>
      </c>
      <c r="AA29" s="2">
        <v>1859</v>
      </c>
      <c r="AB29" s="2">
        <v>1859</v>
      </c>
      <c r="AC29" s="2">
        <v>1859</v>
      </c>
      <c r="AD29" s="2">
        <v>1859</v>
      </c>
      <c r="AE29" s="2">
        <v>1859</v>
      </c>
      <c r="AF29" s="2">
        <v>1859</v>
      </c>
      <c r="AG29" s="2">
        <v>1859</v>
      </c>
      <c r="AH29" s="2">
        <v>1859</v>
      </c>
      <c r="AI29" s="2">
        <v>1859</v>
      </c>
      <c r="AJ29" s="82">
        <f t="shared" si="1"/>
        <v>1</v>
      </c>
    </row>
    <row r="30" spans="1:36" ht="14.5" customHeight="1">
      <c r="A30" s="2">
        <v>4</v>
      </c>
      <c r="B30" s="2" t="s">
        <v>129</v>
      </c>
      <c r="C30" s="2" t="s">
        <v>122</v>
      </c>
      <c r="D30" s="79">
        <v>18702</v>
      </c>
      <c r="E30" s="4">
        <v>18719</v>
      </c>
      <c r="F30" s="4">
        <v>18786</v>
      </c>
      <c r="G30" s="4">
        <v>18845</v>
      </c>
      <c r="H30" s="4">
        <v>18903</v>
      </c>
      <c r="I30" s="4">
        <v>18963</v>
      </c>
      <c r="J30" s="4">
        <v>19023</v>
      </c>
      <c r="K30" s="4">
        <v>19055</v>
      </c>
      <c r="L30" s="4">
        <v>19055</v>
      </c>
      <c r="M30" s="4">
        <v>19142</v>
      </c>
      <c r="N30" s="4">
        <v>19187</v>
      </c>
      <c r="O30" s="4">
        <v>19230</v>
      </c>
      <c r="P30" s="4">
        <v>19272</v>
      </c>
      <c r="Q30" s="4">
        <v>19313</v>
      </c>
      <c r="R30" s="4">
        <v>19324</v>
      </c>
      <c r="S30" s="4">
        <v>19324</v>
      </c>
      <c r="T30" s="4">
        <v>19398</v>
      </c>
      <c r="U30" s="4">
        <v>19486</v>
      </c>
      <c r="V30" s="4">
        <v>19529</v>
      </c>
      <c r="W30" s="4">
        <v>19569</v>
      </c>
      <c r="X30" s="4">
        <v>19611</v>
      </c>
      <c r="Y30" s="4">
        <v>19616</v>
      </c>
      <c r="Z30" s="4">
        <v>19616</v>
      </c>
      <c r="AA30" s="2">
        <v>19661</v>
      </c>
      <c r="AB30" s="2">
        <v>19701</v>
      </c>
      <c r="AC30" s="4">
        <v>19703</v>
      </c>
      <c r="AD30" s="4">
        <v>19708</v>
      </c>
      <c r="AE30" s="2">
        <v>19714</v>
      </c>
      <c r="AF30" s="2">
        <v>19718</v>
      </c>
      <c r="AG30" s="2">
        <v>19718</v>
      </c>
      <c r="AH30" s="49">
        <v>19719</v>
      </c>
      <c r="AI30" s="49">
        <v>19720</v>
      </c>
      <c r="AJ30" s="82">
        <f t="shared" si="1"/>
        <v>1018</v>
      </c>
    </row>
    <row r="31" spans="1:36" ht="13" customHeight="1">
      <c r="A31" s="2"/>
      <c r="B31" s="2"/>
      <c r="C31" s="80" t="s">
        <v>22</v>
      </c>
      <c r="D31" s="80">
        <v>1668</v>
      </c>
      <c r="E31" s="2">
        <v>1668</v>
      </c>
      <c r="F31" s="2">
        <v>1668</v>
      </c>
      <c r="G31" s="2">
        <v>1668</v>
      </c>
      <c r="H31" s="2">
        <v>1668</v>
      </c>
      <c r="I31" s="2">
        <v>1668</v>
      </c>
      <c r="J31" s="2">
        <v>1668</v>
      </c>
      <c r="K31" s="2">
        <v>1668</v>
      </c>
      <c r="L31" s="2">
        <v>1668</v>
      </c>
      <c r="M31" s="2">
        <v>1668</v>
      </c>
      <c r="N31" s="2">
        <v>1668</v>
      </c>
      <c r="O31" s="2">
        <v>1668</v>
      </c>
      <c r="P31" s="2">
        <v>1668</v>
      </c>
      <c r="Q31" s="2">
        <v>1668</v>
      </c>
      <c r="R31" s="2">
        <v>1668</v>
      </c>
      <c r="S31" s="2">
        <v>1668</v>
      </c>
      <c r="T31" s="2">
        <v>1668</v>
      </c>
      <c r="U31" s="2">
        <v>1668</v>
      </c>
      <c r="V31" s="2">
        <v>1668</v>
      </c>
      <c r="W31" s="2">
        <v>1668</v>
      </c>
      <c r="X31" s="2">
        <v>1668</v>
      </c>
      <c r="Y31" s="2">
        <v>1668</v>
      </c>
      <c r="Z31" s="2">
        <v>1668</v>
      </c>
      <c r="AA31" s="2">
        <v>1668</v>
      </c>
      <c r="AB31" s="2">
        <v>1668</v>
      </c>
      <c r="AC31" s="2">
        <v>1668</v>
      </c>
      <c r="AD31" s="2">
        <v>1668</v>
      </c>
      <c r="AE31" s="2">
        <v>1668</v>
      </c>
      <c r="AF31" s="2">
        <v>1668</v>
      </c>
      <c r="AG31" s="2">
        <v>1668</v>
      </c>
      <c r="AH31" s="2">
        <v>1668</v>
      </c>
      <c r="AI31" s="2">
        <v>1668</v>
      </c>
      <c r="AJ31" s="82">
        <f t="shared" si="1"/>
        <v>0</v>
      </c>
    </row>
    <row r="32" spans="1:36" ht="14.5" customHeight="1">
      <c r="A32" s="503"/>
      <c r="B32" s="504"/>
      <c r="C32" s="504"/>
      <c r="D32" s="504"/>
      <c r="E32" s="50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  <c r="R32" s="504"/>
      <c r="S32" s="504"/>
      <c r="T32" s="504"/>
      <c r="U32" s="504"/>
      <c r="V32" s="504"/>
      <c r="W32" s="504"/>
      <c r="X32" s="504"/>
      <c r="Y32" s="504"/>
      <c r="Z32" s="504"/>
      <c r="AA32" s="504"/>
      <c r="AB32" s="504"/>
      <c r="AC32" s="504"/>
      <c r="AD32" s="504"/>
      <c r="AE32" s="504"/>
      <c r="AF32" s="504"/>
      <c r="AG32" s="504"/>
      <c r="AH32" s="504"/>
      <c r="AI32" s="504"/>
      <c r="AJ32" s="501"/>
    </row>
    <row r="33" spans="1:36" ht="14.5" customHeight="1">
      <c r="A33" s="2">
        <v>1</v>
      </c>
      <c r="B33" s="2" t="s">
        <v>129</v>
      </c>
      <c r="C33" s="2" t="s">
        <v>123</v>
      </c>
      <c r="D33" s="83">
        <v>172072</v>
      </c>
      <c r="E33" s="10">
        <v>172072</v>
      </c>
      <c r="F33" s="10">
        <v>172674</v>
      </c>
      <c r="G33" s="10">
        <v>173320</v>
      </c>
      <c r="H33" s="10">
        <v>173860</v>
      </c>
      <c r="I33" s="10">
        <v>174341</v>
      </c>
      <c r="J33" s="10">
        <v>174774</v>
      </c>
      <c r="K33" s="10">
        <v>174825</v>
      </c>
      <c r="L33" s="10">
        <v>174825</v>
      </c>
      <c r="M33" s="10">
        <v>175335</v>
      </c>
      <c r="N33" s="11">
        <v>175740</v>
      </c>
      <c r="O33" s="11">
        <v>176158</v>
      </c>
      <c r="P33" s="11">
        <v>176497</v>
      </c>
      <c r="Q33" s="11">
        <v>176810</v>
      </c>
      <c r="R33" s="11">
        <v>176854</v>
      </c>
      <c r="S33" s="11">
        <v>176854</v>
      </c>
      <c r="T33" s="11">
        <v>177368</v>
      </c>
      <c r="U33" s="11">
        <v>177796</v>
      </c>
      <c r="V33" s="11">
        <v>178199</v>
      </c>
      <c r="W33" s="11">
        <v>178518</v>
      </c>
      <c r="X33" s="11">
        <v>178905</v>
      </c>
      <c r="Y33" s="11">
        <v>178973</v>
      </c>
      <c r="Z33" s="11">
        <v>178973</v>
      </c>
      <c r="AA33" s="85">
        <v>179374</v>
      </c>
      <c r="AB33" s="85">
        <v>179708</v>
      </c>
      <c r="AC33" s="11">
        <v>179708</v>
      </c>
      <c r="AD33" s="11">
        <v>179745</v>
      </c>
      <c r="AE33" s="85">
        <v>179747</v>
      </c>
      <c r="AF33" s="85">
        <v>179748</v>
      </c>
      <c r="AG33" s="85">
        <v>179748</v>
      </c>
      <c r="AH33" s="86">
        <v>180098</v>
      </c>
      <c r="AI33" s="86">
        <v>180287</v>
      </c>
      <c r="AJ33" s="82">
        <f>AI33-D33</f>
        <v>8215</v>
      </c>
    </row>
    <row r="34" spans="1:36" ht="14.5" customHeight="1">
      <c r="A34" s="2">
        <v>2</v>
      </c>
      <c r="B34" s="2" t="s">
        <v>129</v>
      </c>
      <c r="C34" s="2" t="s">
        <v>124</v>
      </c>
      <c r="D34" s="83">
        <v>185120</v>
      </c>
      <c r="E34" s="10">
        <v>185120</v>
      </c>
      <c r="F34" s="10">
        <v>185722</v>
      </c>
      <c r="G34" s="10">
        <v>186431</v>
      </c>
      <c r="H34" s="10">
        <v>187015</v>
      </c>
      <c r="I34" s="10">
        <v>187507</v>
      </c>
      <c r="J34" s="10">
        <v>187910</v>
      </c>
      <c r="K34" s="10">
        <v>188015</v>
      </c>
      <c r="L34" s="10">
        <v>188015</v>
      </c>
      <c r="M34" s="10">
        <v>188548</v>
      </c>
      <c r="N34" s="10">
        <v>189013</v>
      </c>
      <c r="O34" s="11">
        <v>189434</v>
      </c>
      <c r="P34" s="11">
        <v>189809</v>
      </c>
      <c r="Q34" s="11">
        <v>190124</v>
      </c>
      <c r="R34" s="11">
        <v>190173</v>
      </c>
      <c r="S34" s="11">
        <v>190173</v>
      </c>
      <c r="T34" s="11">
        <v>190640</v>
      </c>
      <c r="U34" s="11">
        <v>191060</v>
      </c>
      <c r="V34" s="11">
        <v>191392</v>
      </c>
      <c r="W34" s="11">
        <v>191689</v>
      </c>
      <c r="X34" s="11">
        <v>192040</v>
      </c>
      <c r="Y34" s="11">
        <v>192083</v>
      </c>
      <c r="Z34" s="11">
        <v>192083</v>
      </c>
      <c r="AA34" s="85">
        <v>192325</v>
      </c>
      <c r="AB34" s="85">
        <v>192610</v>
      </c>
      <c r="AC34" s="11">
        <v>192610</v>
      </c>
      <c r="AD34" s="11">
        <v>192681</v>
      </c>
      <c r="AE34" s="11">
        <v>192691</v>
      </c>
      <c r="AF34" s="85">
        <v>192691</v>
      </c>
      <c r="AG34" s="85">
        <v>192691</v>
      </c>
      <c r="AH34" s="86">
        <v>192828</v>
      </c>
      <c r="AI34" s="86">
        <v>192836</v>
      </c>
      <c r="AJ34" s="82">
        <f>AI34-D34</f>
        <v>7716</v>
      </c>
    </row>
    <row r="35" spans="1:36" ht="14.5" customHeight="1">
      <c r="A35" s="2">
        <v>3</v>
      </c>
      <c r="B35" s="2" t="s">
        <v>129</v>
      </c>
      <c r="C35" s="2" t="s">
        <v>125</v>
      </c>
      <c r="D35" s="83">
        <v>188463</v>
      </c>
      <c r="E35" s="10">
        <v>188463</v>
      </c>
      <c r="F35" s="10">
        <v>188929</v>
      </c>
      <c r="G35" s="10">
        <v>189513</v>
      </c>
      <c r="H35" s="10">
        <v>190050</v>
      </c>
      <c r="I35" s="10">
        <v>190541</v>
      </c>
      <c r="J35" s="10">
        <v>190865</v>
      </c>
      <c r="K35" s="10">
        <v>190968</v>
      </c>
      <c r="L35" s="10">
        <v>190968</v>
      </c>
      <c r="M35" s="10">
        <v>191390</v>
      </c>
      <c r="N35" s="10">
        <v>191634</v>
      </c>
      <c r="O35" s="11">
        <v>191751</v>
      </c>
      <c r="P35" s="11">
        <v>191923</v>
      </c>
      <c r="Q35" s="11">
        <v>192204</v>
      </c>
      <c r="R35" s="11">
        <v>192228</v>
      </c>
      <c r="S35" s="11">
        <v>192228</v>
      </c>
      <c r="T35" s="11">
        <v>192585</v>
      </c>
      <c r="U35" s="11">
        <v>192843</v>
      </c>
      <c r="V35" s="11">
        <v>193131</v>
      </c>
      <c r="W35" s="11">
        <v>193436</v>
      </c>
      <c r="X35" s="11">
        <v>193815</v>
      </c>
      <c r="Y35" s="11">
        <v>193855</v>
      </c>
      <c r="Z35" s="11">
        <v>193855</v>
      </c>
      <c r="AA35" s="85">
        <v>194070</v>
      </c>
      <c r="AB35" s="85">
        <v>194252</v>
      </c>
      <c r="AC35" s="11">
        <v>194252</v>
      </c>
      <c r="AD35" s="11">
        <v>194256</v>
      </c>
      <c r="AE35" s="11">
        <v>194256</v>
      </c>
      <c r="AF35" s="85">
        <v>194257</v>
      </c>
      <c r="AG35" s="85">
        <v>194257</v>
      </c>
      <c r="AH35" s="86">
        <v>194316</v>
      </c>
      <c r="AI35" s="86">
        <v>194316</v>
      </c>
      <c r="AJ35" s="82">
        <f>AI35-D35</f>
        <v>5853</v>
      </c>
    </row>
    <row r="36" spans="1:36" ht="14.5" customHeight="1">
      <c r="A36" s="2">
        <v>4</v>
      </c>
      <c r="B36" s="2" t="s">
        <v>129</v>
      </c>
      <c r="C36" s="2" t="s">
        <v>126</v>
      </c>
      <c r="D36" s="83">
        <v>206669</v>
      </c>
      <c r="E36" s="10">
        <v>206669</v>
      </c>
      <c r="F36" s="10">
        <v>207129</v>
      </c>
      <c r="G36" s="10">
        <v>207645</v>
      </c>
      <c r="H36" s="10">
        <v>208062</v>
      </c>
      <c r="I36" s="10">
        <v>208351</v>
      </c>
      <c r="J36" s="10">
        <v>208586</v>
      </c>
      <c r="K36" s="10">
        <v>208649</v>
      </c>
      <c r="L36" s="10">
        <v>208649</v>
      </c>
      <c r="M36" s="10">
        <v>209083</v>
      </c>
      <c r="N36" s="11">
        <v>209364</v>
      </c>
      <c r="O36" s="11">
        <v>209567</v>
      </c>
      <c r="P36" s="11">
        <v>209805</v>
      </c>
      <c r="Q36" s="11">
        <v>210065</v>
      </c>
      <c r="R36" s="11">
        <v>210073</v>
      </c>
      <c r="S36" s="11">
        <v>210073</v>
      </c>
      <c r="T36" s="11">
        <v>210447</v>
      </c>
      <c r="U36" s="11">
        <v>210712</v>
      </c>
      <c r="V36" s="11">
        <v>210945</v>
      </c>
      <c r="W36" s="11">
        <v>211145</v>
      </c>
      <c r="X36" s="11">
        <v>211428</v>
      </c>
      <c r="Y36" s="11">
        <v>211458</v>
      </c>
      <c r="Z36" s="11">
        <v>211458</v>
      </c>
      <c r="AA36" s="85">
        <v>211643</v>
      </c>
      <c r="AB36" s="85">
        <v>211755</v>
      </c>
      <c r="AC36" s="11">
        <v>211755</v>
      </c>
      <c r="AD36" s="11">
        <v>211758</v>
      </c>
      <c r="AE36" s="11">
        <v>211758</v>
      </c>
      <c r="AF36" s="85">
        <v>211758</v>
      </c>
      <c r="AG36" s="85">
        <v>211758</v>
      </c>
      <c r="AH36" s="86">
        <v>211795</v>
      </c>
      <c r="AI36" s="86">
        <v>211795</v>
      </c>
      <c r="AJ36" s="82">
        <f>AI36-D36</f>
        <v>5126</v>
      </c>
    </row>
    <row r="37" spans="1:36">
      <c r="D37" s="106"/>
      <c r="E37" s="90"/>
      <c r="AC37" s="76"/>
      <c r="AJ37" s="78"/>
    </row>
    <row r="38" spans="1:36" ht="13" customHeight="1">
      <c r="A38" s="91"/>
      <c r="B38" s="92"/>
      <c r="C38" s="92"/>
      <c r="D38" s="107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</row>
    <row r="39" spans="1:36" ht="14.5" customHeight="1">
      <c r="A39" s="93"/>
      <c r="B39" s="534" t="s">
        <v>127</v>
      </c>
      <c r="C39" s="504"/>
      <c r="D39" s="501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</row>
    <row r="40" spans="1:36" ht="14.5" customHeight="1">
      <c r="A40" s="94"/>
      <c r="B40" s="538" t="s">
        <v>128</v>
      </c>
      <c r="C40" s="504"/>
      <c r="D40" s="501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</row>
    <row r="41" spans="1:36" ht="13" customHeight="1">
      <c r="A41" s="529" t="s">
        <v>99</v>
      </c>
      <c r="B41" s="529" t="s">
        <v>100</v>
      </c>
      <c r="C41" s="529" t="s">
        <v>101</v>
      </c>
      <c r="D41" s="517"/>
      <c r="E41" s="95">
        <f t="shared" ref="E41:AI41" si="2">E3</f>
        <v>45627</v>
      </c>
      <c r="F41" s="95">
        <f t="shared" si="2"/>
        <v>45628</v>
      </c>
      <c r="G41" s="95">
        <f t="shared" si="2"/>
        <v>45629</v>
      </c>
      <c r="H41" s="95">
        <f t="shared" si="2"/>
        <v>45630</v>
      </c>
      <c r="I41" s="95">
        <f t="shared" si="2"/>
        <v>45631</v>
      </c>
      <c r="J41" s="95">
        <f t="shared" si="2"/>
        <v>45632</v>
      </c>
      <c r="K41" s="95">
        <f t="shared" si="2"/>
        <v>45633</v>
      </c>
      <c r="L41" s="95">
        <f t="shared" si="2"/>
        <v>45634</v>
      </c>
      <c r="M41" s="95">
        <f t="shared" si="2"/>
        <v>45635</v>
      </c>
      <c r="N41" s="95">
        <f t="shared" si="2"/>
        <v>45636</v>
      </c>
      <c r="O41" s="95">
        <f t="shared" si="2"/>
        <v>45637</v>
      </c>
      <c r="P41" s="95">
        <f t="shared" si="2"/>
        <v>45638</v>
      </c>
      <c r="Q41" s="95">
        <f t="shared" si="2"/>
        <v>45639</v>
      </c>
      <c r="R41" s="95">
        <f t="shared" si="2"/>
        <v>45640</v>
      </c>
      <c r="S41" s="95">
        <f t="shared" si="2"/>
        <v>45641</v>
      </c>
      <c r="T41" s="95">
        <f t="shared" si="2"/>
        <v>45642</v>
      </c>
      <c r="U41" s="95">
        <f t="shared" si="2"/>
        <v>45643</v>
      </c>
      <c r="V41" s="95">
        <f t="shared" si="2"/>
        <v>45644</v>
      </c>
      <c r="W41" s="95">
        <f t="shared" si="2"/>
        <v>45645</v>
      </c>
      <c r="X41" s="95">
        <f t="shared" si="2"/>
        <v>45646</v>
      </c>
      <c r="Y41" s="95">
        <f t="shared" si="2"/>
        <v>45647</v>
      </c>
      <c r="Z41" s="95">
        <f t="shared" si="2"/>
        <v>45648</v>
      </c>
      <c r="AA41" s="95">
        <f t="shared" si="2"/>
        <v>45649</v>
      </c>
      <c r="AB41" s="95">
        <f t="shared" si="2"/>
        <v>45650</v>
      </c>
      <c r="AC41" s="95">
        <f t="shared" si="2"/>
        <v>45651</v>
      </c>
      <c r="AD41" s="95">
        <f t="shared" si="2"/>
        <v>45652</v>
      </c>
      <c r="AE41" s="95">
        <f t="shared" si="2"/>
        <v>45653</v>
      </c>
      <c r="AF41" s="95">
        <f t="shared" si="2"/>
        <v>45654</v>
      </c>
      <c r="AG41" s="95">
        <f t="shared" si="2"/>
        <v>45655</v>
      </c>
      <c r="AH41" s="95">
        <f t="shared" si="2"/>
        <v>45656</v>
      </c>
      <c r="AI41" s="95">
        <f t="shared" si="2"/>
        <v>45657</v>
      </c>
      <c r="AJ41" s="529" t="s">
        <v>1</v>
      </c>
    </row>
    <row r="42" spans="1:36" ht="13" customHeight="1">
      <c r="A42" s="508"/>
      <c r="B42" s="508"/>
      <c r="C42" s="518"/>
      <c r="D42" s="519"/>
      <c r="E42" s="96" t="str">
        <f t="shared" ref="E42:AI42" si="3">E4</f>
        <v>Sun</v>
      </c>
      <c r="F42" s="96" t="str">
        <f t="shared" si="3"/>
        <v>Mon</v>
      </c>
      <c r="G42" s="96" t="str">
        <f t="shared" si="3"/>
        <v>Tue</v>
      </c>
      <c r="H42" s="96" t="str">
        <f t="shared" si="3"/>
        <v>Wed</v>
      </c>
      <c r="I42" s="96" t="str">
        <f t="shared" si="3"/>
        <v>Thu</v>
      </c>
      <c r="J42" s="96" t="str">
        <f t="shared" si="3"/>
        <v>Fri</v>
      </c>
      <c r="K42" s="96" t="str">
        <f t="shared" si="3"/>
        <v>Sat</v>
      </c>
      <c r="L42" s="96" t="str">
        <f t="shared" si="3"/>
        <v>Sun</v>
      </c>
      <c r="M42" s="96" t="str">
        <f t="shared" si="3"/>
        <v>Mon</v>
      </c>
      <c r="N42" s="96" t="str">
        <f t="shared" si="3"/>
        <v>Tue</v>
      </c>
      <c r="O42" s="96" t="str">
        <f t="shared" si="3"/>
        <v>Wed</v>
      </c>
      <c r="P42" s="96" t="str">
        <f t="shared" si="3"/>
        <v>Thu</v>
      </c>
      <c r="Q42" s="96" t="str">
        <f t="shared" si="3"/>
        <v>Fri</v>
      </c>
      <c r="R42" s="96" t="str">
        <f t="shared" si="3"/>
        <v>Sat</v>
      </c>
      <c r="S42" s="96" t="str">
        <f t="shared" si="3"/>
        <v>Sun</v>
      </c>
      <c r="T42" s="96" t="str">
        <f t="shared" si="3"/>
        <v>Mon</v>
      </c>
      <c r="U42" s="96" t="str">
        <f t="shared" si="3"/>
        <v>Tue</v>
      </c>
      <c r="V42" s="96" t="str">
        <f t="shared" si="3"/>
        <v>Wed</v>
      </c>
      <c r="W42" s="96" t="str">
        <f t="shared" si="3"/>
        <v>Thu</v>
      </c>
      <c r="X42" s="96" t="str">
        <f t="shared" si="3"/>
        <v>Fri</v>
      </c>
      <c r="Y42" s="96" t="str">
        <f t="shared" si="3"/>
        <v>Sat</v>
      </c>
      <c r="Z42" s="96" t="str">
        <f t="shared" si="3"/>
        <v>Sun</v>
      </c>
      <c r="AA42" s="96" t="str">
        <f t="shared" si="3"/>
        <v>Mon</v>
      </c>
      <c r="AB42" s="96" t="str">
        <f t="shared" si="3"/>
        <v>Tue</v>
      </c>
      <c r="AC42" s="96" t="str">
        <f t="shared" si="3"/>
        <v>Wed</v>
      </c>
      <c r="AD42" s="96" t="str">
        <f t="shared" si="3"/>
        <v>Thu</v>
      </c>
      <c r="AE42" s="96" t="str">
        <f t="shared" si="3"/>
        <v>Fri</v>
      </c>
      <c r="AF42" s="96" t="str">
        <f t="shared" si="3"/>
        <v>Sat</v>
      </c>
      <c r="AG42" s="96" t="str">
        <f t="shared" si="3"/>
        <v>Sun</v>
      </c>
      <c r="AH42" s="96" t="str">
        <f t="shared" si="3"/>
        <v>Mon</v>
      </c>
      <c r="AI42" s="96" t="str">
        <f t="shared" si="3"/>
        <v>Tue</v>
      </c>
      <c r="AJ42" s="508"/>
    </row>
    <row r="43" spans="1:36" ht="13" customHeight="1">
      <c r="A43" s="508"/>
      <c r="B43" s="508"/>
      <c r="C43" s="518"/>
      <c r="D43" s="519"/>
      <c r="E43" s="97" t="s">
        <v>110</v>
      </c>
      <c r="F43" s="97" t="s">
        <v>110</v>
      </c>
      <c r="G43" s="97" t="s">
        <v>110</v>
      </c>
      <c r="H43" s="97" t="s">
        <v>110</v>
      </c>
      <c r="I43" s="97" t="s">
        <v>110</v>
      </c>
      <c r="J43" s="97" t="s">
        <v>110</v>
      </c>
      <c r="K43" s="97" t="s">
        <v>110</v>
      </c>
      <c r="L43" s="97" t="s">
        <v>110</v>
      </c>
      <c r="M43" s="97" t="s">
        <v>110</v>
      </c>
      <c r="N43" s="97" t="s">
        <v>110</v>
      </c>
      <c r="O43" s="97" t="s">
        <v>110</v>
      </c>
      <c r="P43" s="97" t="s">
        <v>110</v>
      </c>
      <c r="Q43" s="97" t="s">
        <v>110</v>
      </c>
      <c r="R43" s="97" t="s">
        <v>110</v>
      </c>
      <c r="S43" s="97" t="s">
        <v>110</v>
      </c>
      <c r="T43" s="97" t="s">
        <v>110</v>
      </c>
      <c r="U43" s="97" t="s">
        <v>110</v>
      </c>
      <c r="V43" s="97" t="s">
        <v>110</v>
      </c>
      <c r="W43" s="97" t="s">
        <v>110</v>
      </c>
      <c r="X43" s="97" t="s">
        <v>110</v>
      </c>
      <c r="Y43" s="97" t="s">
        <v>110</v>
      </c>
      <c r="Z43" s="97" t="s">
        <v>110</v>
      </c>
      <c r="AA43" s="97" t="s">
        <v>110</v>
      </c>
      <c r="AB43" s="97" t="s">
        <v>110</v>
      </c>
      <c r="AC43" s="97" t="s">
        <v>110</v>
      </c>
      <c r="AD43" s="97" t="s">
        <v>110</v>
      </c>
      <c r="AE43" s="97" t="s">
        <v>110</v>
      </c>
      <c r="AF43" s="97" t="s">
        <v>110</v>
      </c>
      <c r="AG43" s="97" t="s">
        <v>110</v>
      </c>
      <c r="AH43" s="95" t="str">
        <f>AH5</f>
        <v>Time</v>
      </c>
      <c r="AI43" s="97" t="s">
        <v>110</v>
      </c>
      <c r="AJ43" s="508"/>
    </row>
    <row r="44" spans="1:36" ht="13" customHeight="1">
      <c r="A44" s="509"/>
      <c r="B44" s="509"/>
      <c r="C44" s="520"/>
      <c r="D44" s="521"/>
      <c r="E44" s="98">
        <v>0.33333333333333331</v>
      </c>
      <c r="F44" s="98">
        <v>0.33333333333333331</v>
      </c>
      <c r="G44" s="98">
        <v>0.33333333333333331</v>
      </c>
      <c r="H44" s="98">
        <v>0.33333333333333331</v>
      </c>
      <c r="I44" s="98">
        <v>0.33333333333333331</v>
      </c>
      <c r="J44" s="98">
        <v>0.33333333333333331</v>
      </c>
      <c r="K44" s="98">
        <v>0.33333333333333331</v>
      </c>
      <c r="L44" s="98">
        <v>0.33333333333333331</v>
      </c>
      <c r="M44" s="98">
        <v>0.33333333333333331</v>
      </c>
      <c r="N44" s="98">
        <v>0.33333333333333331</v>
      </c>
      <c r="O44" s="98">
        <v>0.33333333333333331</v>
      </c>
      <c r="P44" s="98">
        <v>0.33333333333333331</v>
      </c>
      <c r="Q44" s="98">
        <v>0.33333333333333331</v>
      </c>
      <c r="R44" s="98">
        <v>0.33333333333333331</v>
      </c>
      <c r="S44" s="98">
        <v>0.33333333333333331</v>
      </c>
      <c r="T44" s="98">
        <v>0.33333333333333331</v>
      </c>
      <c r="U44" s="98">
        <v>0.33333333333333331</v>
      </c>
      <c r="V44" s="98">
        <v>0.33333333333333331</v>
      </c>
      <c r="W44" s="98">
        <v>0.33333333333333331</v>
      </c>
      <c r="X44" s="98">
        <v>0.33333333333333331</v>
      </c>
      <c r="Y44" s="98">
        <v>0.33333333333333331</v>
      </c>
      <c r="Z44" s="98">
        <v>0.33333333333333331</v>
      </c>
      <c r="AA44" s="98">
        <v>0.33333333333333331</v>
      </c>
      <c r="AB44" s="98">
        <v>0.33333333333333331</v>
      </c>
      <c r="AC44" s="98">
        <v>0.33333333333333331</v>
      </c>
      <c r="AD44" s="98">
        <v>0.33333333333333331</v>
      </c>
      <c r="AE44" s="98">
        <v>0.33333333333333331</v>
      </c>
      <c r="AF44" s="98">
        <v>0.33333333333333331</v>
      </c>
      <c r="AG44" s="98">
        <v>0.33333333333333331</v>
      </c>
      <c r="AH44" s="98">
        <v>0.33333333333333331</v>
      </c>
      <c r="AI44" s="98">
        <v>0.33333333333333331</v>
      </c>
      <c r="AJ44" s="509"/>
    </row>
    <row r="45" spans="1:36" ht="15" customHeight="1">
      <c r="A45" s="2">
        <v>1</v>
      </c>
      <c r="B45" s="2" t="s">
        <v>129</v>
      </c>
      <c r="C45" s="503" t="s">
        <v>111</v>
      </c>
      <c r="D45" s="501"/>
      <c r="E45" s="20">
        <f t="shared" ref="E45:AI45" si="4">E7-D7</f>
        <v>327</v>
      </c>
      <c r="F45" s="20">
        <f t="shared" si="4"/>
        <v>264</v>
      </c>
      <c r="G45" s="20">
        <f t="shared" si="4"/>
        <v>255</v>
      </c>
      <c r="H45" s="20">
        <f t="shared" si="4"/>
        <v>264</v>
      </c>
      <c r="I45" s="20">
        <f t="shared" si="4"/>
        <v>273</v>
      </c>
      <c r="J45" s="20">
        <f t="shared" si="4"/>
        <v>246</v>
      </c>
      <c r="K45" s="20">
        <f t="shared" si="4"/>
        <v>222</v>
      </c>
      <c r="L45" s="20">
        <f t="shared" si="4"/>
        <v>211</v>
      </c>
      <c r="M45" s="20">
        <f t="shared" si="4"/>
        <v>280</v>
      </c>
      <c r="N45" s="20">
        <f t="shared" si="4"/>
        <v>258</v>
      </c>
      <c r="O45" s="20">
        <f t="shared" si="4"/>
        <v>260</v>
      </c>
      <c r="P45" s="20">
        <f t="shared" si="4"/>
        <v>261</v>
      </c>
      <c r="Q45" s="20">
        <f t="shared" si="4"/>
        <v>236</v>
      </c>
      <c r="R45" s="20">
        <f t="shared" si="4"/>
        <v>146</v>
      </c>
      <c r="S45" s="20">
        <f t="shared" si="4"/>
        <v>219</v>
      </c>
      <c r="T45" s="20">
        <f t="shared" si="4"/>
        <v>263</v>
      </c>
      <c r="U45" s="20">
        <f t="shared" si="4"/>
        <v>274</v>
      </c>
      <c r="V45" s="20">
        <f t="shared" si="4"/>
        <v>256</v>
      </c>
      <c r="W45" s="20">
        <f t="shared" si="4"/>
        <v>251</v>
      </c>
      <c r="X45" s="20">
        <f t="shared" si="4"/>
        <v>251</v>
      </c>
      <c r="Y45" s="20">
        <f t="shared" si="4"/>
        <v>220</v>
      </c>
      <c r="Z45" s="20">
        <f t="shared" si="4"/>
        <v>204</v>
      </c>
      <c r="AA45" s="20">
        <f t="shared" si="4"/>
        <v>231</v>
      </c>
      <c r="AB45" s="20">
        <f t="shared" si="4"/>
        <v>193</v>
      </c>
      <c r="AC45" s="20">
        <f t="shared" si="4"/>
        <v>328</v>
      </c>
      <c r="AD45" s="20">
        <f t="shared" si="4"/>
        <v>221</v>
      </c>
      <c r="AE45" s="20">
        <f t="shared" si="4"/>
        <v>222</v>
      </c>
      <c r="AF45" s="20">
        <f t="shared" si="4"/>
        <v>208</v>
      </c>
      <c r="AG45" s="20">
        <f t="shared" si="4"/>
        <v>215</v>
      </c>
      <c r="AH45" s="20">
        <f t="shared" si="4"/>
        <v>239</v>
      </c>
      <c r="AI45" s="20">
        <f t="shared" si="4"/>
        <v>103</v>
      </c>
      <c r="AJ45" s="21">
        <f t="shared" ref="AJ45:AJ62" si="5">SUM(E45:AI45)</f>
        <v>7401</v>
      </c>
    </row>
    <row r="46" spans="1:36" ht="15" customHeight="1">
      <c r="A46" s="2"/>
      <c r="B46" s="2"/>
      <c r="C46" s="531" t="s">
        <v>22</v>
      </c>
      <c r="D46" s="501"/>
      <c r="E46" s="20">
        <f t="shared" ref="E46:AI46" si="6">E8-D8</f>
        <v>0</v>
      </c>
      <c r="F46" s="20">
        <f t="shared" si="6"/>
        <v>0</v>
      </c>
      <c r="G46" s="20">
        <f t="shared" si="6"/>
        <v>0</v>
      </c>
      <c r="H46" s="20">
        <f t="shared" si="6"/>
        <v>0</v>
      </c>
      <c r="I46" s="20">
        <f t="shared" si="6"/>
        <v>0</v>
      </c>
      <c r="J46" s="20">
        <f t="shared" si="6"/>
        <v>0</v>
      </c>
      <c r="K46" s="20">
        <f t="shared" si="6"/>
        <v>0</v>
      </c>
      <c r="L46" s="20">
        <f t="shared" si="6"/>
        <v>0</v>
      </c>
      <c r="M46" s="20">
        <f t="shared" si="6"/>
        <v>0</v>
      </c>
      <c r="N46" s="20">
        <f t="shared" si="6"/>
        <v>0</v>
      </c>
      <c r="O46" s="20">
        <f t="shared" si="6"/>
        <v>0</v>
      </c>
      <c r="P46" s="20">
        <f t="shared" si="6"/>
        <v>0</v>
      </c>
      <c r="Q46" s="20">
        <f t="shared" si="6"/>
        <v>0</v>
      </c>
      <c r="R46" s="20">
        <f t="shared" si="6"/>
        <v>0</v>
      </c>
      <c r="S46" s="20">
        <f t="shared" si="6"/>
        <v>0</v>
      </c>
      <c r="T46" s="20">
        <f t="shared" si="6"/>
        <v>0</v>
      </c>
      <c r="U46" s="20">
        <f t="shared" si="6"/>
        <v>0</v>
      </c>
      <c r="V46" s="20">
        <f t="shared" si="6"/>
        <v>0</v>
      </c>
      <c r="W46" s="20">
        <f t="shared" si="6"/>
        <v>0</v>
      </c>
      <c r="X46" s="20">
        <f t="shared" si="6"/>
        <v>0</v>
      </c>
      <c r="Y46" s="20">
        <f t="shared" si="6"/>
        <v>3</v>
      </c>
      <c r="Z46" s="20">
        <f t="shared" si="6"/>
        <v>0</v>
      </c>
      <c r="AA46" s="20">
        <f t="shared" si="6"/>
        <v>8</v>
      </c>
      <c r="AB46" s="20">
        <f t="shared" si="6"/>
        <v>0</v>
      </c>
      <c r="AC46" s="20">
        <f t="shared" si="6"/>
        <v>0</v>
      </c>
      <c r="AD46" s="20">
        <f t="shared" si="6"/>
        <v>0</v>
      </c>
      <c r="AE46" s="20">
        <f t="shared" si="6"/>
        <v>0</v>
      </c>
      <c r="AF46" s="20">
        <f t="shared" si="6"/>
        <v>0</v>
      </c>
      <c r="AG46" s="20">
        <f t="shared" si="6"/>
        <v>0</v>
      </c>
      <c r="AH46" s="20">
        <f t="shared" si="6"/>
        <v>0</v>
      </c>
      <c r="AI46" s="20">
        <f t="shared" si="6"/>
        <v>0</v>
      </c>
      <c r="AJ46" s="21">
        <f t="shared" si="5"/>
        <v>11</v>
      </c>
    </row>
    <row r="47" spans="1:36" ht="15" customHeight="1">
      <c r="A47" s="2">
        <v>2</v>
      </c>
      <c r="B47" s="2" t="s">
        <v>129</v>
      </c>
      <c r="C47" s="503" t="s">
        <v>112</v>
      </c>
      <c r="D47" s="501"/>
      <c r="E47" s="20">
        <f t="shared" ref="E47:AI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0">
        <f t="shared" si="7"/>
        <v>0</v>
      </c>
      <c r="AH47" s="20">
        <f t="shared" si="7"/>
        <v>0</v>
      </c>
      <c r="AI47" s="20">
        <f t="shared" si="7"/>
        <v>0</v>
      </c>
      <c r="AJ47" s="21">
        <f t="shared" si="5"/>
        <v>0</v>
      </c>
    </row>
    <row r="48" spans="1:36" ht="15" customHeight="1">
      <c r="A48" s="2"/>
      <c r="B48" s="2"/>
      <c r="C48" s="531" t="s">
        <v>22</v>
      </c>
      <c r="D48" s="501"/>
      <c r="E48" s="20">
        <f t="shared" ref="E48:AI48" si="8">E10-D10</f>
        <v>0</v>
      </c>
      <c r="F48" s="20">
        <f t="shared" si="8"/>
        <v>0</v>
      </c>
      <c r="G48" s="20">
        <f t="shared" si="8"/>
        <v>0</v>
      </c>
      <c r="H48" s="20">
        <f t="shared" si="8"/>
        <v>0</v>
      </c>
      <c r="I48" s="20">
        <f t="shared" si="8"/>
        <v>0</v>
      </c>
      <c r="J48" s="20">
        <f t="shared" si="8"/>
        <v>0</v>
      </c>
      <c r="K48" s="20">
        <f t="shared" si="8"/>
        <v>0</v>
      </c>
      <c r="L48" s="20">
        <f t="shared" si="8"/>
        <v>0</v>
      </c>
      <c r="M48" s="20">
        <f t="shared" si="8"/>
        <v>0</v>
      </c>
      <c r="N48" s="20">
        <f t="shared" si="8"/>
        <v>0</v>
      </c>
      <c r="O48" s="20">
        <f t="shared" si="8"/>
        <v>0</v>
      </c>
      <c r="P48" s="20">
        <f t="shared" si="8"/>
        <v>0</v>
      </c>
      <c r="Q48" s="20">
        <f t="shared" si="8"/>
        <v>0</v>
      </c>
      <c r="R48" s="20">
        <f t="shared" si="8"/>
        <v>0</v>
      </c>
      <c r="S48" s="20">
        <f t="shared" si="8"/>
        <v>0</v>
      </c>
      <c r="T48" s="20">
        <f t="shared" si="8"/>
        <v>0</v>
      </c>
      <c r="U48" s="20">
        <f t="shared" si="8"/>
        <v>0</v>
      </c>
      <c r="V48" s="20">
        <f t="shared" si="8"/>
        <v>0</v>
      </c>
      <c r="W48" s="20">
        <f t="shared" si="8"/>
        <v>0</v>
      </c>
      <c r="X48" s="20">
        <f t="shared" si="8"/>
        <v>0</v>
      </c>
      <c r="Y48" s="20">
        <f t="shared" si="8"/>
        <v>0</v>
      </c>
      <c r="Z48" s="20">
        <f t="shared" si="8"/>
        <v>0</v>
      </c>
      <c r="AA48" s="20">
        <f t="shared" si="8"/>
        <v>0</v>
      </c>
      <c r="AB48" s="20">
        <f t="shared" si="8"/>
        <v>0</v>
      </c>
      <c r="AC48" s="20">
        <f t="shared" si="8"/>
        <v>0</v>
      </c>
      <c r="AD48" s="20">
        <f t="shared" si="8"/>
        <v>0</v>
      </c>
      <c r="AE48" s="20">
        <f t="shared" si="8"/>
        <v>0</v>
      </c>
      <c r="AF48" s="20">
        <f t="shared" si="8"/>
        <v>0</v>
      </c>
      <c r="AG48" s="20">
        <f t="shared" si="8"/>
        <v>0</v>
      </c>
      <c r="AH48" s="20">
        <f t="shared" si="8"/>
        <v>0</v>
      </c>
      <c r="AI48" s="20">
        <f t="shared" si="8"/>
        <v>0</v>
      </c>
      <c r="AJ48" s="21">
        <f t="shared" si="5"/>
        <v>0</v>
      </c>
    </row>
    <row r="49" spans="1:38" ht="15" customHeight="1">
      <c r="A49" s="2">
        <v>3</v>
      </c>
      <c r="B49" s="2" t="s">
        <v>129</v>
      </c>
      <c r="C49" s="503" t="s">
        <v>113</v>
      </c>
      <c r="D49" s="501"/>
      <c r="E49" s="20">
        <f t="shared" ref="E49:AI49" si="9">E11-D11</f>
        <v>447</v>
      </c>
      <c r="F49" s="20">
        <f t="shared" si="9"/>
        <v>382</v>
      </c>
      <c r="G49" s="20">
        <f t="shared" si="9"/>
        <v>365</v>
      </c>
      <c r="H49" s="20">
        <f t="shared" si="9"/>
        <v>384</v>
      </c>
      <c r="I49" s="20">
        <f t="shared" si="9"/>
        <v>389</v>
      </c>
      <c r="J49" s="20">
        <f t="shared" si="9"/>
        <v>347</v>
      </c>
      <c r="K49" s="20">
        <f t="shared" si="9"/>
        <v>295</v>
      </c>
      <c r="L49" s="20">
        <f t="shared" si="9"/>
        <v>282</v>
      </c>
      <c r="M49" s="20">
        <f t="shared" si="9"/>
        <v>401</v>
      </c>
      <c r="N49" s="20">
        <f t="shared" si="9"/>
        <v>372</v>
      </c>
      <c r="O49" s="20">
        <f t="shared" si="9"/>
        <v>376</v>
      </c>
      <c r="P49" s="20">
        <f t="shared" si="9"/>
        <v>376</v>
      </c>
      <c r="Q49" s="20">
        <f t="shared" si="9"/>
        <v>352</v>
      </c>
      <c r="R49" s="20">
        <f t="shared" si="9"/>
        <v>176</v>
      </c>
      <c r="S49" s="20">
        <f t="shared" si="9"/>
        <v>294</v>
      </c>
      <c r="T49" s="20">
        <f t="shared" si="9"/>
        <v>386</v>
      </c>
      <c r="U49" s="20">
        <f t="shared" si="9"/>
        <v>378</v>
      </c>
      <c r="V49" s="20">
        <f t="shared" si="9"/>
        <v>359</v>
      </c>
      <c r="W49" s="20">
        <f t="shared" si="9"/>
        <v>363</v>
      </c>
      <c r="X49" s="20">
        <f t="shared" si="9"/>
        <v>325</v>
      </c>
      <c r="Y49" s="20">
        <f t="shared" si="9"/>
        <v>329</v>
      </c>
      <c r="Z49" s="20">
        <f t="shared" si="9"/>
        <v>273</v>
      </c>
      <c r="AA49" s="20">
        <f t="shared" si="9"/>
        <v>323</v>
      </c>
      <c r="AB49" s="20">
        <f t="shared" si="9"/>
        <v>314</v>
      </c>
      <c r="AC49" s="20">
        <f t="shared" si="9"/>
        <v>249</v>
      </c>
      <c r="AD49" s="20">
        <f t="shared" si="9"/>
        <v>333</v>
      </c>
      <c r="AE49" s="20">
        <f t="shared" si="9"/>
        <v>297</v>
      </c>
      <c r="AF49" s="20">
        <f t="shared" si="9"/>
        <v>274</v>
      </c>
      <c r="AG49" s="20">
        <f t="shared" si="9"/>
        <v>284</v>
      </c>
      <c r="AH49" s="20">
        <f t="shared" si="9"/>
        <v>321</v>
      </c>
      <c r="AI49" s="20">
        <f t="shared" si="9"/>
        <v>137</v>
      </c>
      <c r="AJ49" s="21">
        <f t="shared" si="5"/>
        <v>10183</v>
      </c>
    </row>
    <row r="50" spans="1:38" ht="15" customHeight="1">
      <c r="A50" s="2"/>
      <c r="B50" s="2"/>
      <c r="C50" s="531" t="s">
        <v>22</v>
      </c>
      <c r="D50" s="501"/>
      <c r="E50" s="20">
        <f t="shared" ref="E50:AI50" si="10">E12-D12</f>
        <v>0</v>
      </c>
      <c r="F50" s="20">
        <f t="shared" si="10"/>
        <v>0</v>
      </c>
      <c r="G50" s="20">
        <f t="shared" si="10"/>
        <v>0</v>
      </c>
      <c r="H50" s="20">
        <f t="shared" si="10"/>
        <v>0</v>
      </c>
      <c r="I50" s="20">
        <f t="shared" si="10"/>
        <v>0</v>
      </c>
      <c r="J50" s="20">
        <f t="shared" si="10"/>
        <v>0</v>
      </c>
      <c r="K50" s="20">
        <f t="shared" si="10"/>
        <v>0</v>
      </c>
      <c r="L50" s="20">
        <f t="shared" si="10"/>
        <v>0</v>
      </c>
      <c r="M50" s="20">
        <f t="shared" si="10"/>
        <v>0</v>
      </c>
      <c r="N50" s="20">
        <f t="shared" si="10"/>
        <v>0</v>
      </c>
      <c r="O50" s="20">
        <f t="shared" si="10"/>
        <v>0</v>
      </c>
      <c r="P50" s="20">
        <f t="shared" si="10"/>
        <v>0</v>
      </c>
      <c r="Q50" s="20">
        <f t="shared" si="10"/>
        <v>0</v>
      </c>
      <c r="R50" s="20">
        <f t="shared" si="10"/>
        <v>0</v>
      </c>
      <c r="S50" s="20">
        <f t="shared" si="10"/>
        <v>0</v>
      </c>
      <c r="T50" s="20">
        <f t="shared" si="10"/>
        <v>0</v>
      </c>
      <c r="U50" s="20">
        <f t="shared" si="10"/>
        <v>0</v>
      </c>
      <c r="V50" s="20">
        <f t="shared" si="10"/>
        <v>0</v>
      </c>
      <c r="W50" s="20">
        <f t="shared" si="10"/>
        <v>0</v>
      </c>
      <c r="X50" s="20">
        <f t="shared" si="10"/>
        <v>0</v>
      </c>
      <c r="Y50" s="20">
        <f t="shared" si="10"/>
        <v>5</v>
      </c>
      <c r="Z50" s="20">
        <f t="shared" si="10"/>
        <v>11</v>
      </c>
      <c r="AA50" s="20">
        <f t="shared" si="10"/>
        <v>0</v>
      </c>
      <c r="AB50" s="20">
        <f t="shared" si="10"/>
        <v>0</v>
      </c>
      <c r="AC50" s="20">
        <f t="shared" si="10"/>
        <v>0</v>
      </c>
      <c r="AD50" s="20">
        <f t="shared" si="10"/>
        <v>0</v>
      </c>
      <c r="AE50" s="20">
        <f t="shared" si="10"/>
        <v>0</v>
      </c>
      <c r="AF50" s="20">
        <f t="shared" si="10"/>
        <v>0</v>
      </c>
      <c r="AG50" s="20">
        <f t="shared" si="10"/>
        <v>0</v>
      </c>
      <c r="AH50" s="20">
        <f t="shared" si="10"/>
        <v>0</v>
      </c>
      <c r="AI50" s="20">
        <f t="shared" si="10"/>
        <v>0</v>
      </c>
      <c r="AJ50" s="21">
        <f t="shared" si="5"/>
        <v>16</v>
      </c>
    </row>
    <row r="51" spans="1:38" ht="15" customHeight="1">
      <c r="A51" s="2">
        <v>4</v>
      </c>
      <c r="B51" s="2" t="s">
        <v>129</v>
      </c>
      <c r="C51" s="503" t="s">
        <v>114</v>
      </c>
      <c r="D51" s="501"/>
      <c r="E51" s="20">
        <f t="shared" ref="E51:AI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0">
        <f t="shared" si="11"/>
        <v>0</v>
      </c>
      <c r="AH51" s="20">
        <f t="shared" si="11"/>
        <v>0</v>
      </c>
      <c r="AI51" s="20">
        <f t="shared" si="11"/>
        <v>0</v>
      </c>
      <c r="AJ51" s="21">
        <f t="shared" si="5"/>
        <v>0</v>
      </c>
    </row>
    <row r="52" spans="1:38" ht="15" customHeight="1">
      <c r="A52" s="2"/>
      <c r="B52" s="2"/>
      <c r="C52" s="531" t="s">
        <v>22</v>
      </c>
      <c r="D52" s="501"/>
      <c r="E52" s="20">
        <f t="shared" ref="E52:AI52" si="12">E14-D14</f>
        <v>0</v>
      </c>
      <c r="F52" s="20">
        <f t="shared" si="12"/>
        <v>0</v>
      </c>
      <c r="G52" s="20">
        <f t="shared" si="12"/>
        <v>0</v>
      </c>
      <c r="H52" s="20">
        <f t="shared" si="12"/>
        <v>0</v>
      </c>
      <c r="I52" s="20">
        <f t="shared" si="12"/>
        <v>0</v>
      </c>
      <c r="J52" s="20">
        <f t="shared" si="12"/>
        <v>0</v>
      </c>
      <c r="K52" s="20">
        <f t="shared" si="12"/>
        <v>0</v>
      </c>
      <c r="L52" s="20">
        <f t="shared" si="12"/>
        <v>0</v>
      </c>
      <c r="M52" s="20">
        <f t="shared" si="12"/>
        <v>0</v>
      </c>
      <c r="N52" s="20">
        <f t="shared" si="12"/>
        <v>0</v>
      </c>
      <c r="O52" s="20">
        <f t="shared" si="12"/>
        <v>0</v>
      </c>
      <c r="P52" s="20">
        <f t="shared" si="12"/>
        <v>0</v>
      </c>
      <c r="Q52" s="20">
        <f t="shared" si="12"/>
        <v>0</v>
      </c>
      <c r="R52" s="20">
        <f t="shared" si="12"/>
        <v>0</v>
      </c>
      <c r="S52" s="20">
        <f t="shared" si="12"/>
        <v>0</v>
      </c>
      <c r="T52" s="20">
        <f t="shared" si="12"/>
        <v>0</v>
      </c>
      <c r="U52" s="20">
        <f t="shared" si="12"/>
        <v>0</v>
      </c>
      <c r="V52" s="20">
        <f t="shared" si="12"/>
        <v>0</v>
      </c>
      <c r="W52" s="20">
        <f t="shared" si="12"/>
        <v>0</v>
      </c>
      <c r="X52" s="20">
        <f t="shared" si="12"/>
        <v>0</v>
      </c>
      <c r="Y52" s="20">
        <f t="shared" si="12"/>
        <v>0</v>
      </c>
      <c r="Z52" s="20">
        <f t="shared" si="12"/>
        <v>0</v>
      </c>
      <c r="AA52" s="20">
        <f t="shared" si="12"/>
        <v>0</v>
      </c>
      <c r="AB52" s="20">
        <f t="shared" si="12"/>
        <v>0</v>
      </c>
      <c r="AC52" s="20">
        <f t="shared" si="12"/>
        <v>0</v>
      </c>
      <c r="AD52" s="20">
        <f t="shared" si="12"/>
        <v>0</v>
      </c>
      <c r="AE52" s="20">
        <f t="shared" si="12"/>
        <v>0</v>
      </c>
      <c r="AF52" s="20">
        <f t="shared" si="12"/>
        <v>0</v>
      </c>
      <c r="AG52" s="20">
        <f t="shared" si="12"/>
        <v>0</v>
      </c>
      <c r="AH52" s="20">
        <f t="shared" si="12"/>
        <v>0</v>
      </c>
      <c r="AI52" s="20">
        <f t="shared" si="12"/>
        <v>0</v>
      </c>
      <c r="AJ52" s="21">
        <f t="shared" si="5"/>
        <v>0</v>
      </c>
    </row>
    <row r="53" spans="1:38" ht="15" customHeight="1">
      <c r="A53" s="2">
        <v>5</v>
      </c>
      <c r="B53" s="2" t="s">
        <v>129</v>
      </c>
      <c r="C53" s="503" t="s">
        <v>115</v>
      </c>
      <c r="D53" s="501"/>
      <c r="E53" s="20">
        <f t="shared" ref="E53:AI53" si="13">E15-D15</f>
        <v>183</v>
      </c>
      <c r="F53" s="20">
        <f t="shared" si="13"/>
        <v>215</v>
      </c>
      <c r="G53" s="20">
        <f t="shared" si="13"/>
        <v>175</v>
      </c>
      <c r="H53" s="20">
        <f t="shared" si="13"/>
        <v>242</v>
      </c>
      <c r="I53" s="20">
        <f t="shared" si="13"/>
        <v>219</v>
      </c>
      <c r="J53" s="20">
        <f t="shared" si="13"/>
        <v>203</v>
      </c>
      <c r="K53" s="20">
        <f t="shared" si="13"/>
        <v>118</v>
      </c>
      <c r="L53" s="20">
        <f t="shared" si="13"/>
        <v>114</v>
      </c>
      <c r="M53" s="20">
        <f t="shared" si="13"/>
        <v>184</v>
      </c>
      <c r="N53" s="20">
        <f t="shared" si="13"/>
        <v>186</v>
      </c>
      <c r="O53" s="20">
        <f t="shared" si="13"/>
        <v>295</v>
      </c>
      <c r="P53" s="20">
        <f t="shared" si="13"/>
        <v>211</v>
      </c>
      <c r="Q53" s="20">
        <f t="shared" si="13"/>
        <v>200</v>
      </c>
      <c r="R53" s="20">
        <f t="shared" si="13"/>
        <v>93</v>
      </c>
      <c r="S53" s="20">
        <f t="shared" si="13"/>
        <v>126</v>
      </c>
      <c r="T53" s="20">
        <f t="shared" si="13"/>
        <v>219</v>
      </c>
      <c r="U53" s="20">
        <f t="shared" si="13"/>
        <v>221</v>
      </c>
      <c r="V53" s="20">
        <f t="shared" si="13"/>
        <v>210</v>
      </c>
      <c r="W53" s="20">
        <f t="shared" si="13"/>
        <v>197</v>
      </c>
      <c r="X53" s="20">
        <f t="shared" si="13"/>
        <v>208</v>
      </c>
      <c r="Y53" s="20">
        <f t="shared" si="13"/>
        <v>119</v>
      </c>
      <c r="Z53" s="20">
        <f t="shared" si="13"/>
        <v>119</v>
      </c>
      <c r="AA53" s="20">
        <f t="shared" si="13"/>
        <v>180</v>
      </c>
      <c r="AB53" s="20">
        <f t="shared" si="13"/>
        <v>177</v>
      </c>
      <c r="AC53" s="20">
        <f t="shared" si="13"/>
        <v>136</v>
      </c>
      <c r="AD53" s="20">
        <f t="shared" si="13"/>
        <v>160</v>
      </c>
      <c r="AE53" s="20">
        <f t="shared" si="13"/>
        <v>151</v>
      </c>
      <c r="AF53" s="20">
        <f t="shared" si="13"/>
        <v>106</v>
      </c>
      <c r="AG53" s="20">
        <f t="shared" si="13"/>
        <v>109</v>
      </c>
      <c r="AH53" s="20">
        <f t="shared" si="13"/>
        <v>164</v>
      </c>
      <c r="AI53" s="20">
        <f t="shared" si="13"/>
        <v>82</v>
      </c>
      <c r="AJ53" s="21">
        <f t="shared" si="5"/>
        <v>5322</v>
      </c>
    </row>
    <row r="54" spans="1:38" ht="15" customHeight="1">
      <c r="A54" s="2"/>
      <c r="B54" s="2"/>
      <c r="C54" s="531" t="s">
        <v>22</v>
      </c>
      <c r="D54" s="501"/>
      <c r="E54" s="20">
        <f t="shared" ref="E54:AI54" si="14">E16-D16</f>
        <v>0</v>
      </c>
      <c r="F54" s="20">
        <f t="shared" si="14"/>
        <v>0</v>
      </c>
      <c r="G54" s="20">
        <f t="shared" si="14"/>
        <v>0</v>
      </c>
      <c r="H54" s="20">
        <f t="shared" si="14"/>
        <v>0</v>
      </c>
      <c r="I54" s="20">
        <f t="shared" si="14"/>
        <v>0</v>
      </c>
      <c r="J54" s="20">
        <f t="shared" si="14"/>
        <v>0</v>
      </c>
      <c r="K54" s="20">
        <f t="shared" si="14"/>
        <v>0</v>
      </c>
      <c r="L54" s="20">
        <f t="shared" si="14"/>
        <v>0</v>
      </c>
      <c r="M54" s="20">
        <f t="shared" si="14"/>
        <v>0</v>
      </c>
      <c r="N54" s="20">
        <f t="shared" si="14"/>
        <v>0</v>
      </c>
      <c r="O54" s="20">
        <f t="shared" si="14"/>
        <v>0</v>
      </c>
      <c r="P54" s="20">
        <f t="shared" si="14"/>
        <v>0</v>
      </c>
      <c r="Q54" s="20">
        <f t="shared" si="14"/>
        <v>0</v>
      </c>
      <c r="R54" s="20">
        <f t="shared" si="14"/>
        <v>0</v>
      </c>
      <c r="S54" s="20">
        <f t="shared" si="14"/>
        <v>0</v>
      </c>
      <c r="T54" s="20">
        <f t="shared" si="14"/>
        <v>0</v>
      </c>
      <c r="U54" s="20">
        <f t="shared" si="14"/>
        <v>0</v>
      </c>
      <c r="V54" s="20">
        <f t="shared" si="14"/>
        <v>0</v>
      </c>
      <c r="W54" s="20">
        <f t="shared" si="14"/>
        <v>0</v>
      </c>
      <c r="X54" s="20">
        <f t="shared" si="14"/>
        <v>0</v>
      </c>
      <c r="Y54" s="20">
        <f t="shared" si="14"/>
        <v>2</v>
      </c>
      <c r="Z54" s="20">
        <f t="shared" si="14"/>
        <v>4</v>
      </c>
      <c r="AA54" s="20">
        <f t="shared" si="14"/>
        <v>0</v>
      </c>
      <c r="AB54" s="20">
        <f t="shared" si="14"/>
        <v>0</v>
      </c>
      <c r="AC54" s="20">
        <f t="shared" si="14"/>
        <v>0</v>
      </c>
      <c r="AD54" s="20">
        <f t="shared" si="14"/>
        <v>0</v>
      </c>
      <c r="AE54" s="20">
        <f t="shared" si="14"/>
        <v>0</v>
      </c>
      <c r="AF54" s="20">
        <f t="shared" si="14"/>
        <v>0</v>
      </c>
      <c r="AG54" s="20">
        <f t="shared" si="14"/>
        <v>0</v>
      </c>
      <c r="AH54" s="20">
        <f t="shared" si="14"/>
        <v>0</v>
      </c>
      <c r="AI54" s="20">
        <f t="shared" si="14"/>
        <v>0</v>
      </c>
      <c r="AJ54" s="105">
        <f t="shared" si="5"/>
        <v>6</v>
      </c>
      <c r="AK54" s="115" t="s">
        <v>20</v>
      </c>
      <c r="AL54" s="116">
        <f>SUM(AJ7,AJ9,AJ11,AJ13,AJ15,AJ17,AJ19,AJ21)</f>
        <v>50692</v>
      </c>
    </row>
    <row r="55" spans="1:38" ht="15" customHeight="1">
      <c r="A55" s="2">
        <v>6</v>
      </c>
      <c r="B55" s="2" t="s">
        <v>129</v>
      </c>
      <c r="C55" s="503" t="s">
        <v>116</v>
      </c>
      <c r="D55" s="501"/>
      <c r="E55" s="20">
        <f t="shared" ref="E55:AI55" si="15">E17-D17</f>
        <v>200</v>
      </c>
      <c r="F55" s="20">
        <f t="shared" si="15"/>
        <v>238</v>
      </c>
      <c r="G55" s="20">
        <f t="shared" si="15"/>
        <v>224</v>
      </c>
      <c r="H55" s="20">
        <f t="shared" si="15"/>
        <v>213</v>
      </c>
      <c r="I55" s="20">
        <f t="shared" si="15"/>
        <v>246</v>
      </c>
      <c r="J55" s="20">
        <f t="shared" si="15"/>
        <v>227</v>
      </c>
      <c r="K55" s="20">
        <f t="shared" si="15"/>
        <v>146</v>
      </c>
      <c r="L55" s="20">
        <f t="shared" si="15"/>
        <v>133</v>
      </c>
      <c r="M55" s="20">
        <f t="shared" si="15"/>
        <v>265</v>
      </c>
      <c r="N55" s="20">
        <f t="shared" si="15"/>
        <v>254</v>
      </c>
      <c r="O55" s="20">
        <f t="shared" si="15"/>
        <v>247</v>
      </c>
      <c r="P55" s="20">
        <f t="shared" si="15"/>
        <v>206</v>
      </c>
      <c r="Q55" s="20">
        <f t="shared" si="15"/>
        <v>201</v>
      </c>
      <c r="R55" s="20">
        <f t="shared" si="15"/>
        <v>34</v>
      </c>
      <c r="S55" s="20">
        <f t="shared" si="15"/>
        <v>89</v>
      </c>
      <c r="T55" s="20">
        <f t="shared" si="15"/>
        <v>226</v>
      </c>
      <c r="U55" s="20">
        <f t="shared" si="15"/>
        <v>212</v>
      </c>
      <c r="V55" s="20">
        <f t="shared" si="15"/>
        <v>215</v>
      </c>
      <c r="W55" s="20">
        <f t="shared" si="15"/>
        <v>162</v>
      </c>
      <c r="X55" s="20">
        <f t="shared" si="15"/>
        <v>289</v>
      </c>
      <c r="Y55" s="20">
        <f t="shared" si="15"/>
        <v>98</v>
      </c>
      <c r="Z55" s="20">
        <f t="shared" si="15"/>
        <v>135</v>
      </c>
      <c r="AA55" s="20">
        <f t="shared" si="15"/>
        <v>135</v>
      </c>
      <c r="AB55" s="20">
        <f t="shared" si="15"/>
        <v>230</v>
      </c>
      <c r="AC55" s="20">
        <f t="shared" si="15"/>
        <v>73</v>
      </c>
      <c r="AD55" s="20">
        <f t="shared" si="15"/>
        <v>138</v>
      </c>
      <c r="AE55" s="20">
        <f t="shared" si="15"/>
        <v>0</v>
      </c>
      <c r="AF55" s="20">
        <f t="shared" si="15"/>
        <v>130</v>
      </c>
      <c r="AG55" s="20">
        <f t="shared" si="15"/>
        <v>112</v>
      </c>
      <c r="AH55" s="20">
        <f t="shared" si="15"/>
        <v>83</v>
      </c>
      <c r="AI55" s="20">
        <f t="shared" si="15"/>
        <v>183</v>
      </c>
      <c r="AJ55" s="105">
        <f t="shared" si="5"/>
        <v>5344</v>
      </c>
      <c r="AK55" s="115" t="s">
        <v>21</v>
      </c>
      <c r="AL55" s="116">
        <f>SUM(AJ24,AJ26,AJ28,AJ30)</f>
        <v>5092</v>
      </c>
    </row>
    <row r="56" spans="1:38" ht="15" customHeight="1">
      <c r="A56" s="2"/>
      <c r="B56" s="2"/>
      <c r="C56" s="531" t="s">
        <v>22</v>
      </c>
      <c r="D56" s="501"/>
      <c r="E56" s="20">
        <f t="shared" ref="E56:AI56" si="16">E18-D18</f>
        <v>0</v>
      </c>
      <c r="F56" s="20">
        <f t="shared" si="16"/>
        <v>0</v>
      </c>
      <c r="G56" s="20">
        <f t="shared" si="16"/>
        <v>0</v>
      </c>
      <c r="H56" s="20">
        <f t="shared" si="16"/>
        <v>0</v>
      </c>
      <c r="I56" s="20">
        <f t="shared" si="16"/>
        <v>0</v>
      </c>
      <c r="J56" s="20">
        <f t="shared" si="16"/>
        <v>0</v>
      </c>
      <c r="K56" s="20">
        <f t="shared" si="16"/>
        <v>0</v>
      </c>
      <c r="L56" s="20">
        <f t="shared" si="16"/>
        <v>0</v>
      </c>
      <c r="M56" s="20">
        <f t="shared" si="16"/>
        <v>0</v>
      </c>
      <c r="N56" s="20">
        <f t="shared" si="16"/>
        <v>0</v>
      </c>
      <c r="O56" s="20">
        <f t="shared" si="16"/>
        <v>0</v>
      </c>
      <c r="P56" s="20">
        <f t="shared" si="16"/>
        <v>0</v>
      </c>
      <c r="Q56" s="20">
        <f t="shared" si="16"/>
        <v>0</v>
      </c>
      <c r="R56" s="20">
        <f t="shared" si="16"/>
        <v>0</v>
      </c>
      <c r="S56" s="20">
        <f t="shared" si="16"/>
        <v>0</v>
      </c>
      <c r="T56" s="20">
        <f t="shared" si="16"/>
        <v>0</v>
      </c>
      <c r="U56" s="20">
        <f t="shared" si="16"/>
        <v>0</v>
      </c>
      <c r="V56" s="20">
        <f t="shared" si="16"/>
        <v>0</v>
      </c>
      <c r="W56" s="20">
        <f t="shared" si="16"/>
        <v>0</v>
      </c>
      <c r="X56" s="20">
        <f t="shared" si="16"/>
        <v>0</v>
      </c>
      <c r="Y56" s="20">
        <f t="shared" si="16"/>
        <v>2</v>
      </c>
      <c r="Z56" s="20">
        <f t="shared" si="16"/>
        <v>4</v>
      </c>
      <c r="AA56" s="20">
        <f t="shared" si="16"/>
        <v>0</v>
      </c>
      <c r="AB56" s="20">
        <f t="shared" si="16"/>
        <v>0</v>
      </c>
      <c r="AC56" s="20">
        <f t="shared" si="16"/>
        <v>0</v>
      </c>
      <c r="AD56" s="20">
        <f t="shared" si="16"/>
        <v>0</v>
      </c>
      <c r="AE56" s="20">
        <f t="shared" si="16"/>
        <v>0</v>
      </c>
      <c r="AF56" s="20">
        <f t="shared" si="16"/>
        <v>0</v>
      </c>
      <c r="AG56" s="20">
        <f t="shared" si="16"/>
        <v>0</v>
      </c>
      <c r="AH56" s="20">
        <f t="shared" si="16"/>
        <v>0</v>
      </c>
      <c r="AI56" s="20">
        <f t="shared" si="16"/>
        <v>0</v>
      </c>
      <c r="AJ56" s="105">
        <f t="shared" si="5"/>
        <v>6</v>
      </c>
      <c r="AK56" s="115" t="s">
        <v>23</v>
      </c>
      <c r="AL56" s="116">
        <f>AJ80*40%</f>
        <v>10764</v>
      </c>
    </row>
    <row r="57" spans="1:38" ht="15" customHeight="1">
      <c r="A57" s="2">
        <v>7</v>
      </c>
      <c r="B57" s="2" t="s">
        <v>129</v>
      </c>
      <c r="C57" s="503" t="s">
        <v>117</v>
      </c>
      <c r="D57" s="501"/>
      <c r="E57" s="20">
        <f t="shared" ref="E57:AI57" si="17">E19-D19</f>
        <v>829</v>
      </c>
      <c r="F57" s="20">
        <f t="shared" si="17"/>
        <v>691</v>
      </c>
      <c r="G57" s="20">
        <f t="shared" si="17"/>
        <v>694</v>
      </c>
      <c r="H57" s="20">
        <f t="shared" si="17"/>
        <v>767</v>
      </c>
      <c r="I57" s="20">
        <f t="shared" si="17"/>
        <v>791</v>
      </c>
      <c r="J57" s="20">
        <f t="shared" si="17"/>
        <v>736</v>
      </c>
      <c r="K57" s="20">
        <f t="shared" si="17"/>
        <v>601</v>
      </c>
      <c r="L57" s="20">
        <f t="shared" si="17"/>
        <v>427</v>
      </c>
      <c r="M57" s="20">
        <f t="shared" si="17"/>
        <v>763</v>
      </c>
      <c r="N57" s="20">
        <f t="shared" si="17"/>
        <v>740</v>
      </c>
      <c r="O57" s="20">
        <f t="shared" si="17"/>
        <v>768</v>
      </c>
      <c r="P57" s="20">
        <f t="shared" si="17"/>
        <v>784</v>
      </c>
      <c r="Q57" s="20">
        <f t="shared" si="17"/>
        <v>729</v>
      </c>
      <c r="R57" s="20">
        <f t="shared" si="17"/>
        <v>453</v>
      </c>
      <c r="S57" s="20">
        <f t="shared" si="17"/>
        <v>501</v>
      </c>
      <c r="T57" s="20">
        <f t="shared" si="17"/>
        <v>772</v>
      </c>
      <c r="U57" s="20">
        <f t="shared" si="17"/>
        <v>797</v>
      </c>
      <c r="V57" s="20">
        <f t="shared" si="17"/>
        <v>745</v>
      </c>
      <c r="W57" s="20">
        <f t="shared" si="17"/>
        <v>674</v>
      </c>
      <c r="X57" s="20">
        <f t="shared" si="17"/>
        <v>246</v>
      </c>
      <c r="Y57" s="20">
        <f t="shared" si="17"/>
        <v>1364</v>
      </c>
      <c r="Z57" s="20">
        <f t="shared" si="17"/>
        <v>498</v>
      </c>
      <c r="AA57" s="20">
        <f t="shared" si="17"/>
        <v>659</v>
      </c>
      <c r="AB57" s="20">
        <f t="shared" si="17"/>
        <v>666</v>
      </c>
      <c r="AC57" s="20">
        <f t="shared" si="17"/>
        <v>539</v>
      </c>
      <c r="AD57" s="20">
        <f t="shared" si="17"/>
        <v>579</v>
      </c>
      <c r="AE57" s="20">
        <f t="shared" si="17"/>
        <v>502</v>
      </c>
      <c r="AF57" s="20">
        <f t="shared" si="17"/>
        <v>416</v>
      </c>
      <c r="AG57" s="20">
        <f t="shared" si="17"/>
        <v>337</v>
      </c>
      <c r="AH57" s="20">
        <f t="shared" si="17"/>
        <v>543</v>
      </c>
      <c r="AI57" s="20">
        <f t="shared" si="17"/>
        <v>244</v>
      </c>
      <c r="AJ57" s="105">
        <f t="shared" si="5"/>
        <v>19855</v>
      </c>
      <c r="AK57" s="117" t="s">
        <v>22</v>
      </c>
      <c r="AL57" s="118">
        <f>SUM(AJ8,AJ10,AJ12,AJ14,AJ16,AJ18,AJ20,AJ22,AJ25,AJ27,AJ29,AJ31)</f>
        <v>62</v>
      </c>
    </row>
    <row r="58" spans="1:38" ht="15" customHeight="1">
      <c r="A58" s="2"/>
      <c r="B58" s="2"/>
      <c r="C58" s="531" t="s">
        <v>22</v>
      </c>
      <c r="D58" s="501"/>
      <c r="E58" s="20">
        <f t="shared" ref="E58:AI58" si="18">E20-D20</f>
        <v>0</v>
      </c>
      <c r="F58" s="20">
        <f t="shared" si="18"/>
        <v>0</v>
      </c>
      <c r="G58" s="20">
        <f t="shared" si="18"/>
        <v>0</v>
      </c>
      <c r="H58" s="20">
        <f t="shared" si="18"/>
        <v>0</v>
      </c>
      <c r="I58" s="20">
        <f t="shared" si="18"/>
        <v>0</v>
      </c>
      <c r="J58" s="20">
        <f t="shared" si="18"/>
        <v>0</v>
      </c>
      <c r="K58" s="20">
        <f t="shared" si="18"/>
        <v>0</v>
      </c>
      <c r="L58" s="20">
        <f t="shared" si="18"/>
        <v>0</v>
      </c>
      <c r="M58" s="20">
        <f t="shared" si="18"/>
        <v>0</v>
      </c>
      <c r="N58" s="20">
        <f t="shared" si="18"/>
        <v>0</v>
      </c>
      <c r="O58" s="20">
        <f t="shared" si="18"/>
        <v>0</v>
      </c>
      <c r="P58" s="20">
        <f t="shared" si="18"/>
        <v>0</v>
      </c>
      <c r="Q58" s="20">
        <f t="shared" si="18"/>
        <v>0</v>
      </c>
      <c r="R58" s="20">
        <f t="shared" si="18"/>
        <v>0</v>
      </c>
      <c r="S58" s="20">
        <f t="shared" si="18"/>
        <v>0</v>
      </c>
      <c r="T58" s="20">
        <f t="shared" si="18"/>
        <v>0</v>
      </c>
      <c r="U58" s="20">
        <f t="shared" si="18"/>
        <v>0</v>
      </c>
      <c r="V58" s="20">
        <f t="shared" si="18"/>
        <v>0</v>
      </c>
      <c r="W58" s="20">
        <f t="shared" si="18"/>
        <v>0</v>
      </c>
      <c r="X58" s="20">
        <f t="shared" si="18"/>
        <v>0</v>
      </c>
      <c r="Y58" s="20">
        <f t="shared" si="18"/>
        <v>7</v>
      </c>
      <c r="Z58" s="20">
        <f t="shared" si="18"/>
        <v>12</v>
      </c>
      <c r="AA58" s="20">
        <f t="shared" si="18"/>
        <v>0</v>
      </c>
      <c r="AB58" s="20">
        <f t="shared" si="18"/>
        <v>0</v>
      </c>
      <c r="AC58" s="20">
        <f t="shared" si="18"/>
        <v>0</v>
      </c>
      <c r="AD58" s="20">
        <f t="shared" si="18"/>
        <v>0</v>
      </c>
      <c r="AE58" s="20">
        <f t="shared" si="18"/>
        <v>0</v>
      </c>
      <c r="AF58" s="20">
        <f t="shared" si="18"/>
        <v>0</v>
      </c>
      <c r="AG58" s="20">
        <f t="shared" si="18"/>
        <v>0</v>
      </c>
      <c r="AH58" s="20">
        <f t="shared" si="18"/>
        <v>0</v>
      </c>
      <c r="AI58" s="20">
        <f t="shared" si="18"/>
        <v>0</v>
      </c>
      <c r="AJ58" s="21">
        <f t="shared" si="5"/>
        <v>19</v>
      </c>
    </row>
    <row r="59" spans="1:38" ht="15" customHeight="1">
      <c r="A59" s="2">
        <v>8</v>
      </c>
      <c r="B59" s="2" t="s">
        <v>129</v>
      </c>
      <c r="C59" s="503" t="s">
        <v>118</v>
      </c>
      <c r="D59" s="501"/>
      <c r="E59" s="20">
        <f t="shared" ref="E59:AI59" si="19">E21-D21</f>
        <v>89</v>
      </c>
      <c r="F59" s="20">
        <f t="shared" si="19"/>
        <v>71</v>
      </c>
      <c r="G59" s="20">
        <f t="shared" si="19"/>
        <v>63</v>
      </c>
      <c r="H59" s="20">
        <f t="shared" si="19"/>
        <v>84</v>
      </c>
      <c r="I59" s="20">
        <f t="shared" si="19"/>
        <v>72</v>
      </c>
      <c r="J59" s="20">
        <f t="shared" si="19"/>
        <v>103</v>
      </c>
      <c r="K59" s="20">
        <f t="shared" si="19"/>
        <v>52</v>
      </c>
      <c r="L59" s="20">
        <f t="shared" si="19"/>
        <v>56</v>
      </c>
      <c r="M59" s="20">
        <f t="shared" si="19"/>
        <v>73</v>
      </c>
      <c r="N59" s="20">
        <f t="shared" si="19"/>
        <v>35</v>
      </c>
      <c r="O59" s="20">
        <f t="shared" si="19"/>
        <v>115</v>
      </c>
      <c r="P59" s="20">
        <f t="shared" si="19"/>
        <v>101</v>
      </c>
      <c r="Q59" s="20">
        <f t="shared" si="19"/>
        <v>85</v>
      </c>
      <c r="R59" s="20">
        <f t="shared" si="19"/>
        <v>67</v>
      </c>
      <c r="S59" s="20">
        <f t="shared" si="19"/>
        <v>105</v>
      </c>
      <c r="T59" s="20">
        <f t="shared" si="19"/>
        <v>92</v>
      </c>
      <c r="U59" s="20">
        <f t="shared" si="19"/>
        <v>102</v>
      </c>
      <c r="V59" s="20">
        <f t="shared" si="19"/>
        <v>80</v>
      </c>
      <c r="W59" s="20">
        <f t="shared" si="19"/>
        <v>84</v>
      </c>
      <c r="X59" s="20">
        <f t="shared" si="19"/>
        <v>80</v>
      </c>
      <c r="Y59" s="20">
        <f t="shared" si="19"/>
        <v>119</v>
      </c>
      <c r="Z59" s="20">
        <f t="shared" si="19"/>
        <v>46</v>
      </c>
      <c r="AA59" s="20">
        <f t="shared" si="19"/>
        <v>96</v>
      </c>
      <c r="AB59" s="20">
        <f t="shared" si="19"/>
        <v>76</v>
      </c>
      <c r="AC59" s="20">
        <f t="shared" si="19"/>
        <v>100</v>
      </c>
      <c r="AD59" s="20">
        <f t="shared" si="19"/>
        <v>81</v>
      </c>
      <c r="AE59" s="20">
        <f t="shared" si="19"/>
        <v>98</v>
      </c>
      <c r="AF59" s="20">
        <f t="shared" si="19"/>
        <v>97</v>
      </c>
      <c r="AG59" s="20">
        <f t="shared" si="19"/>
        <v>131</v>
      </c>
      <c r="AH59" s="20">
        <f t="shared" si="19"/>
        <v>82</v>
      </c>
      <c r="AI59" s="20">
        <f t="shared" si="19"/>
        <v>52</v>
      </c>
      <c r="AJ59" s="21">
        <f t="shared" si="5"/>
        <v>2587</v>
      </c>
    </row>
    <row r="60" spans="1:38" ht="15" customHeight="1">
      <c r="A60" s="2"/>
      <c r="B60" s="2"/>
      <c r="C60" s="531" t="s">
        <v>22</v>
      </c>
      <c r="D60" s="501"/>
      <c r="E60" s="20">
        <f t="shared" ref="E60:AI60" si="20">E22-D22</f>
        <v>0</v>
      </c>
      <c r="F60" s="20">
        <f t="shared" si="20"/>
        <v>0</v>
      </c>
      <c r="G60" s="20">
        <f t="shared" si="20"/>
        <v>0</v>
      </c>
      <c r="H60" s="20">
        <f t="shared" si="20"/>
        <v>0</v>
      </c>
      <c r="I60" s="20">
        <f t="shared" si="20"/>
        <v>0</v>
      </c>
      <c r="J60" s="20">
        <f t="shared" si="20"/>
        <v>0</v>
      </c>
      <c r="K60" s="20">
        <f t="shared" si="20"/>
        <v>0</v>
      </c>
      <c r="L60" s="20">
        <f t="shared" si="20"/>
        <v>0</v>
      </c>
      <c r="M60" s="20">
        <f t="shared" si="20"/>
        <v>0</v>
      </c>
      <c r="N60" s="20">
        <f t="shared" si="20"/>
        <v>0</v>
      </c>
      <c r="O60" s="20">
        <f t="shared" si="20"/>
        <v>0</v>
      </c>
      <c r="P60" s="20">
        <f t="shared" si="20"/>
        <v>0</v>
      </c>
      <c r="Q60" s="20">
        <f t="shared" si="20"/>
        <v>0</v>
      </c>
      <c r="R60" s="20">
        <f t="shared" si="20"/>
        <v>0</v>
      </c>
      <c r="S60" s="20">
        <f t="shared" si="20"/>
        <v>0</v>
      </c>
      <c r="T60" s="20">
        <f t="shared" si="20"/>
        <v>0</v>
      </c>
      <c r="U60" s="20">
        <f t="shared" si="20"/>
        <v>0</v>
      </c>
      <c r="V60" s="20">
        <f t="shared" si="20"/>
        <v>0</v>
      </c>
      <c r="W60" s="20">
        <f t="shared" si="20"/>
        <v>0</v>
      </c>
      <c r="X60" s="20">
        <f t="shared" si="20"/>
        <v>0</v>
      </c>
      <c r="Y60" s="20">
        <f t="shared" si="20"/>
        <v>0</v>
      </c>
      <c r="Z60" s="20">
        <f t="shared" si="20"/>
        <v>2</v>
      </c>
      <c r="AA60" s="20">
        <f t="shared" si="20"/>
        <v>0</v>
      </c>
      <c r="AB60" s="20">
        <f t="shared" si="20"/>
        <v>0</v>
      </c>
      <c r="AC60" s="20">
        <f t="shared" si="20"/>
        <v>0</v>
      </c>
      <c r="AD60" s="20">
        <f t="shared" si="20"/>
        <v>0</v>
      </c>
      <c r="AE60" s="20">
        <f t="shared" si="20"/>
        <v>0</v>
      </c>
      <c r="AF60" s="20">
        <f t="shared" si="20"/>
        <v>0</v>
      </c>
      <c r="AG60" s="20">
        <f t="shared" si="20"/>
        <v>0</v>
      </c>
      <c r="AH60" s="20">
        <f t="shared" si="20"/>
        <v>0</v>
      </c>
      <c r="AI60" s="20">
        <f t="shared" si="20"/>
        <v>0</v>
      </c>
      <c r="AJ60" s="21">
        <f t="shared" si="5"/>
        <v>2</v>
      </c>
    </row>
    <row r="61" spans="1:38" ht="15" customHeight="1">
      <c r="A61" s="99"/>
      <c r="B61" s="99"/>
      <c r="C61" s="500" t="s">
        <v>130</v>
      </c>
      <c r="D61" s="501"/>
      <c r="E61" s="23">
        <f t="shared" ref="E61:AI61" si="21">SUM(E59,E57,E55,E53,E51,E49,E47,E45)</f>
        <v>2075</v>
      </c>
      <c r="F61" s="23">
        <f t="shared" si="21"/>
        <v>1861</v>
      </c>
      <c r="G61" s="23">
        <f t="shared" si="21"/>
        <v>1776</v>
      </c>
      <c r="H61" s="23">
        <f t="shared" si="21"/>
        <v>1954</v>
      </c>
      <c r="I61" s="23">
        <f t="shared" si="21"/>
        <v>1990</v>
      </c>
      <c r="J61" s="23">
        <f t="shared" si="21"/>
        <v>1862</v>
      </c>
      <c r="K61" s="23">
        <f t="shared" si="21"/>
        <v>1434</v>
      </c>
      <c r="L61" s="23">
        <f t="shared" si="21"/>
        <v>1223</v>
      </c>
      <c r="M61" s="23">
        <f t="shared" si="21"/>
        <v>1966</v>
      </c>
      <c r="N61" s="23">
        <f t="shared" si="21"/>
        <v>1845</v>
      </c>
      <c r="O61" s="23">
        <f t="shared" si="21"/>
        <v>2061</v>
      </c>
      <c r="P61" s="23">
        <f t="shared" si="21"/>
        <v>1939</v>
      </c>
      <c r="Q61" s="23">
        <f t="shared" si="21"/>
        <v>1803</v>
      </c>
      <c r="R61" s="23">
        <f t="shared" si="21"/>
        <v>969</v>
      </c>
      <c r="S61" s="23">
        <f t="shared" si="21"/>
        <v>1334</v>
      </c>
      <c r="T61" s="23">
        <f t="shared" si="21"/>
        <v>1958</v>
      </c>
      <c r="U61" s="23">
        <f t="shared" si="21"/>
        <v>1984</v>
      </c>
      <c r="V61" s="23">
        <f t="shared" si="21"/>
        <v>1865</v>
      </c>
      <c r="W61" s="23">
        <f t="shared" si="21"/>
        <v>1731</v>
      </c>
      <c r="X61" s="23">
        <f t="shared" si="21"/>
        <v>1399</v>
      </c>
      <c r="Y61" s="23">
        <f t="shared" si="21"/>
        <v>2249</v>
      </c>
      <c r="Z61" s="23">
        <f t="shared" si="21"/>
        <v>1275</v>
      </c>
      <c r="AA61" s="23">
        <f t="shared" si="21"/>
        <v>1624</v>
      </c>
      <c r="AB61" s="23">
        <f t="shared" si="21"/>
        <v>1656</v>
      </c>
      <c r="AC61" s="23">
        <f t="shared" si="21"/>
        <v>1425</v>
      </c>
      <c r="AD61" s="23">
        <f t="shared" si="21"/>
        <v>1512</v>
      </c>
      <c r="AE61" s="23">
        <f t="shared" si="21"/>
        <v>1270</v>
      </c>
      <c r="AF61" s="23">
        <f t="shared" si="21"/>
        <v>1231</v>
      </c>
      <c r="AG61" s="23">
        <f t="shared" si="21"/>
        <v>1188</v>
      </c>
      <c r="AH61" s="23">
        <f t="shared" si="21"/>
        <v>1432</v>
      </c>
      <c r="AI61" s="23">
        <f t="shared" si="21"/>
        <v>801</v>
      </c>
      <c r="AJ61" s="24">
        <f t="shared" si="5"/>
        <v>50692</v>
      </c>
      <c r="AK61" s="78"/>
    </row>
    <row r="62" spans="1:38" ht="15" customHeight="1">
      <c r="A62" s="99"/>
      <c r="B62" s="99"/>
      <c r="C62" s="63" t="s">
        <v>131</v>
      </c>
      <c r="D62" s="108"/>
      <c r="E62" s="23">
        <f t="shared" ref="E62:AI62" si="22">SUM(E46,E48,E50,E52,E54,E56,E58,E60)</f>
        <v>0</v>
      </c>
      <c r="F62" s="23">
        <f t="shared" si="22"/>
        <v>0</v>
      </c>
      <c r="G62" s="23">
        <f t="shared" si="22"/>
        <v>0</v>
      </c>
      <c r="H62" s="23">
        <f t="shared" si="22"/>
        <v>0</v>
      </c>
      <c r="I62" s="23">
        <f t="shared" si="22"/>
        <v>0</v>
      </c>
      <c r="J62" s="23">
        <f t="shared" si="22"/>
        <v>0</v>
      </c>
      <c r="K62" s="23">
        <f t="shared" si="22"/>
        <v>0</v>
      </c>
      <c r="L62" s="23">
        <f t="shared" si="22"/>
        <v>0</v>
      </c>
      <c r="M62" s="23">
        <f t="shared" si="22"/>
        <v>0</v>
      </c>
      <c r="N62" s="23">
        <f t="shared" si="22"/>
        <v>0</v>
      </c>
      <c r="O62" s="23">
        <f t="shared" si="22"/>
        <v>0</v>
      </c>
      <c r="P62" s="23">
        <f t="shared" si="22"/>
        <v>0</v>
      </c>
      <c r="Q62" s="23">
        <f t="shared" si="22"/>
        <v>0</v>
      </c>
      <c r="R62" s="23">
        <f t="shared" si="22"/>
        <v>0</v>
      </c>
      <c r="S62" s="23">
        <f t="shared" si="22"/>
        <v>0</v>
      </c>
      <c r="T62" s="23">
        <f t="shared" si="22"/>
        <v>0</v>
      </c>
      <c r="U62" s="23">
        <f t="shared" si="22"/>
        <v>0</v>
      </c>
      <c r="V62" s="23">
        <f t="shared" si="22"/>
        <v>0</v>
      </c>
      <c r="W62" s="23">
        <f t="shared" si="22"/>
        <v>0</v>
      </c>
      <c r="X62" s="23">
        <f t="shared" si="22"/>
        <v>0</v>
      </c>
      <c r="Y62" s="23">
        <f t="shared" si="22"/>
        <v>19</v>
      </c>
      <c r="Z62" s="23">
        <f t="shared" si="22"/>
        <v>33</v>
      </c>
      <c r="AA62" s="23">
        <f t="shared" si="22"/>
        <v>8</v>
      </c>
      <c r="AB62" s="23">
        <f t="shared" si="22"/>
        <v>0</v>
      </c>
      <c r="AC62" s="23">
        <f t="shared" si="22"/>
        <v>0</v>
      </c>
      <c r="AD62" s="23">
        <f t="shared" si="22"/>
        <v>0</v>
      </c>
      <c r="AE62" s="23">
        <f t="shared" si="22"/>
        <v>0</v>
      </c>
      <c r="AF62" s="23">
        <f t="shared" si="22"/>
        <v>0</v>
      </c>
      <c r="AG62" s="23">
        <f t="shared" si="22"/>
        <v>0</v>
      </c>
      <c r="AH62" s="23">
        <f t="shared" si="22"/>
        <v>0</v>
      </c>
      <c r="AI62" s="23">
        <f t="shared" si="22"/>
        <v>0</v>
      </c>
      <c r="AJ62" s="24">
        <f t="shared" si="5"/>
        <v>60</v>
      </c>
    </row>
    <row r="63" spans="1:38" ht="14.5" customHeight="1">
      <c r="A63" s="101"/>
      <c r="B63" s="101"/>
      <c r="C63" s="539" t="s">
        <v>132</v>
      </c>
      <c r="D63" s="501"/>
      <c r="E63" s="102">
        <f t="shared" ref="E63:AJ63" si="23">E61</f>
        <v>2075</v>
      </c>
      <c r="F63" s="102">
        <f t="shared" si="23"/>
        <v>1861</v>
      </c>
      <c r="G63" s="102">
        <f t="shared" si="23"/>
        <v>1776</v>
      </c>
      <c r="H63" s="102">
        <f t="shared" si="23"/>
        <v>1954</v>
      </c>
      <c r="I63" s="102">
        <f t="shared" si="23"/>
        <v>1990</v>
      </c>
      <c r="J63" s="102">
        <f t="shared" si="23"/>
        <v>1862</v>
      </c>
      <c r="K63" s="102">
        <f t="shared" si="23"/>
        <v>1434</v>
      </c>
      <c r="L63" s="102">
        <f t="shared" si="23"/>
        <v>1223</v>
      </c>
      <c r="M63" s="102">
        <f t="shared" si="23"/>
        <v>1966</v>
      </c>
      <c r="N63" s="102">
        <f t="shared" si="23"/>
        <v>1845</v>
      </c>
      <c r="O63" s="102">
        <f t="shared" si="23"/>
        <v>2061</v>
      </c>
      <c r="P63" s="102">
        <f t="shared" si="23"/>
        <v>1939</v>
      </c>
      <c r="Q63" s="102">
        <f t="shared" si="23"/>
        <v>1803</v>
      </c>
      <c r="R63" s="102">
        <f t="shared" si="23"/>
        <v>969</v>
      </c>
      <c r="S63" s="102">
        <f t="shared" si="23"/>
        <v>1334</v>
      </c>
      <c r="T63" s="102">
        <f t="shared" si="23"/>
        <v>1958</v>
      </c>
      <c r="U63" s="102">
        <f t="shared" si="23"/>
        <v>1984</v>
      </c>
      <c r="V63" s="102">
        <f t="shared" si="23"/>
        <v>1865</v>
      </c>
      <c r="W63" s="102">
        <f t="shared" si="23"/>
        <v>1731</v>
      </c>
      <c r="X63" s="102">
        <f t="shared" si="23"/>
        <v>1399</v>
      </c>
      <c r="Y63" s="102">
        <f t="shared" si="23"/>
        <v>2249</v>
      </c>
      <c r="Z63" s="102">
        <f t="shared" si="23"/>
        <v>1275</v>
      </c>
      <c r="AA63" s="102">
        <f t="shared" si="23"/>
        <v>1624</v>
      </c>
      <c r="AB63" s="102">
        <f t="shared" si="23"/>
        <v>1656</v>
      </c>
      <c r="AC63" s="102">
        <f t="shared" si="23"/>
        <v>1425</v>
      </c>
      <c r="AD63" s="102">
        <f t="shared" si="23"/>
        <v>1512</v>
      </c>
      <c r="AE63" s="102">
        <f t="shared" si="23"/>
        <v>1270</v>
      </c>
      <c r="AF63" s="102">
        <f t="shared" si="23"/>
        <v>1231</v>
      </c>
      <c r="AG63" s="102">
        <f t="shared" si="23"/>
        <v>1188</v>
      </c>
      <c r="AH63" s="102">
        <f t="shared" si="23"/>
        <v>1432</v>
      </c>
      <c r="AI63" s="102">
        <f t="shared" si="23"/>
        <v>801</v>
      </c>
      <c r="AJ63" s="102">
        <f t="shared" si="23"/>
        <v>50692</v>
      </c>
    </row>
    <row r="64" spans="1:38" ht="13" customHeight="1">
      <c r="A64" s="94"/>
      <c r="B64" s="27"/>
      <c r="C64" s="27"/>
      <c r="D64" s="10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</row>
    <row r="65" spans="1:38" ht="14.5" customHeight="1">
      <c r="A65" s="28" t="s">
        <v>133</v>
      </c>
      <c r="B65" s="28" t="s">
        <v>100</v>
      </c>
      <c r="C65" s="523" t="s">
        <v>101</v>
      </c>
      <c r="D65" s="50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103"/>
    </row>
    <row r="66" spans="1:38" ht="14.5" customHeight="1">
      <c r="A66" s="2">
        <v>1</v>
      </c>
      <c r="B66" s="2" t="s">
        <v>129</v>
      </c>
      <c r="C66" s="506" t="s">
        <v>119</v>
      </c>
      <c r="D66" s="501"/>
      <c r="E66" s="30">
        <f t="shared" ref="E66:AI66" si="24">E24-D24</f>
        <v>14</v>
      </c>
      <c r="F66" s="30">
        <f t="shared" si="24"/>
        <v>56</v>
      </c>
      <c r="G66" s="30">
        <f t="shared" si="24"/>
        <v>26</v>
      </c>
      <c r="H66" s="30">
        <f t="shared" si="24"/>
        <v>44</v>
      </c>
      <c r="I66" s="30">
        <f t="shared" si="24"/>
        <v>40</v>
      </c>
      <c r="J66" s="30">
        <f t="shared" si="24"/>
        <v>37</v>
      </c>
      <c r="K66" s="30">
        <f t="shared" si="24"/>
        <v>19</v>
      </c>
      <c r="L66" s="30">
        <f t="shared" si="24"/>
        <v>0</v>
      </c>
      <c r="M66" s="30">
        <f t="shared" si="24"/>
        <v>77</v>
      </c>
      <c r="N66" s="30">
        <f t="shared" si="24"/>
        <v>40</v>
      </c>
      <c r="O66" s="30">
        <f t="shared" si="24"/>
        <v>2</v>
      </c>
      <c r="P66" s="30">
        <f t="shared" si="24"/>
        <v>74</v>
      </c>
      <c r="Q66" s="30">
        <f t="shared" si="24"/>
        <v>39</v>
      </c>
      <c r="R66" s="30">
        <f t="shared" si="24"/>
        <v>11</v>
      </c>
      <c r="S66" s="30">
        <f t="shared" si="24"/>
        <v>0</v>
      </c>
      <c r="T66" s="30">
        <f t="shared" si="24"/>
        <v>45</v>
      </c>
      <c r="U66" s="30">
        <f t="shared" si="24"/>
        <v>48</v>
      </c>
      <c r="V66" s="30">
        <f t="shared" si="24"/>
        <v>35</v>
      </c>
      <c r="W66" s="30">
        <f t="shared" si="24"/>
        <v>34</v>
      </c>
      <c r="X66" s="30">
        <f t="shared" si="24"/>
        <v>37</v>
      </c>
      <c r="Y66" s="30">
        <f t="shared" si="24"/>
        <v>5</v>
      </c>
      <c r="Z66" s="30">
        <f t="shared" si="24"/>
        <v>1</v>
      </c>
      <c r="AA66" s="30">
        <f t="shared" si="24"/>
        <v>39</v>
      </c>
      <c r="AB66" s="30">
        <f t="shared" si="24"/>
        <v>34</v>
      </c>
      <c r="AC66" s="30">
        <f t="shared" si="24"/>
        <v>3</v>
      </c>
      <c r="AD66" s="30">
        <f t="shared" si="24"/>
        <v>65</v>
      </c>
      <c r="AE66" s="30">
        <f t="shared" si="24"/>
        <v>42</v>
      </c>
      <c r="AF66" s="30">
        <f t="shared" si="24"/>
        <v>15</v>
      </c>
      <c r="AG66" s="30">
        <f t="shared" si="24"/>
        <v>0</v>
      </c>
      <c r="AH66" s="30">
        <f t="shared" si="24"/>
        <v>39</v>
      </c>
      <c r="AI66" s="30">
        <f t="shared" si="24"/>
        <v>17</v>
      </c>
      <c r="AJ66" s="30">
        <f t="shared" ref="AJ66:AJ79" si="25">SUM(E66:AI66)</f>
        <v>938</v>
      </c>
      <c r="AL66" s="78"/>
    </row>
    <row r="67" spans="1:38" ht="14.5" customHeight="1">
      <c r="A67" s="2"/>
      <c r="B67" s="2"/>
      <c r="C67" s="532" t="s">
        <v>22</v>
      </c>
      <c r="D67" s="501"/>
      <c r="E67" s="30">
        <f t="shared" ref="E67:AI67" si="26">E25-D25</f>
        <v>0</v>
      </c>
      <c r="F67" s="30">
        <f t="shared" si="26"/>
        <v>0</v>
      </c>
      <c r="G67" s="30">
        <f t="shared" si="26"/>
        <v>0</v>
      </c>
      <c r="H67" s="30">
        <f t="shared" si="26"/>
        <v>0</v>
      </c>
      <c r="I67" s="30">
        <f t="shared" si="26"/>
        <v>0</v>
      </c>
      <c r="J67" s="30">
        <f t="shared" si="26"/>
        <v>0</v>
      </c>
      <c r="K67" s="30">
        <f t="shared" si="26"/>
        <v>0</v>
      </c>
      <c r="L67" s="30">
        <f t="shared" si="26"/>
        <v>0</v>
      </c>
      <c r="M67" s="30">
        <f t="shared" si="26"/>
        <v>0</v>
      </c>
      <c r="N67" s="30">
        <f t="shared" si="26"/>
        <v>0</v>
      </c>
      <c r="O67" s="30">
        <f t="shared" si="26"/>
        <v>0</v>
      </c>
      <c r="P67" s="30">
        <f t="shared" si="26"/>
        <v>0</v>
      </c>
      <c r="Q67" s="30">
        <f t="shared" si="26"/>
        <v>0</v>
      </c>
      <c r="R67" s="30">
        <f t="shared" si="26"/>
        <v>0</v>
      </c>
      <c r="S67" s="30">
        <f t="shared" si="26"/>
        <v>0</v>
      </c>
      <c r="T67" s="30">
        <f t="shared" si="26"/>
        <v>0</v>
      </c>
      <c r="U67" s="30">
        <f t="shared" si="26"/>
        <v>0</v>
      </c>
      <c r="V67" s="30">
        <f t="shared" si="26"/>
        <v>0</v>
      </c>
      <c r="W67" s="30">
        <f t="shared" si="26"/>
        <v>0</v>
      </c>
      <c r="X67" s="30">
        <f t="shared" si="26"/>
        <v>0</v>
      </c>
      <c r="Y67" s="30">
        <f t="shared" si="26"/>
        <v>0</v>
      </c>
      <c r="Z67" s="30">
        <f t="shared" si="26"/>
        <v>0</v>
      </c>
      <c r="AA67" s="30">
        <f t="shared" si="26"/>
        <v>0</v>
      </c>
      <c r="AB67" s="30">
        <f t="shared" si="26"/>
        <v>0</v>
      </c>
      <c r="AC67" s="30">
        <f t="shared" si="26"/>
        <v>0</v>
      </c>
      <c r="AD67" s="30">
        <f t="shared" si="26"/>
        <v>0</v>
      </c>
      <c r="AE67" s="30">
        <f t="shared" si="26"/>
        <v>0</v>
      </c>
      <c r="AF67" s="30">
        <f t="shared" si="26"/>
        <v>0</v>
      </c>
      <c r="AG67" s="30">
        <f t="shared" si="26"/>
        <v>0</v>
      </c>
      <c r="AH67" s="30">
        <f t="shared" si="26"/>
        <v>0</v>
      </c>
      <c r="AI67" s="30">
        <f t="shared" si="26"/>
        <v>0</v>
      </c>
      <c r="AJ67" s="30">
        <f t="shared" si="25"/>
        <v>0</v>
      </c>
    </row>
    <row r="68" spans="1:38" ht="14.5" customHeight="1">
      <c r="A68" s="2">
        <v>2</v>
      </c>
      <c r="B68" s="2" t="s">
        <v>129</v>
      </c>
      <c r="C68" s="506" t="s">
        <v>120</v>
      </c>
      <c r="D68" s="501"/>
      <c r="E68" s="30">
        <f t="shared" ref="E68:AI68" si="27">E26-D26</f>
        <v>13</v>
      </c>
      <c r="F68" s="30">
        <f t="shared" si="27"/>
        <v>62</v>
      </c>
      <c r="G68" s="30">
        <f t="shared" si="27"/>
        <v>58</v>
      </c>
      <c r="H68" s="30">
        <f t="shared" si="27"/>
        <v>59</v>
      </c>
      <c r="I68" s="30">
        <f t="shared" si="27"/>
        <v>57</v>
      </c>
      <c r="J68" s="30">
        <f t="shared" si="27"/>
        <v>56</v>
      </c>
      <c r="K68" s="30">
        <f t="shared" si="27"/>
        <v>29</v>
      </c>
      <c r="L68" s="30">
        <f t="shared" si="27"/>
        <v>0</v>
      </c>
      <c r="M68" s="30">
        <f t="shared" si="27"/>
        <v>100</v>
      </c>
      <c r="N68" s="30">
        <f t="shared" si="27"/>
        <v>63</v>
      </c>
      <c r="O68" s="30">
        <f t="shared" si="27"/>
        <v>59</v>
      </c>
      <c r="P68" s="30">
        <f t="shared" si="27"/>
        <v>60</v>
      </c>
      <c r="Q68" s="30">
        <f t="shared" si="27"/>
        <v>62</v>
      </c>
      <c r="R68" s="30">
        <f t="shared" si="27"/>
        <v>24</v>
      </c>
      <c r="S68" s="30">
        <f t="shared" si="27"/>
        <v>0</v>
      </c>
      <c r="T68" s="30">
        <f t="shared" si="27"/>
        <v>66</v>
      </c>
      <c r="U68" s="30">
        <f t="shared" si="27"/>
        <v>53</v>
      </c>
      <c r="V68" s="30">
        <f t="shared" si="27"/>
        <v>69</v>
      </c>
      <c r="W68" s="30">
        <f t="shared" si="27"/>
        <v>54</v>
      </c>
      <c r="X68" s="30">
        <f t="shared" si="27"/>
        <v>58</v>
      </c>
      <c r="Y68" s="30">
        <f t="shared" si="27"/>
        <v>7</v>
      </c>
      <c r="Z68" s="30">
        <f t="shared" si="27"/>
        <v>0</v>
      </c>
      <c r="AA68" s="30">
        <f t="shared" si="27"/>
        <v>61</v>
      </c>
      <c r="AB68" s="30">
        <f t="shared" si="27"/>
        <v>55</v>
      </c>
      <c r="AC68" s="30">
        <f t="shared" si="27"/>
        <v>69</v>
      </c>
      <c r="AD68" s="30">
        <f t="shared" si="27"/>
        <v>120</v>
      </c>
      <c r="AE68" s="30">
        <f t="shared" si="27"/>
        <v>116</v>
      </c>
      <c r="AF68" s="30">
        <f t="shared" si="27"/>
        <v>35</v>
      </c>
      <c r="AG68" s="30">
        <f t="shared" si="27"/>
        <v>0</v>
      </c>
      <c r="AH68" s="30">
        <f t="shared" si="27"/>
        <v>65</v>
      </c>
      <c r="AI68" s="30">
        <f t="shared" si="27"/>
        <v>13</v>
      </c>
      <c r="AJ68" s="30">
        <f t="shared" si="25"/>
        <v>1543</v>
      </c>
    </row>
    <row r="69" spans="1:38" ht="14.5" customHeight="1">
      <c r="A69" s="2"/>
      <c r="B69" s="2"/>
      <c r="C69" s="532" t="s">
        <v>22</v>
      </c>
      <c r="D69" s="501"/>
      <c r="E69" s="30">
        <f t="shared" ref="E69:AI69" si="28">E27-D27</f>
        <v>0</v>
      </c>
      <c r="F69" s="30">
        <f t="shared" si="28"/>
        <v>0</v>
      </c>
      <c r="G69" s="30">
        <f t="shared" si="28"/>
        <v>0</v>
      </c>
      <c r="H69" s="30">
        <f t="shared" si="28"/>
        <v>0</v>
      </c>
      <c r="I69" s="30">
        <f t="shared" si="28"/>
        <v>0</v>
      </c>
      <c r="J69" s="30">
        <f t="shared" si="28"/>
        <v>0</v>
      </c>
      <c r="K69" s="30">
        <f t="shared" si="28"/>
        <v>0</v>
      </c>
      <c r="L69" s="30">
        <f t="shared" si="28"/>
        <v>0</v>
      </c>
      <c r="M69" s="30">
        <f t="shared" si="28"/>
        <v>0</v>
      </c>
      <c r="N69" s="30">
        <f t="shared" si="28"/>
        <v>0</v>
      </c>
      <c r="O69" s="30">
        <f t="shared" si="28"/>
        <v>0</v>
      </c>
      <c r="P69" s="30">
        <f t="shared" si="28"/>
        <v>0</v>
      </c>
      <c r="Q69" s="30">
        <f t="shared" si="28"/>
        <v>0</v>
      </c>
      <c r="R69" s="30">
        <f t="shared" si="28"/>
        <v>0</v>
      </c>
      <c r="S69" s="30">
        <f t="shared" si="28"/>
        <v>0</v>
      </c>
      <c r="T69" s="30">
        <f t="shared" si="28"/>
        <v>0</v>
      </c>
      <c r="U69" s="30">
        <f t="shared" si="28"/>
        <v>0</v>
      </c>
      <c r="V69" s="30">
        <f t="shared" si="28"/>
        <v>0</v>
      </c>
      <c r="W69" s="30">
        <f t="shared" si="28"/>
        <v>0</v>
      </c>
      <c r="X69" s="30">
        <f t="shared" si="28"/>
        <v>0</v>
      </c>
      <c r="Y69" s="30">
        <f t="shared" si="28"/>
        <v>1</v>
      </c>
      <c r="Z69" s="30">
        <f t="shared" si="28"/>
        <v>0</v>
      </c>
      <c r="AA69" s="30">
        <f t="shared" si="28"/>
        <v>0</v>
      </c>
      <c r="AB69" s="30">
        <f t="shared" si="28"/>
        <v>0</v>
      </c>
      <c r="AC69" s="30">
        <f t="shared" si="28"/>
        <v>0</v>
      </c>
      <c r="AD69" s="30">
        <f t="shared" si="28"/>
        <v>0</v>
      </c>
      <c r="AE69" s="30">
        <f t="shared" si="28"/>
        <v>0</v>
      </c>
      <c r="AF69" s="30">
        <f t="shared" si="28"/>
        <v>0</v>
      </c>
      <c r="AG69" s="30">
        <f t="shared" si="28"/>
        <v>0</v>
      </c>
      <c r="AH69" s="30">
        <f t="shared" si="28"/>
        <v>0</v>
      </c>
      <c r="AI69" s="30">
        <f t="shared" si="28"/>
        <v>0</v>
      </c>
      <c r="AJ69" s="30">
        <f t="shared" si="25"/>
        <v>1</v>
      </c>
    </row>
    <row r="70" spans="1:38" ht="14.5" customHeight="1">
      <c r="A70" s="2">
        <v>3</v>
      </c>
      <c r="B70" s="2" t="s">
        <v>129</v>
      </c>
      <c r="C70" s="506" t="s">
        <v>121</v>
      </c>
      <c r="D70" s="501"/>
      <c r="E70" s="30">
        <f t="shared" ref="E70:AI70" si="29">E28-D28</f>
        <v>13</v>
      </c>
      <c r="F70" s="30">
        <f t="shared" si="29"/>
        <v>78</v>
      </c>
      <c r="G70" s="30">
        <f t="shared" si="29"/>
        <v>72</v>
      </c>
      <c r="H70" s="30">
        <f t="shared" si="29"/>
        <v>70</v>
      </c>
      <c r="I70" s="30">
        <f t="shared" si="29"/>
        <v>67</v>
      </c>
      <c r="J70" s="30">
        <f t="shared" si="29"/>
        <v>82</v>
      </c>
      <c r="K70" s="30">
        <f t="shared" si="29"/>
        <v>46</v>
      </c>
      <c r="L70" s="30">
        <f t="shared" si="29"/>
        <v>0</v>
      </c>
      <c r="M70" s="30">
        <f t="shared" si="29"/>
        <v>81</v>
      </c>
      <c r="N70" s="30">
        <f t="shared" si="29"/>
        <v>79</v>
      </c>
      <c r="O70" s="30">
        <f t="shared" si="29"/>
        <v>90</v>
      </c>
      <c r="P70" s="30">
        <f t="shared" si="29"/>
        <v>88</v>
      </c>
      <c r="Q70" s="30">
        <f t="shared" si="29"/>
        <v>91</v>
      </c>
      <c r="R70" s="30">
        <f t="shared" si="29"/>
        <v>24</v>
      </c>
      <c r="S70" s="30">
        <f t="shared" si="29"/>
        <v>0</v>
      </c>
      <c r="T70" s="30">
        <f t="shared" si="29"/>
        <v>94</v>
      </c>
      <c r="U70" s="30">
        <f t="shared" si="29"/>
        <v>73</v>
      </c>
      <c r="V70" s="30">
        <f t="shared" si="29"/>
        <v>104</v>
      </c>
      <c r="W70" s="30">
        <f t="shared" si="29"/>
        <v>82</v>
      </c>
      <c r="X70" s="30">
        <f t="shared" si="29"/>
        <v>86</v>
      </c>
      <c r="Y70" s="30">
        <f t="shared" si="29"/>
        <v>11</v>
      </c>
      <c r="Z70" s="30">
        <f t="shared" si="29"/>
        <v>0</v>
      </c>
      <c r="AA70" s="30">
        <f t="shared" si="29"/>
        <v>94</v>
      </c>
      <c r="AB70" s="30">
        <f t="shared" si="29"/>
        <v>85</v>
      </c>
      <c r="AC70" s="30">
        <f t="shared" si="29"/>
        <v>3</v>
      </c>
      <c r="AD70" s="30">
        <f t="shared" si="29"/>
        <v>22</v>
      </c>
      <c r="AE70" s="30">
        <f t="shared" si="29"/>
        <v>13</v>
      </c>
      <c r="AF70" s="30">
        <f t="shared" si="29"/>
        <v>7</v>
      </c>
      <c r="AG70" s="30">
        <f t="shared" si="29"/>
        <v>0</v>
      </c>
      <c r="AH70" s="30">
        <f t="shared" si="29"/>
        <v>38</v>
      </c>
      <c r="AI70" s="30">
        <f t="shared" si="29"/>
        <v>0</v>
      </c>
      <c r="AJ70" s="30">
        <f t="shared" si="25"/>
        <v>1593</v>
      </c>
    </row>
    <row r="71" spans="1:38" ht="14.5" customHeight="1">
      <c r="A71" s="2"/>
      <c r="B71" s="2"/>
      <c r="C71" s="532" t="s">
        <v>22</v>
      </c>
      <c r="D71" s="501"/>
      <c r="E71" s="30">
        <f t="shared" ref="E71:AI71" si="30">E29-D29</f>
        <v>0</v>
      </c>
      <c r="F71" s="30">
        <f t="shared" si="30"/>
        <v>0</v>
      </c>
      <c r="G71" s="30">
        <f t="shared" si="30"/>
        <v>0</v>
      </c>
      <c r="H71" s="30">
        <f t="shared" si="30"/>
        <v>0</v>
      </c>
      <c r="I71" s="30">
        <f t="shared" si="30"/>
        <v>0</v>
      </c>
      <c r="J71" s="30">
        <f t="shared" si="30"/>
        <v>0</v>
      </c>
      <c r="K71" s="30">
        <f t="shared" si="30"/>
        <v>0</v>
      </c>
      <c r="L71" s="30">
        <f t="shared" si="30"/>
        <v>0</v>
      </c>
      <c r="M71" s="30">
        <f t="shared" si="30"/>
        <v>0</v>
      </c>
      <c r="N71" s="30">
        <f t="shared" si="30"/>
        <v>0</v>
      </c>
      <c r="O71" s="30">
        <f t="shared" si="30"/>
        <v>0</v>
      </c>
      <c r="P71" s="30">
        <f t="shared" si="30"/>
        <v>0</v>
      </c>
      <c r="Q71" s="30">
        <f t="shared" si="30"/>
        <v>0</v>
      </c>
      <c r="R71" s="30">
        <f t="shared" si="30"/>
        <v>0</v>
      </c>
      <c r="S71" s="30">
        <f t="shared" si="30"/>
        <v>0</v>
      </c>
      <c r="T71" s="30">
        <f t="shared" si="30"/>
        <v>0</v>
      </c>
      <c r="U71" s="30">
        <f t="shared" si="30"/>
        <v>0</v>
      </c>
      <c r="V71" s="30">
        <f t="shared" si="30"/>
        <v>0</v>
      </c>
      <c r="W71" s="30">
        <f t="shared" si="30"/>
        <v>0</v>
      </c>
      <c r="X71" s="30">
        <f t="shared" si="30"/>
        <v>0</v>
      </c>
      <c r="Y71" s="30">
        <f t="shared" si="30"/>
        <v>1</v>
      </c>
      <c r="Z71" s="30">
        <f t="shared" si="30"/>
        <v>0</v>
      </c>
      <c r="AA71" s="30">
        <f t="shared" si="30"/>
        <v>0</v>
      </c>
      <c r="AB71" s="30">
        <f t="shared" si="30"/>
        <v>0</v>
      </c>
      <c r="AC71" s="30">
        <f t="shared" si="30"/>
        <v>0</v>
      </c>
      <c r="AD71" s="30">
        <f t="shared" si="30"/>
        <v>0</v>
      </c>
      <c r="AE71" s="30">
        <f t="shared" si="30"/>
        <v>0</v>
      </c>
      <c r="AF71" s="30">
        <f t="shared" si="30"/>
        <v>0</v>
      </c>
      <c r="AG71" s="30">
        <f t="shared" si="30"/>
        <v>0</v>
      </c>
      <c r="AH71" s="30">
        <f t="shared" si="30"/>
        <v>0</v>
      </c>
      <c r="AI71" s="30">
        <f t="shared" si="30"/>
        <v>0</v>
      </c>
      <c r="AJ71" s="30">
        <f t="shared" si="25"/>
        <v>1</v>
      </c>
    </row>
    <row r="72" spans="1:38" ht="14.5" customHeight="1">
      <c r="A72" s="2">
        <v>4</v>
      </c>
      <c r="B72" s="2" t="s">
        <v>129</v>
      </c>
      <c r="C72" s="506" t="s">
        <v>122</v>
      </c>
      <c r="D72" s="501"/>
      <c r="E72" s="30">
        <f t="shared" ref="E72:AI72" si="31">E30-D30</f>
        <v>17</v>
      </c>
      <c r="F72" s="30">
        <f t="shared" si="31"/>
        <v>67</v>
      </c>
      <c r="G72" s="30">
        <f t="shared" si="31"/>
        <v>59</v>
      </c>
      <c r="H72" s="30">
        <f t="shared" si="31"/>
        <v>58</v>
      </c>
      <c r="I72" s="30">
        <f t="shared" si="31"/>
        <v>60</v>
      </c>
      <c r="J72" s="30">
        <f t="shared" si="31"/>
        <v>60</v>
      </c>
      <c r="K72" s="30">
        <f t="shared" si="31"/>
        <v>32</v>
      </c>
      <c r="L72" s="30">
        <f t="shared" si="31"/>
        <v>0</v>
      </c>
      <c r="M72" s="30">
        <f t="shared" si="31"/>
        <v>87</v>
      </c>
      <c r="N72" s="30">
        <f t="shared" si="31"/>
        <v>45</v>
      </c>
      <c r="O72" s="30">
        <f t="shared" si="31"/>
        <v>43</v>
      </c>
      <c r="P72" s="30">
        <f t="shared" si="31"/>
        <v>42</v>
      </c>
      <c r="Q72" s="30">
        <f t="shared" si="31"/>
        <v>41</v>
      </c>
      <c r="R72" s="30">
        <f t="shared" si="31"/>
        <v>11</v>
      </c>
      <c r="S72" s="30">
        <f t="shared" si="31"/>
        <v>0</v>
      </c>
      <c r="T72" s="30">
        <f t="shared" si="31"/>
        <v>74</v>
      </c>
      <c r="U72" s="30">
        <f t="shared" si="31"/>
        <v>88</v>
      </c>
      <c r="V72" s="30">
        <f t="shared" si="31"/>
        <v>43</v>
      </c>
      <c r="W72" s="30">
        <f t="shared" si="31"/>
        <v>40</v>
      </c>
      <c r="X72" s="30">
        <f t="shared" si="31"/>
        <v>42</v>
      </c>
      <c r="Y72" s="30">
        <f t="shared" si="31"/>
        <v>5</v>
      </c>
      <c r="Z72" s="30">
        <f t="shared" si="31"/>
        <v>0</v>
      </c>
      <c r="AA72" s="30">
        <f t="shared" si="31"/>
        <v>45</v>
      </c>
      <c r="AB72" s="30">
        <f t="shared" si="31"/>
        <v>40</v>
      </c>
      <c r="AC72" s="30">
        <f t="shared" si="31"/>
        <v>2</v>
      </c>
      <c r="AD72" s="30">
        <f t="shared" si="31"/>
        <v>5</v>
      </c>
      <c r="AE72" s="30">
        <f t="shared" si="31"/>
        <v>6</v>
      </c>
      <c r="AF72" s="30">
        <f t="shared" si="31"/>
        <v>4</v>
      </c>
      <c r="AG72" s="30">
        <f t="shared" si="31"/>
        <v>0</v>
      </c>
      <c r="AH72" s="30">
        <f t="shared" si="31"/>
        <v>1</v>
      </c>
      <c r="AI72" s="30">
        <f t="shared" si="31"/>
        <v>1</v>
      </c>
      <c r="AJ72" s="30">
        <f t="shared" si="25"/>
        <v>1018</v>
      </c>
    </row>
    <row r="73" spans="1:38" ht="14.5" customHeight="1">
      <c r="A73" s="2"/>
      <c r="B73" s="2"/>
      <c r="C73" s="532" t="s">
        <v>22</v>
      </c>
      <c r="D73" s="501"/>
      <c r="E73" s="30">
        <f t="shared" ref="E73:AI73" si="32">E31-D31</f>
        <v>0</v>
      </c>
      <c r="F73" s="30">
        <f t="shared" si="32"/>
        <v>0</v>
      </c>
      <c r="G73" s="30">
        <f t="shared" si="32"/>
        <v>0</v>
      </c>
      <c r="H73" s="30">
        <f t="shared" si="32"/>
        <v>0</v>
      </c>
      <c r="I73" s="30">
        <f t="shared" si="32"/>
        <v>0</v>
      </c>
      <c r="J73" s="30">
        <f t="shared" si="32"/>
        <v>0</v>
      </c>
      <c r="K73" s="30">
        <f t="shared" si="32"/>
        <v>0</v>
      </c>
      <c r="L73" s="30">
        <f t="shared" si="32"/>
        <v>0</v>
      </c>
      <c r="M73" s="30">
        <f t="shared" si="32"/>
        <v>0</v>
      </c>
      <c r="N73" s="30">
        <f t="shared" si="32"/>
        <v>0</v>
      </c>
      <c r="O73" s="30">
        <f t="shared" si="32"/>
        <v>0</v>
      </c>
      <c r="P73" s="30">
        <f t="shared" si="32"/>
        <v>0</v>
      </c>
      <c r="Q73" s="30">
        <f t="shared" si="32"/>
        <v>0</v>
      </c>
      <c r="R73" s="30">
        <f t="shared" si="32"/>
        <v>0</v>
      </c>
      <c r="S73" s="30">
        <f t="shared" si="32"/>
        <v>0</v>
      </c>
      <c r="T73" s="30">
        <f t="shared" si="32"/>
        <v>0</v>
      </c>
      <c r="U73" s="30">
        <f t="shared" si="32"/>
        <v>0</v>
      </c>
      <c r="V73" s="30">
        <f t="shared" si="32"/>
        <v>0</v>
      </c>
      <c r="W73" s="30">
        <f t="shared" si="32"/>
        <v>0</v>
      </c>
      <c r="X73" s="30">
        <f t="shared" si="32"/>
        <v>0</v>
      </c>
      <c r="Y73" s="30">
        <f t="shared" si="32"/>
        <v>0</v>
      </c>
      <c r="Z73" s="30">
        <f t="shared" si="32"/>
        <v>0</v>
      </c>
      <c r="AA73" s="30">
        <f t="shared" si="32"/>
        <v>0</v>
      </c>
      <c r="AB73" s="30">
        <f t="shared" si="32"/>
        <v>0</v>
      </c>
      <c r="AC73" s="30">
        <f t="shared" si="32"/>
        <v>0</v>
      </c>
      <c r="AD73" s="30">
        <f t="shared" si="32"/>
        <v>0</v>
      </c>
      <c r="AE73" s="30">
        <f t="shared" si="32"/>
        <v>0</v>
      </c>
      <c r="AF73" s="30">
        <f t="shared" si="32"/>
        <v>0</v>
      </c>
      <c r="AG73" s="30">
        <f t="shared" si="32"/>
        <v>0</v>
      </c>
      <c r="AH73" s="30">
        <f t="shared" si="32"/>
        <v>0</v>
      </c>
      <c r="AI73" s="30">
        <f t="shared" si="32"/>
        <v>0</v>
      </c>
      <c r="AJ73" s="30">
        <f t="shared" si="25"/>
        <v>0</v>
      </c>
    </row>
    <row r="74" spans="1:38" ht="25.5" customHeight="1">
      <c r="A74" s="99"/>
      <c r="B74" s="99"/>
      <c r="C74" s="500" t="s">
        <v>134</v>
      </c>
      <c r="D74" s="501"/>
      <c r="E74" s="23">
        <f t="shared" ref="E74:AI74" si="33">SUM(E66,E68,E70,E72)</f>
        <v>57</v>
      </c>
      <c r="F74" s="23">
        <f t="shared" si="33"/>
        <v>263</v>
      </c>
      <c r="G74" s="23">
        <f t="shared" si="33"/>
        <v>215</v>
      </c>
      <c r="H74" s="23">
        <f t="shared" si="33"/>
        <v>231</v>
      </c>
      <c r="I74" s="23">
        <f t="shared" si="33"/>
        <v>224</v>
      </c>
      <c r="J74" s="23">
        <f t="shared" si="33"/>
        <v>235</v>
      </c>
      <c r="K74" s="23">
        <f t="shared" si="33"/>
        <v>126</v>
      </c>
      <c r="L74" s="23">
        <f t="shared" si="33"/>
        <v>0</v>
      </c>
      <c r="M74" s="23">
        <f t="shared" si="33"/>
        <v>345</v>
      </c>
      <c r="N74" s="23">
        <f t="shared" si="33"/>
        <v>227</v>
      </c>
      <c r="O74" s="23">
        <f t="shared" si="33"/>
        <v>194</v>
      </c>
      <c r="P74" s="23">
        <f t="shared" si="33"/>
        <v>264</v>
      </c>
      <c r="Q74" s="23">
        <f t="shared" si="33"/>
        <v>233</v>
      </c>
      <c r="R74" s="23">
        <f t="shared" si="33"/>
        <v>70</v>
      </c>
      <c r="S74" s="23">
        <f t="shared" si="33"/>
        <v>0</v>
      </c>
      <c r="T74" s="23">
        <f t="shared" si="33"/>
        <v>279</v>
      </c>
      <c r="U74" s="23">
        <f t="shared" si="33"/>
        <v>262</v>
      </c>
      <c r="V74" s="23">
        <f t="shared" si="33"/>
        <v>251</v>
      </c>
      <c r="W74" s="23">
        <f t="shared" si="33"/>
        <v>210</v>
      </c>
      <c r="X74" s="23">
        <f t="shared" si="33"/>
        <v>223</v>
      </c>
      <c r="Y74" s="23">
        <f t="shared" si="33"/>
        <v>28</v>
      </c>
      <c r="Z74" s="23">
        <f t="shared" si="33"/>
        <v>1</v>
      </c>
      <c r="AA74" s="23">
        <f t="shared" si="33"/>
        <v>239</v>
      </c>
      <c r="AB74" s="23">
        <f t="shared" si="33"/>
        <v>214</v>
      </c>
      <c r="AC74" s="23">
        <f t="shared" si="33"/>
        <v>77</v>
      </c>
      <c r="AD74" s="23">
        <f t="shared" si="33"/>
        <v>212</v>
      </c>
      <c r="AE74" s="23">
        <f t="shared" si="33"/>
        <v>177</v>
      </c>
      <c r="AF74" s="23">
        <f t="shared" si="33"/>
        <v>61</v>
      </c>
      <c r="AG74" s="23">
        <f t="shared" si="33"/>
        <v>0</v>
      </c>
      <c r="AH74" s="23">
        <f t="shared" si="33"/>
        <v>143</v>
      </c>
      <c r="AI74" s="23">
        <f t="shared" si="33"/>
        <v>31</v>
      </c>
      <c r="AJ74" s="24">
        <f t="shared" si="25"/>
        <v>5092</v>
      </c>
      <c r="AK74" s="78"/>
      <c r="AL74" s="78"/>
    </row>
    <row r="75" spans="1:38" ht="25.5" customHeight="1">
      <c r="A75" s="99"/>
      <c r="B75" s="99"/>
      <c r="C75" s="513" t="s">
        <v>135</v>
      </c>
      <c r="D75" s="501"/>
      <c r="E75" s="23">
        <f t="shared" ref="E75:AI75" si="34">SUM(E67,E69,E71,E73)</f>
        <v>0</v>
      </c>
      <c r="F75" s="23">
        <f t="shared" si="34"/>
        <v>0</v>
      </c>
      <c r="G75" s="23">
        <f t="shared" si="34"/>
        <v>0</v>
      </c>
      <c r="H75" s="23">
        <f t="shared" si="34"/>
        <v>0</v>
      </c>
      <c r="I75" s="23">
        <f t="shared" si="34"/>
        <v>0</v>
      </c>
      <c r="J75" s="23">
        <f t="shared" si="34"/>
        <v>0</v>
      </c>
      <c r="K75" s="23">
        <f t="shared" si="34"/>
        <v>0</v>
      </c>
      <c r="L75" s="23">
        <f t="shared" si="34"/>
        <v>0</v>
      </c>
      <c r="M75" s="23">
        <f t="shared" si="34"/>
        <v>0</v>
      </c>
      <c r="N75" s="23">
        <f t="shared" si="34"/>
        <v>0</v>
      </c>
      <c r="O75" s="23">
        <f t="shared" si="34"/>
        <v>0</v>
      </c>
      <c r="P75" s="23">
        <f t="shared" si="34"/>
        <v>0</v>
      </c>
      <c r="Q75" s="23">
        <f t="shared" si="34"/>
        <v>0</v>
      </c>
      <c r="R75" s="23">
        <f t="shared" si="34"/>
        <v>0</v>
      </c>
      <c r="S75" s="23">
        <f t="shared" si="34"/>
        <v>0</v>
      </c>
      <c r="T75" s="23">
        <f t="shared" si="34"/>
        <v>0</v>
      </c>
      <c r="U75" s="23">
        <f t="shared" si="34"/>
        <v>0</v>
      </c>
      <c r="V75" s="23">
        <f t="shared" si="34"/>
        <v>0</v>
      </c>
      <c r="W75" s="23">
        <f t="shared" si="34"/>
        <v>0</v>
      </c>
      <c r="X75" s="23">
        <f t="shared" si="34"/>
        <v>0</v>
      </c>
      <c r="Y75" s="23">
        <f t="shared" si="34"/>
        <v>2</v>
      </c>
      <c r="Z75" s="23">
        <f t="shared" si="34"/>
        <v>0</v>
      </c>
      <c r="AA75" s="23">
        <f t="shared" si="34"/>
        <v>0</v>
      </c>
      <c r="AB75" s="23">
        <f t="shared" si="34"/>
        <v>0</v>
      </c>
      <c r="AC75" s="23">
        <f t="shared" si="34"/>
        <v>0</v>
      </c>
      <c r="AD75" s="23">
        <f t="shared" si="34"/>
        <v>0</v>
      </c>
      <c r="AE75" s="23">
        <f t="shared" si="34"/>
        <v>0</v>
      </c>
      <c r="AF75" s="23">
        <f t="shared" si="34"/>
        <v>0</v>
      </c>
      <c r="AG75" s="23">
        <f t="shared" si="34"/>
        <v>0</v>
      </c>
      <c r="AH75" s="23">
        <f t="shared" si="34"/>
        <v>0</v>
      </c>
      <c r="AI75" s="23">
        <f t="shared" si="34"/>
        <v>0</v>
      </c>
      <c r="AJ75" s="24">
        <f t="shared" si="25"/>
        <v>2</v>
      </c>
      <c r="AK75" s="78"/>
      <c r="AL75" s="78"/>
    </row>
    <row r="76" spans="1:38" ht="14.5" customHeight="1">
      <c r="A76" s="2">
        <v>1</v>
      </c>
      <c r="B76" s="2" t="s">
        <v>129</v>
      </c>
      <c r="C76" s="503" t="s">
        <v>123</v>
      </c>
      <c r="D76" s="501"/>
      <c r="E76" s="30">
        <f t="shared" ref="E76:AI76" si="35">E33-D33</f>
        <v>0</v>
      </c>
      <c r="F76" s="30">
        <f t="shared" si="35"/>
        <v>602</v>
      </c>
      <c r="G76" s="30">
        <f t="shared" si="35"/>
        <v>646</v>
      </c>
      <c r="H76" s="30">
        <f t="shared" si="35"/>
        <v>540</v>
      </c>
      <c r="I76" s="30">
        <f t="shared" si="35"/>
        <v>481</v>
      </c>
      <c r="J76" s="30">
        <f t="shared" si="35"/>
        <v>433</v>
      </c>
      <c r="K76" s="30">
        <f t="shared" si="35"/>
        <v>51</v>
      </c>
      <c r="L76" s="30">
        <f t="shared" si="35"/>
        <v>0</v>
      </c>
      <c r="M76" s="30">
        <f t="shared" si="35"/>
        <v>510</v>
      </c>
      <c r="N76" s="30">
        <f t="shared" si="35"/>
        <v>405</v>
      </c>
      <c r="O76" s="30">
        <f t="shared" si="35"/>
        <v>418</v>
      </c>
      <c r="P76" s="30">
        <f t="shared" si="35"/>
        <v>339</v>
      </c>
      <c r="Q76" s="30">
        <f t="shared" si="35"/>
        <v>313</v>
      </c>
      <c r="R76" s="30">
        <f t="shared" si="35"/>
        <v>44</v>
      </c>
      <c r="S76" s="30">
        <f t="shared" si="35"/>
        <v>0</v>
      </c>
      <c r="T76" s="30">
        <f t="shared" si="35"/>
        <v>514</v>
      </c>
      <c r="U76" s="30">
        <f t="shared" si="35"/>
        <v>428</v>
      </c>
      <c r="V76" s="30">
        <f t="shared" si="35"/>
        <v>403</v>
      </c>
      <c r="W76" s="30">
        <f t="shared" si="35"/>
        <v>319</v>
      </c>
      <c r="X76" s="30">
        <f t="shared" si="35"/>
        <v>387</v>
      </c>
      <c r="Y76" s="30">
        <f t="shared" si="35"/>
        <v>68</v>
      </c>
      <c r="Z76" s="30">
        <f t="shared" si="35"/>
        <v>0</v>
      </c>
      <c r="AA76" s="30">
        <f t="shared" si="35"/>
        <v>401</v>
      </c>
      <c r="AB76" s="30">
        <f t="shared" si="35"/>
        <v>334</v>
      </c>
      <c r="AC76" s="30">
        <f t="shared" si="35"/>
        <v>0</v>
      </c>
      <c r="AD76" s="30">
        <f t="shared" si="35"/>
        <v>37</v>
      </c>
      <c r="AE76" s="30">
        <f t="shared" si="35"/>
        <v>2</v>
      </c>
      <c r="AF76" s="30">
        <f t="shared" si="35"/>
        <v>1</v>
      </c>
      <c r="AG76" s="30">
        <f t="shared" si="35"/>
        <v>0</v>
      </c>
      <c r="AH76" s="30">
        <f t="shared" si="35"/>
        <v>350</v>
      </c>
      <c r="AI76" s="30">
        <f t="shared" si="35"/>
        <v>189</v>
      </c>
      <c r="AJ76" s="30">
        <f t="shared" si="25"/>
        <v>8215</v>
      </c>
      <c r="AL76" s="78"/>
    </row>
    <row r="77" spans="1:38" ht="14.5" customHeight="1">
      <c r="A77" s="2">
        <v>2</v>
      </c>
      <c r="B77" s="2" t="s">
        <v>129</v>
      </c>
      <c r="C77" s="503" t="s">
        <v>124</v>
      </c>
      <c r="D77" s="501"/>
      <c r="E77" s="30">
        <f t="shared" ref="E77:AI77" si="36">E34-D34</f>
        <v>0</v>
      </c>
      <c r="F77" s="30">
        <f t="shared" si="36"/>
        <v>602</v>
      </c>
      <c r="G77" s="30">
        <f t="shared" si="36"/>
        <v>709</v>
      </c>
      <c r="H77" s="30">
        <f t="shared" si="36"/>
        <v>584</v>
      </c>
      <c r="I77" s="30">
        <f t="shared" si="36"/>
        <v>492</v>
      </c>
      <c r="J77" s="30">
        <f t="shared" si="36"/>
        <v>403</v>
      </c>
      <c r="K77" s="30">
        <f t="shared" si="36"/>
        <v>105</v>
      </c>
      <c r="L77" s="30">
        <f t="shared" si="36"/>
        <v>0</v>
      </c>
      <c r="M77" s="30">
        <f t="shared" si="36"/>
        <v>533</v>
      </c>
      <c r="N77" s="30">
        <f t="shared" si="36"/>
        <v>465</v>
      </c>
      <c r="O77" s="30">
        <f t="shared" si="36"/>
        <v>421</v>
      </c>
      <c r="P77" s="30">
        <f t="shared" si="36"/>
        <v>375</v>
      </c>
      <c r="Q77" s="30">
        <f t="shared" si="36"/>
        <v>315</v>
      </c>
      <c r="R77" s="30">
        <f t="shared" si="36"/>
        <v>49</v>
      </c>
      <c r="S77" s="30">
        <f t="shared" si="36"/>
        <v>0</v>
      </c>
      <c r="T77" s="30">
        <f t="shared" si="36"/>
        <v>467</v>
      </c>
      <c r="U77" s="30">
        <f t="shared" si="36"/>
        <v>420</v>
      </c>
      <c r="V77" s="30">
        <f t="shared" si="36"/>
        <v>332</v>
      </c>
      <c r="W77" s="30">
        <f t="shared" si="36"/>
        <v>297</v>
      </c>
      <c r="X77" s="30">
        <f t="shared" si="36"/>
        <v>351</v>
      </c>
      <c r="Y77" s="30">
        <f t="shared" si="36"/>
        <v>43</v>
      </c>
      <c r="Z77" s="30">
        <f t="shared" si="36"/>
        <v>0</v>
      </c>
      <c r="AA77" s="30">
        <f t="shared" si="36"/>
        <v>242</v>
      </c>
      <c r="AB77" s="30">
        <f t="shared" si="36"/>
        <v>285</v>
      </c>
      <c r="AC77" s="30">
        <f t="shared" si="36"/>
        <v>0</v>
      </c>
      <c r="AD77" s="30">
        <f t="shared" si="36"/>
        <v>71</v>
      </c>
      <c r="AE77" s="30">
        <f t="shared" si="36"/>
        <v>10</v>
      </c>
      <c r="AF77" s="30">
        <f t="shared" si="36"/>
        <v>0</v>
      </c>
      <c r="AG77" s="30">
        <f t="shared" si="36"/>
        <v>0</v>
      </c>
      <c r="AH77" s="30">
        <f t="shared" si="36"/>
        <v>137</v>
      </c>
      <c r="AI77" s="30">
        <f t="shared" si="36"/>
        <v>8</v>
      </c>
      <c r="AJ77" s="30">
        <f t="shared" si="25"/>
        <v>7716</v>
      </c>
    </row>
    <row r="78" spans="1:38" ht="14.5" customHeight="1">
      <c r="A78" s="2">
        <v>3</v>
      </c>
      <c r="B78" s="2" t="s">
        <v>129</v>
      </c>
      <c r="C78" s="503" t="s">
        <v>125</v>
      </c>
      <c r="D78" s="501"/>
      <c r="E78" s="30">
        <f t="shared" ref="E78:AI78" si="37">E35-D35</f>
        <v>0</v>
      </c>
      <c r="F78" s="30">
        <f t="shared" si="37"/>
        <v>466</v>
      </c>
      <c r="G78" s="30">
        <f t="shared" si="37"/>
        <v>584</v>
      </c>
      <c r="H78" s="30">
        <f t="shared" si="37"/>
        <v>537</v>
      </c>
      <c r="I78" s="30">
        <f t="shared" si="37"/>
        <v>491</v>
      </c>
      <c r="J78" s="30">
        <f t="shared" si="37"/>
        <v>324</v>
      </c>
      <c r="K78" s="30">
        <f t="shared" si="37"/>
        <v>103</v>
      </c>
      <c r="L78" s="30">
        <f t="shared" si="37"/>
        <v>0</v>
      </c>
      <c r="M78" s="30">
        <f t="shared" si="37"/>
        <v>422</v>
      </c>
      <c r="N78" s="30">
        <f t="shared" si="37"/>
        <v>244</v>
      </c>
      <c r="O78" s="30">
        <f t="shared" si="37"/>
        <v>117</v>
      </c>
      <c r="P78" s="30">
        <f t="shared" si="37"/>
        <v>172</v>
      </c>
      <c r="Q78" s="30">
        <f t="shared" si="37"/>
        <v>281</v>
      </c>
      <c r="R78" s="30">
        <f t="shared" si="37"/>
        <v>24</v>
      </c>
      <c r="S78" s="30">
        <f t="shared" si="37"/>
        <v>0</v>
      </c>
      <c r="T78" s="30">
        <f t="shared" si="37"/>
        <v>357</v>
      </c>
      <c r="U78" s="30">
        <f t="shared" si="37"/>
        <v>258</v>
      </c>
      <c r="V78" s="30">
        <f t="shared" si="37"/>
        <v>288</v>
      </c>
      <c r="W78" s="30">
        <f t="shared" si="37"/>
        <v>305</v>
      </c>
      <c r="X78" s="30">
        <f t="shared" si="37"/>
        <v>379</v>
      </c>
      <c r="Y78" s="30">
        <f t="shared" si="37"/>
        <v>40</v>
      </c>
      <c r="Z78" s="30">
        <f t="shared" si="37"/>
        <v>0</v>
      </c>
      <c r="AA78" s="30">
        <f t="shared" si="37"/>
        <v>215</v>
      </c>
      <c r="AB78" s="30">
        <f t="shared" si="37"/>
        <v>182</v>
      </c>
      <c r="AC78" s="30">
        <f t="shared" si="37"/>
        <v>0</v>
      </c>
      <c r="AD78" s="30">
        <f t="shared" si="37"/>
        <v>4</v>
      </c>
      <c r="AE78" s="30">
        <f t="shared" si="37"/>
        <v>0</v>
      </c>
      <c r="AF78" s="30">
        <f t="shared" si="37"/>
        <v>1</v>
      </c>
      <c r="AG78" s="30">
        <f t="shared" si="37"/>
        <v>0</v>
      </c>
      <c r="AH78" s="30">
        <f t="shared" si="37"/>
        <v>59</v>
      </c>
      <c r="AI78" s="30">
        <f t="shared" si="37"/>
        <v>0</v>
      </c>
      <c r="AJ78" s="30">
        <f t="shared" si="25"/>
        <v>5853</v>
      </c>
    </row>
    <row r="79" spans="1:38" ht="14.5" customHeight="1">
      <c r="A79" s="2">
        <v>4</v>
      </c>
      <c r="B79" s="2" t="s">
        <v>129</v>
      </c>
      <c r="C79" s="503" t="s">
        <v>126</v>
      </c>
      <c r="D79" s="501"/>
      <c r="E79" s="30">
        <f t="shared" ref="E79:AI79" si="38">E36-D36</f>
        <v>0</v>
      </c>
      <c r="F79" s="30">
        <f t="shared" si="38"/>
        <v>460</v>
      </c>
      <c r="G79" s="30">
        <f t="shared" si="38"/>
        <v>516</v>
      </c>
      <c r="H79" s="30">
        <f t="shared" si="38"/>
        <v>417</v>
      </c>
      <c r="I79" s="30">
        <f t="shared" si="38"/>
        <v>289</v>
      </c>
      <c r="J79" s="30">
        <f t="shared" si="38"/>
        <v>235</v>
      </c>
      <c r="K79" s="30">
        <f t="shared" si="38"/>
        <v>63</v>
      </c>
      <c r="L79" s="30">
        <f t="shared" si="38"/>
        <v>0</v>
      </c>
      <c r="M79" s="30">
        <f t="shared" si="38"/>
        <v>434</v>
      </c>
      <c r="N79" s="30">
        <f t="shared" si="38"/>
        <v>281</v>
      </c>
      <c r="O79" s="30">
        <f t="shared" si="38"/>
        <v>203</v>
      </c>
      <c r="P79" s="30">
        <f t="shared" si="38"/>
        <v>238</v>
      </c>
      <c r="Q79" s="30">
        <f t="shared" si="38"/>
        <v>260</v>
      </c>
      <c r="R79" s="30">
        <f t="shared" si="38"/>
        <v>8</v>
      </c>
      <c r="S79" s="30">
        <f t="shared" si="38"/>
        <v>0</v>
      </c>
      <c r="T79" s="30">
        <f t="shared" si="38"/>
        <v>374</v>
      </c>
      <c r="U79" s="30">
        <f t="shared" si="38"/>
        <v>265</v>
      </c>
      <c r="V79" s="30">
        <f t="shared" si="38"/>
        <v>233</v>
      </c>
      <c r="W79" s="30">
        <f t="shared" si="38"/>
        <v>200</v>
      </c>
      <c r="X79" s="30">
        <f t="shared" si="38"/>
        <v>283</v>
      </c>
      <c r="Y79" s="30">
        <f t="shared" si="38"/>
        <v>30</v>
      </c>
      <c r="Z79" s="30">
        <f t="shared" si="38"/>
        <v>0</v>
      </c>
      <c r="AA79" s="30">
        <f t="shared" si="38"/>
        <v>185</v>
      </c>
      <c r="AB79" s="30">
        <f t="shared" si="38"/>
        <v>112</v>
      </c>
      <c r="AC79" s="30">
        <f t="shared" si="38"/>
        <v>0</v>
      </c>
      <c r="AD79" s="30">
        <f t="shared" si="38"/>
        <v>3</v>
      </c>
      <c r="AE79" s="30">
        <f t="shared" si="38"/>
        <v>0</v>
      </c>
      <c r="AF79" s="30">
        <f t="shared" si="38"/>
        <v>0</v>
      </c>
      <c r="AG79" s="30">
        <f t="shared" si="38"/>
        <v>0</v>
      </c>
      <c r="AH79" s="30">
        <f t="shared" si="38"/>
        <v>37</v>
      </c>
      <c r="AI79" s="30">
        <f t="shared" si="38"/>
        <v>0</v>
      </c>
      <c r="AJ79" s="30">
        <f t="shared" si="25"/>
        <v>5126</v>
      </c>
    </row>
    <row r="80" spans="1:38" ht="15" customHeight="1">
      <c r="A80" s="99"/>
      <c r="B80" s="99"/>
      <c r="C80" s="500" t="s">
        <v>136</v>
      </c>
      <c r="D80" s="501"/>
      <c r="E80" s="23">
        <f t="shared" ref="E80:AJ80" si="39">SUM(E76:E79)</f>
        <v>0</v>
      </c>
      <c r="F80" s="23">
        <f t="shared" si="39"/>
        <v>2130</v>
      </c>
      <c r="G80" s="23">
        <f t="shared" si="39"/>
        <v>2455</v>
      </c>
      <c r="H80" s="23">
        <f t="shared" si="39"/>
        <v>2078</v>
      </c>
      <c r="I80" s="23">
        <f t="shared" si="39"/>
        <v>1753</v>
      </c>
      <c r="J80" s="23">
        <f t="shared" si="39"/>
        <v>1395</v>
      </c>
      <c r="K80" s="23">
        <f t="shared" si="39"/>
        <v>322</v>
      </c>
      <c r="L80" s="23">
        <f t="shared" si="39"/>
        <v>0</v>
      </c>
      <c r="M80" s="23">
        <f t="shared" si="39"/>
        <v>1899</v>
      </c>
      <c r="N80" s="23">
        <f t="shared" si="39"/>
        <v>1395</v>
      </c>
      <c r="O80" s="23">
        <f t="shared" si="39"/>
        <v>1159</v>
      </c>
      <c r="P80" s="23">
        <f t="shared" si="39"/>
        <v>1124</v>
      </c>
      <c r="Q80" s="23">
        <f t="shared" si="39"/>
        <v>1169</v>
      </c>
      <c r="R80" s="23">
        <f t="shared" si="39"/>
        <v>125</v>
      </c>
      <c r="S80" s="23">
        <f t="shared" si="39"/>
        <v>0</v>
      </c>
      <c r="T80" s="23">
        <f t="shared" si="39"/>
        <v>1712</v>
      </c>
      <c r="U80" s="23">
        <f t="shared" si="39"/>
        <v>1371</v>
      </c>
      <c r="V80" s="23">
        <f t="shared" si="39"/>
        <v>1256</v>
      </c>
      <c r="W80" s="23">
        <f t="shared" si="39"/>
        <v>1121</v>
      </c>
      <c r="X80" s="23">
        <f t="shared" si="39"/>
        <v>1400</v>
      </c>
      <c r="Y80" s="23">
        <f t="shared" si="39"/>
        <v>181</v>
      </c>
      <c r="Z80" s="23">
        <f t="shared" si="39"/>
        <v>0</v>
      </c>
      <c r="AA80" s="23">
        <f t="shared" si="39"/>
        <v>1043</v>
      </c>
      <c r="AB80" s="23">
        <f t="shared" si="39"/>
        <v>913</v>
      </c>
      <c r="AC80" s="23">
        <f t="shared" si="39"/>
        <v>0</v>
      </c>
      <c r="AD80" s="23">
        <f t="shared" si="39"/>
        <v>115</v>
      </c>
      <c r="AE80" s="23">
        <f t="shared" si="39"/>
        <v>12</v>
      </c>
      <c r="AF80" s="23">
        <f t="shared" si="39"/>
        <v>2</v>
      </c>
      <c r="AG80" s="23">
        <f t="shared" si="39"/>
        <v>0</v>
      </c>
      <c r="AH80" s="23">
        <f t="shared" si="39"/>
        <v>583</v>
      </c>
      <c r="AI80" s="23">
        <f t="shared" si="39"/>
        <v>197</v>
      </c>
      <c r="AJ80" s="24">
        <f t="shared" si="39"/>
        <v>26910</v>
      </c>
      <c r="AK80" s="78"/>
    </row>
  </sheetData>
  <mergeCells count="49">
    <mergeCell ref="E2:AI2"/>
    <mergeCell ref="C58:D58"/>
    <mergeCell ref="B3:B6"/>
    <mergeCell ref="C45:D45"/>
    <mergeCell ref="C74:D74"/>
    <mergeCell ref="B40:D40"/>
    <mergeCell ref="A2:D2"/>
    <mergeCell ref="C79:D79"/>
    <mergeCell ref="C73:D73"/>
    <mergeCell ref="C47:D47"/>
    <mergeCell ref="C54:D54"/>
    <mergeCell ref="C63:D63"/>
    <mergeCell ref="C65:D65"/>
    <mergeCell ref="C78:D78"/>
    <mergeCell ref="C49:D49"/>
    <mergeCell ref="C77:D77"/>
    <mergeCell ref="C68:D68"/>
    <mergeCell ref="A41:A44"/>
    <mergeCell ref="A3:A6"/>
    <mergeCell ref="C50:D50"/>
    <mergeCell ref="AJ3:AJ6"/>
    <mergeCell ref="C75:D75"/>
    <mergeCell ref="C55:D55"/>
    <mergeCell ref="D3:D6"/>
    <mergeCell ref="C72:D72"/>
    <mergeCell ref="C67:D67"/>
    <mergeCell ref="C57:D57"/>
    <mergeCell ref="C3:C6"/>
    <mergeCell ref="C66:D66"/>
    <mergeCell ref="C41:D44"/>
    <mergeCell ref="C53:D53"/>
    <mergeCell ref="B39:D39"/>
    <mergeCell ref="C69:D69"/>
    <mergeCell ref="C80:D80"/>
    <mergeCell ref="C56:D56"/>
    <mergeCell ref="C59:D59"/>
    <mergeCell ref="A23:AJ23"/>
    <mergeCell ref="A32:AJ32"/>
    <mergeCell ref="AJ41:AJ44"/>
    <mergeCell ref="C46:D46"/>
    <mergeCell ref="C60:D60"/>
    <mergeCell ref="C51:D51"/>
    <mergeCell ref="C76:D76"/>
    <mergeCell ref="C71:D71"/>
    <mergeCell ref="C61:D61"/>
    <mergeCell ref="C52:D52"/>
    <mergeCell ref="C70:D70"/>
    <mergeCell ref="C48:D48"/>
    <mergeCell ref="B41:B4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7"/>
  <sheetViews>
    <sheetView topLeftCell="U1" zoomScaleNormal="100" workbookViewId="0">
      <selection activeCell="AA17" sqref="AA17"/>
    </sheetView>
  </sheetViews>
  <sheetFormatPr defaultRowHeight="14.5"/>
  <cols>
    <col min="1" max="1" width="14" bestFit="1" customWidth="1"/>
    <col min="2" max="2" width="15.81640625" bestFit="1" customWidth="1"/>
    <col min="3" max="3" width="8.7265625" bestFit="1" customWidth="1"/>
    <col min="4" max="8" width="18" customWidth="1"/>
    <col min="9" max="9" width="18" bestFit="1" customWidth="1"/>
    <col min="10" max="10" width="21" bestFit="1" customWidth="1"/>
    <col min="11" max="11" width="18" bestFit="1" customWidth="1"/>
    <col min="12" max="12" width="18" style="126" bestFit="1" customWidth="1"/>
    <col min="13" max="13" width="18" bestFit="1" customWidth="1"/>
    <col min="14" max="20" width="18" customWidth="1"/>
    <col min="21" max="21" width="23" customWidth="1"/>
    <col min="22" max="23" width="23" bestFit="1" customWidth="1"/>
    <col min="24" max="24" width="23" customWidth="1"/>
    <col min="25" max="25" width="23" bestFit="1" customWidth="1"/>
    <col min="26" max="27" width="23" customWidth="1"/>
  </cols>
  <sheetData>
    <row r="1" spans="1:27" ht="16" customHeight="1" thickBot="1">
      <c r="A1" s="187" t="s">
        <v>0</v>
      </c>
      <c r="B1" s="189" t="s">
        <v>1</v>
      </c>
      <c r="C1" s="190" t="s">
        <v>2</v>
      </c>
      <c r="D1" s="182" t="s">
        <v>3</v>
      </c>
      <c r="E1" s="182" t="s">
        <v>4</v>
      </c>
      <c r="F1" s="182" t="s">
        <v>5</v>
      </c>
      <c r="G1" s="182" t="s">
        <v>6</v>
      </c>
      <c r="H1" s="182" t="s">
        <v>7</v>
      </c>
      <c r="I1" s="182" t="s">
        <v>8</v>
      </c>
      <c r="J1" s="182" t="s">
        <v>9</v>
      </c>
      <c r="K1" s="182" t="s">
        <v>10</v>
      </c>
      <c r="L1" s="183" t="s">
        <v>11</v>
      </c>
      <c r="M1" s="182" t="s">
        <v>12</v>
      </c>
      <c r="N1" s="183" t="s">
        <v>13</v>
      </c>
      <c r="O1" s="183" t="s">
        <v>14</v>
      </c>
      <c r="P1" s="183" t="s">
        <v>15</v>
      </c>
      <c r="Q1" s="183" t="s">
        <v>16</v>
      </c>
      <c r="R1" s="183" t="s">
        <v>17</v>
      </c>
      <c r="S1" s="297" t="s">
        <v>18</v>
      </c>
      <c r="T1" s="297" t="s">
        <v>19</v>
      </c>
      <c r="U1" s="297">
        <v>46023</v>
      </c>
      <c r="V1" s="297">
        <v>46054</v>
      </c>
      <c r="W1" s="297">
        <v>46082</v>
      </c>
      <c r="X1" s="297">
        <v>46113</v>
      </c>
      <c r="Y1" s="297">
        <v>46143</v>
      </c>
      <c r="Z1" s="297">
        <v>46174</v>
      </c>
      <c r="AA1" s="297">
        <v>46204</v>
      </c>
    </row>
    <row r="2" spans="1:27" ht="15" customHeight="1" thickBot="1">
      <c r="A2" s="188">
        <v>1</v>
      </c>
      <c r="B2" s="191" t="s">
        <v>20</v>
      </c>
      <c r="C2" s="192">
        <f>'July 24'!AL61</f>
        <v>48713</v>
      </c>
      <c r="D2" s="192">
        <f>'August 24'!AL56</f>
        <v>49144</v>
      </c>
      <c r="E2" s="192">
        <f>'September 24'!AK55</f>
        <v>45860</v>
      </c>
      <c r="F2" s="192">
        <f>'Oct 24'!AL54</f>
        <v>51115</v>
      </c>
      <c r="G2" s="184">
        <f>'Nov 24'!AK54</f>
        <v>48494</v>
      </c>
      <c r="H2" s="193">
        <f>'DEC - 2024'!AL54</f>
        <v>50692</v>
      </c>
      <c r="I2" s="193">
        <f>'Jan-2025'!AL54</f>
        <v>53232</v>
      </c>
      <c r="J2" s="184">
        <f>'Feb-2025'!AI54</f>
        <v>51335</v>
      </c>
      <c r="K2" s="184">
        <f>'March-25'!AL54</f>
        <v>54385</v>
      </c>
      <c r="L2" s="184">
        <f>'April-2025'!AK50</f>
        <v>54596</v>
      </c>
      <c r="M2" s="184">
        <f>'May-2025'!AL69</f>
        <v>53824</v>
      </c>
      <c r="N2" s="184">
        <f>'June - 2025'!AL68</f>
        <v>56105</v>
      </c>
      <c r="O2" s="39">
        <f>'July-2025'!AL68</f>
        <v>59226</v>
      </c>
      <c r="P2" s="203">
        <f>'Aug-25'!AL68</f>
        <v>56287</v>
      </c>
      <c r="Q2" s="203">
        <f>'Sep-2025'!AK68</f>
        <v>56934</v>
      </c>
      <c r="R2" s="203">
        <f>'Oct-25'!AL68</f>
        <v>57717</v>
      </c>
      <c r="S2" s="298">
        <f>'Nov-25'!AK68</f>
        <v>54587</v>
      </c>
      <c r="T2" s="204">
        <f>'Dec-25'!AL68</f>
        <v>55099</v>
      </c>
      <c r="U2" s="204">
        <f>'Jan-2026'!AL68</f>
        <v>55738</v>
      </c>
      <c r="V2" s="39">
        <f>'Feb-2026'!AI68</f>
        <v>52213</v>
      </c>
      <c r="W2" s="39">
        <f>'Mar-2026'!AL68</f>
        <v>48947</v>
      </c>
      <c r="X2" s="184">
        <f>'April-2026'!AK68</f>
        <v>48560</v>
      </c>
      <c r="Y2" s="184">
        <f>'May-2026'!AL68</f>
        <v>50279</v>
      </c>
      <c r="Z2" s="184">
        <f>'Jun-2026'!AK68</f>
        <v>50415</v>
      </c>
      <c r="AA2" s="184">
        <f>'July-2026'!AL68</f>
        <v>52703</v>
      </c>
    </row>
    <row r="3" spans="1:27" ht="15" customHeight="1" thickBot="1">
      <c r="A3" s="188">
        <v>2</v>
      </c>
      <c r="B3" s="191" t="s">
        <v>21</v>
      </c>
      <c r="C3" s="192">
        <f>'July 24'!AL62</f>
        <v>9280</v>
      </c>
      <c r="D3" s="192">
        <f>'August 24'!AL57</f>
        <v>8020</v>
      </c>
      <c r="E3" s="192">
        <f>'September 24'!AK56</f>
        <v>7691</v>
      </c>
      <c r="F3" s="192">
        <f>'Oct 24'!AL55</f>
        <v>7920</v>
      </c>
      <c r="G3" s="184">
        <f>'Nov 24'!AK55</f>
        <v>7624</v>
      </c>
      <c r="H3" s="193">
        <f>'DEC - 2024'!AL55</f>
        <v>5092</v>
      </c>
      <c r="I3" s="193">
        <f>'Jan-2025'!AL55</f>
        <v>4519</v>
      </c>
      <c r="J3" s="184">
        <f>'Feb-2025'!AI55</f>
        <v>5850</v>
      </c>
      <c r="K3" s="184">
        <f>'March-25'!AL55</f>
        <v>6795</v>
      </c>
      <c r="L3" s="184">
        <f>'April-2025'!AK51</f>
        <v>6393</v>
      </c>
      <c r="M3" s="184">
        <f>'May-2025'!AL70</f>
        <v>7425</v>
      </c>
      <c r="N3" s="184">
        <f>'June - 2025'!AL69</f>
        <v>9341</v>
      </c>
      <c r="O3" s="39">
        <f>'July-2025'!AL69</f>
        <v>11246</v>
      </c>
      <c r="P3" s="203">
        <f>'Aug-25'!AL69</f>
        <v>12497</v>
      </c>
      <c r="Q3" s="203">
        <f>'Sep-2025'!AK69</f>
        <v>12957</v>
      </c>
      <c r="R3" s="203">
        <f>'Oct-25'!AL69</f>
        <v>11144</v>
      </c>
      <c r="S3" s="298">
        <f>'Nov-25'!AK69</f>
        <v>12855</v>
      </c>
      <c r="T3" s="204">
        <f>'Dec-25'!AL69</f>
        <v>13451</v>
      </c>
      <c r="U3" s="204">
        <f>'Jan-2026'!AL69</f>
        <v>12951</v>
      </c>
      <c r="V3" s="39">
        <f>'Feb-2026'!AI69</f>
        <v>10717</v>
      </c>
      <c r="W3" s="39">
        <f>'Mar-2026'!AL69</f>
        <v>11083</v>
      </c>
      <c r="X3" s="184">
        <f>'April-2026'!AK69</f>
        <v>10301</v>
      </c>
      <c r="Y3" s="184">
        <f>'May-2026'!AL69</f>
        <v>6266</v>
      </c>
      <c r="Z3" s="184">
        <f>'Jun-2026'!AK69</f>
        <v>7682</v>
      </c>
      <c r="AA3" s="184">
        <f>'July-2026'!AL69</f>
        <v>7409</v>
      </c>
    </row>
    <row r="4" spans="1:27" ht="15" customHeight="1" thickBot="1">
      <c r="A4" s="188">
        <v>3</v>
      </c>
      <c r="B4" s="191" t="s">
        <v>22</v>
      </c>
      <c r="C4" s="192">
        <f>'July 24'!AL64</f>
        <v>5186</v>
      </c>
      <c r="D4" s="192">
        <f>'August 24'!AL59</f>
        <v>4763</v>
      </c>
      <c r="E4" s="192">
        <f>'September 24'!AK58</f>
        <v>6896</v>
      </c>
      <c r="F4" s="192">
        <f>'Oct 24'!AL57</f>
        <v>746</v>
      </c>
      <c r="G4" s="184">
        <f>'Nov 24'!AK57</f>
        <v>596</v>
      </c>
      <c r="H4" s="193">
        <f>'DEC - 2024'!AL57</f>
        <v>62</v>
      </c>
      <c r="I4" s="193">
        <f>'Jan-2025'!AL57</f>
        <v>448</v>
      </c>
      <c r="J4" s="184">
        <f>'Feb-2025'!AI57</f>
        <v>54</v>
      </c>
      <c r="K4" s="184">
        <f>'March-25'!AL57</f>
        <v>764</v>
      </c>
      <c r="L4" s="184">
        <f>'April-2025'!AK53</f>
        <v>1459</v>
      </c>
      <c r="M4" s="184">
        <f>'May-2025'!AL72</f>
        <v>142</v>
      </c>
      <c r="N4" s="184">
        <f>'June - 2025'!AL71</f>
        <v>292</v>
      </c>
      <c r="O4" s="39">
        <f>'July-2025'!AL71</f>
        <v>0</v>
      </c>
      <c r="P4" s="204">
        <f>'Aug-25'!AL71</f>
        <v>0</v>
      </c>
      <c r="Q4" s="204">
        <f>'Sep-2025'!AK71</f>
        <v>946</v>
      </c>
      <c r="R4" s="204">
        <f>'Oct-25'!AL71</f>
        <v>9</v>
      </c>
      <c r="S4" s="204">
        <f>'Nov-25'!AK71</f>
        <v>1</v>
      </c>
      <c r="T4" s="204">
        <f>'Dec-25'!AL71</f>
        <v>8</v>
      </c>
      <c r="U4" s="204">
        <f>'Jan-2026'!AL71</f>
        <v>27</v>
      </c>
      <c r="V4" s="204">
        <f>'Feb-2026'!AI71</f>
        <v>0</v>
      </c>
      <c r="W4" s="204">
        <f>'Mar-2026'!AL71</f>
        <v>327</v>
      </c>
      <c r="X4" s="203">
        <f>'April-2026'!AK71</f>
        <v>29</v>
      </c>
      <c r="Y4" s="203">
        <f>'May-2026'!AL71</f>
        <v>148</v>
      </c>
      <c r="Z4" s="203">
        <f>'Jun-2026'!AK71</f>
        <v>1439</v>
      </c>
      <c r="AA4" s="203">
        <f>'July-2026'!AL71</f>
        <v>0</v>
      </c>
    </row>
    <row r="5" spans="1:27" ht="15" customHeight="1" thickBot="1">
      <c r="A5" s="188">
        <v>4</v>
      </c>
      <c r="B5" s="191" t="s">
        <v>23</v>
      </c>
      <c r="C5" s="192">
        <f>'July 24'!AL63</f>
        <v>39406.080000000002</v>
      </c>
      <c r="D5" s="192">
        <f>'August 24'!AL58</f>
        <v>36088.295999999995</v>
      </c>
      <c r="E5" s="192">
        <f>'September 24'!AK57</f>
        <v>43053.5</v>
      </c>
      <c r="F5" s="192">
        <f>'Oct 24'!AL56</f>
        <v>34289.5</v>
      </c>
      <c r="G5" s="184">
        <f>'Nov 24'!AK56</f>
        <v>20359.2</v>
      </c>
      <c r="H5" s="193">
        <f>'DEC - 2024'!AL56</f>
        <v>10764</v>
      </c>
      <c r="I5" s="193">
        <f>'Jan-2025'!AL56</f>
        <v>13048</v>
      </c>
      <c r="J5" s="184">
        <f>'Feb-2025'!AI56</f>
        <v>17584</v>
      </c>
      <c r="K5" s="184">
        <f>'March-25'!AL56</f>
        <v>21618</v>
      </c>
      <c r="L5" s="184">
        <f>'April-2025'!AK52</f>
        <v>28982</v>
      </c>
      <c r="M5" s="184">
        <f>'May-2025'!AL71</f>
        <v>32773.200000000004</v>
      </c>
      <c r="N5" s="184">
        <f>'June - 2025'!AL70</f>
        <v>39983.200000000004</v>
      </c>
      <c r="O5" s="39">
        <f>'July-2025'!AL70</f>
        <v>43855.200000000004</v>
      </c>
      <c r="P5" s="203">
        <f>'Aug-25'!AL70</f>
        <v>35103.200000000004</v>
      </c>
      <c r="Q5" s="203">
        <f>'Sep-2025'!AK70</f>
        <v>29349.600000000002</v>
      </c>
      <c r="R5" s="203">
        <f>'Oct-25'!AL70</f>
        <v>21548</v>
      </c>
      <c r="S5" s="204">
        <f>'Nov-25'!AK70</f>
        <v>17380</v>
      </c>
      <c r="T5" s="204">
        <f>'Dec-25'!AL70</f>
        <v>14126.400000000001</v>
      </c>
      <c r="U5" s="204">
        <f>'Jan-2026'!AL70</f>
        <v>10159.6</v>
      </c>
      <c r="V5" s="39">
        <f>'Feb-2026'!AI70</f>
        <v>14875.2</v>
      </c>
      <c r="W5" s="39">
        <f>'Mar-2026'!AL70</f>
        <v>19684</v>
      </c>
      <c r="X5" s="184">
        <f>'April-2026'!AK70</f>
        <v>21298</v>
      </c>
      <c r="Y5" s="184">
        <f>'May-2026'!AL70</f>
        <v>19663.2</v>
      </c>
      <c r="Z5" s="184">
        <f>'Jun-2026'!AK70</f>
        <v>22798</v>
      </c>
      <c r="AA5" s="184">
        <f>'July-2026'!AL70</f>
        <v>16225.6</v>
      </c>
    </row>
    <row r="6" spans="1:27" ht="15" customHeight="1" thickBot="1">
      <c r="A6" s="188">
        <v>5</v>
      </c>
      <c r="B6" s="191" t="s">
        <v>24</v>
      </c>
      <c r="C6" s="185">
        <f t="shared" ref="C6:AA6" si="0">SUM(C2:C5)</f>
        <v>102585.08</v>
      </c>
      <c r="D6" s="185">
        <f t="shared" si="0"/>
        <v>98015.296000000002</v>
      </c>
      <c r="E6" s="185">
        <f t="shared" si="0"/>
        <v>103500.5</v>
      </c>
      <c r="F6" s="185">
        <f t="shared" si="0"/>
        <v>94070.5</v>
      </c>
      <c r="G6" s="185">
        <f t="shared" si="0"/>
        <v>77073.2</v>
      </c>
      <c r="H6" s="185">
        <f t="shared" si="0"/>
        <v>66610</v>
      </c>
      <c r="I6" s="185">
        <f t="shared" si="0"/>
        <v>71247</v>
      </c>
      <c r="J6" s="185">
        <f t="shared" si="0"/>
        <v>74823</v>
      </c>
      <c r="K6" s="185">
        <f t="shared" si="0"/>
        <v>83562</v>
      </c>
      <c r="L6" s="185">
        <f t="shared" si="0"/>
        <v>91430</v>
      </c>
      <c r="M6" s="185">
        <f t="shared" si="0"/>
        <v>94164.200000000012</v>
      </c>
      <c r="N6" s="185">
        <f t="shared" si="0"/>
        <v>105721.20000000001</v>
      </c>
      <c r="O6" s="185">
        <f t="shared" si="0"/>
        <v>114327.20000000001</v>
      </c>
      <c r="P6" s="185">
        <f t="shared" si="0"/>
        <v>103887.20000000001</v>
      </c>
      <c r="Q6" s="185">
        <f t="shared" si="0"/>
        <v>100186.6</v>
      </c>
      <c r="R6" s="185">
        <f t="shared" si="0"/>
        <v>90418</v>
      </c>
      <c r="S6" s="185">
        <f t="shared" si="0"/>
        <v>84823</v>
      </c>
      <c r="T6" s="185">
        <f t="shared" si="0"/>
        <v>82684.399999999994</v>
      </c>
      <c r="U6" s="185">
        <f t="shared" si="0"/>
        <v>78875.600000000006</v>
      </c>
      <c r="V6" s="185">
        <f t="shared" si="0"/>
        <v>77805.2</v>
      </c>
      <c r="W6" s="185">
        <f t="shared" si="0"/>
        <v>80041</v>
      </c>
      <c r="X6" s="186">
        <f t="shared" si="0"/>
        <v>80188</v>
      </c>
      <c r="Y6" s="186">
        <f t="shared" si="0"/>
        <v>76356.2</v>
      </c>
      <c r="Z6" s="186">
        <f t="shared" si="0"/>
        <v>82334</v>
      </c>
      <c r="AA6" s="186">
        <f t="shared" si="0"/>
        <v>76337.600000000006</v>
      </c>
    </row>
    <row r="7" spans="1:27" ht="15" customHeight="1" thickBot="1"/>
    <row r="8" spans="1:27" ht="16" customHeight="1" thickBot="1">
      <c r="A8" s="187" t="s">
        <v>0</v>
      </c>
      <c r="B8" s="189" t="s">
        <v>25</v>
      </c>
      <c r="C8" s="190" t="s">
        <v>2</v>
      </c>
      <c r="D8" s="182" t="s">
        <v>3</v>
      </c>
      <c r="E8" s="182" t="s">
        <v>4</v>
      </c>
      <c r="F8" s="182" t="s">
        <v>5</v>
      </c>
      <c r="G8" s="182" t="s">
        <v>6</v>
      </c>
      <c r="H8" s="182" t="s">
        <v>7</v>
      </c>
      <c r="I8" s="182" t="s">
        <v>8</v>
      </c>
      <c r="J8" s="182" t="s">
        <v>9</v>
      </c>
      <c r="K8" s="182" t="s">
        <v>10</v>
      </c>
      <c r="L8" s="183" t="s">
        <v>11</v>
      </c>
      <c r="M8" s="182" t="s">
        <v>12</v>
      </c>
      <c r="N8" s="183" t="s">
        <v>13</v>
      </c>
      <c r="O8" s="183" t="s">
        <v>14</v>
      </c>
      <c r="P8" s="183" t="s">
        <v>15</v>
      </c>
      <c r="Q8" s="183" t="s">
        <v>16</v>
      </c>
      <c r="R8" s="183" t="s">
        <v>17</v>
      </c>
      <c r="S8" s="297" t="s">
        <v>18</v>
      </c>
      <c r="T8" s="297" t="s">
        <v>19</v>
      </c>
      <c r="U8" s="297">
        <v>46023</v>
      </c>
      <c r="V8" s="297">
        <v>46054</v>
      </c>
      <c r="W8" s="297">
        <v>46082</v>
      </c>
      <c r="X8" s="297">
        <v>46113</v>
      </c>
      <c r="Y8" s="297">
        <v>46143</v>
      </c>
      <c r="Z8" s="297">
        <v>46174</v>
      </c>
      <c r="AA8" s="297">
        <v>46204</v>
      </c>
    </row>
    <row r="9" spans="1:27" ht="15" customHeight="1" thickBot="1">
      <c r="A9" s="188">
        <v>1</v>
      </c>
      <c r="B9" s="191" t="s">
        <v>20</v>
      </c>
      <c r="C9" s="193">
        <f t="shared" ref="C9:AA9" si="1">C2*7.45</f>
        <v>362911.85000000003</v>
      </c>
      <c r="D9" s="193">
        <f t="shared" si="1"/>
        <v>366122.8</v>
      </c>
      <c r="E9" s="193">
        <f t="shared" si="1"/>
        <v>341657</v>
      </c>
      <c r="F9" s="193">
        <f t="shared" si="1"/>
        <v>380806.75</v>
      </c>
      <c r="G9" s="193">
        <f t="shared" si="1"/>
        <v>361280.3</v>
      </c>
      <c r="H9" s="193">
        <f t="shared" si="1"/>
        <v>377655.4</v>
      </c>
      <c r="I9" s="193">
        <f t="shared" si="1"/>
        <v>396578.4</v>
      </c>
      <c r="J9" s="193">
        <f t="shared" si="1"/>
        <v>382445.75</v>
      </c>
      <c r="K9" s="193">
        <f t="shared" si="1"/>
        <v>405168.25</v>
      </c>
      <c r="L9" s="193">
        <f t="shared" si="1"/>
        <v>406740.2</v>
      </c>
      <c r="M9" s="193">
        <f t="shared" si="1"/>
        <v>400988.8</v>
      </c>
      <c r="N9" s="193">
        <f t="shared" si="1"/>
        <v>417982.25</v>
      </c>
      <c r="O9" s="193">
        <f t="shared" si="1"/>
        <v>441233.7</v>
      </c>
      <c r="P9" s="193">
        <f t="shared" si="1"/>
        <v>419338.15</v>
      </c>
      <c r="Q9" s="193">
        <f t="shared" si="1"/>
        <v>424158.3</v>
      </c>
      <c r="R9" s="193">
        <f t="shared" si="1"/>
        <v>429991.65</v>
      </c>
      <c r="S9" s="193">
        <f t="shared" si="1"/>
        <v>406673.15</v>
      </c>
      <c r="T9" s="193">
        <f t="shared" si="1"/>
        <v>410487.55</v>
      </c>
      <c r="U9" s="193">
        <f t="shared" si="1"/>
        <v>415248.10000000003</v>
      </c>
      <c r="V9" s="193">
        <f t="shared" si="1"/>
        <v>388986.85000000003</v>
      </c>
      <c r="W9" s="193">
        <f t="shared" si="1"/>
        <v>364655.15</v>
      </c>
      <c r="X9" s="193">
        <f t="shared" si="1"/>
        <v>361772</v>
      </c>
      <c r="Y9" s="193">
        <f t="shared" si="1"/>
        <v>374578.55</v>
      </c>
      <c r="Z9" s="193">
        <f t="shared" si="1"/>
        <v>375591.75</v>
      </c>
      <c r="AA9" s="193">
        <f t="shared" si="1"/>
        <v>392637.35000000003</v>
      </c>
    </row>
    <row r="10" spans="1:27" ht="15" customHeight="1" thickBot="1">
      <c r="A10" s="188">
        <v>2</v>
      </c>
      <c r="B10" s="191" t="s">
        <v>21</v>
      </c>
      <c r="C10" s="193">
        <f t="shared" ref="C10:AA10" si="2">C3*7.45</f>
        <v>69136</v>
      </c>
      <c r="D10" s="193">
        <f t="shared" si="2"/>
        <v>59749</v>
      </c>
      <c r="E10" s="193">
        <f t="shared" si="2"/>
        <v>57297.950000000004</v>
      </c>
      <c r="F10" s="193">
        <f t="shared" si="2"/>
        <v>59004</v>
      </c>
      <c r="G10" s="193">
        <f t="shared" si="2"/>
        <v>56798.8</v>
      </c>
      <c r="H10" s="193">
        <f t="shared" si="2"/>
        <v>37935.4</v>
      </c>
      <c r="I10" s="193">
        <f t="shared" si="2"/>
        <v>33666.550000000003</v>
      </c>
      <c r="J10" s="193">
        <f t="shared" si="2"/>
        <v>43582.5</v>
      </c>
      <c r="K10" s="193">
        <f t="shared" si="2"/>
        <v>50622.75</v>
      </c>
      <c r="L10" s="193">
        <f t="shared" si="2"/>
        <v>47627.85</v>
      </c>
      <c r="M10" s="193">
        <f t="shared" si="2"/>
        <v>55316.25</v>
      </c>
      <c r="N10" s="193">
        <f t="shared" si="2"/>
        <v>69590.45</v>
      </c>
      <c r="O10" s="193">
        <f t="shared" si="2"/>
        <v>83782.7</v>
      </c>
      <c r="P10" s="193">
        <f t="shared" si="2"/>
        <v>93102.650000000009</v>
      </c>
      <c r="Q10" s="193">
        <f t="shared" si="2"/>
        <v>96529.650000000009</v>
      </c>
      <c r="R10" s="193">
        <f t="shared" si="2"/>
        <v>83022.8</v>
      </c>
      <c r="S10" s="193">
        <f t="shared" si="2"/>
        <v>95769.75</v>
      </c>
      <c r="T10" s="193">
        <f t="shared" si="2"/>
        <v>100209.95</v>
      </c>
      <c r="U10" s="193">
        <f t="shared" si="2"/>
        <v>96484.95</v>
      </c>
      <c r="V10" s="193">
        <f t="shared" si="2"/>
        <v>79841.650000000009</v>
      </c>
      <c r="W10" s="193">
        <f t="shared" si="2"/>
        <v>82568.350000000006</v>
      </c>
      <c r="X10" s="193">
        <f t="shared" si="2"/>
        <v>76742.45</v>
      </c>
      <c r="Y10" s="193">
        <f t="shared" si="2"/>
        <v>46681.700000000004</v>
      </c>
      <c r="Z10" s="193">
        <f t="shared" si="2"/>
        <v>57230.9</v>
      </c>
      <c r="AA10" s="193">
        <f t="shared" si="2"/>
        <v>55197.05</v>
      </c>
    </row>
    <row r="11" spans="1:27" ht="15" customHeight="1" thickBot="1">
      <c r="A11" s="188">
        <v>3</v>
      </c>
      <c r="B11" s="191" t="s">
        <v>22</v>
      </c>
      <c r="C11" s="193">
        <f t="shared" ref="C11:AA11" si="3">C4*33.85</f>
        <v>175546.1</v>
      </c>
      <c r="D11" s="193">
        <f t="shared" si="3"/>
        <v>161227.55000000002</v>
      </c>
      <c r="E11" s="193">
        <f t="shared" si="3"/>
        <v>233429.6</v>
      </c>
      <c r="F11" s="193">
        <f t="shared" si="3"/>
        <v>25252.100000000002</v>
      </c>
      <c r="G11" s="193">
        <f t="shared" si="3"/>
        <v>20174.600000000002</v>
      </c>
      <c r="H11" s="193">
        <f t="shared" si="3"/>
        <v>2098.7000000000003</v>
      </c>
      <c r="I11" s="193">
        <f t="shared" si="3"/>
        <v>15164.800000000001</v>
      </c>
      <c r="J11" s="193">
        <f t="shared" si="3"/>
        <v>1827.9</v>
      </c>
      <c r="K11" s="193">
        <f t="shared" si="3"/>
        <v>25861.4</v>
      </c>
      <c r="L11" s="193">
        <f t="shared" si="3"/>
        <v>49387.15</v>
      </c>
      <c r="M11" s="193">
        <f t="shared" si="3"/>
        <v>4806.7</v>
      </c>
      <c r="N11" s="193">
        <f t="shared" si="3"/>
        <v>9884.2000000000007</v>
      </c>
      <c r="O11" s="193">
        <f t="shared" si="3"/>
        <v>0</v>
      </c>
      <c r="P11" s="193">
        <f t="shared" si="3"/>
        <v>0</v>
      </c>
      <c r="Q11" s="193">
        <f t="shared" si="3"/>
        <v>32022.100000000002</v>
      </c>
      <c r="R11" s="193">
        <f t="shared" si="3"/>
        <v>304.65000000000003</v>
      </c>
      <c r="S11" s="193">
        <f t="shared" si="3"/>
        <v>33.85</v>
      </c>
      <c r="T11" s="193">
        <f t="shared" si="3"/>
        <v>270.8</v>
      </c>
      <c r="U11" s="193">
        <f t="shared" si="3"/>
        <v>913.95</v>
      </c>
      <c r="V11" s="193">
        <f t="shared" si="3"/>
        <v>0</v>
      </c>
      <c r="W11" s="193">
        <f t="shared" si="3"/>
        <v>11068.95</v>
      </c>
      <c r="X11" s="193">
        <f t="shared" si="3"/>
        <v>981.65000000000009</v>
      </c>
      <c r="Y11" s="193">
        <f t="shared" si="3"/>
        <v>5009.8</v>
      </c>
      <c r="Z11" s="193">
        <f t="shared" si="3"/>
        <v>48710.15</v>
      </c>
      <c r="AA11" s="193">
        <f t="shared" si="3"/>
        <v>0</v>
      </c>
    </row>
    <row r="12" spans="1:27" ht="15" customHeight="1" thickBot="1">
      <c r="A12" s="188">
        <v>4</v>
      </c>
      <c r="B12" s="191" t="s">
        <v>23</v>
      </c>
      <c r="C12" s="193">
        <f t="shared" ref="C12:AA12" si="4">C5*10.75</f>
        <v>423615.36000000004</v>
      </c>
      <c r="D12" s="193">
        <f t="shared" si="4"/>
        <v>387949.18199999997</v>
      </c>
      <c r="E12" s="193">
        <f t="shared" si="4"/>
        <v>462825.125</v>
      </c>
      <c r="F12" s="193">
        <f t="shared" si="4"/>
        <v>368612.125</v>
      </c>
      <c r="G12" s="193">
        <f t="shared" si="4"/>
        <v>218861.4</v>
      </c>
      <c r="H12" s="193">
        <f t="shared" si="4"/>
        <v>115713</v>
      </c>
      <c r="I12" s="193">
        <f t="shared" si="4"/>
        <v>140266</v>
      </c>
      <c r="J12" s="193">
        <f t="shared" si="4"/>
        <v>189028</v>
      </c>
      <c r="K12" s="193">
        <f t="shared" si="4"/>
        <v>232393.5</v>
      </c>
      <c r="L12" s="193">
        <f t="shared" si="4"/>
        <v>311556.5</v>
      </c>
      <c r="M12" s="193">
        <f t="shared" si="4"/>
        <v>352311.9</v>
      </c>
      <c r="N12" s="193">
        <f t="shared" si="4"/>
        <v>429819.4</v>
      </c>
      <c r="O12" s="193">
        <f t="shared" si="4"/>
        <v>471443.4</v>
      </c>
      <c r="P12" s="193">
        <f t="shared" si="4"/>
        <v>377359.4</v>
      </c>
      <c r="Q12" s="193">
        <f t="shared" si="4"/>
        <v>315508.2</v>
      </c>
      <c r="R12" s="193">
        <f t="shared" si="4"/>
        <v>231641</v>
      </c>
      <c r="S12" s="193">
        <f t="shared" si="4"/>
        <v>186835</v>
      </c>
      <c r="T12" s="193">
        <f t="shared" si="4"/>
        <v>151858.80000000002</v>
      </c>
      <c r="U12" s="193">
        <f t="shared" si="4"/>
        <v>109215.7</v>
      </c>
      <c r="V12" s="193">
        <f t="shared" si="4"/>
        <v>159908.4</v>
      </c>
      <c r="W12" s="193">
        <f t="shared" si="4"/>
        <v>211603</v>
      </c>
      <c r="X12" s="193">
        <f t="shared" si="4"/>
        <v>228953.5</v>
      </c>
      <c r="Y12" s="193">
        <f t="shared" si="4"/>
        <v>211379.4</v>
      </c>
      <c r="Z12" s="193">
        <f t="shared" si="4"/>
        <v>245078.5</v>
      </c>
      <c r="AA12" s="193">
        <f t="shared" si="4"/>
        <v>174425.2</v>
      </c>
    </row>
    <row r="13" spans="1:27" ht="15" customHeight="1" thickBot="1">
      <c r="A13" s="188">
        <v>5</v>
      </c>
      <c r="B13" s="191" t="s">
        <v>24</v>
      </c>
      <c r="C13" s="185">
        <f t="shared" ref="C13:AA13" si="5">SUM(C9:C12)</f>
        <v>1031209.31</v>
      </c>
      <c r="D13" s="185">
        <f t="shared" si="5"/>
        <v>975048.53199999989</v>
      </c>
      <c r="E13" s="185">
        <f t="shared" si="5"/>
        <v>1095209.675</v>
      </c>
      <c r="F13" s="185">
        <f t="shared" si="5"/>
        <v>833674.97499999998</v>
      </c>
      <c r="G13" s="185">
        <f t="shared" si="5"/>
        <v>657115.1</v>
      </c>
      <c r="H13" s="185">
        <f t="shared" si="5"/>
        <v>533402.5</v>
      </c>
      <c r="I13" s="185">
        <f t="shared" si="5"/>
        <v>585675.75</v>
      </c>
      <c r="J13" s="185">
        <f t="shared" si="5"/>
        <v>616884.15</v>
      </c>
      <c r="K13" s="185">
        <f t="shared" si="5"/>
        <v>714045.9</v>
      </c>
      <c r="L13" s="185">
        <f t="shared" si="5"/>
        <v>815311.7</v>
      </c>
      <c r="M13" s="185">
        <f t="shared" si="5"/>
        <v>813423.65</v>
      </c>
      <c r="N13" s="185">
        <f t="shared" si="5"/>
        <v>927276.3</v>
      </c>
      <c r="O13" s="185">
        <f t="shared" si="5"/>
        <v>996459.8</v>
      </c>
      <c r="P13" s="185">
        <f t="shared" si="5"/>
        <v>889800.20000000007</v>
      </c>
      <c r="Q13" s="185">
        <f t="shared" si="5"/>
        <v>868218.25</v>
      </c>
      <c r="R13" s="185">
        <f t="shared" si="5"/>
        <v>744960.10000000009</v>
      </c>
      <c r="S13" s="185">
        <f t="shared" si="5"/>
        <v>689311.75</v>
      </c>
      <c r="T13" s="185">
        <f t="shared" si="5"/>
        <v>662827.1</v>
      </c>
      <c r="U13" s="185">
        <f t="shared" si="5"/>
        <v>621862.70000000007</v>
      </c>
      <c r="V13" s="185">
        <f t="shared" si="5"/>
        <v>628736.9</v>
      </c>
      <c r="W13" s="185">
        <f t="shared" si="5"/>
        <v>669895.44999999995</v>
      </c>
      <c r="X13" s="185">
        <f t="shared" si="5"/>
        <v>668449.60000000009</v>
      </c>
      <c r="Y13" s="185">
        <f t="shared" si="5"/>
        <v>637649.44999999995</v>
      </c>
      <c r="Z13" s="185">
        <f t="shared" si="5"/>
        <v>726611.3</v>
      </c>
      <c r="AA13" s="185">
        <f t="shared" si="5"/>
        <v>622259.60000000009</v>
      </c>
    </row>
    <row r="16" spans="1:27">
      <c r="J16" t="s">
        <v>26</v>
      </c>
      <c r="K16" s="434">
        <v>3953205</v>
      </c>
      <c r="L16" s="435" t="s">
        <v>27</v>
      </c>
      <c r="M16">
        <v>519408</v>
      </c>
    </row>
    <row r="17" spans="2:25">
      <c r="B17" s="436" t="s">
        <v>28</v>
      </c>
      <c r="I17" s="434">
        <v>4472613</v>
      </c>
      <c r="Y17" s="434"/>
    </row>
  </sheetData>
  <pageMargins left="0.7" right="0.7" top="0.75" bottom="0.75" header="0.3" footer="0.3"/>
  <pageSetup paperSize="9" orientation="portrait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L94"/>
  <sheetViews>
    <sheetView topLeftCell="P59" workbookViewId="0">
      <selection activeCell="AL76" sqref="AL76"/>
    </sheetView>
  </sheetViews>
  <sheetFormatPr defaultRowHeight="14.5"/>
  <cols>
    <col min="1" max="1" width="3.7265625" bestFit="1" customWidth="1"/>
    <col min="2" max="2" width="8.08984375" bestFit="1" customWidth="1"/>
    <col min="3" max="3" width="18.81640625" bestFit="1" customWidth="1"/>
    <col min="4" max="4" width="11.36328125" bestFit="1" customWidth="1"/>
    <col min="5" max="34" width="5.90625" bestFit="1" customWidth="1"/>
    <col min="35" max="35" width="6.81640625" bestFit="1" customWidth="1"/>
    <col min="36" max="36" width="8.36328125" bestFit="1" customWidth="1"/>
    <col min="37" max="37" width="14" customWidth="1"/>
    <col min="38" max="38" width="18" customWidth="1"/>
    <col min="39" max="64" width="14" customWidth="1"/>
  </cols>
  <sheetData>
    <row r="1" spans="1:36" ht="21" customHeight="1">
      <c r="A1" s="542" t="s">
        <v>147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</row>
    <row r="2" spans="1:36">
      <c r="A2" s="549" t="s">
        <v>99</v>
      </c>
      <c r="B2" s="549" t="s">
        <v>100</v>
      </c>
      <c r="C2" s="550" t="s">
        <v>101</v>
      </c>
      <c r="D2" s="552" t="s">
        <v>102</v>
      </c>
      <c r="E2" s="301">
        <v>46204</v>
      </c>
      <c r="F2" s="301">
        <v>46205</v>
      </c>
      <c r="G2" s="301">
        <v>46206</v>
      </c>
      <c r="H2" s="301">
        <v>46207</v>
      </c>
      <c r="I2" s="301">
        <v>46208</v>
      </c>
      <c r="J2" s="301">
        <v>46209</v>
      </c>
      <c r="K2" s="301">
        <v>46210</v>
      </c>
      <c r="L2" s="301">
        <v>46211</v>
      </c>
      <c r="M2" s="301">
        <v>46212</v>
      </c>
      <c r="N2" s="301">
        <v>46213</v>
      </c>
      <c r="O2" s="301">
        <v>46214</v>
      </c>
      <c r="P2" s="301">
        <v>46215</v>
      </c>
      <c r="Q2" s="301">
        <v>46216</v>
      </c>
      <c r="R2" s="301">
        <v>46217</v>
      </c>
      <c r="S2" s="301">
        <v>46218</v>
      </c>
      <c r="T2" s="301">
        <v>46219</v>
      </c>
      <c r="U2" s="301">
        <v>46220</v>
      </c>
      <c r="V2" s="301">
        <v>46221</v>
      </c>
      <c r="W2" s="301">
        <v>46222</v>
      </c>
      <c r="X2" s="301">
        <v>46223</v>
      </c>
      <c r="Y2" s="301">
        <v>46224</v>
      </c>
      <c r="Z2" s="301">
        <v>46225</v>
      </c>
      <c r="AA2" s="301">
        <v>46226</v>
      </c>
      <c r="AB2" s="301">
        <v>46227</v>
      </c>
      <c r="AC2" s="301">
        <v>46228</v>
      </c>
      <c r="AD2" s="301">
        <v>46229</v>
      </c>
      <c r="AE2" s="301">
        <v>46230</v>
      </c>
      <c r="AF2" s="301">
        <v>46231</v>
      </c>
      <c r="AG2" s="301">
        <v>46232</v>
      </c>
      <c r="AH2" s="301">
        <v>46233</v>
      </c>
      <c r="AI2" s="301">
        <v>46234</v>
      </c>
      <c r="AJ2" s="555" t="s">
        <v>1</v>
      </c>
    </row>
    <row r="3" spans="1:36">
      <c r="A3" s="511"/>
      <c r="B3" s="511"/>
      <c r="C3" s="511"/>
      <c r="D3" s="511"/>
      <c r="E3" s="302" t="s">
        <v>108</v>
      </c>
      <c r="F3" s="302" t="s">
        <v>109</v>
      </c>
      <c r="G3" s="302" t="s">
        <v>103</v>
      </c>
      <c r="H3" s="302" t="s">
        <v>104</v>
      </c>
      <c r="I3" s="302" t="s">
        <v>105</v>
      </c>
      <c r="J3" s="302" t="s">
        <v>106</v>
      </c>
      <c r="K3" s="302" t="s">
        <v>107</v>
      </c>
      <c r="L3" s="302" t="s">
        <v>108</v>
      </c>
      <c r="M3" s="302" t="s">
        <v>109</v>
      </c>
      <c r="N3" s="302" t="s">
        <v>103</v>
      </c>
      <c r="O3" s="302" t="s">
        <v>104</v>
      </c>
      <c r="P3" s="302" t="s">
        <v>105</v>
      </c>
      <c r="Q3" s="302" t="s">
        <v>106</v>
      </c>
      <c r="R3" s="302" t="s">
        <v>107</v>
      </c>
      <c r="S3" s="302" t="s">
        <v>108</v>
      </c>
      <c r="T3" s="302" t="s">
        <v>109</v>
      </c>
      <c r="U3" s="302" t="s">
        <v>103</v>
      </c>
      <c r="V3" s="302" t="s">
        <v>104</v>
      </c>
      <c r="W3" s="302" t="s">
        <v>105</v>
      </c>
      <c r="X3" s="302" t="s">
        <v>106</v>
      </c>
      <c r="Y3" s="302" t="s">
        <v>107</v>
      </c>
      <c r="Z3" s="302" t="s">
        <v>108</v>
      </c>
      <c r="AA3" s="302" t="s">
        <v>109</v>
      </c>
      <c r="AB3" s="302" t="s">
        <v>103</v>
      </c>
      <c r="AC3" s="302" t="s">
        <v>104</v>
      </c>
      <c r="AD3" s="302" t="s">
        <v>105</v>
      </c>
      <c r="AE3" s="302" t="s">
        <v>106</v>
      </c>
      <c r="AF3" s="302" t="s">
        <v>107</v>
      </c>
      <c r="AG3" s="302" t="s">
        <v>108</v>
      </c>
      <c r="AH3" s="302" t="s">
        <v>109</v>
      </c>
      <c r="AI3" s="302" t="s">
        <v>103</v>
      </c>
      <c r="AJ3" s="511"/>
    </row>
    <row r="4" spans="1:36">
      <c r="A4" s="511"/>
      <c r="B4" s="511"/>
      <c r="C4" s="511"/>
      <c r="D4" s="511"/>
      <c r="E4" s="303" t="s">
        <v>110</v>
      </c>
      <c r="F4" s="303" t="s">
        <v>110</v>
      </c>
      <c r="G4" s="303" t="s">
        <v>110</v>
      </c>
      <c r="H4" s="303" t="s">
        <v>110</v>
      </c>
      <c r="I4" s="303" t="s">
        <v>110</v>
      </c>
      <c r="J4" s="303" t="s">
        <v>110</v>
      </c>
      <c r="K4" s="303" t="s">
        <v>110</v>
      </c>
      <c r="L4" s="303" t="s">
        <v>110</v>
      </c>
      <c r="M4" s="303" t="s">
        <v>110</v>
      </c>
      <c r="N4" s="303" t="s">
        <v>110</v>
      </c>
      <c r="O4" s="303" t="s">
        <v>110</v>
      </c>
      <c r="P4" s="303" t="s">
        <v>110</v>
      </c>
      <c r="Q4" s="303" t="s">
        <v>110</v>
      </c>
      <c r="R4" s="303" t="s">
        <v>110</v>
      </c>
      <c r="S4" s="303" t="s">
        <v>110</v>
      </c>
      <c r="T4" s="303" t="s">
        <v>110</v>
      </c>
      <c r="U4" s="303" t="s">
        <v>110</v>
      </c>
      <c r="V4" s="303" t="s">
        <v>110</v>
      </c>
      <c r="W4" s="303" t="s">
        <v>110</v>
      </c>
      <c r="X4" s="303" t="s">
        <v>110</v>
      </c>
      <c r="Y4" s="303" t="s">
        <v>110</v>
      </c>
      <c r="Z4" s="303" t="s">
        <v>110</v>
      </c>
      <c r="AA4" s="303" t="s">
        <v>110</v>
      </c>
      <c r="AB4" s="303" t="s">
        <v>110</v>
      </c>
      <c r="AC4" s="303" t="s">
        <v>110</v>
      </c>
      <c r="AD4" s="303" t="s">
        <v>110</v>
      </c>
      <c r="AE4" s="303" t="s">
        <v>110</v>
      </c>
      <c r="AF4" s="303" t="s">
        <v>110</v>
      </c>
      <c r="AG4" s="303" t="s">
        <v>110</v>
      </c>
      <c r="AH4" s="303" t="s">
        <v>110</v>
      </c>
      <c r="AI4" s="303" t="s">
        <v>110</v>
      </c>
      <c r="AJ4" s="511"/>
    </row>
    <row r="5" spans="1:36">
      <c r="A5" s="512"/>
      <c r="B5" s="512"/>
      <c r="C5" s="512"/>
      <c r="D5" s="512"/>
      <c r="E5" s="304">
        <v>0.33333333333333331</v>
      </c>
      <c r="F5" s="304">
        <v>0.33333333333333331</v>
      </c>
      <c r="G5" s="304">
        <v>0.33333333333333331</v>
      </c>
      <c r="H5" s="304">
        <v>0.33333333333333331</v>
      </c>
      <c r="I5" s="304">
        <v>0.33333333333333331</v>
      </c>
      <c r="J5" s="304">
        <v>0.33333333333333331</v>
      </c>
      <c r="K5" s="304">
        <v>0.33333333333333331</v>
      </c>
      <c r="L5" s="304">
        <v>0.33333333333333331</v>
      </c>
      <c r="M5" s="304">
        <v>0.33333333333333331</v>
      </c>
      <c r="N5" s="304">
        <v>0.33333333333333331</v>
      </c>
      <c r="O5" s="304">
        <v>0.33333333333333331</v>
      </c>
      <c r="P5" s="304">
        <v>0.33333333333333331</v>
      </c>
      <c r="Q5" s="304">
        <v>0.33333333333333331</v>
      </c>
      <c r="R5" s="304">
        <v>0.33333333333333331</v>
      </c>
      <c r="S5" s="304">
        <v>0.33333333333333331</v>
      </c>
      <c r="T5" s="304">
        <v>0.33333333333333331</v>
      </c>
      <c r="U5" s="304">
        <v>0.33333333333333331</v>
      </c>
      <c r="V5" s="304">
        <v>0.33333333333333331</v>
      </c>
      <c r="W5" s="304">
        <v>0.33333333333333331</v>
      </c>
      <c r="X5" s="304">
        <v>0.33333333333333331</v>
      </c>
      <c r="Y5" s="304">
        <v>0.33333333333333331</v>
      </c>
      <c r="Z5" s="304">
        <v>0.33333333333333331</v>
      </c>
      <c r="AA5" s="304">
        <v>0.33333333333333331</v>
      </c>
      <c r="AB5" s="304">
        <v>0.33333333333333331</v>
      </c>
      <c r="AC5" s="304">
        <v>0.33333333333333331</v>
      </c>
      <c r="AD5" s="304">
        <v>0.33333333333333331</v>
      </c>
      <c r="AE5" s="304">
        <v>0.33333333333333331</v>
      </c>
      <c r="AF5" s="304">
        <v>0.33333333333333331</v>
      </c>
      <c r="AG5" s="304">
        <v>0.33333333333333331</v>
      </c>
      <c r="AH5" s="304">
        <v>0.33333333333333331</v>
      </c>
      <c r="AI5" s="304">
        <v>0.33333333333333331</v>
      </c>
      <c r="AJ5" s="512"/>
    </row>
    <row r="6" spans="1:36">
      <c r="A6" s="305">
        <v>1</v>
      </c>
      <c r="B6" s="306" t="s">
        <v>129</v>
      </c>
      <c r="C6" s="377" t="s">
        <v>111</v>
      </c>
      <c r="D6" s="244">
        <v>210307</v>
      </c>
      <c r="E6" s="378">
        <v>210554</v>
      </c>
      <c r="F6" s="378">
        <v>210800</v>
      </c>
      <c r="G6" s="378">
        <v>211054</v>
      </c>
      <c r="H6" s="378">
        <v>211245</v>
      </c>
      <c r="I6" s="378">
        <v>211447</v>
      </c>
      <c r="J6" s="378">
        <v>211710</v>
      </c>
      <c r="K6" s="378">
        <v>211951</v>
      </c>
      <c r="L6" s="378">
        <v>212208</v>
      </c>
      <c r="M6" s="378">
        <v>212453</v>
      </c>
      <c r="N6" s="378">
        <v>212678</v>
      </c>
      <c r="O6" s="378">
        <v>212890</v>
      </c>
      <c r="P6" s="378">
        <v>213089</v>
      </c>
      <c r="Q6" s="378">
        <v>213341</v>
      </c>
      <c r="R6" s="378">
        <v>213595</v>
      </c>
      <c r="S6" s="378">
        <v>213844</v>
      </c>
      <c r="T6" s="378">
        <v>214099</v>
      </c>
      <c r="U6" s="378">
        <v>214346</v>
      </c>
      <c r="V6" s="378">
        <v>214550</v>
      </c>
      <c r="W6" s="378">
        <v>214746</v>
      </c>
      <c r="X6" s="378">
        <v>214991</v>
      </c>
      <c r="Y6" s="378">
        <v>215245</v>
      </c>
      <c r="Z6" s="378">
        <v>215310</v>
      </c>
      <c r="AA6" s="378">
        <v>215762</v>
      </c>
      <c r="AB6" s="378">
        <v>215959</v>
      </c>
      <c r="AC6" s="378">
        <v>216204</v>
      </c>
      <c r="AD6" s="378">
        <v>216400</v>
      </c>
      <c r="AE6" s="378">
        <v>216663</v>
      </c>
      <c r="AF6" s="378">
        <v>216907</v>
      </c>
      <c r="AG6" s="437">
        <v>217151</v>
      </c>
      <c r="AH6" s="437">
        <v>217410</v>
      </c>
      <c r="AI6" s="184">
        <v>217557</v>
      </c>
      <c r="AJ6" s="314">
        <f t="shared" ref="AJ6:AJ21" si="0">AI6-D6</f>
        <v>7250</v>
      </c>
    </row>
    <row r="7" spans="1:36">
      <c r="A7" s="315"/>
      <c r="B7" s="315"/>
      <c r="C7" s="325" t="s">
        <v>22</v>
      </c>
      <c r="D7" s="244">
        <v>4486</v>
      </c>
      <c r="E7" s="378">
        <v>4486</v>
      </c>
      <c r="F7" s="305">
        <v>4486</v>
      </c>
      <c r="G7" s="305">
        <v>4486</v>
      </c>
      <c r="H7" s="305">
        <v>4486</v>
      </c>
      <c r="I7" s="305">
        <v>4486</v>
      </c>
      <c r="J7" s="305">
        <v>4486</v>
      </c>
      <c r="K7" s="305">
        <v>4486</v>
      </c>
      <c r="L7" s="305">
        <v>4486</v>
      </c>
      <c r="M7" s="305">
        <v>4486</v>
      </c>
      <c r="N7" s="305">
        <v>4486</v>
      </c>
      <c r="O7" s="305">
        <v>4486</v>
      </c>
      <c r="P7" s="305">
        <v>4486</v>
      </c>
      <c r="Q7" s="305">
        <v>4486</v>
      </c>
      <c r="R7" s="318">
        <v>4486</v>
      </c>
      <c r="S7" s="318">
        <v>4486</v>
      </c>
      <c r="T7" s="318">
        <v>4486</v>
      </c>
      <c r="U7" s="318">
        <v>4486</v>
      </c>
      <c r="V7" s="318">
        <v>4486</v>
      </c>
      <c r="W7" s="318">
        <v>4486</v>
      </c>
      <c r="X7" s="315">
        <v>4486</v>
      </c>
      <c r="Y7" s="315">
        <v>4486</v>
      </c>
      <c r="Z7" s="315">
        <v>4486</v>
      </c>
      <c r="AA7" s="315">
        <v>4486</v>
      </c>
      <c r="AB7" s="315">
        <v>4486</v>
      </c>
      <c r="AC7" s="315">
        <v>4486</v>
      </c>
      <c r="AD7" s="315">
        <v>4486</v>
      </c>
      <c r="AE7" s="315">
        <v>4486</v>
      </c>
      <c r="AF7" s="315">
        <v>4486</v>
      </c>
      <c r="AG7" s="315">
        <v>4486</v>
      </c>
      <c r="AH7" s="437">
        <v>4486</v>
      </c>
      <c r="AI7" s="184">
        <v>4486</v>
      </c>
      <c r="AJ7" s="314">
        <f t="shared" si="0"/>
        <v>0</v>
      </c>
    </row>
    <row r="8" spans="1:36">
      <c r="A8" s="306">
        <v>2</v>
      </c>
      <c r="B8" s="306" t="s">
        <v>129</v>
      </c>
      <c r="C8" s="322" t="s">
        <v>112</v>
      </c>
      <c r="D8" s="244">
        <v>1956</v>
      </c>
      <c r="E8" s="378">
        <v>1956</v>
      </c>
      <c r="F8" s="378">
        <v>1956</v>
      </c>
      <c r="G8" s="378">
        <v>1956</v>
      </c>
      <c r="H8" s="305">
        <v>1956</v>
      </c>
      <c r="I8" s="305">
        <v>1956</v>
      </c>
      <c r="J8" s="305">
        <v>1956</v>
      </c>
      <c r="K8" s="305">
        <v>1956</v>
      </c>
      <c r="L8" s="305">
        <v>1956</v>
      </c>
      <c r="M8" s="305">
        <v>1956</v>
      </c>
      <c r="N8" s="305">
        <v>1956</v>
      </c>
      <c r="O8" s="305">
        <v>1956</v>
      </c>
      <c r="P8" s="305">
        <v>1956</v>
      </c>
      <c r="Q8" s="305">
        <v>1956</v>
      </c>
      <c r="R8" s="306">
        <v>1956</v>
      </c>
      <c r="S8" s="306">
        <v>1956</v>
      </c>
      <c r="T8" s="306">
        <v>1956</v>
      </c>
      <c r="U8" s="306">
        <v>1956</v>
      </c>
      <c r="V8" s="306">
        <v>1956</v>
      </c>
      <c r="W8" s="306">
        <v>1956</v>
      </c>
      <c r="X8" s="306">
        <v>1956</v>
      </c>
      <c r="Y8" s="306">
        <v>1956</v>
      </c>
      <c r="Z8" s="306">
        <v>1956</v>
      </c>
      <c r="AA8" s="306">
        <v>1956</v>
      </c>
      <c r="AB8" s="306">
        <v>1956</v>
      </c>
      <c r="AC8" s="306">
        <v>1956</v>
      </c>
      <c r="AD8" s="306">
        <v>1956</v>
      </c>
      <c r="AE8" s="306">
        <v>1956</v>
      </c>
      <c r="AF8" s="306">
        <v>1956</v>
      </c>
      <c r="AG8" s="306">
        <v>1956</v>
      </c>
      <c r="AH8" s="437">
        <v>1956</v>
      </c>
      <c r="AI8" s="184">
        <v>1956</v>
      </c>
      <c r="AJ8" s="314">
        <f t="shared" si="0"/>
        <v>0</v>
      </c>
    </row>
    <row r="9" spans="1:36">
      <c r="A9" s="306"/>
      <c r="B9" s="306"/>
      <c r="C9" s="325" t="s">
        <v>22</v>
      </c>
      <c r="D9" s="244">
        <v>28.6</v>
      </c>
      <c r="E9" s="378">
        <v>28.6</v>
      </c>
      <c r="F9" s="378">
        <v>28.6</v>
      </c>
      <c r="G9" s="378">
        <v>28.6</v>
      </c>
      <c r="H9" s="305">
        <v>28.6</v>
      </c>
      <c r="I9" s="305">
        <v>28.6</v>
      </c>
      <c r="J9" s="305">
        <v>28.6</v>
      </c>
      <c r="K9" s="305">
        <v>28.6</v>
      </c>
      <c r="L9" s="305">
        <v>28.6</v>
      </c>
      <c r="M9" s="305">
        <v>28.6</v>
      </c>
      <c r="N9" s="305">
        <v>28.6</v>
      </c>
      <c r="O9" s="305">
        <v>28.6</v>
      </c>
      <c r="P9" s="305">
        <v>28.6</v>
      </c>
      <c r="Q9" s="305">
        <v>28.6</v>
      </c>
      <c r="R9" s="309">
        <v>28.6</v>
      </c>
      <c r="S9" s="309">
        <v>28.6</v>
      </c>
      <c r="T9" s="309">
        <v>28.6</v>
      </c>
      <c r="U9" s="309">
        <v>28.6</v>
      </c>
      <c r="V9" s="309">
        <v>28.6</v>
      </c>
      <c r="W9" s="309">
        <v>28.6</v>
      </c>
      <c r="X9" s="306">
        <v>28.6</v>
      </c>
      <c r="Y9" s="306">
        <v>28.6</v>
      </c>
      <c r="Z9" s="306">
        <v>28.6</v>
      </c>
      <c r="AA9" s="306">
        <v>28.6</v>
      </c>
      <c r="AB9" s="306">
        <v>28.6</v>
      </c>
      <c r="AC9" s="306">
        <v>28.6</v>
      </c>
      <c r="AD9" s="306">
        <v>28.6</v>
      </c>
      <c r="AE9" s="306">
        <v>28.6</v>
      </c>
      <c r="AF9" s="306">
        <v>28.6</v>
      </c>
      <c r="AG9" s="306">
        <v>28.6</v>
      </c>
      <c r="AH9" s="437">
        <v>28.6</v>
      </c>
      <c r="AI9" s="184">
        <v>28.6</v>
      </c>
      <c r="AJ9" s="314">
        <f t="shared" si="0"/>
        <v>0</v>
      </c>
    </row>
    <row r="10" spans="1:36">
      <c r="A10" s="306">
        <v>3</v>
      </c>
      <c r="B10" s="306" t="s">
        <v>129</v>
      </c>
      <c r="C10" s="322" t="s">
        <v>113</v>
      </c>
      <c r="D10" s="237">
        <v>303867</v>
      </c>
      <c r="E10" s="330">
        <v>304225</v>
      </c>
      <c r="F10" s="331">
        <v>304577</v>
      </c>
      <c r="G10" s="331">
        <v>304934</v>
      </c>
      <c r="H10" s="331">
        <v>305189</v>
      </c>
      <c r="I10" s="331">
        <v>305452</v>
      </c>
      <c r="J10" s="306">
        <v>305826</v>
      </c>
      <c r="K10" s="306">
        <v>306176</v>
      </c>
      <c r="L10" s="306">
        <v>306539</v>
      </c>
      <c r="M10" s="306">
        <v>306885</v>
      </c>
      <c r="N10" s="306">
        <v>307205</v>
      </c>
      <c r="O10" s="306">
        <v>307484</v>
      </c>
      <c r="P10" s="306">
        <v>307743</v>
      </c>
      <c r="Q10" s="306">
        <v>308105</v>
      </c>
      <c r="R10" s="306">
        <v>308467</v>
      </c>
      <c r="S10" s="306">
        <v>308830</v>
      </c>
      <c r="T10" s="306">
        <v>309196</v>
      </c>
      <c r="U10" s="306">
        <v>309540</v>
      </c>
      <c r="V10" s="306">
        <v>309816</v>
      </c>
      <c r="W10" s="306">
        <v>310071</v>
      </c>
      <c r="X10" s="306">
        <v>310418</v>
      </c>
      <c r="Y10" s="306">
        <v>310784</v>
      </c>
      <c r="Z10" s="306">
        <v>311167</v>
      </c>
      <c r="AA10" s="309">
        <v>311529</v>
      </c>
      <c r="AB10" s="315">
        <v>311864</v>
      </c>
      <c r="AC10" s="315">
        <v>312133</v>
      </c>
      <c r="AD10" s="315">
        <v>312389</v>
      </c>
      <c r="AE10" s="318">
        <v>312762</v>
      </c>
      <c r="AF10" s="318">
        <v>313109</v>
      </c>
      <c r="AG10" s="390">
        <v>313457</v>
      </c>
      <c r="AH10" s="437">
        <v>313830</v>
      </c>
      <c r="AI10" s="184">
        <v>314041</v>
      </c>
      <c r="AJ10" s="314">
        <f t="shared" si="0"/>
        <v>10174</v>
      </c>
    </row>
    <row r="11" spans="1:36">
      <c r="A11" s="306"/>
      <c r="B11" s="306"/>
      <c r="C11" s="325" t="s">
        <v>22</v>
      </c>
      <c r="D11" s="244">
        <v>6713</v>
      </c>
      <c r="E11" s="378">
        <v>6713</v>
      </c>
      <c r="F11" s="305">
        <v>6713</v>
      </c>
      <c r="G11" s="305">
        <v>6713</v>
      </c>
      <c r="H11" s="305">
        <v>6713</v>
      </c>
      <c r="I11" s="305">
        <v>6713</v>
      </c>
      <c r="J11" s="305">
        <v>6713</v>
      </c>
      <c r="K11" s="305">
        <v>6713</v>
      </c>
      <c r="L11" s="305">
        <v>6713</v>
      </c>
      <c r="M11" s="305">
        <v>6713</v>
      </c>
      <c r="N11" s="305">
        <v>6713</v>
      </c>
      <c r="O11" s="305">
        <v>6713</v>
      </c>
      <c r="P11" s="305">
        <v>6713</v>
      </c>
      <c r="Q11" s="305">
        <v>6713</v>
      </c>
      <c r="R11" s="309">
        <v>6713</v>
      </c>
      <c r="S11" s="309">
        <v>6713</v>
      </c>
      <c r="T11" s="309">
        <v>6713</v>
      </c>
      <c r="U11" s="309">
        <v>6713</v>
      </c>
      <c r="V11" s="309">
        <v>6713</v>
      </c>
      <c r="W11" s="309">
        <v>6713</v>
      </c>
      <c r="X11" s="306">
        <v>6713</v>
      </c>
      <c r="Y11" s="306">
        <v>6713</v>
      </c>
      <c r="Z11" s="306">
        <v>6713</v>
      </c>
      <c r="AA11" s="306">
        <v>6713</v>
      </c>
      <c r="AB11" s="306">
        <v>6713</v>
      </c>
      <c r="AC11" s="306">
        <v>6713</v>
      </c>
      <c r="AD11" s="306">
        <v>6713</v>
      </c>
      <c r="AE11" s="306">
        <v>6713</v>
      </c>
      <c r="AF11" s="306">
        <v>6713</v>
      </c>
      <c r="AG11" s="306">
        <v>6713</v>
      </c>
      <c r="AH11" s="437">
        <v>6713</v>
      </c>
      <c r="AI11" s="184">
        <v>6713</v>
      </c>
      <c r="AJ11" s="314">
        <f t="shared" si="0"/>
        <v>0</v>
      </c>
    </row>
    <row r="12" spans="1:36">
      <c r="A12" s="306">
        <v>4</v>
      </c>
      <c r="B12" s="306" t="s">
        <v>129</v>
      </c>
      <c r="C12" s="322" t="s">
        <v>114</v>
      </c>
      <c r="D12" s="244">
        <v>0</v>
      </c>
      <c r="E12" s="378">
        <v>0</v>
      </c>
      <c r="F12" s="378">
        <v>0</v>
      </c>
      <c r="G12" s="378">
        <v>0</v>
      </c>
      <c r="H12" s="305">
        <v>0</v>
      </c>
      <c r="I12" s="305">
        <v>0</v>
      </c>
      <c r="J12" s="305">
        <v>0</v>
      </c>
      <c r="K12" s="305">
        <v>0</v>
      </c>
      <c r="L12" s="305">
        <v>0</v>
      </c>
      <c r="M12" s="305">
        <v>0</v>
      </c>
      <c r="N12" s="305">
        <v>0</v>
      </c>
      <c r="O12" s="305">
        <v>0</v>
      </c>
      <c r="P12" s="305">
        <v>0</v>
      </c>
      <c r="Q12" s="305">
        <v>0</v>
      </c>
      <c r="R12" s="306">
        <v>0</v>
      </c>
      <c r="S12" s="306">
        <v>0</v>
      </c>
      <c r="T12" s="306">
        <v>0</v>
      </c>
      <c r="U12" s="306">
        <v>0</v>
      </c>
      <c r="V12" s="306">
        <v>0</v>
      </c>
      <c r="W12" s="306">
        <v>0</v>
      </c>
      <c r="X12" s="306">
        <v>0</v>
      </c>
      <c r="Y12" s="306">
        <v>0</v>
      </c>
      <c r="Z12" s="306">
        <v>0</v>
      </c>
      <c r="AA12" s="306">
        <v>0</v>
      </c>
      <c r="AB12" s="306">
        <v>0</v>
      </c>
      <c r="AC12" s="306">
        <v>0</v>
      </c>
      <c r="AD12" s="306">
        <v>0</v>
      </c>
      <c r="AE12" s="306">
        <v>0</v>
      </c>
      <c r="AF12" s="306">
        <v>0</v>
      </c>
      <c r="AG12" s="306">
        <v>0</v>
      </c>
      <c r="AH12" s="437">
        <v>0</v>
      </c>
      <c r="AI12" s="184">
        <v>0</v>
      </c>
      <c r="AJ12" s="314">
        <f t="shared" si="0"/>
        <v>0</v>
      </c>
    </row>
    <row r="13" spans="1:36">
      <c r="A13" s="306"/>
      <c r="B13" s="306"/>
      <c r="C13" s="325" t="s">
        <v>22</v>
      </c>
      <c r="D13" s="244">
        <v>0</v>
      </c>
      <c r="E13" s="378">
        <v>0</v>
      </c>
      <c r="F13" s="378">
        <v>0</v>
      </c>
      <c r="G13" s="378">
        <v>0</v>
      </c>
      <c r="H13" s="305">
        <v>0</v>
      </c>
      <c r="I13" s="305">
        <v>0</v>
      </c>
      <c r="J13" s="305">
        <v>0</v>
      </c>
      <c r="K13" s="305">
        <v>0</v>
      </c>
      <c r="L13" s="305">
        <v>0</v>
      </c>
      <c r="M13" s="305">
        <v>0</v>
      </c>
      <c r="N13" s="305">
        <v>0</v>
      </c>
      <c r="O13" s="305">
        <v>0</v>
      </c>
      <c r="P13" s="305">
        <v>0</v>
      </c>
      <c r="Q13" s="305">
        <v>0</v>
      </c>
      <c r="R13" s="306">
        <v>0</v>
      </c>
      <c r="S13" s="306">
        <v>0</v>
      </c>
      <c r="T13" s="306">
        <v>0</v>
      </c>
      <c r="U13" s="306">
        <v>0</v>
      </c>
      <c r="V13" s="306">
        <v>0</v>
      </c>
      <c r="W13" s="306">
        <v>0</v>
      </c>
      <c r="X13" s="306">
        <v>0</v>
      </c>
      <c r="Y13" s="306">
        <v>0</v>
      </c>
      <c r="Z13" s="306">
        <v>0</v>
      </c>
      <c r="AA13" s="306">
        <v>0</v>
      </c>
      <c r="AB13" s="306">
        <v>0</v>
      </c>
      <c r="AC13" s="306">
        <v>0</v>
      </c>
      <c r="AD13" s="306">
        <v>0</v>
      </c>
      <c r="AE13" s="306">
        <v>0</v>
      </c>
      <c r="AF13" s="306">
        <v>0</v>
      </c>
      <c r="AG13" s="306">
        <v>0</v>
      </c>
      <c r="AH13" s="437">
        <v>0</v>
      </c>
      <c r="AI13" s="184">
        <v>0</v>
      </c>
      <c r="AJ13" s="314">
        <f t="shared" si="0"/>
        <v>0</v>
      </c>
    </row>
    <row r="14" spans="1:36">
      <c r="A14" s="306">
        <v>5</v>
      </c>
      <c r="B14" s="306" t="s">
        <v>129</v>
      </c>
      <c r="C14" s="322" t="s">
        <v>115</v>
      </c>
      <c r="D14" s="237">
        <v>160838</v>
      </c>
      <c r="E14" s="335">
        <v>161040</v>
      </c>
      <c r="F14" s="315">
        <v>161246</v>
      </c>
      <c r="G14" s="315">
        <v>161453</v>
      </c>
      <c r="H14" s="315">
        <v>161591</v>
      </c>
      <c r="I14" s="315">
        <v>161720</v>
      </c>
      <c r="J14" s="306">
        <v>161940</v>
      </c>
      <c r="K14" s="306">
        <v>162137</v>
      </c>
      <c r="L14" s="306">
        <v>162342</v>
      </c>
      <c r="M14" s="306">
        <v>162539</v>
      </c>
      <c r="N14" s="306">
        <v>162725</v>
      </c>
      <c r="O14" s="306">
        <v>162874</v>
      </c>
      <c r="P14" s="306">
        <v>163000</v>
      </c>
      <c r="Q14" s="306">
        <v>163202</v>
      </c>
      <c r="R14" s="306">
        <v>163405</v>
      </c>
      <c r="S14" s="306">
        <v>163616</v>
      </c>
      <c r="T14" s="306">
        <v>163823</v>
      </c>
      <c r="U14" s="328">
        <v>164025</v>
      </c>
      <c r="V14" s="306">
        <v>164153</v>
      </c>
      <c r="W14" s="306">
        <v>164260</v>
      </c>
      <c r="X14" s="306">
        <v>164468</v>
      </c>
      <c r="Y14" s="306">
        <v>164682</v>
      </c>
      <c r="Z14" s="306">
        <v>164682</v>
      </c>
      <c r="AA14" s="309">
        <v>165121</v>
      </c>
      <c r="AB14" s="328">
        <v>165322</v>
      </c>
      <c r="AC14" s="328">
        <v>165471</v>
      </c>
      <c r="AD14" s="328">
        <v>165600</v>
      </c>
      <c r="AE14" s="329">
        <v>165829</v>
      </c>
      <c r="AF14" s="329">
        <v>166037</v>
      </c>
      <c r="AG14" s="390">
        <v>166254</v>
      </c>
      <c r="AH14" s="437">
        <v>166475</v>
      </c>
      <c r="AI14" s="184">
        <v>166606</v>
      </c>
      <c r="AJ14" s="314">
        <f t="shared" si="0"/>
        <v>5768</v>
      </c>
    </row>
    <row r="15" spans="1:36">
      <c r="A15" s="306"/>
      <c r="B15" s="306"/>
      <c r="C15" s="325" t="s">
        <v>22</v>
      </c>
      <c r="D15" s="244">
        <v>3459</v>
      </c>
      <c r="E15" s="330">
        <v>3459</v>
      </c>
      <c r="F15" s="330">
        <v>3459</v>
      </c>
      <c r="G15" s="330">
        <v>3459</v>
      </c>
      <c r="H15" s="330">
        <v>3459</v>
      </c>
      <c r="I15" s="330">
        <v>3459</v>
      </c>
      <c r="J15" s="330">
        <v>3459</v>
      </c>
      <c r="K15" s="330">
        <v>3459</v>
      </c>
      <c r="L15" s="330">
        <v>3459</v>
      </c>
      <c r="M15" s="330">
        <v>3459</v>
      </c>
      <c r="N15" s="330">
        <v>3459</v>
      </c>
      <c r="O15" s="330">
        <v>3459</v>
      </c>
      <c r="P15" s="330">
        <v>3459</v>
      </c>
      <c r="Q15" s="330">
        <v>3459</v>
      </c>
      <c r="R15" s="330">
        <v>3459</v>
      </c>
      <c r="S15" s="330">
        <v>3459</v>
      </c>
      <c r="T15" s="330">
        <v>3459</v>
      </c>
      <c r="U15" s="330">
        <v>3459</v>
      </c>
      <c r="V15" s="330">
        <v>3459</v>
      </c>
      <c r="W15" s="330">
        <v>3459</v>
      </c>
      <c r="X15" s="331">
        <v>3459</v>
      </c>
      <c r="Y15" s="331">
        <v>3459</v>
      </c>
      <c r="Z15" s="331">
        <v>3459</v>
      </c>
      <c r="AA15" s="331">
        <v>3459</v>
      </c>
      <c r="AB15" s="331">
        <v>3459</v>
      </c>
      <c r="AC15" s="331">
        <v>3459</v>
      </c>
      <c r="AD15" s="331">
        <v>3459</v>
      </c>
      <c r="AE15" s="331">
        <v>3459</v>
      </c>
      <c r="AF15" s="331">
        <v>3459</v>
      </c>
      <c r="AG15" s="331">
        <v>3459</v>
      </c>
      <c r="AH15" s="437">
        <v>3459</v>
      </c>
      <c r="AI15" s="184">
        <v>3459</v>
      </c>
      <c r="AJ15" s="314">
        <f t="shared" si="0"/>
        <v>0</v>
      </c>
    </row>
    <row r="16" spans="1:36">
      <c r="A16" s="306">
        <v>6</v>
      </c>
      <c r="B16" s="306" t="s">
        <v>129</v>
      </c>
      <c r="C16" s="322" t="s">
        <v>142</v>
      </c>
      <c r="D16" s="237">
        <v>179845</v>
      </c>
      <c r="E16" s="332">
        <v>180108</v>
      </c>
      <c r="F16" s="309">
        <v>180355</v>
      </c>
      <c r="G16" s="305">
        <v>180610</v>
      </c>
      <c r="H16" s="311">
        <v>180732</v>
      </c>
      <c r="I16" s="306">
        <v>180853</v>
      </c>
      <c r="J16" s="306">
        <v>181122</v>
      </c>
      <c r="K16" s="309">
        <v>181389</v>
      </c>
      <c r="L16" s="333">
        <v>181656</v>
      </c>
      <c r="M16" s="310">
        <v>181902</v>
      </c>
      <c r="N16" s="310">
        <v>182148</v>
      </c>
      <c r="O16" s="310">
        <v>182302</v>
      </c>
      <c r="P16" s="310">
        <v>182423</v>
      </c>
      <c r="Q16" s="334">
        <v>182697</v>
      </c>
      <c r="R16" s="310">
        <v>182975</v>
      </c>
      <c r="S16" s="311">
        <v>183255</v>
      </c>
      <c r="T16" s="306">
        <v>183520</v>
      </c>
      <c r="U16" s="306">
        <v>183771</v>
      </c>
      <c r="V16" s="306">
        <v>183905</v>
      </c>
      <c r="W16" s="306">
        <v>184030</v>
      </c>
      <c r="X16" s="306">
        <v>184297</v>
      </c>
      <c r="Y16" s="306">
        <v>184573</v>
      </c>
      <c r="Z16" s="306">
        <v>184850</v>
      </c>
      <c r="AA16" s="309">
        <v>185116</v>
      </c>
      <c r="AB16" s="309">
        <v>185360</v>
      </c>
      <c r="AC16" s="305">
        <v>185473</v>
      </c>
      <c r="AD16" s="305">
        <v>185574</v>
      </c>
      <c r="AE16" s="313">
        <v>185853</v>
      </c>
      <c r="AF16" s="313">
        <v>186096</v>
      </c>
      <c r="AG16" s="390">
        <v>186357</v>
      </c>
      <c r="AH16" s="437">
        <v>186619</v>
      </c>
      <c r="AI16" s="184">
        <v>186794</v>
      </c>
      <c r="AJ16" s="314">
        <f t="shared" si="0"/>
        <v>6949</v>
      </c>
    </row>
    <row r="17" spans="1:36">
      <c r="A17" s="306"/>
      <c r="B17" s="306"/>
      <c r="C17" s="325" t="s">
        <v>22</v>
      </c>
      <c r="D17" s="244">
        <v>4490</v>
      </c>
      <c r="E17" s="335">
        <v>4490</v>
      </c>
      <c r="F17" s="335">
        <v>4490</v>
      </c>
      <c r="G17" s="335">
        <v>4490</v>
      </c>
      <c r="H17" s="335">
        <v>4490</v>
      </c>
      <c r="I17" s="335">
        <v>4490</v>
      </c>
      <c r="J17" s="335">
        <v>4490</v>
      </c>
      <c r="K17" s="335">
        <v>4490</v>
      </c>
      <c r="L17" s="335">
        <v>4490</v>
      </c>
      <c r="M17" s="335">
        <v>4490</v>
      </c>
      <c r="N17" s="335">
        <v>4490</v>
      </c>
      <c r="O17" s="335">
        <v>4490</v>
      </c>
      <c r="P17" s="335">
        <v>4490</v>
      </c>
      <c r="Q17" s="335">
        <v>4490</v>
      </c>
      <c r="R17" s="335">
        <v>4490</v>
      </c>
      <c r="S17" s="335">
        <v>4490</v>
      </c>
      <c r="T17" s="335">
        <v>4490</v>
      </c>
      <c r="U17" s="335">
        <v>4490</v>
      </c>
      <c r="V17" s="335">
        <v>4490</v>
      </c>
      <c r="W17" s="335">
        <v>4490</v>
      </c>
      <c r="X17" s="335">
        <v>4490</v>
      </c>
      <c r="Y17" s="335">
        <v>4490</v>
      </c>
      <c r="Z17" s="335">
        <v>4490</v>
      </c>
      <c r="AA17" s="335">
        <v>4490</v>
      </c>
      <c r="AB17" s="335">
        <v>4490</v>
      </c>
      <c r="AC17" s="335">
        <v>4490</v>
      </c>
      <c r="AD17" s="335">
        <v>4490</v>
      </c>
      <c r="AE17" s="335">
        <v>4490</v>
      </c>
      <c r="AF17" s="335">
        <v>4490</v>
      </c>
      <c r="AG17" s="335">
        <v>4490</v>
      </c>
      <c r="AH17" s="437">
        <v>4490</v>
      </c>
      <c r="AI17" s="184">
        <v>4490</v>
      </c>
      <c r="AJ17" s="314">
        <f t="shared" si="0"/>
        <v>0</v>
      </c>
    </row>
    <row r="18" spans="1:36">
      <c r="A18" s="306">
        <v>7</v>
      </c>
      <c r="B18" s="306" t="s">
        <v>129</v>
      </c>
      <c r="C18" s="322" t="s">
        <v>117</v>
      </c>
      <c r="D18" s="237">
        <v>582999</v>
      </c>
      <c r="E18" s="311">
        <v>583682</v>
      </c>
      <c r="F18" s="306">
        <v>584343</v>
      </c>
      <c r="G18" s="306">
        <v>585017</v>
      </c>
      <c r="H18" s="306">
        <v>585402</v>
      </c>
      <c r="I18" s="306">
        <v>585741</v>
      </c>
      <c r="J18" s="306">
        <v>586480</v>
      </c>
      <c r="K18" s="306">
        <v>587202</v>
      </c>
      <c r="L18" s="306">
        <v>587948</v>
      </c>
      <c r="M18" s="306">
        <v>588648</v>
      </c>
      <c r="N18" s="336">
        <v>589264</v>
      </c>
      <c r="O18" s="306">
        <v>589747</v>
      </c>
      <c r="P18" s="306">
        <v>590057</v>
      </c>
      <c r="Q18" s="306">
        <v>590772</v>
      </c>
      <c r="R18" s="315">
        <v>591465</v>
      </c>
      <c r="S18" s="336">
        <v>592158</v>
      </c>
      <c r="T18" s="306">
        <v>592854</v>
      </c>
      <c r="U18" s="306">
        <v>593597</v>
      </c>
      <c r="V18" s="306">
        <v>594009</v>
      </c>
      <c r="W18" s="306">
        <v>594357</v>
      </c>
      <c r="X18" s="328">
        <v>595057</v>
      </c>
      <c r="Y18" s="306">
        <v>595730</v>
      </c>
      <c r="Z18" s="306">
        <v>596454</v>
      </c>
      <c r="AA18" s="309">
        <v>597135</v>
      </c>
      <c r="AB18" s="305">
        <v>597777</v>
      </c>
      <c r="AC18" s="337">
        <v>598255</v>
      </c>
      <c r="AD18" s="315">
        <v>598732</v>
      </c>
      <c r="AE18" s="318">
        <v>599462</v>
      </c>
      <c r="AF18" s="318">
        <v>600149</v>
      </c>
      <c r="AG18" s="390">
        <v>600853</v>
      </c>
      <c r="AH18" s="437">
        <v>601589</v>
      </c>
      <c r="AI18" s="184">
        <v>602012</v>
      </c>
      <c r="AJ18" s="314">
        <f t="shared" si="0"/>
        <v>19013</v>
      </c>
    </row>
    <row r="19" spans="1:36">
      <c r="A19" s="306"/>
      <c r="B19" s="306"/>
      <c r="C19" s="325" t="s">
        <v>22</v>
      </c>
      <c r="D19" s="244">
        <v>12192</v>
      </c>
      <c r="E19" s="311">
        <v>12192</v>
      </c>
      <c r="F19" s="311">
        <v>12192</v>
      </c>
      <c r="G19" s="311">
        <v>12192</v>
      </c>
      <c r="H19" s="311">
        <v>12192</v>
      </c>
      <c r="I19" s="311">
        <v>12192</v>
      </c>
      <c r="J19" s="311">
        <v>12192</v>
      </c>
      <c r="K19" s="311">
        <v>12192</v>
      </c>
      <c r="L19" s="311">
        <v>12192</v>
      </c>
      <c r="M19" s="306">
        <v>12192</v>
      </c>
      <c r="N19" s="306">
        <v>12192</v>
      </c>
      <c r="O19" s="306">
        <v>12192</v>
      </c>
      <c r="P19" s="306">
        <v>12192</v>
      </c>
      <c r="Q19" s="306">
        <v>12192</v>
      </c>
      <c r="R19" s="306">
        <v>12192</v>
      </c>
      <c r="S19" s="306">
        <v>12192</v>
      </c>
      <c r="T19" s="306">
        <v>12192</v>
      </c>
      <c r="U19" s="306">
        <v>12192</v>
      </c>
      <c r="V19" s="306">
        <v>12192</v>
      </c>
      <c r="W19" s="306">
        <v>12192</v>
      </c>
      <c r="X19" s="306">
        <v>12192</v>
      </c>
      <c r="Y19" s="306">
        <v>12192</v>
      </c>
      <c r="Z19" s="306">
        <v>12192</v>
      </c>
      <c r="AA19" s="306">
        <v>12192</v>
      </c>
      <c r="AB19" s="306">
        <v>12192</v>
      </c>
      <c r="AC19" s="306">
        <v>12192</v>
      </c>
      <c r="AD19" s="306">
        <v>12192</v>
      </c>
      <c r="AE19" s="306">
        <v>12192</v>
      </c>
      <c r="AF19" s="306">
        <v>12192</v>
      </c>
      <c r="AG19" s="306">
        <v>12192</v>
      </c>
      <c r="AH19" s="437">
        <v>12192</v>
      </c>
      <c r="AI19" s="184">
        <v>12192</v>
      </c>
      <c r="AJ19" s="314">
        <f t="shared" si="0"/>
        <v>0</v>
      </c>
    </row>
    <row r="20" spans="1:36">
      <c r="A20" s="306">
        <v>8</v>
      </c>
      <c r="B20" s="306" t="s">
        <v>129</v>
      </c>
      <c r="C20" s="322" t="s">
        <v>118</v>
      </c>
      <c r="D20" s="237">
        <v>113483</v>
      </c>
      <c r="E20" s="311">
        <v>113597</v>
      </c>
      <c r="F20" s="306">
        <v>113702</v>
      </c>
      <c r="G20" s="306">
        <v>113838</v>
      </c>
      <c r="H20" s="306">
        <v>113926</v>
      </c>
      <c r="I20" s="306">
        <v>114016</v>
      </c>
      <c r="J20" s="306">
        <v>114144</v>
      </c>
      <c r="K20" s="306">
        <v>114264</v>
      </c>
      <c r="L20" s="306">
        <v>114386</v>
      </c>
      <c r="M20" s="306">
        <v>114504</v>
      </c>
      <c r="N20" s="306">
        <v>114613</v>
      </c>
      <c r="O20" s="306">
        <v>114729</v>
      </c>
      <c r="P20" s="306">
        <v>114840</v>
      </c>
      <c r="Q20" s="306">
        <v>114967</v>
      </c>
      <c r="R20" s="306">
        <v>115097</v>
      </c>
      <c r="S20" s="306">
        <v>115219</v>
      </c>
      <c r="T20" s="306">
        <v>115354</v>
      </c>
      <c r="U20" s="306">
        <v>115480</v>
      </c>
      <c r="V20" s="306">
        <v>115602</v>
      </c>
      <c r="W20" s="306">
        <v>115702</v>
      </c>
      <c r="X20" s="306">
        <v>115825</v>
      </c>
      <c r="Y20" s="306">
        <v>115930</v>
      </c>
      <c r="Z20" s="306">
        <v>116053</v>
      </c>
      <c r="AA20" s="315">
        <v>116169</v>
      </c>
      <c r="AB20" s="315">
        <v>116284</v>
      </c>
      <c r="AC20" s="315">
        <v>116379</v>
      </c>
      <c r="AD20" s="315">
        <v>116484</v>
      </c>
      <c r="AE20" s="318">
        <v>116617</v>
      </c>
      <c r="AF20" s="318">
        <v>116730</v>
      </c>
      <c r="AG20" s="390">
        <v>116840</v>
      </c>
      <c r="AH20" s="437">
        <v>116971</v>
      </c>
      <c r="AI20" s="184">
        <v>117032</v>
      </c>
      <c r="AJ20" s="314">
        <f t="shared" si="0"/>
        <v>3549</v>
      </c>
    </row>
    <row r="21" spans="1:36">
      <c r="A21" s="306"/>
      <c r="B21" s="306"/>
      <c r="C21" s="325" t="s">
        <v>22</v>
      </c>
      <c r="D21" s="244">
        <v>2332</v>
      </c>
      <c r="E21" s="311">
        <v>2332</v>
      </c>
      <c r="F21" s="311">
        <v>2332</v>
      </c>
      <c r="G21" s="311">
        <v>2332</v>
      </c>
      <c r="H21" s="311">
        <v>2332</v>
      </c>
      <c r="I21" s="311">
        <v>2332</v>
      </c>
      <c r="J21" s="311">
        <v>2332</v>
      </c>
      <c r="K21" s="311">
        <v>2332</v>
      </c>
      <c r="L21" s="311">
        <v>2332</v>
      </c>
      <c r="M21" s="306">
        <v>2332</v>
      </c>
      <c r="N21" s="306">
        <v>2332</v>
      </c>
      <c r="O21" s="306">
        <v>2332</v>
      </c>
      <c r="P21" s="306">
        <v>2332</v>
      </c>
      <c r="Q21" s="306">
        <v>2332</v>
      </c>
      <c r="R21" s="306">
        <v>2332</v>
      </c>
      <c r="S21" s="306">
        <v>2332</v>
      </c>
      <c r="T21" s="306">
        <v>2332</v>
      </c>
      <c r="U21" s="306">
        <v>2332</v>
      </c>
      <c r="V21" s="306">
        <v>2332</v>
      </c>
      <c r="W21" s="306">
        <v>2332</v>
      </c>
      <c r="X21" s="306">
        <v>2332</v>
      </c>
      <c r="Y21" s="306">
        <v>2332</v>
      </c>
      <c r="Z21" s="306">
        <v>2332</v>
      </c>
      <c r="AA21" s="306">
        <v>2332</v>
      </c>
      <c r="AB21" s="306">
        <v>2332</v>
      </c>
      <c r="AC21" s="306">
        <v>2332</v>
      </c>
      <c r="AD21" s="306">
        <v>2332</v>
      </c>
      <c r="AE21" s="306">
        <v>2332</v>
      </c>
      <c r="AF21" s="306">
        <v>2332</v>
      </c>
      <c r="AG21" s="309">
        <v>2332</v>
      </c>
      <c r="AH21" s="437">
        <v>2332</v>
      </c>
      <c r="AI21" s="184">
        <v>2332</v>
      </c>
      <c r="AJ21" s="314">
        <f t="shared" si="0"/>
        <v>0</v>
      </c>
    </row>
    <row r="22" spans="1:36">
      <c r="A22" s="548"/>
      <c r="B22" s="495"/>
      <c r="C22" s="495"/>
      <c r="D22" s="495"/>
      <c r="E22" s="495"/>
      <c r="F22" s="495"/>
      <c r="G22" s="495"/>
      <c r="H22" s="495"/>
      <c r="I22" s="495"/>
      <c r="J22" s="495"/>
      <c r="K22" s="495"/>
      <c r="L22" s="495"/>
      <c r="M22" s="495"/>
      <c r="N22" s="495"/>
      <c r="O22" s="495"/>
      <c r="P22" s="495"/>
      <c r="Q22" s="495"/>
      <c r="R22" s="495"/>
      <c r="S22" s="495"/>
      <c r="T22" s="495"/>
      <c r="U22" s="495"/>
      <c r="V22" s="495"/>
      <c r="W22" s="495"/>
      <c r="X22" s="495"/>
      <c r="Y22" s="495"/>
      <c r="Z22" s="495"/>
      <c r="AA22" s="495"/>
      <c r="AB22" s="495"/>
      <c r="AC22" s="495"/>
      <c r="AD22" s="495"/>
      <c r="AE22" s="495"/>
      <c r="AF22" s="495"/>
      <c r="AG22" s="495"/>
      <c r="AH22" s="495"/>
      <c r="AI22" s="400"/>
    </row>
    <row r="23" spans="1:36">
      <c r="A23" s="306">
        <v>1</v>
      </c>
      <c r="B23" s="306" t="s">
        <v>129</v>
      </c>
      <c r="C23" s="322" t="s">
        <v>119</v>
      </c>
      <c r="D23" s="323">
        <v>62404</v>
      </c>
      <c r="E23" s="311">
        <v>62511</v>
      </c>
      <c r="F23" s="306">
        <v>62609</v>
      </c>
      <c r="G23" s="306">
        <v>62696</v>
      </c>
      <c r="H23" s="306">
        <v>62742</v>
      </c>
      <c r="I23" s="306">
        <v>62742</v>
      </c>
      <c r="J23" s="306">
        <v>62850</v>
      </c>
      <c r="K23" s="306">
        <v>62953</v>
      </c>
      <c r="L23" s="306">
        <v>63045</v>
      </c>
      <c r="M23" s="306">
        <v>63142</v>
      </c>
      <c r="N23" s="306">
        <v>63219</v>
      </c>
      <c r="O23" s="306">
        <v>63268</v>
      </c>
      <c r="P23" s="306">
        <v>63268</v>
      </c>
      <c r="Q23" s="306">
        <v>63366</v>
      </c>
      <c r="R23" s="306">
        <v>63457</v>
      </c>
      <c r="S23" s="306">
        <v>63538</v>
      </c>
      <c r="T23" s="306">
        <v>63619</v>
      </c>
      <c r="U23" s="306">
        <v>63701</v>
      </c>
      <c r="V23" s="306">
        <v>63745</v>
      </c>
      <c r="W23" s="306">
        <v>63745</v>
      </c>
      <c r="X23" s="306">
        <v>63851</v>
      </c>
      <c r="Y23" s="306">
        <v>63949</v>
      </c>
      <c r="Z23" s="306">
        <v>64036</v>
      </c>
      <c r="AA23" s="306">
        <v>64125</v>
      </c>
      <c r="AB23" s="306">
        <v>64208</v>
      </c>
      <c r="AC23" s="306">
        <v>64213</v>
      </c>
      <c r="AD23" s="306">
        <v>64213</v>
      </c>
      <c r="AE23" s="305">
        <v>64311</v>
      </c>
      <c r="AF23" s="305">
        <v>64385</v>
      </c>
      <c r="AG23" s="313">
        <v>64464</v>
      </c>
      <c r="AH23" s="313">
        <v>64540</v>
      </c>
      <c r="AI23" s="184">
        <v>64570</v>
      </c>
      <c r="AJ23" s="314">
        <f t="shared" ref="AJ23:AJ30" si="1">AI23-D23</f>
        <v>2166</v>
      </c>
    </row>
    <row r="24" spans="1:36">
      <c r="A24" s="306"/>
      <c r="B24" s="306"/>
      <c r="C24" s="338" t="s">
        <v>22</v>
      </c>
      <c r="D24" s="323">
        <v>2004</v>
      </c>
      <c r="E24" s="306">
        <v>2004</v>
      </c>
      <c r="F24" s="306">
        <v>2004</v>
      </c>
      <c r="G24" s="306">
        <v>2004</v>
      </c>
      <c r="H24" s="306">
        <v>2004</v>
      </c>
      <c r="I24" s="306">
        <v>2004</v>
      </c>
      <c r="J24" s="306">
        <v>2004</v>
      </c>
      <c r="K24" s="306">
        <v>2004</v>
      </c>
      <c r="L24" s="306">
        <v>2004</v>
      </c>
      <c r="M24" s="306">
        <v>2004</v>
      </c>
      <c r="N24" s="306">
        <v>2004</v>
      </c>
      <c r="O24" s="306">
        <v>2004</v>
      </c>
      <c r="P24" s="306">
        <v>2004</v>
      </c>
      <c r="Q24" s="306">
        <v>2004</v>
      </c>
      <c r="R24" s="306">
        <v>2004</v>
      </c>
      <c r="S24" s="306">
        <v>2004</v>
      </c>
      <c r="T24" s="306">
        <v>2004</v>
      </c>
      <c r="U24" s="306">
        <v>2004</v>
      </c>
      <c r="V24" s="306">
        <v>2004</v>
      </c>
      <c r="W24" s="306">
        <v>2004</v>
      </c>
      <c r="X24" s="306">
        <v>2004</v>
      </c>
      <c r="Y24" s="328">
        <v>2004</v>
      </c>
      <c r="Z24" s="328">
        <v>2004</v>
      </c>
      <c r="AA24" s="328">
        <v>2004</v>
      </c>
      <c r="AB24" s="328">
        <v>2004</v>
      </c>
      <c r="AC24" s="328">
        <v>2004</v>
      </c>
      <c r="AD24" s="328">
        <v>2004</v>
      </c>
      <c r="AE24" s="328">
        <v>2004</v>
      </c>
      <c r="AF24" s="328">
        <v>2004</v>
      </c>
      <c r="AG24" s="328">
        <v>2004</v>
      </c>
      <c r="AH24" s="313">
        <v>2004</v>
      </c>
      <c r="AI24" s="184">
        <v>2004</v>
      </c>
      <c r="AJ24" s="314">
        <f t="shared" si="1"/>
        <v>0</v>
      </c>
    </row>
    <row r="25" spans="1:36">
      <c r="A25" s="306">
        <v>2</v>
      </c>
      <c r="B25" s="306" t="s">
        <v>129</v>
      </c>
      <c r="C25" s="319" t="s">
        <v>120</v>
      </c>
      <c r="D25" s="438">
        <v>64476</v>
      </c>
      <c r="E25" s="306">
        <v>64566</v>
      </c>
      <c r="F25" s="306">
        <v>64641</v>
      </c>
      <c r="G25" s="306">
        <v>64701</v>
      </c>
      <c r="H25" s="306">
        <v>64730</v>
      </c>
      <c r="I25" s="306">
        <v>64730</v>
      </c>
      <c r="J25" s="306">
        <v>64797</v>
      </c>
      <c r="K25" s="306">
        <v>64850</v>
      </c>
      <c r="L25" s="306">
        <v>64900</v>
      </c>
      <c r="M25" s="306">
        <v>64947</v>
      </c>
      <c r="N25" s="306">
        <v>64987</v>
      </c>
      <c r="O25" s="306">
        <v>65020</v>
      </c>
      <c r="P25" s="306">
        <v>65020</v>
      </c>
      <c r="Q25" s="306">
        <v>65080</v>
      </c>
      <c r="R25" s="306">
        <v>65143</v>
      </c>
      <c r="S25" s="306">
        <v>65193</v>
      </c>
      <c r="T25" s="306">
        <v>65247</v>
      </c>
      <c r="U25" s="306">
        <v>65297</v>
      </c>
      <c r="V25" s="306">
        <v>65326</v>
      </c>
      <c r="W25" s="306">
        <v>65326</v>
      </c>
      <c r="X25" s="306">
        <v>65391</v>
      </c>
      <c r="Y25" s="306">
        <v>65441</v>
      </c>
      <c r="Z25" s="306">
        <v>65504</v>
      </c>
      <c r="AA25" s="306">
        <v>65559</v>
      </c>
      <c r="AB25" s="306">
        <v>65623</v>
      </c>
      <c r="AC25" s="306">
        <v>65636</v>
      </c>
      <c r="AD25" s="306">
        <v>65636</v>
      </c>
      <c r="AE25" s="305">
        <v>65718</v>
      </c>
      <c r="AF25" s="305">
        <v>65800</v>
      </c>
      <c r="AG25" s="390">
        <v>65879</v>
      </c>
      <c r="AH25" s="313">
        <v>65959</v>
      </c>
      <c r="AI25" s="184">
        <v>65986</v>
      </c>
      <c r="AJ25" s="314">
        <f t="shared" si="1"/>
        <v>1510</v>
      </c>
    </row>
    <row r="26" spans="1:36">
      <c r="A26" s="306"/>
      <c r="B26" s="306"/>
      <c r="C26" s="338" t="s">
        <v>22</v>
      </c>
      <c r="D26" s="320">
        <v>2013</v>
      </c>
      <c r="E26" s="306">
        <v>2013</v>
      </c>
      <c r="F26" s="306">
        <v>2013</v>
      </c>
      <c r="G26" s="306">
        <v>2013</v>
      </c>
      <c r="H26" s="306">
        <v>2013</v>
      </c>
      <c r="I26" s="306">
        <v>2013</v>
      </c>
      <c r="J26" s="306">
        <v>2013</v>
      </c>
      <c r="K26" s="306">
        <v>2013</v>
      </c>
      <c r="L26" s="306">
        <v>2013</v>
      </c>
      <c r="M26" s="306">
        <v>2013</v>
      </c>
      <c r="N26" s="306">
        <v>2013</v>
      </c>
      <c r="O26" s="306">
        <v>2013</v>
      </c>
      <c r="P26" s="306">
        <v>2013</v>
      </c>
      <c r="Q26" s="306">
        <v>2013</v>
      </c>
      <c r="R26" s="306">
        <v>2013</v>
      </c>
      <c r="S26" s="306">
        <v>2013</v>
      </c>
      <c r="T26" s="306">
        <v>2013</v>
      </c>
      <c r="U26" s="306">
        <v>2013</v>
      </c>
      <c r="V26" s="306">
        <v>2013</v>
      </c>
      <c r="W26" s="306">
        <v>2013</v>
      </c>
      <c r="X26" s="306">
        <v>2013</v>
      </c>
      <c r="Y26" s="306">
        <v>2013</v>
      </c>
      <c r="Z26" s="306">
        <v>2013</v>
      </c>
      <c r="AA26" s="306">
        <v>2013</v>
      </c>
      <c r="AB26" s="306">
        <v>2013</v>
      </c>
      <c r="AC26" s="306">
        <v>2013</v>
      </c>
      <c r="AD26" s="306">
        <v>2013</v>
      </c>
      <c r="AE26" s="306">
        <v>2013</v>
      </c>
      <c r="AF26" s="306">
        <v>2013</v>
      </c>
      <c r="AG26" s="306">
        <v>2013</v>
      </c>
      <c r="AH26" s="313">
        <v>2013</v>
      </c>
      <c r="AI26" s="184">
        <v>2013</v>
      </c>
      <c r="AJ26" s="314">
        <f t="shared" si="1"/>
        <v>0</v>
      </c>
    </row>
    <row r="27" spans="1:36">
      <c r="A27" s="306">
        <v>3</v>
      </c>
      <c r="B27" s="306" t="s">
        <v>129</v>
      </c>
      <c r="C27" s="319" t="s">
        <v>121</v>
      </c>
      <c r="D27" s="438">
        <v>77898</v>
      </c>
      <c r="E27" s="306">
        <v>77987</v>
      </c>
      <c r="F27" s="306">
        <v>78075</v>
      </c>
      <c r="G27" s="306">
        <v>78177</v>
      </c>
      <c r="H27" s="306">
        <v>78232</v>
      </c>
      <c r="I27" s="306">
        <v>78232</v>
      </c>
      <c r="J27" s="306">
        <v>78355</v>
      </c>
      <c r="K27" s="306">
        <v>78465</v>
      </c>
      <c r="L27" s="306">
        <v>78570</v>
      </c>
      <c r="M27" s="306">
        <v>78649</v>
      </c>
      <c r="N27" s="306">
        <v>78752</v>
      </c>
      <c r="O27" s="306">
        <v>78808</v>
      </c>
      <c r="P27" s="306">
        <v>78808</v>
      </c>
      <c r="Q27" s="306">
        <v>78912</v>
      </c>
      <c r="R27" s="306">
        <v>79017</v>
      </c>
      <c r="S27" s="306">
        <v>79111</v>
      </c>
      <c r="T27" s="306">
        <v>79220</v>
      </c>
      <c r="U27" s="306">
        <v>79309</v>
      </c>
      <c r="V27" s="306">
        <v>79361</v>
      </c>
      <c r="W27" s="306">
        <v>79361</v>
      </c>
      <c r="X27" s="306">
        <v>79461</v>
      </c>
      <c r="Y27" s="306">
        <v>79566</v>
      </c>
      <c r="Z27" s="306">
        <v>79681</v>
      </c>
      <c r="AA27" s="306">
        <v>79787</v>
      </c>
      <c r="AB27" s="306">
        <v>79889</v>
      </c>
      <c r="AC27" s="306">
        <v>79947</v>
      </c>
      <c r="AD27" s="306">
        <v>79947</v>
      </c>
      <c r="AE27" s="305">
        <v>80045</v>
      </c>
      <c r="AF27" s="324">
        <v>80156</v>
      </c>
      <c r="AG27" s="390">
        <v>80260</v>
      </c>
      <c r="AH27" s="313">
        <v>80362</v>
      </c>
      <c r="AI27" s="184">
        <v>80394</v>
      </c>
      <c r="AJ27" s="314">
        <f t="shared" si="1"/>
        <v>2496</v>
      </c>
    </row>
    <row r="28" spans="1:36">
      <c r="A28" s="306"/>
      <c r="B28" s="306"/>
      <c r="C28" s="338" t="s">
        <v>22</v>
      </c>
      <c r="D28" s="439">
        <v>2166</v>
      </c>
      <c r="E28" s="306">
        <v>2166</v>
      </c>
      <c r="F28" s="306">
        <v>2166</v>
      </c>
      <c r="G28" s="306">
        <v>2166</v>
      </c>
      <c r="H28" s="306">
        <v>2166</v>
      </c>
      <c r="I28" s="306">
        <v>2166</v>
      </c>
      <c r="J28" s="306">
        <v>2166</v>
      </c>
      <c r="K28" s="306">
        <v>2166</v>
      </c>
      <c r="L28" s="306">
        <v>2166</v>
      </c>
      <c r="M28" s="306">
        <v>2166</v>
      </c>
      <c r="N28" s="306">
        <v>2166</v>
      </c>
      <c r="O28" s="306">
        <v>2166</v>
      </c>
      <c r="P28" s="306">
        <v>2166</v>
      </c>
      <c r="Q28" s="306">
        <v>2166</v>
      </c>
      <c r="R28" s="306">
        <v>2166</v>
      </c>
      <c r="S28" s="306">
        <v>2166</v>
      </c>
      <c r="T28" s="306">
        <v>2166</v>
      </c>
      <c r="U28" s="306">
        <v>2166</v>
      </c>
      <c r="V28" s="306">
        <v>2166</v>
      </c>
      <c r="W28" s="306">
        <v>2166</v>
      </c>
      <c r="X28" s="306">
        <v>2166</v>
      </c>
      <c r="Y28" s="306">
        <v>2166</v>
      </c>
      <c r="Z28" s="306">
        <v>2166</v>
      </c>
      <c r="AA28" s="306">
        <v>2166</v>
      </c>
      <c r="AB28" s="306">
        <v>2166</v>
      </c>
      <c r="AC28" s="306">
        <v>2166</v>
      </c>
      <c r="AD28" s="306">
        <v>2166</v>
      </c>
      <c r="AE28" s="306">
        <v>2166</v>
      </c>
      <c r="AF28" s="306">
        <v>2166</v>
      </c>
      <c r="AG28" s="306">
        <v>2166</v>
      </c>
      <c r="AH28" s="313">
        <v>2166</v>
      </c>
      <c r="AI28" s="184">
        <v>2166</v>
      </c>
      <c r="AJ28" s="314">
        <f t="shared" si="1"/>
        <v>0</v>
      </c>
    </row>
    <row r="29" spans="1:36">
      <c r="A29" s="306">
        <v>4</v>
      </c>
      <c r="B29" s="306" t="s">
        <v>129</v>
      </c>
      <c r="C29" s="319" t="s">
        <v>122</v>
      </c>
      <c r="D29" s="440">
        <v>52893</v>
      </c>
      <c r="E29" s="306">
        <v>52996</v>
      </c>
      <c r="F29" s="306">
        <v>53093</v>
      </c>
      <c r="G29" s="306">
        <v>53190</v>
      </c>
      <c r="H29" s="306">
        <v>53247</v>
      </c>
      <c r="I29" s="306">
        <v>53247</v>
      </c>
      <c r="J29" s="306">
        <v>53359</v>
      </c>
      <c r="K29" s="306">
        <v>53466</v>
      </c>
      <c r="L29" s="306">
        <v>53570</v>
      </c>
      <c r="M29" s="306">
        <v>53657</v>
      </c>
      <c r="N29" s="306">
        <v>53746</v>
      </c>
      <c r="O29" s="306">
        <v>53798</v>
      </c>
      <c r="P29" s="306">
        <v>53798</v>
      </c>
      <c r="Q29" s="306">
        <v>53885</v>
      </c>
      <c r="R29" s="306">
        <v>53963</v>
      </c>
      <c r="S29" s="306">
        <v>54048</v>
      </c>
      <c r="T29" s="306">
        <v>54124</v>
      </c>
      <c r="U29" s="306">
        <v>54198</v>
      </c>
      <c r="V29" s="306">
        <v>54228</v>
      </c>
      <c r="W29" s="306">
        <v>54228</v>
      </c>
      <c r="X29" s="306">
        <v>54311</v>
      </c>
      <c r="Y29" s="306">
        <v>54385</v>
      </c>
      <c r="Z29" s="306">
        <v>54465</v>
      </c>
      <c r="AA29" s="306">
        <v>54545</v>
      </c>
      <c r="AB29" s="306">
        <v>54616</v>
      </c>
      <c r="AC29" s="306">
        <v>54621</v>
      </c>
      <c r="AD29" s="306">
        <v>54621</v>
      </c>
      <c r="AE29" s="318">
        <v>54708</v>
      </c>
      <c r="AF29" s="318">
        <v>54802</v>
      </c>
      <c r="AG29" s="313">
        <v>54899</v>
      </c>
      <c r="AH29" s="313">
        <v>54990</v>
      </c>
      <c r="AI29" s="184">
        <v>55029</v>
      </c>
      <c r="AJ29" s="314">
        <f t="shared" si="1"/>
        <v>2136</v>
      </c>
    </row>
    <row r="30" spans="1:36">
      <c r="A30" s="306"/>
      <c r="B30" s="306"/>
      <c r="C30" s="338" t="s">
        <v>22</v>
      </c>
      <c r="D30" s="439">
        <v>1884</v>
      </c>
      <c r="E30" s="306">
        <v>1884</v>
      </c>
      <c r="F30" s="306">
        <v>1884</v>
      </c>
      <c r="G30" s="306">
        <v>1884</v>
      </c>
      <c r="H30" s="306">
        <v>1884</v>
      </c>
      <c r="I30" s="306">
        <v>1884</v>
      </c>
      <c r="J30" s="306">
        <v>1884</v>
      </c>
      <c r="K30" s="306">
        <v>1884</v>
      </c>
      <c r="L30" s="306">
        <v>1884</v>
      </c>
      <c r="M30" s="306">
        <v>1884</v>
      </c>
      <c r="N30" s="306">
        <v>1884</v>
      </c>
      <c r="O30" s="306">
        <v>1884</v>
      </c>
      <c r="P30" s="306">
        <v>1884</v>
      </c>
      <c r="Q30" s="306">
        <v>1884</v>
      </c>
      <c r="R30" s="306">
        <v>1884</v>
      </c>
      <c r="S30" s="306">
        <v>1884</v>
      </c>
      <c r="T30" s="306">
        <v>1884</v>
      </c>
      <c r="U30" s="306">
        <v>1884</v>
      </c>
      <c r="V30" s="306">
        <v>1884</v>
      </c>
      <c r="W30" s="306">
        <v>1884</v>
      </c>
      <c r="X30" s="306">
        <v>1884</v>
      </c>
      <c r="Y30" s="306">
        <v>1884</v>
      </c>
      <c r="Z30" s="306">
        <v>1884</v>
      </c>
      <c r="AA30" s="306">
        <v>1884</v>
      </c>
      <c r="AB30" s="306">
        <v>1884</v>
      </c>
      <c r="AC30" s="306">
        <v>1884</v>
      </c>
      <c r="AD30" s="306">
        <v>1884</v>
      </c>
      <c r="AE30" s="306">
        <v>1884</v>
      </c>
      <c r="AF30" s="306">
        <v>1884</v>
      </c>
      <c r="AG30" s="306">
        <v>1884</v>
      </c>
      <c r="AH30" s="313">
        <v>1884</v>
      </c>
      <c r="AI30" s="184">
        <v>1884</v>
      </c>
      <c r="AJ30" s="314">
        <f t="shared" si="1"/>
        <v>0</v>
      </c>
    </row>
    <row r="31" spans="1:36">
      <c r="A31" s="548" t="s">
        <v>148</v>
      </c>
      <c r="B31" s="495"/>
      <c r="C31" s="495"/>
      <c r="D31" s="495"/>
      <c r="E31" s="495"/>
      <c r="F31" s="495"/>
      <c r="G31" s="495"/>
      <c r="H31" s="495"/>
      <c r="I31" s="495"/>
      <c r="J31" s="495"/>
      <c r="K31" s="495"/>
      <c r="L31" s="495"/>
      <c r="M31" s="495"/>
      <c r="N31" s="495"/>
      <c r="O31" s="495"/>
      <c r="P31" s="495"/>
      <c r="Q31" s="495"/>
      <c r="R31" s="495"/>
      <c r="S31" s="495"/>
      <c r="T31" s="495"/>
      <c r="U31" s="495"/>
      <c r="V31" s="495"/>
      <c r="W31" s="495"/>
      <c r="X31" s="495"/>
      <c r="Y31" s="495"/>
      <c r="Z31" s="495"/>
      <c r="AA31" s="495"/>
      <c r="AB31" s="495"/>
      <c r="AC31" s="495"/>
      <c r="AD31" s="495"/>
      <c r="AE31" s="495"/>
      <c r="AF31" s="495"/>
      <c r="AG31" s="495"/>
      <c r="AH31" s="495"/>
      <c r="AI31" s="400"/>
    </row>
    <row r="32" spans="1:36">
      <c r="A32" s="306">
        <v>1</v>
      </c>
      <c r="B32" s="306" t="s">
        <v>129</v>
      </c>
      <c r="C32" s="319" t="s">
        <v>123</v>
      </c>
      <c r="D32" s="441">
        <v>448252</v>
      </c>
      <c r="E32" s="382">
        <v>448760</v>
      </c>
      <c r="F32" s="383">
        <v>449035</v>
      </c>
      <c r="G32" s="383">
        <v>449440</v>
      </c>
      <c r="H32" s="383">
        <v>449627</v>
      </c>
      <c r="I32" s="383">
        <v>449627</v>
      </c>
      <c r="J32" s="383">
        <v>450163</v>
      </c>
      <c r="K32" s="383">
        <v>450658</v>
      </c>
      <c r="L32" s="383">
        <v>451051</v>
      </c>
      <c r="M32" s="382">
        <v>451376</v>
      </c>
      <c r="N32" s="383">
        <v>451693</v>
      </c>
      <c r="O32" s="383">
        <v>451854</v>
      </c>
      <c r="P32" s="383">
        <v>451854</v>
      </c>
      <c r="Q32" s="382">
        <v>452483</v>
      </c>
      <c r="R32" s="383">
        <v>453013</v>
      </c>
      <c r="S32" s="383">
        <v>453530</v>
      </c>
      <c r="T32" s="383">
        <v>453919</v>
      </c>
      <c r="U32" s="382">
        <v>454388</v>
      </c>
      <c r="V32" s="383">
        <v>454569</v>
      </c>
      <c r="W32" s="383">
        <v>454569</v>
      </c>
      <c r="X32" s="383">
        <v>455081</v>
      </c>
      <c r="Y32" s="382">
        <v>455505</v>
      </c>
      <c r="Z32" s="383">
        <v>455965</v>
      </c>
      <c r="AA32" s="383">
        <v>456401</v>
      </c>
      <c r="AB32" s="383">
        <v>456828</v>
      </c>
      <c r="AC32" s="383">
        <v>456874</v>
      </c>
      <c r="AD32" s="383">
        <v>456874</v>
      </c>
      <c r="AE32" s="383">
        <v>457460</v>
      </c>
      <c r="AF32" s="383">
        <v>457953</v>
      </c>
      <c r="AG32" s="391">
        <v>458431</v>
      </c>
      <c r="AH32" s="391">
        <v>458818</v>
      </c>
      <c r="AI32" s="184">
        <v>459002</v>
      </c>
      <c r="AJ32" s="314">
        <f>AI32-D32</f>
        <v>10750</v>
      </c>
    </row>
    <row r="33" spans="1:36">
      <c r="A33" s="306">
        <v>2</v>
      </c>
      <c r="B33" s="306" t="s">
        <v>129</v>
      </c>
      <c r="C33" s="319" t="s">
        <v>124</v>
      </c>
      <c r="D33" s="441">
        <v>421761</v>
      </c>
      <c r="E33" s="383">
        <v>422216</v>
      </c>
      <c r="F33" s="383">
        <v>422595</v>
      </c>
      <c r="G33" s="383">
        <v>423039</v>
      </c>
      <c r="H33" s="383">
        <v>423318</v>
      </c>
      <c r="I33" s="383">
        <v>423318</v>
      </c>
      <c r="J33" s="383">
        <v>423880</v>
      </c>
      <c r="K33" s="383">
        <v>424444</v>
      </c>
      <c r="L33" s="383">
        <v>424901</v>
      </c>
      <c r="M33" s="383">
        <v>425248</v>
      </c>
      <c r="N33" s="383">
        <v>425560</v>
      </c>
      <c r="O33" s="383">
        <v>425749</v>
      </c>
      <c r="P33" s="383">
        <v>425749</v>
      </c>
      <c r="Q33" s="383">
        <v>426281</v>
      </c>
      <c r="R33" s="383">
        <v>426829</v>
      </c>
      <c r="S33" s="383">
        <v>427298</v>
      </c>
      <c r="T33" s="383">
        <v>427709</v>
      </c>
      <c r="U33" s="383">
        <v>428245</v>
      </c>
      <c r="V33" s="383">
        <v>428450</v>
      </c>
      <c r="W33" s="383">
        <v>428450</v>
      </c>
      <c r="X33" s="383">
        <v>429092</v>
      </c>
      <c r="Y33" s="383">
        <v>429511</v>
      </c>
      <c r="Z33" s="383">
        <v>429927</v>
      </c>
      <c r="AA33" s="383">
        <v>430356</v>
      </c>
      <c r="AB33" s="383">
        <v>430712</v>
      </c>
      <c r="AC33" s="383">
        <v>430786</v>
      </c>
      <c r="AD33" s="383">
        <v>430786</v>
      </c>
      <c r="AE33" s="383">
        <v>431289</v>
      </c>
      <c r="AF33" s="383">
        <v>431714</v>
      </c>
      <c r="AG33" s="391">
        <v>432158</v>
      </c>
      <c r="AH33" s="391">
        <v>432472</v>
      </c>
      <c r="AI33" s="184">
        <v>432663</v>
      </c>
      <c r="AJ33" s="314">
        <f>AI33-D33</f>
        <v>10902</v>
      </c>
    </row>
    <row r="34" spans="1:36">
      <c r="A34" s="306">
        <v>3</v>
      </c>
      <c r="B34" s="306" t="s">
        <v>129</v>
      </c>
      <c r="C34" s="319" t="s">
        <v>125</v>
      </c>
      <c r="D34" s="441">
        <v>458458</v>
      </c>
      <c r="E34" s="383">
        <v>459070</v>
      </c>
      <c r="F34" s="383">
        <v>459479</v>
      </c>
      <c r="G34" s="383">
        <v>460083</v>
      </c>
      <c r="H34" s="383">
        <v>460386</v>
      </c>
      <c r="I34" s="383">
        <v>460386</v>
      </c>
      <c r="J34" s="383">
        <v>461252</v>
      </c>
      <c r="K34" s="383">
        <v>462013</v>
      </c>
      <c r="L34" s="383">
        <v>462597</v>
      </c>
      <c r="M34" s="383">
        <v>463040</v>
      </c>
      <c r="N34" s="383">
        <v>463420</v>
      </c>
      <c r="O34" s="383">
        <v>463688</v>
      </c>
      <c r="P34" s="383">
        <v>463688</v>
      </c>
      <c r="Q34" s="383">
        <v>464468</v>
      </c>
      <c r="R34" s="383">
        <v>465076</v>
      </c>
      <c r="S34" s="383">
        <v>465721</v>
      </c>
      <c r="T34" s="383">
        <v>466175</v>
      </c>
      <c r="U34" s="383">
        <v>466820</v>
      </c>
      <c r="V34" s="383">
        <v>467077</v>
      </c>
      <c r="W34" s="383">
        <v>467077</v>
      </c>
      <c r="X34" s="383">
        <v>467827</v>
      </c>
      <c r="Y34" s="383">
        <v>468370</v>
      </c>
      <c r="Z34" s="383">
        <v>468893</v>
      </c>
      <c r="AA34" s="383">
        <v>469469</v>
      </c>
      <c r="AB34" s="383">
        <v>469891</v>
      </c>
      <c r="AC34" s="433">
        <v>470202</v>
      </c>
      <c r="AD34" s="433">
        <v>470202</v>
      </c>
      <c r="AE34" s="383">
        <v>470882</v>
      </c>
      <c r="AF34" s="383">
        <v>471434</v>
      </c>
      <c r="AG34" s="391">
        <v>472006</v>
      </c>
      <c r="AH34" s="391">
        <v>472497</v>
      </c>
      <c r="AI34" s="184">
        <v>472756</v>
      </c>
      <c r="AJ34" s="314">
        <f>AI34-D34</f>
        <v>14298</v>
      </c>
    </row>
    <row r="35" spans="1:36">
      <c r="A35" s="306">
        <v>4</v>
      </c>
      <c r="B35" s="306" t="s">
        <v>129</v>
      </c>
      <c r="C35" s="319" t="s">
        <v>126</v>
      </c>
      <c r="D35" s="441">
        <v>509335</v>
      </c>
      <c r="E35" s="379">
        <v>510408</v>
      </c>
      <c r="F35" s="379">
        <v>511327</v>
      </c>
      <c r="G35" s="379">
        <v>512150</v>
      </c>
      <c r="H35" s="379">
        <v>512641</v>
      </c>
      <c r="I35" s="379">
        <v>512641</v>
      </c>
      <c r="J35" s="379">
        <v>513641</v>
      </c>
      <c r="K35" s="379">
        <v>514660</v>
      </c>
      <c r="L35" s="379">
        <v>515522</v>
      </c>
      <c r="M35" s="379">
        <v>516241</v>
      </c>
      <c r="N35" s="379">
        <v>516958</v>
      </c>
      <c r="O35" s="379">
        <v>517530</v>
      </c>
      <c r="P35" s="380">
        <v>517530</v>
      </c>
      <c r="Q35" s="379">
        <v>518611</v>
      </c>
      <c r="R35" s="379">
        <v>519578</v>
      </c>
      <c r="S35" s="379">
        <v>520388</v>
      </c>
      <c r="T35" s="379">
        <v>521299</v>
      </c>
      <c r="U35" s="379">
        <v>522240</v>
      </c>
      <c r="V35" s="379">
        <v>522505</v>
      </c>
      <c r="W35" s="379">
        <v>522505</v>
      </c>
      <c r="X35" s="379">
        <v>523503</v>
      </c>
      <c r="Y35" s="379">
        <v>524497</v>
      </c>
      <c r="Z35" s="379">
        <v>525352</v>
      </c>
      <c r="AA35" s="379">
        <v>526280</v>
      </c>
      <c r="AB35" s="379">
        <v>527085</v>
      </c>
      <c r="AC35" s="383">
        <v>527217</v>
      </c>
      <c r="AD35" s="383">
        <v>527217</v>
      </c>
      <c r="AE35" s="381">
        <v>528206</v>
      </c>
      <c r="AF35" s="381">
        <v>529090</v>
      </c>
      <c r="AG35" s="381">
        <v>529957</v>
      </c>
      <c r="AH35" s="391">
        <v>530867</v>
      </c>
      <c r="AI35" s="184">
        <v>531216</v>
      </c>
      <c r="AJ35" s="314">
        <f>AI35-D35</f>
        <v>21881</v>
      </c>
    </row>
    <row r="36" spans="1:36">
      <c r="A36" s="547"/>
      <c r="B36" s="495"/>
      <c r="C36" s="495"/>
      <c r="D36" s="495"/>
      <c r="E36" s="495"/>
      <c r="F36" s="495"/>
      <c r="G36" s="495"/>
      <c r="H36" s="495"/>
      <c r="I36" s="495"/>
      <c r="J36" s="495"/>
      <c r="K36" s="495"/>
      <c r="L36" s="495"/>
      <c r="M36" s="495"/>
      <c r="N36" s="495"/>
      <c r="O36" s="495"/>
      <c r="P36" s="495"/>
      <c r="Q36" s="495"/>
      <c r="R36" s="495"/>
      <c r="S36" s="495"/>
      <c r="T36" s="495"/>
      <c r="U36" s="495"/>
      <c r="V36" s="495"/>
      <c r="W36" s="495"/>
      <c r="X36" s="495"/>
      <c r="Y36" s="495"/>
      <c r="Z36" s="495"/>
      <c r="AA36" s="495"/>
      <c r="AB36" s="495"/>
      <c r="AC36" s="495"/>
      <c r="AD36" s="495"/>
      <c r="AE36" s="495"/>
      <c r="AF36" s="495"/>
      <c r="AG36" s="495"/>
      <c r="AH36" s="495"/>
      <c r="AI36" s="371"/>
    </row>
    <row r="37" spans="1:36">
      <c r="A37" s="495"/>
      <c r="B37" s="495"/>
      <c r="C37" s="495"/>
      <c r="D37" s="495"/>
      <c r="E37" s="495"/>
      <c r="F37" s="495"/>
      <c r="G37" s="495"/>
      <c r="H37" s="495"/>
      <c r="I37" s="495"/>
      <c r="J37" s="495"/>
      <c r="K37" s="495"/>
      <c r="L37" s="495"/>
      <c r="M37" s="495"/>
      <c r="N37" s="495"/>
      <c r="O37" s="495"/>
      <c r="P37" s="495"/>
      <c r="Q37" s="495"/>
      <c r="R37" s="495"/>
      <c r="S37" s="495"/>
      <c r="T37" s="495"/>
      <c r="U37" s="495"/>
      <c r="V37" s="495"/>
      <c r="W37" s="495"/>
      <c r="X37" s="495"/>
      <c r="Y37" s="495"/>
      <c r="Z37" s="495"/>
      <c r="AA37" s="495"/>
      <c r="AB37" s="495"/>
      <c r="AC37" s="495"/>
      <c r="AD37" s="495"/>
      <c r="AE37" s="495"/>
      <c r="AF37" s="495"/>
      <c r="AG37" s="495"/>
      <c r="AH37" s="495"/>
      <c r="AI37" s="371"/>
    </row>
    <row r="38" spans="1:36">
      <c r="A38" s="350"/>
      <c r="B38" s="551" t="s">
        <v>127</v>
      </c>
      <c r="C38" s="504"/>
      <c r="D38" s="501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350"/>
      <c r="AE38" s="350"/>
      <c r="AF38" s="350"/>
      <c r="AG38" s="350"/>
      <c r="AH38" s="350"/>
      <c r="AI38" s="350"/>
      <c r="AJ38" s="350"/>
    </row>
    <row r="39" spans="1:36">
      <c r="A39" s="351"/>
      <c r="B39" s="558" t="s">
        <v>128</v>
      </c>
      <c r="C39" s="504"/>
      <c r="D39" s="50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  <c r="AA39" s="351"/>
      <c r="AB39" s="351"/>
      <c r="AC39" s="351"/>
      <c r="AD39" s="351"/>
      <c r="AE39" s="351"/>
      <c r="AF39" s="351"/>
      <c r="AG39" s="351"/>
      <c r="AH39" s="351"/>
      <c r="AI39" s="351"/>
      <c r="AJ39" s="351"/>
    </row>
    <row r="40" spans="1:36">
      <c r="A40" s="541" t="s">
        <v>99</v>
      </c>
      <c r="B40" s="541" t="s">
        <v>100</v>
      </c>
      <c r="C40" s="541" t="s">
        <v>101</v>
      </c>
      <c r="D40" s="517"/>
      <c r="E40" s="301">
        <v>46204</v>
      </c>
      <c r="F40" s="301">
        <v>46205</v>
      </c>
      <c r="G40" s="301">
        <v>46206</v>
      </c>
      <c r="H40" s="301">
        <v>46207</v>
      </c>
      <c r="I40" s="301">
        <v>46208</v>
      </c>
      <c r="J40" s="301">
        <v>46209</v>
      </c>
      <c r="K40" s="301">
        <v>46210</v>
      </c>
      <c r="L40" s="301">
        <v>46211</v>
      </c>
      <c r="M40" s="301">
        <v>46212</v>
      </c>
      <c r="N40" s="301">
        <v>46213</v>
      </c>
      <c r="O40" s="301">
        <v>46214</v>
      </c>
      <c r="P40" s="301">
        <v>46215</v>
      </c>
      <c r="Q40" s="301">
        <v>46216</v>
      </c>
      <c r="R40" s="301">
        <v>46217</v>
      </c>
      <c r="S40" s="301">
        <v>46218</v>
      </c>
      <c r="T40" s="301">
        <v>46219</v>
      </c>
      <c r="U40" s="301">
        <v>46220</v>
      </c>
      <c r="V40" s="301">
        <v>46221</v>
      </c>
      <c r="W40" s="301">
        <v>46222</v>
      </c>
      <c r="X40" s="301">
        <v>46223</v>
      </c>
      <c r="Y40" s="301">
        <v>46224</v>
      </c>
      <c r="Z40" s="301">
        <v>46225</v>
      </c>
      <c r="AA40" s="301">
        <v>46226</v>
      </c>
      <c r="AB40" s="301">
        <v>46227</v>
      </c>
      <c r="AC40" s="301">
        <v>46228</v>
      </c>
      <c r="AD40" s="301">
        <v>46229</v>
      </c>
      <c r="AE40" s="301">
        <v>46230</v>
      </c>
      <c r="AF40" s="301">
        <v>46231</v>
      </c>
      <c r="AG40" s="301">
        <v>46232</v>
      </c>
      <c r="AH40" s="301">
        <v>46233</v>
      </c>
      <c r="AI40" s="301">
        <v>46234</v>
      </c>
      <c r="AJ40" s="541" t="s">
        <v>1</v>
      </c>
    </row>
    <row r="41" spans="1:36">
      <c r="A41" s="508"/>
      <c r="B41" s="508"/>
      <c r="C41" s="518"/>
      <c r="D41" s="519"/>
      <c r="E41" s="302" t="s">
        <v>108</v>
      </c>
      <c r="F41" s="302" t="s">
        <v>109</v>
      </c>
      <c r="G41" s="302" t="s">
        <v>103</v>
      </c>
      <c r="H41" s="302" t="s">
        <v>104</v>
      </c>
      <c r="I41" s="302" t="s">
        <v>105</v>
      </c>
      <c r="J41" s="302" t="s">
        <v>106</v>
      </c>
      <c r="K41" s="302" t="s">
        <v>107</v>
      </c>
      <c r="L41" s="302" t="s">
        <v>108</v>
      </c>
      <c r="M41" s="302" t="s">
        <v>109</v>
      </c>
      <c r="N41" s="302" t="s">
        <v>103</v>
      </c>
      <c r="O41" s="302" t="s">
        <v>104</v>
      </c>
      <c r="P41" s="302" t="s">
        <v>105</v>
      </c>
      <c r="Q41" s="302" t="s">
        <v>106</v>
      </c>
      <c r="R41" s="302" t="s">
        <v>107</v>
      </c>
      <c r="S41" s="302" t="s">
        <v>108</v>
      </c>
      <c r="T41" s="302" t="s">
        <v>109</v>
      </c>
      <c r="U41" s="302" t="s">
        <v>103</v>
      </c>
      <c r="V41" s="302" t="s">
        <v>104</v>
      </c>
      <c r="W41" s="302" t="s">
        <v>105</v>
      </c>
      <c r="X41" s="302" t="s">
        <v>106</v>
      </c>
      <c r="Y41" s="302" t="s">
        <v>107</v>
      </c>
      <c r="Z41" s="302" t="s">
        <v>108</v>
      </c>
      <c r="AA41" s="302" t="s">
        <v>109</v>
      </c>
      <c r="AB41" s="302" t="s">
        <v>103</v>
      </c>
      <c r="AC41" s="302" t="s">
        <v>104</v>
      </c>
      <c r="AD41" s="302" t="s">
        <v>105</v>
      </c>
      <c r="AE41" s="302" t="s">
        <v>106</v>
      </c>
      <c r="AF41" s="302" t="s">
        <v>107</v>
      </c>
      <c r="AG41" s="302" t="s">
        <v>108</v>
      </c>
      <c r="AH41" s="302" t="s">
        <v>109</v>
      </c>
      <c r="AI41" s="302" t="s">
        <v>103</v>
      </c>
      <c r="AJ41" s="508"/>
    </row>
    <row r="42" spans="1:36">
      <c r="A42" s="508"/>
      <c r="B42" s="508"/>
      <c r="C42" s="518"/>
      <c r="D42" s="519"/>
      <c r="E42" s="353" t="s">
        <v>110</v>
      </c>
      <c r="F42" s="353" t="s">
        <v>110</v>
      </c>
      <c r="G42" s="353" t="s">
        <v>110</v>
      </c>
      <c r="H42" s="353" t="s">
        <v>110</v>
      </c>
      <c r="I42" s="353" t="s">
        <v>110</v>
      </c>
      <c r="J42" s="353" t="s">
        <v>110</v>
      </c>
      <c r="K42" s="353" t="s">
        <v>110</v>
      </c>
      <c r="L42" s="353" t="s">
        <v>110</v>
      </c>
      <c r="M42" s="353" t="s">
        <v>110</v>
      </c>
      <c r="N42" s="353" t="s">
        <v>110</v>
      </c>
      <c r="O42" s="353" t="s">
        <v>110</v>
      </c>
      <c r="P42" s="353" t="s">
        <v>110</v>
      </c>
      <c r="Q42" s="353" t="s">
        <v>110</v>
      </c>
      <c r="R42" s="353" t="s">
        <v>110</v>
      </c>
      <c r="S42" s="353" t="s">
        <v>110</v>
      </c>
      <c r="T42" s="353" t="s">
        <v>110</v>
      </c>
      <c r="U42" s="353" t="s">
        <v>110</v>
      </c>
      <c r="V42" s="353" t="s">
        <v>110</v>
      </c>
      <c r="W42" s="353" t="s">
        <v>110</v>
      </c>
      <c r="X42" s="353" t="s">
        <v>110</v>
      </c>
      <c r="Y42" s="353" t="s">
        <v>110</v>
      </c>
      <c r="Z42" s="353" t="s">
        <v>110</v>
      </c>
      <c r="AA42" s="353" t="s">
        <v>110</v>
      </c>
      <c r="AB42" s="353" t="s">
        <v>110</v>
      </c>
      <c r="AC42" s="353" t="s">
        <v>110</v>
      </c>
      <c r="AD42" s="353" t="s">
        <v>110</v>
      </c>
      <c r="AE42" s="352" t="str">
        <f>AE4</f>
        <v>Time</v>
      </c>
      <c r="AF42" s="303" t="s">
        <v>110</v>
      </c>
      <c r="AG42" s="353" t="s">
        <v>110</v>
      </c>
      <c r="AH42" s="353" t="s">
        <v>110</v>
      </c>
      <c r="AI42" s="353" t="s">
        <v>110</v>
      </c>
      <c r="AJ42" s="508"/>
    </row>
    <row r="43" spans="1:36">
      <c r="A43" s="509"/>
      <c r="B43" s="509"/>
      <c r="C43" s="520"/>
      <c r="D43" s="521"/>
      <c r="E43" s="354">
        <v>0.33333333333333331</v>
      </c>
      <c r="F43" s="354">
        <v>0.33333333333333331</v>
      </c>
      <c r="G43" s="354">
        <v>0.33333333333333331</v>
      </c>
      <c r="H43" s="354">
        <v>0.33333333333333331</v>
      </c>
      <c r="I43" s="354">
        <v>0.33333333333333331</v>
      </c>
      <c r="J43" s="354">
        <v>0.33333333333333331</v>
      </c>
      <c r="K43" s="354">
        <v>0.33333333333333331</v>
      </c>
      <c r="L43" s="354">
        <v>0.33333333333333331</v>
      </c>
      <c r="M43" s="354">
        <v>0.33333333333333331</v>
      </c>
      <c r="N43" s="354">
        <v>0.33333333333333331</v>
      </c>
      <c r="O43" s="354">
        <v>0.33333333333333331</v>
      </c>
      <c r="P43" s="354">
        <v>0.33333333333333331</v>
      </c>
      <c r="Q43" s="354">
        <v>0.33333333333333331</v>
      </c>
      <c r="R43" s="354">
        <v>0.33333333333333331</v>
      </c>
      <c r="S43" s="354">
        <v>0.33333333333333331</v>
      </c>
      <c r="T43" s="354">
        <v>0.33333333333333331</v>
      </c>
      <c r="U43" s="354">
        <v>0.33333333333333331</v>
      </c>
      <c r="V43" s="354">
        <v>0.33333333333333331</v>
      </c>
      <c r="W43" s="354">
        <v>0.33333333333333331</v>
      </c>
      <c r="X43" s="354">
        <v>0.33333333333333331</v>
      </c>
      <c r="Y43" s="354">
        <v>0.33333333333333331</v>
      </c>
      <c r="Z43" s="354">
        <v>0.33333333333333331</v>
      </c>
      <c r="AA43" s="354">
        <v>0.33333333333333331</v>
      </c>
      <c r="AB43" s="354">
        <v>0.33333333333333331</v>
      </c>
      <c r="AC43" s="354">
        <v>0.33333333333333331</v>
      </c>
      <c r="AD43" s="354">
        <v>0.33333333333333331</v>
      </c>
      <c r="AE43" s="354">
        <v>0.33333333333333331</v>
      </c>
      <c r="AF43" s="304">
        <v>0.33333333333333331</v>
      </c>
      <c r="AG43" s="354">
        <v>0.33333333333333331</v>
      </c>
      <c r="AH43" s="354">
        <v>0.33333333333333331</v>
      </c>
      <c r="AI43" s="354">
        <v>0.33333333333333331</v>
      </c>
      <c r="AJ43" s="509"/>
    </row>
    <row r="44" spans="1:36">
      <c r="A44" s="306">
        <v>1</v>
      </c>
      <c r="B44" s="306" t="s">
        <v>129</v>
      </c>
      <c r="C44" s="544" t="s">
        <v>111</v>
      </c>
      <c r="D44" s="501"/>
      <c r="E44" s="355">
        <f t="shared" ref="E44:AI44" si="2">E6-D6</f>
        <v>247</v>
      </c>
      <c r="F44" s="355">
        <f t="shared" si="2"/>
        <v>246</v>
      </c>
      <c r="G44" s="355">
        <f t="shared" si="2"/>
        <v>254</v>
      </c>
      <c r="H44" s="355">
        <f t="shared" si="2"/>
        <v>191</v>
      </c>
      <c r="I44" s="355">
        <f t="shared" si="2"/>
        <v>202</v>
      </c>
      <c r="J44" s="355">
        <f t="shared" si="2"/>
        <v>263</v>
      </c>
      <c r="K44" s="355">
        <f t="shared" si="2"/>
        <v>241</v>
      </c>
      <c r="L44" s="355">
        <f t="shared" si="2"/>
        <v>257</v>
      </c>
      <c r="M44" s="355">
        <f t="shared" si="2"/>
        <v>245</v>
      </c>
      <c r="N44" s="355">
        <f t="shared" si="2"/>
        <v>225</v>
      </c>
      <c r="O44" s="355">
        <f t="shared" si="2"/>
        <v>212</v>
      </c>
      <c r="P44" s="355">
        <f t="shared" si="2"/>
        <v>199</v>
      </c>
      <c r="Q44" s="355">
        <f t="shared" si="2"/>
        <v>252</v>
      </c>
      <c r="R44" s="355">
        <f t="shared" si="2"/>
        <v>254</v>
      </c>
      <c r="S44" s="355">
        <f t="shared" si="2"/>
        <v>249</v>
      </c>
      <c r="T44" s="355">
        <f t="shared" si="2"/>
        <v>255</v>
      </c>
      <c r="U44" s="355">
        <f t="shared" si="2"/>
        <v>247</v>
      </c>
      <c r="V44" s="355">
        <f t="shared" si="2"/>
        <v>204</v>
      </c>
      <c r="W44" s="355">
        <f t="shared" si="2"/>
        <v>196</v>
      </c>
      <c r="X44" s="355">
        <f t="shared" si="2"/>
        <v>245</v>
      </c>
      <c r="Y44" s="355">
        <f t="shared" si="2"/>
        <v>254</v>
      </c>
      <c r="Z44" s="355">
        <f t="shared" si="2"/>
        <v>65</v>
      </c>
      <c r="AA44" s="355">
        <f t="shared" si="2"/>
        <v>452</v>
      </c>
      <c r="AB44" s="355">
        <f t="shared" si="2"/>
        <v>197</v>
      </c>
      <c r="AC44" s="355">
        <f t="shared" si="2"/>
        <v>245</v>
      </c>
      <c r="AD44" s="355">
        <f t="shared" si="2"/>
        <v>196</v>
      </c>
      <c r="AE44" s="355">
        <f t="shared" si="2"/>
        <v>263</v>
      </c>
      <c r="AF44" s="355">
        <f t="shared" si="2"/>
        <v>244</v>
      </c>
      <c r="AG44" s="355">
        <f t="shared" si="2"/>
        <v>244</v>
      </c>
      <c r="AH44" s="355">
        <f t="shared" si="2"/>
        <v>259</v>
      </c>
      <c r="AI44" s="355">
        <f t="shared" si="2"/>
        <v>147</v>
      </c>
      <c r="AJ44" s="356">
        <f t="shared" ref="AJ44:AJ61" si="3">SUM(E44:AI44)</f>
        <v>7250</v>
      </c>
    </row>
    <row r="45" spans="1:36">
      <c r="A45" s="306"/>
      <c r="B45" s="306"/>
      <c r="C45" s="543" t="s">
        <v>22</v>
      </c>
      <c r="D45" s="501"/>
      <c r="E45" s="355">
        <f t="shared" ref="E45:AI45" si="4">E7-D7</f>
        <v>0</v>
      </c>
      <c r="F45" s="355">
        <f t="shared" si="4"/>
        <v>0</v>
      </c>
      <c r="G45" s="355">
        <f t="shared" si="4"/>
        <v>0</v>
      </c>
      <c r="H45" s="355">
        <f t="shared" si="4"/>
        <v>0</v>
      </c>
      <c r="I45" s="355">
        <f t="shared" si="4"/>
        <v>0</v>
      </c>
      <c r="J45" s="355">
        <f t="shared" si="4"/>
        <v>0</v>
      </c>
      <c r="K45" s="355">
        <f t="shared" si="4"/>
        <v>0</v>
      </c>
      <c r="L45" s="355">
        <f t="shared" si="4"/>
        <v>0</v>
      </c>
      <c r="M45" s="355">
        <f t="shared" si="4"/>
        <v>0</v>
      </c>
      <c r="N45" s="355">
        <f t="shared" si="4"/>
        <v>0</v>
      </c>
      <c r="O45" s="355">
        <f t="shared" si="4"/>
        <v>0</v>
      </c>
      <c r="P45" s="355">
        <f t="shared" si="4"/>
        <v>0</v>
      </c>
      <c r="Q45" s="355">
        <f t="shared" si="4"/>
        <v>0</v>
      </c>
      <c r="R45" s="355">
        <f t="shared" si="4"/>
        <v>0</v>
      </c>
      <c r="S45" s="355">
        <f t="shared" si="4"/>
        <v>0</v>
      </c>
      <c r="T45" s="355">
        <f t="shared" si="4"/>
        <v>0</v>
      </c>
      <c r="U45" s="355">
        <f t="shared" si="4"/>
        <v>0</v>
      </c>
      <c r="V45" s="355">
        <f t="shared" si="4"/>
        <v>0</v>
      </c>
      <c r="W45" s="355">
        <f t="shared" si="4"/>
        <v>0</v>
      </c>
      <c r="X45" s="355">
        <f t="shared" si="4"/>
        <v>0</v>
      </c>
      <c r="Y45" s="355">
        <f t="shared" si="4"/>
        <v>0</v>
      </c>
      <c r="Z45" s="355">
        <f t="shared" si="4"/>
        <v>0</v>
      </c>
      <c r="AA45" s="355">
        <f t="shared" si="4"/>
        <v>0</v>
      </c>
      <c r="AB45" s="355">
        <f t="shared" si="4"/>
        <v>0</v>
      </c>
      <c r="AC45" s="355">
        <f t="shared" si="4"/>
        <v>0</v>
      </c>
      <c r="AD45" s="355">
        <f t="shared" si="4"/>
        <v>0</v>
      </c>
      <c r="AE45" s="355">
        <f t="shared" si="4"/>
        <v>0</v>
      </c>
      <c r="AF45" s="355">
        <f t="shared" si="4"/>
        <v>0</v>
      </c>
      <c r="AG45" s="355">
        <f t="shared" si="4"/>
        <v>0</v>
      </c>
      <c r="AH45" s="355">
        <f t="shared" si="4"/>
        <v>0</v>
      </c>
      <c r="AI45" s="355">
        <f t="shared" si="4"/>
        <v>0</v>
      </c>
      <c r="AJ45" s="356">
        <f t="shared" si="3"/>
        <v>0</v>
      </c>
    </row>
    <row r="46" spans="1:36">
      <c r="A46" s="306">
        <v>2</v>
      </c>
      <c r="B46" s="306" t="s">
        <v>129</v>
      </c>
      <c r="C46" s="544" t="s">
        <v>112</v>
      </c>
      <c r="D46" s="501"/>
      <c r="E46" s="355">
        <f t="shared" ref="E46:AI46" si="5">E8-D8</f>
        <v>0</v>
      </c>
      <c r="F46" s="355">
        <f t="shared" si="5"/>
        <v>0</v>
      </c>
      <c r="G46" s="355">
        <f t="shared" si="5"/>
        <v>0</v>
      </c>
      <c r="H46" s="355">
        <f t="shared" si="5"/>
        <v>0</v>
      </c>
      <c r="I46" s="355">
        <f t="shared" si="5"/>
        <v>0</v>
      </c>
      <c r="J46" s="355">
        <f t="shared" si="5"/>
        <v>0</v>
      </c>
      <c r="K46" s="355">
        <f t="shared" si="5"/>
        <v>0</v>
      </c>
      <c r="L46" s="355">
        <f t="shared" si="5"/>
        <v>0</v>
      </c>
      <c r="M46" s="355">
        <f t="shared" si="5"/>
        <v>0</v>
      </c>
      <c r="N46" s="355">
        <f t="shared" si="5"/>
        <v>0</v>
      </c>
      <c r="O46" s="355">
        <f t="shared" si="5"/>
        <v>0</v>
      </c>
      <c r="P46" s="355">
        <f t="shared" si="5"/>
        <v>0</v>
      </c>
      <c r="Q46" s="355">
        <f t="shared" si="5"/>
        <v>0</v>
      </c>
      <c r="R46" s="355">
        <f t="shared" si="5"/>
        <v>0</v>
      </c>
      <c r="S46" s="355">
        <f t="shared" si="5"/>
        <v>0</v>
      </c>
      <c r="T46" s="355">
        <f t="shared" si="5"/>
        <v>0</v>
      </c>
      <c r="U46" s="355">
        <f t="shared" si="5"/>
        <v>0</v>
      </c>
      <c r="V46" s="355">
        <f t="shared" si="5"/>
        <v>0</v>
      </c>
      <c r="W46" s="355">
        <f t="shared" si="5"/>
        <v>0</v>
      </c>
      <c r="X46" s="355">
        <f t="shared" si="5"/>
        <v>0</v>
      </c>
      <c r="Y46" s="355">
        <f t="shared" si="5"/>
        <v>0</v>
      </c>
      <c r="Z46" s="355">
        <f t="shared" si="5"/>
        <v>0</v>
      </c>
      <c r="AA46" s="355">
        <f t="shared" si="5"/>
        <v>0</v>
      </c>
      <c r="AB46" s="355">
        <f t="shared" si="5"/>
        <v>0</v>
      </c>
      <c r="AC46" s="355">
        <f t="shared" si="5"/>
        <v>0</v>
      </c>
      <c r="AD46" s="355">
        <f t="shared" si="5"/>
        <v>0</v>
      </c>
      <c r="AE46" s="355">
        <f t="shared" si="5"/>
        <v>0</v>
      </c>
      <c r="AF46" s="355">
        <f t="shared" si="5"/>
        <v>0</v>
      </c>
      <c r="AG46" s="355">
        <f t="shared" si="5"/>
        <v>0</v>
      </c>
      <c r="AH46" s="355">
        <f t="shared" si="5"/>
        <v>0</v>
      </c>
      <c r="AI46" s="355">
        <f t="shared" si="5"/>
        <v>0</v>
      </c>
      <c r="AJ46" s="356">
        <f t="shared" si="3"/>
        <v>0</v>
      </c>
    </row>
    <row r="47" spans="1:36">
      <c r="A47" s="306"/>
      <c r="B47" s="306"/>
      <c r="C47" s="543" t="s">
        <v>22</v>
      </c>
      <c r="D47" s="501"/>
      <c r="E47" s="355">
        <f t="shared" ref="E47:AI47" si="6">E9-D9</f>
        <v>0</v>
      </c>
      <c r="F47" s="355">
        <f t="shared" si="6"/>
        <v>0</v>
      </c>
      <c r="G47" s="355">
        <f t="shared" si="6"/>
        <v>0</v>
      </c>
      <c r="H47" s="355">
        <f t="shared" si="6"/>
        <v>0</v>
      </c>
      <c r="I47" s="355">
        <f t="shared" si="6"/>
        <v>0</v>
      </c>
      <c r="J47" s="355">
        <f t="shared" si="6"/>
        <v>0</v>
      </c>
      <c r="K47" s="355">
        <f t="shared" si="6"/>
        <v>0</v>
      </c>
      <c r="L47" s="355">
        <f t="shared" si="6"/>
        <v>0</v>
      </c>
      <c r="M47" s="355">
        <f t="shared" si="6"/>
        <v>0</v>
      </c>
      <c r="N47" s="355">
        <f t="shared" si="6"/>
        <v>0</v>
      </c>
      <c r="O47" s="355">
        <f t="shared" si="6"/>
        <v>0</v>
      </c>
      <c r="P47" s="355">
        <f t="shared" si="6"/>
        <v>0</v>
      </c>
      <c r="Q47" s="355">
        <f t="shared" si="6"/>
        <v>0</v>
      </c>
      <c r="R47" s="355">
        <f t="shared" si="6"/>
        <v>0</v>
      </c>
      <c r="S47" s="355">
        <f t="shared" si="6"/>
        <v>0</v>
      </c>
      <c r="T47" s="355">
        <f t="shared" si="6"/>
        <v>0</v>
      </c>
      <c r="U47" s="355">
        <f t="shared" si="6"/>
        <v>0</v>
      </c>
      <c r="V47" s="355">
        <f t="shared" si="6"/>
        <v>0</v>
      </c>
      <c r="W47" s="355">
        <f t="shared" si="6"/>
        <v>0</v>
      </c>
      <c r="X47" s="355">
        <f t="shared" si="6"/>
        <v>0</v>
      </c>
      <c r="Y47" s="355">
        <f t="shared" si="6"/>
        <v>0</v>
      </c>
      <c r="Z47" s="355">
        <f t="shared" si="6"/>
        <v>0</v>
      </c>
      <c r="AA47" s="355">
        <f t="shared" si="6"/>
        <v>0</v>
      </c>
      <c r="AB47" s="355">
        <f t="shared" si="6"/>
        <v>0</v>
      </c>
      <c r="AC47" s="355">
        <f t="shared" si="6"/>
        <v>0</v>
      </c>
      <c r="AD47" s="355">
        <f t="shared" si="6"/>
        <v>0</v>
      </c>
      <c r="AE47" s="355">
        <f t="shared" si="6"/>
        <v>0</v>
      </c>
      <c r="AF47" s="355">
        <f t="shared" si="6"/>
        <v>0</v>
      </c>
      <c r="AG47" s="355">
        <f t="shared" si="6"/>
        <v>0</v>
      </c>
      <c r="AH47" s="355">
        <f t="shared" si="6"/>
        <v>0</v>
      </c>
      <c r="AI47" s="355">
        <f t="shared" si="6"/>
        <v>0</v>
      </c>
      <c r="AJ47" s="356">
        <f t="shared" si="3"/>
        <v>0</v>
      </c>
    </row>
    <row r="48" spans="1:36">
      <c r="A48" s="306">
        <v>3</v>
      </c>
      <c r="B48" s="306" t="s">
        <v>129</v>
      </c>
      <c r="C48" s="544" t="s">
        <v>113</v>
      </c>
      <c r="D48" s="501"/>
      <c r="E48" s="355">
        <f t="shared" ref="E48:AI48" si="7">E10-D10</f>
        <v>358</v>
      </c>
      <c r="F48" s="355">
        <f t="shared" si="7"/>
        <v>352</v>
      </c>
      <c r="G48" s="355">
        <f t="shared" si="7"/>
        <v>357</v>
      </c>
      <c r="H48" s="355">
        <f t="shared" si="7"/>
        <v>255</v>
      </c>
      <c r="I48" s="355">
        <f t="shared" si="7"/>
        <v>263</v>
      </c>
      <c r="J48" s="355">
        <f t="shared" si="7"/>
        <v>374</v>
      </c>
      <c r="K48" s="355">
        <f t="shared" si="7"/>
        <v>350</v>
      </c>
      <c r="L48" s="355">
        <f t="shared" si="7"/>
        <v>363</v>
      </c>
      <c r="M48" s="355">
        <f t="shared" si="7"/>
        <v>346</v>
      </c>
      <c r="N48" s="355">
        <f t="shared" si="7"/>
        <v>320</v>
      </c>
      <c r="O48" s="355">
        <f t="shared" si="7"/>
        <v>279</v>
      </c>
      <c r="P48" s="355">
        <f t="shared" si="7"/>
        <v>259</v>
      </c>
      <c r="Q48" s="355">
        <f t="shared" si="7"/>
        <v>362</v>
      </c>
      <c r="R48" s="355">
        <f t="shared" si="7"/>
        <v>362</v>
      </c>
      <c r="S48" s="355">
        <f t="shared" si="7"/>
        <v>363</v>
      </c>
      <c r="T48" s="355">
        <f t="shared" si="7"/>
        <v>366</v>
      </c>
      <c r="U48" s="355">
        <f t="shared" si="7"/>
        <v>344</v>
      </c>
      <c r="V48" s="355">
        <f t="shared" si="7"/>
        <v>276</v>
      </c>
      <c r="W48" s="355">
        <f t="shared" si="7"/>
        <v>255</v>
      </c>
      <c r="X48" s="355">
        <f t="shared" si="7"/>
        <v>347</v>
      </c>
      <c r="Y48" s="355">
        <f t="shared" si="7"/>
        <v>366</v>
      </c>
      <c r="Z48" s="355">
        <f t="shared" si="7"/>
        <v>383</v>
      </c>
      <c r="AA48" s="355">
        <f t="shared" si="7"/>
        <v>362</v>
      </c>
      <c r="AB48" s="355">
        <f t="shared" si="7"/>
        <v>335</v>
      </c>
      <c r="AC48" s="355">
        <f t="shared" si="7"/>
        <v>269</v>
      </c>
      <c r="AD48" s="355">
        <f t="shared" si="7"/>
        <v>256</v>
      </c>
      <c r="AE48" s="355">
        <f t="shared" si="7"/>
        <v>373</v>
      </c>
      <c r="AF48" s="355">
        <f t="shared" si="7"/>
        <v>347</v>
      </c>
      <c r="AG48" s="355">
        <f t="shared" si="7"/>
        <v>348</v>
      </c>
      <c r="AH48" s="355">
        <f t="shared" si="7"/>
        <v>373</v>
      </c>
      <c r="AI48" s="355">
        <f t="shared" si="7"/>
        <v>211</v>
      </c>
      <c r="AJ48" s="356">
        <f t="shared" si="3"/>
        <v>10174</v>
      </c>
    </row>
    <row r="49" spans="1:36">
      <c r="A49" s="306"/>
      <c r="B49" s="306"/>
      <c r="C49" s="543" t="s">
        <v>22</v>
      </c>
      <c r="D49" s="501"/>
      <c r="E49" s="355">
        <f t="shared" ref="E49:AI49" si="8">E11-D11</f>
        <v>0</v>
      </c>
      <c r="F49" s="355">
        <f t="shared" si="8"/>
        <v>0</v>
      </c>
      <c r="G49" s="355">
        <f t="shared" si="8"/>
        <v>0</v>
      </c>
      <c r="H49" s="355">
        <f t="shared" si="8"/>
        <v>0</v>
      </c>
      <c r="I49" s="355">
        <f t="shared" si="8"/>
        <v>0</v>
      </c>
      <c r="J49" s="355">
        <f t="shared" si="8"/>
        <v>0</v>
      </c>
      <c r="K49" s="355">
        <f t="shared" si="8"/>
        <v>0</v>
      </c>
      <c r="L49" s="355">
        <f t="shared" si="8"/>
        <v>0</v>
      </c>
      <c r="M49" s="355">
        <f t="shared" si="8"/>
        <v>0</v>
      </c>
      <c r="N49" s="355">
        <f t="shared" si="8"/>
        <v>0</v>
      </c>
      <c r="O49" s="355">
        <f t="shared" si="8"/>
        <v>0</v>
      </c>
      <c r="P49" s="355">
        <f t="shared" si="8"/>
        <v>0</v>
      </c>
      <c r="Q49" s="355">
        <f t="shared" si="8"/>
        <v>0</v>
      </c>
      <c r="R49" s="355">
        <f t="shared" si="8"/>
        <v>0</v>
      </c>
      <c r="S49" s="355">
        <f t="shared" si="8"/>
        <v>0</v>
      </c>
      <c r="T49" s="355">
        <f t="shared" si="8"/>
        <v>0</v>
      </c>
      <c r="U49" s="355">
        <f t="shared" si="8"/>
        <v>0</v>
      </c>
      <c r="V49" s="355">
        <f t="shared" si="8"/>
        <v>0</v>
      </c>
      <c r="W49" s="355">
        <f t="shared" si="8"/>
        <v>0</v>
      </c>
      <c r="X49" s="355">
        <f t="shared" si="8"/>
        <v>0</v>
      </c>
      <c r="Y49" s="355">
        <f t="shared" si="8"/>
        <v>0</v>
      </c>
      <c r="Z49" s="355">
        <f t="shared" si="8"/>
        <v>0</v>
      </c>
      <c r="AA49" s="355">
        <f t="shared" si="8"/>
        <v>0</v>
      </c>
      <c r="AB49" s="355">
        <f t="shared" si="8"/>
        <v>0</v>
      </c>
      <c r="AC49" s="355">
        <f t="shared" si="8"/>
        <v>0</v>
      </c>
      <c r="AD49" s="355">
        <f t="shared" si="8"/>
        <v>0</v>
      </c>
      <c r="AE49" s="355">
        <f t="shared" si="8"/>
        <v>0</v>
      </c>
      <c r="AF49" s="355">
        <f t="shared" si="8"/>
        <v>0</v>
      </c>
      <c r="AG49" s="355">
        <f t="shared" si="8"/>
        <v>0</v>
      </c>
      <c r="AH49" s="355">
        <f t="shared" si="8"/>
        <v>0</v>
      </c>
      <c r="AI49" s="355">
        <f t="shared" si="8"/>
        <v>0</v>
      </c>
      <c r="AJ49" s="356">
        <f t="shared" si="3"/>
        <v>0</v>
      </c>
    </row>
    <row r="50" spans="1:36">
      <c r="A50" s="306">
        <v>4</v>
      </c>
      <c r="B50" s="306" t="s">
        <v>129</v>
      </c>
      <c r="C50" s="544" t="s">
        <v>114</v>
      </c>
      <c r="D50" s="501"/>
      <c r="E50" s="355">
        <f t="shared" ref="E50:AI50" si="9">E12-D12</f>
        <v>0</v>
      </c>
      <c r="F50" s="355">
        <f t="shared" si="9"/>
        <v>0</v>
      </c>
      <c r="G50" s="355">
        <f t="shared" si="9"/>
        <v>0</v>
      </c>
      <c r="H50" s="355">
        <f t="shared" si="9"/>
        <v>0</v>
      </c>
      <c r="I50" s="355">
        <f t="shared" si="9"/>
        <v>0</v>
      </c>
      <c r="J50" s="355">
        <f t="shared" si="9"/>
        <v>0</v>
      </c>
      <c r="K50" s="355">
        <f t="shared" si="9"/>
        <v>0</v>
      </c>
      <c r="L50" s="355">
        <f t="shared" si="9"/>
        <v>0</v>
      </c>
      <c r="M50" s="355">
        <f t="shared" si="9"/>
        <v>0</v>
      </c>
      <c r="N50" s="355">
        <f t="shared" si="9"/>
        <v>0</v>
      </c>
      <c r="O50" s="355">
        <f t="shared" si="9"/>
        <v>0</v>
      </c>
      <c r="P50" s="355">
        <f t="shared" si="9"/>
        <v>0</v>
      </c>
      <c r="Q50" s="355">
        <f t="shared" si="9"/>
        <v>0</v>
      </c>
      <c r="R50" s="355">
        <f t="shared" si="9"/>
        <v>0</v>
      </c>
      <c r="S50" s="355">
        <f t="shared" si="9"/>
        <v>0</v>
      </c>
      <c r="T50" s="355">
        <f t="shared" si="9"/>
        <v>0</v>
      </c>
      <c r="U50" s="355">
        <f t="shared" si="9"/>
        <v>0</v>
      </c>
      <c r="V50" s="355">
        <f t="shared" si="9"/>
        <v>0</v>
      </c>
      <c r="W50" s="355">
        <f t="shared" si="9"/>
        <v>0</v>
      </c>
      <c r="X50" s="355">
        <f t="shared" si="9"/>
        <v>0</v>
      </c>
      <c r="Y50" s="355">
        <f t="shared" si="9"/>
        <v>0</v>
      </c>
      <c r="Z50" s="355">
        <f t="shared" si="9"/>
        <v>0</v>
      </c>
      <c r="AA50" s="355">
        <f t="shared" si="9"/>
        <v>0</v>
      </c>
      <c r="AB50" s="355">
        <f t="shared" si="9"/>
        <v>0</v>
      </c>
      <c r="AC50" s="355">
        <f t="shared" si="9"/>
        <v>0</v>
      </c>
      <c r="AD50" s="355">
        <f t="shared" si="9"/>
        <v>0</v>
      </c>
      <c r="AE50" s="355">
        <f t="shared" si="9"/>
        <v>0</v>
      </c>
      <c r="AF50" s="355">
        <f t="shared" si="9"/>
        <v>0</v>
      </c>
      <c r="AG50" s="355">
        <f t="shared" si="9"/>
        <v>0</v>
      </c>
      <c r="AH50" s="355">
        <f t="shared" si="9"/>
        <v>0</v>
      </c>
      <c r="AI50" s="355">
        <f t="shared" si="9"/>
        <v>0</v>
      </c>
      <c r="AJ50" s="356">
        <f t="shared" si="3"/>
        <v>0</v>
      </c>
    </row>
    <row r="51" spans="1:36">
      <c r="A51" s="306"/>
      <c r="B51" s="306"/>
      <c r="C51" s="543" t="s">
        <v>22</v>
      </c>
      <c r="D51" s="501"/>
      <c r="E51" s="355">
        <f t="shared" ref="E51:AI51" si="10">E13-D13</f>
        <v>0</v>
      </c>
      <c r="F51" s="355">
        <f t="shared" si="10"/>
        <v>0</v>
      </c>
      <c r="G51" s="355">
        <f t="shared" si="10"/>
        <v>0</v>
      </c>
      <c r="H51" s="355">
        <f t="shared" si="10"/>
        <v>0</v>
      </c>
      <c r="I51" s="355">
        <f t="shared" si="10"/>
        <v>0</v>
      </c>
      <c r="J51" s="355">
        <f t="shared" si="10"/>
        <v>0</v>
      </c>
      <c r="K51" s="355">
        <f t="shared" si="10"/>
        <v>0</v>
      </c>
      <c r="L51" s="355">
        <f t="shared" si="10"/>
        <v>0</v>
      </c>
      <c r="M51" s="355">
        <f t="shared" si="10"/>
        <v>0</v>
      </c>
      <c r="N51" s="355">
        <f t="shared" si="10"/>
        <v>0</v>
      </c>
      <c r="O51" s="355">
        <f t="shared" si="10"/>
        <v>0</v>
      </c>
      <c r="P51" s="355">
        <f t="shared" si="10"/>
        <v>0</v>
      </c>
      <c r="Q51" s="355">
        <f t="shared" si="10"/>
        <v>0</v>
      </c>
      <c r="R51" s="355">
        <f t="shared" si="10"/>
        <v>0</v>
      </c>
      <c r="S51" s="355">
        <f t="shared" si="10"/>
        <v>0</v>
      </c>
      <c r="T51" s="355">
        <f t="shared" si="10"/>
        <v>0</v>
      </c>
      <c r="U51" s="355">
        <f t="shared" si="10"/>
        <v>0</v>
      </c>
      <c r="V51" s="355">
        <f t="shared" si="10"/>
        <v>0</v>
      </c>
      <c r="W51" s="355">
        <f t="shared" si="10"/>
        <v>0</v>
      </c>
      <c r="X51" s="355">
        <f t="shared" si="10"/>
        <v>0</v>
      </c>
      <c r="Y51" s="355">
        <f t="shared" si="10"/>
        <v>0</v>
      </c>
      <c r="Z51" s="355">
        <f t="shared" si="10"/>
        <v>0</v>
      </c>
      <c r="AA51" s="355">
        <f t="shared" si="10"/>
        <v>0</v>
      </c>
      <c r="AB51" s="355">
        <f t="shared" si="10"/>
        <v>0</v>
      </c>
      <c r="AC51" s="355">
        <f t="shared" si="10"/>
        <v>0</v>
      </c>
      <c r="AD51" s="355">
        <f t="shared" si="10"/>
        <v>0</v>
      </c>
      <c r="AE51" s="355">
        <f t="shared" si="10"/>
        <v>0</v>
      </c>
      <c r="AF51" s="355">
        <f t="shared" si="10"/>
        <v>0</v>
      </c>
      <c r="AG51" s="355">
        <f t="shared" si="10"/>
        <v>0</v>
      </c>
      <c r="AH51" s="355">
        <f t="shared" si="10"/>
        <v>0</v>
      </c>
      <c r="AI51" s="355">
        <f t="shared" si="10"/>
        <v>0</v>
      </c>
      <c r="AJ51" s="356">
        <f t="shared" si="3"/>
        <v>0</v>
      </c>
    </row>
    <row r="52" spans="1:36">
      <c r="A52" s="306">
        <v>5</v>
      </c>
      <c r="B52" s="306" t="s">
        <v>129</v>
      </c>
      <c r="C52" s="544" t="s">
        <v>115</v>
      </c>
      <c r="D52" s="501"/>
      <c r="E52" s="355">
        <f t="shared" ref="E52:AI52" si="11">E14-D14</f>
        <v>202</v>
      </c>
      <c r="F52" s="355">
        <f t="shared" si="11"/>
        <v>206</v>
      </c>
      <c r="G52" s="355">
        <f t="shared" si="11"/>
        <v>207</v>
      </c>
      <c r="H52" s="355">
        <f t="shared" si="11"/>
        <v>138</v>
      </c>
      <c r="I52" s="355">
        <f t="shared" si="11"/>
        <v>129</v>
      </c>
      <c r="J52" s="355">
        <f t="shared" si="11"/>
        <v>220</v>
      </c>
      <c r="K52" s="355">
        <f t="shared" si="11"/>
        <v>197</v>
      </c>
      <c r="L52" s="355">
        <f t="shared" si="11"/>
        <v>205</v>
      </c>
      <c r="M52" s="355">
        <f t="shared" si="11"/>
        <v>197</v>
      </c>
      <c r="N52" s="355">
        <f t="shared" si="11"/>
        <v>186</v>
      </c>
      <c r="O52" s="355">
        <f t="shared" si="11"/>
        <v>149</v>
      </c>
      <c r="P52" s="355">
        <f t="shared" si="11"/>
        <v>126</v>
      </c>
      <c r="Q52" s="355">
        <f t="shared" si="11"/>
        <v>202</v>
      </c>
      <c r="R52" s="355">
        <f t="shared" si="11"/>
        <v>203</v>
      </c>
      <c r="S52" s="355">
        <f t="shared" si="11"/>
        <v>211</v>
      </c>
      <c r="T52" s="355">
        <f t="shared" si="11"/>
        <v>207</v>
      </c>
      <c r="U52" s="355">
        <f t="shared" si="11"/>
        <v>202</v>
      </c>
      <c r="V52" s="355">
        <f t="shared" si="11"/>
        <v>128</v>
      </c>
      <c r="W52" s="355">
        <f t="shared" si="11"/>
        <v>107</v>
      </c>
      <c r="X52" s="355">
        <f t="shared" si="11"/>
        <v>208</v>
      </c>
      <c r="Y52" s="355">
        <f t="shared" si="11"/>
        <v>214</v>
      </c>
      <c r="Z52" s="355">
        <f t="shared" si="11"/>
        <v>0</v>
      </c>
      <c r="AA52" s="355">
        <f t="shared" si="11"/>
        <v>439</v>
      </c>
      <c r="AB52" s="355">
        <f t="shared" si="11"/>
        <v>201</v>
      </c>
      <c r="AC52" s="355">
        <f t="shared" si="11"/>
        <v>149</v>
      </c>
      <c r="AD52" s="355">
        <f t="shared" si="11"/>
        <v>129</v>
      </c>
      <c r="AE52" s="355">
        <f t="shared" si="11"/>
        <v>229</v>
      </c>
      <c r="AF52" s="355">
        <f t="shared" si="11"/>
        <v>208</v>
      </c>
      <c r="AG52" s="355">
        <f t="shared" si="11"/>
        <v>217</v>
      </c>
      <c r="AH52" s="355">
        <f t="shared" si="11"/>
        <v>221</v>
      </c>
      <c r="AI52" s="355">
        <f t="shared" si="11"/>
        <v>131</v>
      </c>
      <c r="AJ52" s="356">
        <f t="shared" si="3"/>
        <v>5768</v>
      </c>
    </row>
    <row r="53" spans="1:36">
      <c r="A53" s="306"/>
      <c r="B53" s="306"/>
      <c r="C53" s="543" t="s">
        <v>22</v>
      </c>
      <c r="D53" s="501"/>
      <c r="E53" s="355">
        <f t="shared" ref="E53:AI53" si="12">E15-D15</f>
        <v>0</v>
      </c>
      <c r="F53" s="355">
        <f t="shared" si="12"/>
        <v>0</v>
      </c>
      <c r="G53" s="355">
        <f t="shared" si="12"/>
        <v>0</v>
      </c>
      <c r="H53" s="355">
        <f t="shared" si="12"/>
        <v>0</v>
      </c>
      <c r="I53" s="355">
        <f t="shared" si="12"/>
        <v>0</v>
      </c>
      <c r="J53" s="355">
        <f t="shared" si="12"/>
        <v>0</v>
      </c>
      <c r="K53" s="355">
        <f t="shared" si="12"/>
        <v>0</v>
      </c>
      <c r="L53" s="355">
        <f t="shared" si="12"/>
        <v>0</v>
      </c>
      <c r="M53" s="355">
        <f t="shared" si="12"/>
        <v>0</v>
      </c>
      <c r="N53" s="355">
        <f t="shared" si="12"/>
        <v>0</v>
      </c>
      <c r="O53" s="355">
        <f t="shared" si="12"/>
        <v>0</v>
      </c>
      <c r="P53" s="355">
        <f t="shared" si="12"/>
        <v>0</v>
      </c>
      <c r="Q53" s="355">
        <f t="shared" si="12"/>
        <v>0</v>
      </c>
      <c r="R53" s="355">
        <f t="shared" si="12"/>
        <v>0</v>
      </c>
      <c r="S53" s="355">
        <f t="shared" si="12"/>
        <v>0</v>
      </c>
      <c r="T53" s="355">
        <f t="shared" si="12"/>
        <v>0</v>
      </c>
      <c r="U53" s="355">
        <f t="shared" si="12"/>
        <v>0</v>
      </c>
      <c r="V53" s="355">
        <f t="shared" si="12"/>
        <v>0</v>
      </c>
      <c r="W53" s="355">
        <f t="shared" si="12"/>
        <v>0</v>
      </c>
      <c r="X53" s="355">
        <f t="shared" si="12"/>
        <v>0</v>
      </c>
      <c r="Y53" s="355">
        <f t="shared" si="12"/>
        <v>0</v>
      </c>
      <c r="Z53" s="355">
        <f t="shared" si="12"/>
        <v>0</v>
      </c>
      <c r="AA53" s="355">
        <f t="shared" si="12"/>
        <v>0</v>
      </c>
      <c r="AB53" s="355">
        <f t="shared" si="12"/>
        <v>0</v>
      </c>
      <c r="AC53" s="355">
        <f t="shared" si="12"/>
        <v>0</v>
      </c>
      <c r="AD53" s="355">
        <f t="shared" si="12"/>
        <v>0</v>
      </c>
      <c r="AE53" s="355">
        <f t="shared" si="12"/>
        <v>0</v>
      </c>
      <c r="AF53" s="355">
        <f t="shared" si="12"/>
        <v>0</v>
      </c>
      <c r="AG53" s="355">
        <f t="shared" si="12"/>
        <v>0</v>
      </c>
      <c r="AH53" s="355">
        <f t="shared" si="12"/>
        <v>0</v>
      </c>
      <c r="AI53" s="355">
        <f t="shared" si="12"/>
        <v>0</v>
      </c>
      <c r="AJ53" s="356">
        <f t="shared" si="3"/>
        <v>0</v>
      </c>
    </row>
    <row r="54" spans="1:36">
      <c r="A54" s="306">
        <v>6</v>
      </c>
      <c r="B54" s="306" t="s">
        <v>129</v>
      </c>
      <c r="C54" s="544" t="s">
        <v>116</v>
      </c>
      <c r="D54" s="501"/>
      <c r="E54" s="355">
        <f t="shared" ref="E54:AI54" si="13">E16-D16</f>
        <v>263</v>
      </c>
      <c r="F54" s="355">
        <f t="shared" si="13"/>
        <v>247</v>
      </c>
      <c r="G54" s="355">
        <f t="shared" si="13"/>
        <v>255</v>
      </c>
      <c r="H54" s="355">
        <f t="shared" si="13"/>
        <v>122</v>
      </c>
      <c r="I54" s="355">
        <f t="shared" si="13"/>
        <v>121</v>
      </c>
      <c r="J54" s="355">
        <f t="shared" si="13"/>
        <v>269</v>
      </c>
      <c r="K54" s="355">
        <f t="shared" si="13"/>
        <v>267</v>
      </c>
      <c r="L54" s="355">
        <f t="shared" si="13"/>
        <v>267</v>
      </c>
      <c r="M54" s="355">
        <f t="shared" si="13"/>
        <v>246</v>
      </c>
      <c r="N54" s="355">
        <f t="shared" si="13"/>
        <v>246</v>
      </c>
      <c r="O54" s="355">
        <f t="shared" si="13"/>
        <v>154</v>
      </c>
      <c r="P54" s="355">
        <f t="shared" si="13"/>
        <v>121</v>
      </c>
      <c r="Q54" s="355">
        <f t="shared" si="13"/>
        <v>274</v>
      </c>
      <c r="R54" s="355">
        <f t="shared" si="13"/>
        <v>278</v>
      </c>
      <c r="S54" s="355">
        <f t="shared" si="13"/>
        <v>280</v>
      </c>
      <c r="T54" s="355">
        <f t="shared" si="13"/>
        <v>265</v>
      </c>
      <c r="U54" s="355">
        <f t="shared" si="13"/>
        <v>251</v>
      </c>
      <c r="V54" s="355">
        <f t="shared" si="13"/>
        <v>134</v>
      </c>
      <c r="W54" s="355">
        <f t="shared" si="13"/>
        <v>125</v>
      </c>
      <c r="X54" s="355">
        <f t="shared" si="13"/>
        <v>267</v>
      </c>
      <c r="Y54" s="355">
        <f t="shared" si="13"/>
        <v>276</v>
      </c>
      <c r="Z54" s="355">
        <f t="shared" si="13"/>
        <v>277</v>
      </c>
      <c r="AA54" s="355">
        <f t="shared" si="13"/>
        <v>266</v>
      </c>
      <c r="AB54" s="355">
        <f t="shared" si="13"/>
        <v>244</v>
      </c>
      <c r="AC54" s="355">
        <f t="shared" si="13"/>
        <v>113</v>
      </c>
      <c r="AD54" s="355">
        <f t="shared" si="13"/>
        <v>101</v>
      </c>
      <c r="AE54" s="355">
        <f t="shared" si="13"/>
        <v>279</v>
      </c>
      <c r="AF54" s="355">
        <f t="shared" si="13"/>
        <v>243</v>
      </c>
      <c r="AG54" s="355">
        <f t="shared" si="13"/>
        <v>261</v>
      </c>
      <c r="AH54" s="355">
        <f t="shared" si="13"/>
        <v>262</v>
      </c>
      <c r="AI54" s="355">
        <f t="shared" si="13"/>
        <v>175</v>
      </c>
      <c r="AJ54" s="356">
        <f t="shared" si="3"/>
        <v>6949</v>
      </c>
    </row>
    <row r="55" spans="1:36">
      <c r="A55" s="306"/>
      <c r="B55" s="306"/>
      <c r="C55" s="543" t="s">
        <v>22</v>
      </c>
      <c r="D55" s="501"/>
      <c r="E55" s="355">
        <f t="shared" ref="E55:AI55" si="14">E17-D17</f>
        <v>0</v>
      </c>
      <c r="F55" s="355">
        <f t="shared" si="14"/>
        <v>0</v>
      </c>
      <c r="G55" s="355">
        <f t="shared" si="14"/>
        <v>0</v>
      </c>
      <c r="H55" s="355">
        <f t="shared" si="14"/>
        <v>0</v>
      </c>
      <c r="I55" s="355">
        <f t="shared" si="14"/>
        <v>0</v>
      </c>
      <c r="J55" s="355">
        <f t="shared" si="14"/>
        <v>0</v>
      </c>
      <c r="K55" s="355">
        <f t="shared" si="14"/>
        <v>0</v>
      </c>
      <c r="L55" s="355">
        <f t="shared" si="14"/>
        <v>0</v>
      </c>
      <c r="M55" s="355">
        <f t="shared" si="14"/>
        <v>0</v>
      </c>
      <c r="N55" s="355">
        <f t="shared" si="14"/>
        <v>0</v>
      </c>
      <c r="O55" s="355">
        <f t="shared" si="14"/>
        <v>0</v>
      </c>
      <c r="P55" s="355">
        <f t="shared" si="14"/>
        <v>0</v>
      </c>
      <c r="Q55" s="355">
        <f t="shared" si="14"/>
        <v>0</v>
      </c>
      <c r="R55" s="355">
        <f t="shared" si="14"/>
        <v>0</v>
      </c>
      <c r="S55" s="355">
        <f t="shared" si="14"/>
        <v>0</v>
      </c>
      <c r="T55" s="355">
        <f t="shared" si="14"/>
        <v>0</v>
      </c>
      <c r="U55" s="355">
        <f t="shared" si="14"/>
        <v>0</v>
      </c>
      <c r="V55" s="355">
        <f t="shared" si="14"/>
        <v>0</v>
      </c>
      <c r="W55" s="355">
        <f t="shared" si="14"/>
        <v>0</v>
      </c>
      <c r="X55" s="355">
        <f t="shared" si="14"/>
        <v>0</v>
      </c>
      <c r="Y55" s="355">
        <f t="shared" si="14"/>
        <v>0</v>
      </c>
      <c r="Z55" s="355">
        <f t="shared" si="14"/>
        <v>0</v>
      </c>
      <c r="AA55" s="355">
        <f t="shared" si="14"/>
        <v>0</v>
      </c>
      <c r="AB55" s="355">
        <f t="shared" si="14"/>
        <v>0</v>
      </c>
      <c r="AC55" s="355">
        <f t="shared" si="14"/>
        <v>0</v>
      </c>
      <c r="AD55" s="355">
        <f t="shared" si="14"/>
        <v>0</v>
      </c>
      <c r="AE55" s="355">
        <f t="shared" si="14"/>
        <v>0</v>
      </c>
      <c r="AF55" s="355">
        <f t="shared" si="14"/>
        <v>0</v>
      </c>
      <c r="AG55" s="355">
        <f t="shared" si="14"/>
        <v>0</v>
      </c>
      <c r="AH55" s="355">
        <f t="shared" si="14"/>
        <v>0</v>
      </c>
      <c r="AI55" s="355">
        <f t="shared" si="14"/>
        <v>0</v>
      </c>
      <c r="AJ55" s="356">
        <f t="shared" si="3"/>
        <v>0</v>
      </c>
    </row>
    <row r="56" spans="1:36">
      <c r="A56" s="306">
        <v>7</v>
      </c>
      <c r="B56" s="306" t="s">
        <v>129</v>
      </c>
      <c r="C56" s="544" t="s">
        <v>117</v>
      </c>
      <c r="D56" s="501"/>
      <c r="E56" s="355">
        <f t="shared" ref="E56:AI56" si="15">E18-D18</f>
        <v>683</v>
      </c>
      <c r="F56" s="355">
        <f t="shared" si="15"/>
        <v>661</v>
      </c>
      <c r="G56" s="355">
        <f t="shared" si="15"/>
        <v>674</v>
      </c>
      <c r="H56" s="355">
        <f t="shared" si="15"/>
        <v>385</v>
      </c>
      <c r="I56" s="355">
        <f t="shared" si="15"/>
        <v>339</v>
      </c>
      <c r="J56" s="355">
        <f t="shared" si="15"/>
        <v>739</v>
      </c>
      <c r="K56" s="355">
        <f t="shared" si="15"/>
        <v>722</v>
      </c>
      <c r="L56" s="355">
        <f t="shared" si="15"/>
        <v>746</v>
      </c>
      <c r="M56" s="355">
        <f t="shared" si="15"/>
        <v>700</v>
      </c>
      <c r="N56" s="355">
        <f t="shared" si="15"/>
        <v>616</v>
      </c>
      <c r="O56" s="355">
        <f t="shared" si="15"/>
        <v>483</v>
      </c>
      <c r="P56" s="355">
        <f t="shared" si="15"/>
        <v>310</v>
      </c>
      <c r="Q56" s="355">
        <f t="shared" si="15"/>
        <v>715</v>
      </c>
      <c r="R56" s="355">
        <f t="shared" si="15"/>
        <v>693</v>
      </c>
      <c r="S56" s="355">
        <f t="shared" si="15"/>
        <v>693</v>
      </c>
      <c r="T56" s="355">
        <f t="shared" si="15"/>
        <v>696</v>
      </c>
      <c r="U56" s="355">
        <f t="shared" si="15"/>
        <v>743</v>
      </c>
      <c r="V56" s="355">
        <f t="shared" si="15"/>
        <v>412</v>
      </c>
      <c r="W56" s="355">
        <f t="shared" si="15"/>
        <v>348</v>
      </c>
      <c r="X56" s="355">
        <f t="shared" si="15"/>
        <v>700</v>
      </c>
      <c r="Y56" s="355">
        <f t="shared" si="15"/>
        <v>673</v>
      </c>
      <c r="Z56" s="355">
        <f t="shared" si="15"/>
        <v>724</v>
      </c>
      <c r="AA56" s="355">
        <f t="shared" si="15"/>
        <v>681</v>
      </c>
      <c r="AB56" s="355">
        <f t="shared" si="15"/>
        <v>642</v>
      </c>
      <c r="AC56" s="355">
        <f t="shared" si="15"/>
        <v>478</v>
      </c>
      <c r="AD56" s="355">
        <f t="shared" si="15"/>
        <v>477</v>
      </c>
      <c r="AE56" s="355">
        <f t="shared" si="15"/>
        <v>730</v>
      </c>
      <c r="AF56" s="355">
        <f t="shared" si="15"/>
        <v>687</v>
      </c>
      <c r="AG56" s="355">
        <f t="shared" si="15"/>
        <v>704</v>
      </c>
      <c r="AH56" s="355">
        <f t="shared" si="15"/>
        <v>736</v>
      </c>
      <c r="AI56" s="355">
        <f t="shared" si="15"/>
        <v>423</v>
      </c>
      <c r="AJ56" s="356">
        <f t="shared" si="3"/>
        <v>19013</v>
      </c>
    </row>
    <row r="57" spans="1:36">
      <c r="A57" s="306"/>
      <c r="B57" s="306"/>
      <c r="C57" s="543" t="s">
        <v>22</v>
      </c>
      <c r="D57" s="501"/>
      <c r="E57" s="355">
        <f t="shared" ref="E57:AI57" si="16">E19-D19</f>
        <v>0</v>
      </c>
      <c r="F57" s="355">
        <f t="shared" si="16"/>
        <v>0</v>
      </c>
      <c r="G57" s="355">
        <f t="shared" si="16"/>
        <v>0</v>
      </c>
      <c r="H57" s="355">
        <f t="shared" si="16"/>
        <v>0</v>
      </c>
      <c r="I57" s="355">
        <f t="shared" si="16"/>
        <v>0</v>
      </c>
      <c r="J57" s="355">
        <f t="shared" si="16"/>
        <v>0</v>
      </c>
      <c r="K57" s="355">
        <f t="shared" si="16"/>
        <v>0</v>
      </c>
      <c r="L57" s="355">
        <f t="shared" si="16"/>
        <v>0</v>
      </c>
      <c r="M57" s="355">
        <f t="shared" si="16"/>
        <v>0</v>
      </c>
      <c r="N57" s="355">
        <f t="shared" si="16"/>
        <v>0</v>
      </c>
      <c r="O57" s="355">
        <f t="shared" si="16"/>
        <v>0</v>
      </c>
      <c r="P57" s="355">
        <f t="shared" si="16"/>
        <v>0</v>
      </c>
      <c r="Q57" s="355">
        <f t="shared" si="16"/>
        <v>0</v>
      </c>
      <c r="R57" s="355">
        <f t="shared" si="16"/>
        <v>0</v>
      </c>
      <c r="S57" s="355">
        <f t="shared" si="16"/>
        <v>0</v>
      </c>
      <c r="T57" s="355">
        <f t="shared" si="16"/>
        <v>0</v>
      </c>
      <c r="U57" s="355">
        <f t="shared" si="16"/>
        <v>0</v>
      </c>
      <c r="V57" s="355">
        <f t="shared" si="16"/>
        <v>0</v>
      </c>
      <c r="W57" s="355">
        <f t="shared" si="16"/>
        <v>0</v>
      </c>
      <c r="X57" s="355">
        <f t="shared" si="16"/>
        <v>0</v>
      </c>
      <c r="Y57" s="355">
        <f t="shared" si="16"/>
        <v>0</v>
      </c>
      <c r="Z57" s="355">
        <f t="shared" si="16"/>
        <v>0</v>
      </c>
      <c r="AA57" s="355">
        <f t="shared" si="16"/>
        <v>0</v>
      </c>
      <c r="AB57" s="355">
        <f t="shared" si="16"/>
        <v>0</v>
      </c>
      <c r="AC57" s="355">
        <f t="shared" si="16"/>
        <v>0</v>
      </c>
      <c r="AD57" s="355">
        <f t="shared" si="16"/>
        <v>0</v>
      </c>
      <c r="AE57" s="355">
        <f t="shared" si="16"/>
        <v>0</v>
      </c>
      <c r="AF57" s="355">
        <f t="shared" si="16"/>
        <v>0</v>
      </c>
      <c r="AG57" s="355">
        <f t="shared" si="16"/>
        <v>0</v>
      </c>
      <c r="AH57" s="355">
        <f t="shared" si="16"/>
        <v>0</v>
      </c>
      <c r="AI57" s="355">
        <f t="shared" si="16"/>
        <v>0</v>
      </c>
      <c r="AJ57" s="356">
        <f t="shared" si="3"/>
        <v>0</v>
      </c>
    </row>
    <row r="58" spans="1:36">
      <c r="A58" s="306">
        <v>8</v>
      </c>
      <c r="B58" s="306" t="s">
        <v>129</v>
      </c>
      <c r="C58" s="544" t="s">
        <v>118</v>
      </c>
      <c r="D58" s="501"/>
      <c r="E58" s="355">
        <f t="shared" ref="E58:AI58" si="17">E20-D20</f>
        <v>114</v>
      </c>
      <c r="F58" s="355">
        <f t="shared" si="17"/>
        <v>105</v>
      </c>
      <c r="G58" s="355">
        <f t="shared" si="17"/>
        <v>136</v>
      </c>
      <c r="H58" s="355">
        <f t="shared" si="17"/>
        <v>88</v>
      </c>
      <c r="I58" s="355">
        <f t="shared" si="17"/>
        <v>90</v>
      </c>
      <c r="J58" s="355">
        <f t="shared" si="17"/>
        <v>128</v>
      </c>
      <c r="K58" s="355">
        <f t="shared" si="17"/>
        <v>120</v>
      </c>
      <c r="L58" s="355">
        <f t="shared" si="17"/>
        <v>122</v>
      </c>
      <c r="M58" s="355">
        <f t="shared" si="17"/>
        <v>118</v>
      </c>
      <c r="N58" s="355">
        <f t="shared" si="17"/>
        <v>109</v>
      </c>
      <c r="O58" s="355">
        <f t="shared" si="17"/>
        <v>116</v>
      </c>
      <c r="P58" s="355">
        <f t="shared" si="17"/>
        <v>111</v>
      </c>
      <c r="Q58" s="355">
        <f t="shared" si="17"/>
        <v>127</v>
      </c>
      <c r="R58" s="355">
        <f t="shared" si="17"/>
        <v>130</v>
      </c>
      <c r="S58" s="355">
        <f t="shared" si="17"/>
        <v>122</v>
      </c>
      <c r="T58" s="355">
        <f t="shared" si="17"/>
        <v>135</v>
      </c>
      <c r="U58" s="355">
        <f t="shared" si="17"/>
        <v>126</v>
      </c>
      <c r="V58" s="355">
        <f t="shared" si="17"/>
        <v>122</v>
      </c>
      <c r="W58" s="355">
        <f t="shared" si="17"/>
        <v>100</v>
      </c>
      <c r="X58" s="355">
        <f t="shared" si="17"/>
        <v>123</v>
      </c>
      <c r="Y58" s="355">
        <f t="shared" si="17"/>
        <v>105</v>
      </c>
      <c r="Z58" s="355">
        <f t="shared" si="17"/>
        <v>123</v>
      </c>
      <c r="AA58" s="355">
        <f t="shared" si="17"/>
        <v>116</v>
      </c>
      <c r="AB58" s="355">
        <f t="shared" si="17"/>
        <v>115</v>
      </c>
      <c r="AC58" s="355">
        <f t="shared" si="17"/>
        <v>95</v>
      </c>
      <c r="AD58" s="355">
        <f t="shared" si="17"/>
        <v>105</v>
      </c>
      <c r="AE58" s="355">
        <f t="shared" si="17"/>
        <v>133</v>
      </c>
      <c r="AF58" s="355">
        <f t="shared" si="17"/>
        <v>113</v>
      </c>
      <c r="AG58" s="355">
        <f t="shared" si="17"/>
        <v>110</v>
      </c>
      <c r="AH58" s="355">
        <f t="shared" si="17"/>
        <v>131</v>
      </c>
      <c r="AI58" s="355">
        <f t="shared" si="17"/>
        <v>61</v>
      </c>
      <c r="AJ58" s="356">
        <f t="shared" si="3"/>
        <v>3549</v>
      </c>
    </row>
    <row r="59" spans="1:36" ht="12.75" customHeight="1">
      <c r="A59" s="306"/>
      <c r="B59" s="306"/>
      <c r="C59" s="543" t="s">
        <v>22</v>
      </c>
      <c r="D59" s="501"/>
      <c r="E59" s="355">
        <f t="shared" ref="E59:AI59" si="18">E21-D21</f>
        <v>0</v>
      </c>
      <c r="F59" s="355">
        <f t="shared" si="18"/>
        <v>0</v>
      </c>
      <c r="G59" s="355">
        <f t="shared" si="18"/>
        <v>0</v>
      </c>
      <c r="H59" s="355">
        <f t="shared" si="18"/>
        <v>0</v>
      </c>
      <c r="I59" s="355">
        <f t="shared" si="18"/>
        <v>0</v>
      </c>
      <c r="J59" s="355">
        <f t="shared" si="18"/>
        <v>0</v>
      </c>
      <c r="K59" s="355">
        <f t="shared" si="18"/>
        <v>0</v>
      </c>
      <c r="L59" s="355">
        <f t="shared" si="18"/>
        <v>0</v>
      </c>
      <c r="M59" s="355">
        <f t="shared" si="18"/>
        <v>0</v>
      </c>
      <c r="N59" s="355">
        <f t="shared" si="18"/>
        <v>0</v>
      </c>
      <c r="O59" s="355">
        <f t="shared" si="18"/>
        <v>0</v>
      </c>
      <c r="P59" s="355">
        <f t="shared" si="18"/>
        <v>0</v>
      </c>
      <c r="Q59" s="355">
        <f t="shared" si="18"/>
        <v>0</v>
      </c>
      <c r="R59" s="355">
        <f t="shared" si="18"/>
        <v>0</v>
      </c>
      <c r="S59" s="355">
        <f t="shared" si="18"/>
        <v>0</v>
      </c>
      <c r="T59" s="355">
        <f t="shared" si="18"/>
        <v>0</v>
      </c>
      <c r="U59" s="355">
        <f t="shared" si="18"/>
        <v>0</v>
      </c>
      <c r="V59" s="355">
        <f t="shared" si="18"/>
        <v>0</v>
      </c>
      <c r="W59" s="355">
        <f t="shared" si="18"/>
        <v>0</v>
      </c>
      <c r="X59" s="355">
        <f t="shared" si="18"/>
        <v>0</v>
      </c>
      <c r="Y59" s="355">
        <f t="shared" si="18"/>
        <v>0</v>
      </c>
      <c r="Z59" s="355">
        <f t="shared" si="18"/>
        <v>0</v>
      </c>
      <c r="AA59" s="355">
        <f t="shared" si="18"/>
        <v>0</v>
      </c>
      <c r="AB59" s="355">
        <f t="shared" si="18"/>
        <v>0</v>
      </c>
      <c r="AC59" s="355">
        <f t="shared" si="18"/>
        <v>0</v>
      </c>
      <c r="AD59" s="355">
        <f t="shared" si="18"/>
        <v>0</v>
      </c>
      <c r="AE59" s="355">
        <f t="shared" si="18"/>
        <v>0</v>
      </c>
      <c r="AF59" s="355">
        <f t="shared" si="18"/>
        <v>0</v>
      </c>
      <c r="AG59" s="355">
        <f t="shared" si="18"/>
        <v>0</v>
      </c>
      <c r="AH59" s="355">
        <f t="shared" si="18"/>
        <v>0</v>
      </c>
      <c r="AI59" s="355">
        <f t="shared" si="18"/>
        <v>0</v>
      </c>
      <c r="AJ59" s="356">
        <f t="shared" si="3"/>
        <v>0</v>
      </c>
    </row>
    <row r="60" spans="1:36">
      <c r="A60" s="357"/>
      <c r="B60" s="357"/>
      <c r="C60" s="553" t="s">
        <v>130</v>
      </c>
      <c r="D60" s="501"/>
      <c r="E60" s="358">
        <f t="shared" ref="E60:AI60" si="19">SUM(E58,E56,E54,E52,E50,E48,E46,E44)</f>
        <v>1867</v>
      </c>
      <c r="F60" s="358">
        <f t="shared" si="19"/>
        <v>1817</v>
      </c>
      <c r="G60" s="358">
        <f t="shared" si="19"/>
        <v>1883</v>
      </c>
      <c r="H60" s="358">
        <f t="shared" si="19"/>
        <v>1179</v>
      </c>
      <c r="I60" s="358">
        <f t="shared" si="19"/>
        <v>1144</v>
      </c>
      <c r="J60" s="358">
        <f t="shared" si="19"/>
        <v>1993</v>
      </c>
      <c r="K60" s="358">
        <f t="shared" si="19"/>
        <v>1897</v>
      </c>
      <c r="L60" s="358">
        <f t="shared" si="19"/>
        <v>1960</v>
      </c>
      <c r="M60" s="358">
        <f t="shared" si="19"/>
        <v>1852</v>
      </c>
      <c r="N60" s="358">
        <f t="shared" si="19"/>
        <v>1702</v>
      </c>
      <c r="O60" s="358">
        <f t="shared" si="19"/>
        <v>1393</v>
      </c>
      <c r="P60" s="358">
        <f t="shared" si="19"/>
        <v>1126</v>
      </c>
      <c r="Q60" s="358">
        <f t="shared" si="19"/>
        <v>1932</v>
      </c>
      <c r="R60" s="358">
        <f t="shared" si="19"/>
        <v>1920</v>
      </c>
      <c r="S60" s="358">
        <f t="shared" si="19"/>
        <v>1918</v>
      </c>
      <c r="T60" s="358">
        <f t="shared" si="19"/>
        <v>1924</v>
      </c>
      <c r="U60" s="358">
        <f t="shared" si="19"/>
        <v>1913</v>
      </c>
      <c r="V60" s="358">
        <f t="shared" si="19"/>
        <v>1276</v>
      </c>
      <c r="W60" s="358">
        <f t="shared" si="19"/>
        <v>1131</v>
      </c>
      <c r="X60" s="358">
        <f t="shared" si="19"/>
        <v>1890</v>
      </c>
      <c r="Y60" s="358">
        <f t="shared" si="19"/>
        <v>1888</v>
      </c>
      <c r="Z60" s="358">
        <f t="shared" si="19"/>
        <v>1572</v>
      </c>
      <c r="AA60" s="358">
        <f t="shared" si="19"/>
        <v>2316</v>
      </c>
      <c r="AB60" s="358">
        <f t="shared" si="19"/>
        <v>1734</v>
      </c>
      <c r="AC60" s="358">
        <f t="shared" si="19"/>
        <v>1349</v>
      </c>
      <c r="AD60" s="358">
        <f t="shared" si="19"/>
        <v>1264</v>
      </c>
      <c r="AE60" s="358">
        <f t="shared" si="19"/>
        <v>2007</v>
      </c>
      <c r="AF60" s="358">
        <f t="shared" si="19"/>
        <v>1842</v>
      </c>
      <c r="AG60" s="358">
        <f t="shared" si="19"/>
        <v>1884</v>
      </c>
      <c r="AH60" s="358">
        <f t="shared" si="19"/>
        <v>1982</v>
      </c>
      <c r="AI60" s="358">
        <f t="shared" si="19"/>
        <v>1148</v>
      </c>
      <c r="AJ60" s="359">
        <f t="shared" si="3"/>
        <v>52703</v>
      </c>
    </row>
    <row r="61" spans="1:36" ht="16.5" customHeight="1">
      <c r="A61" s="357"/>
      <c r="B61" s="357"/>
      <c r="C61" s="360" t="s">
        <v>131</v>
      </c>
      <c r="D61" s="361"/>
      <c r="E61" s="358">
        <f t="shared" ref="E61:AI61" si="20">SUM(E45,E47,E49,E51,E53,E55,E57,E59)</f>
        <v>0</v>
      </c>
      <c r="F61" s="358">
        <f t="shared" si="20"/>
        <v>0</v>
      </c>
      <c r="G61" s="358">
        <f t="shared" si="20"/>
        <v>0</v>
      </c>
      <c r="H61" s="358">
        <f t="shared" si="20"/>
        <v>0</v>
      </c>
      <c r="I61" s="358">
        <f t="shared" si="20"/>
        <v>0</v>
      </c>
      <c r="J61" s="358">
        <f t="shared" si="20"/>
        <v>0</v>
      </c>
      <c r="K61" s="358">
        <f t="shared" si="20"/>
        <v>0</v>
      </c>
      <c r="L61" s="358">
        <f t="shared" si="20"/>
        <v>0</v>
      </c>
      <c r="M61" s="358">
        <f t="shared" si="20"/>
        <v>0</v>
      </c>
      <c r="N61" s="358">
        <f t="shared" si="20"/>
        <v>0</v>
      </c>
      <c r="O61" s="358">
        <f t="shared" si="20"/>
        <v>0</v>
      </c>
      <c r="P61" s="358">
        <f t="shared" si="20"/>
        <v>0</v>
      </c>
      <c r="Q61" s="358">
        <f t="shared" si="20"/>
        <v>0</v>
      </c>
      <c r="R61" s="358">
        <f t="shared" si="20"/>
        <v>0</v>
      </c>
      <c r="S61" s="358">
        <f t="shared" si="20"/>
        <v>0</v>
      </c>
      <c r="T61" s="358">
        <f t="shared" si="20"/>
        <v>0</v>
      </c>
      <c r="U61" s="358">
        <f t="shared" si="20"/>
        <v>0</v>
      </c>
      <c r="V61" s="358">
        <f t="shared" si="20"/>
        <v>0</v>
      </c>
      <c r="W61" s="358">
        <f t="shared" si="20"/>
        <v>0</v>
      </c>
      <c r="X61" s="358">
        <f t="shared" si="20"/>
        <v>0</v>
      </c>
      <c r="Y61" s="358">
        <f t="shared" si="20"/>
        <v>0</v>
      </c>
      <c r="Z61" s="358">
        <f t="shared" si="20"/>
        <v>0</v>
      </c>
      <c r="AA61" s="358">
        <f t="shared" si="20"/>
        <v>0</v>
      </c>
      <c r="AB61" s="358">
        <f t="shared" si="20"/>
        <v>0</v>
      </c>
      <c r="AC61" s="358">
        <f t="shared" si="20"/>
        <v>0</v>
      </c>
      <c r="AD61" s="358">
        <f t="shared" si="20"/>
        <v>0</v>
      </c>
      <c r="AE61" s="358">
        <f t="shared" si="20"/>
        <v>0</v>
      </c>
      <c r="AF61" s="358">
        <f t="shared" si="20"/>
        <v>0</v>
      </c>
      <c r="AG61" s="358">
        <f t="shared" si="20"/>
        <v>0</v>
      </c>
      <c r="AH61" s="358">
        <f t="shared" si="20"/>
        <v>0</v>
      </c>
      <c r="AI61" s="358">
        <f t="shared" si="20"/>
        <v>0</v>
      </c>
      <c r="AJ61" s="359">
        <f t="shared" si="3"/>
        <v>0</v>
      </c>
    </row>
    <row r="62" spans="1:36">
      <c r="A62" s="362"/>
      <c r="B62" s="362"/>
      <c r="C62" s="560" t="s">
        <v>132</v>
      </c>
      <c r="D62" s="501"/>
      <c r="E62" s="363">
        <f t="shared" ref="E62:AJ62" si="21">E60</f>
        <v>1867</v>
      </c>
      <c r="F62" s="363">
        <f t="shared" si="21"/>
        <v>1817</v>
      </c>
      <c r="G62" s="363">
        <f t="shared" si="21"/>
        <v>1883</v>
      </c>
      <c r="H62" s="363">
        <f t="shared" si="21"/>
        <v>1179</v>
      </c>
      <c r="I62" s="363">
        <f t="shared" si="21"/>
        <v>1144</v>
      </c>
      <c r="J62" s="363">
        <f t="shared" si="21"/>
        <v>1993</v>
      </c>
      <c r="K62" s="363">
        <f t="shared" si="21"/>
        <v>1897</v>
      </c>
      <c r="L62" s="363">
        <f t="shared" si="21"/>
        <v>1960</v>
      </c>
      <c r="M62" s="363">
        <f t="shared" si="21"/>
        <v>1852</v>
      </c>
      <c r="N62" s="363">
        <f t="shared" si="21"/>
        <v>1702</v>
      </c>
      <c r="O62" s="363">
        <f t="shared" si="21"/>
        <v>1393</v>
      </c>
      <c r="P62" s="363">
        <f t="shared" si="21"/>
        <v>1126</v>
      </c>
      <c r="Q62" s="363">
        <f t="shared" si="21"/>
        <v>1932</v>
      </c>
      <c r="R62" s="363">
        <f t="shared" si="21"/>
        <v>1920</v>
      </c>
      <c r="S62" s="363">
        <f t="shared" si="21"/>
        <v>1918</v>
      </c>
      <c r="T62" s="363">
        <f t="shared" si="21"/>
        <v>1924</v>
      </c>
      <c r="U62" s="363">
        <f t="shared" si="21"/>
        <v>1913</v>
      </c>
      <c r="V62" s="363">
        <f t="shared" si="21"/>
        <v>1276</v>
      </c>
      <c r="W62" s="363">
        <f t="shared" si="21"/>
        <v>1131</v>
      </c>
      <c r="X62" s="363">
        <f t="shared" si="21"/>
        <v>1890</v>
      </c>
      <c r="Y62" s="363">
        <f t="shared" si="21"/>
        <v>1888</v>
      </c>
      <c r="Z62" s="363">
        <f t="shared" si="21"/>
        <v>1572</v>
      </c>
      <c r="AA62" s="363">
        <f t="shared" si="21"/>
        <v>2316</v>
      </c>
      <c r="AB62" s="363">
        <f t="shared" si="21"/>
        <v>1734</v>
      </c>
      <c r="AC62" s="363">
        <f t="shared" si="21"/>
        <v>1349</v>
      </c>
      <c r="AD62" s="363">
        <f t="shared" si="21"/>
        <v>1264</v>
      </c>
      <c r="AE62" s="363">
        <f t="shared" si="21"/>
        <v>2007</v>
      </c>
      <c r="AF62" s="363">
        <f t="shared" si="21"/>
        <v>1842</v>
      </c>
      <c r="AG62" s="363">
        <f t="shared" si="21"/>
        <v>1884</v>
      </c>
      <c r="AH62" s="363">
        <f t="shared" si="21"/>
        <v>1982</v>
      </c>
      <c r="AI62" s="363">
        <f t="shared" si="21"/>
        <v>1148</v>
      </c>
      <c r="AJ62" s="363">
        <f t="shared" si="21"/>
        <v>52703</v>
      </c>
    </row>
    <row r="63" spans="1:36">
      <c r="A63" s="351"/>
      <c r="B63" s="364"/>
      <c r="C63" s="365"/>
      <c r="D63" s="366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</row>
    <row r="64" spans="1:36">
      <c r="A64" s="367" t="s">
        <v>133</v>
      </c>
      <c r="B64" s="367" t="s">
        <v>100</v>
      </c>
      <c r="C64" s="557" t="s">
        <v>101</v>
      </c>
      <c r="D64" s="501"/>
      <c r="E64" s="367"/>
      <c r="F64" s="367"/>
      <c r="G64" s="367"/>
      <c r="H64" s="367"/>
      <c r="I64" s="367"/>
      <c r="J64" s="367"/>
      <c r="K64" s="367"/>
      <c r="L64" s="367"/>
      <c r="M64" s="367"/>
      <c r="N64" s="367"/>
      <c r="O64" s="367"/>
      <c r="P64" s="367"/>
      <c r="Q64" s="367"/>
      <c r="R64" s="367"/>
      <c r="S64" s="367"/>
      <c r="T64" s="367"/>
      <c r="U64" s="367"/>
      <c r="V64" s="367"/>
      <c r="W64" s="367"/>
      <c r="X64" s="367"/>
      <c r="Y64" s="367"/>
      <c r="Z64" s="367"/>
      <c r="AA64" s="367"/>
      <c r="AB64" s="367"/>
      <c r="AC64" s="367"/>
      <c r="AD64" s="367"/>
      <c r="AE64" s="367"/>
      <c r="AF64" s="367"/>
      <c r="AG64" s="367"/>
      <c r="AH64" s="367"/>
      <c r="AI64" s="367"/>
      <c r="AJ64" s="368"/>
    </row>
    <row r="65" spans="1:38">
      <c r="A65" s="306">
        <v>1</v>
      </c>
      <c r="B65" s="306" t="s">
        <v>129</v>
      </c>
      <c r="C65" s="546" t="s">
        <v>119</v>
      </c>
      <c r="D65" s="501"/>
      <c r="E65" s="363">
        <f t="shared" ref="E65:AI65" si="22">E23-D23</f>
        <v>107</v>
      </c>
      <c r="F65" s="363">
        <f t="shared" si="22"/>
        <v>98</v>
      </c>
      <c r="G65" s="363">
        <f t="shared" si="22"/>
        <v>87</v>
      </c>
      <c r="H65" s="363">
        <f t="shared" si="22"/>
        <v>46</v>
      </c>
      <c r="I65" s="363">
        <f t="shared" si="22"/>
        <v>0</v>
      </c>
      <c r="J65" s="363">
        <f t="shared" si="22"/>
        <v>108</v>
      </c>
      <c r="K65" s="363">
        <f t="shared" si="22"/>
        <v>103</v>
      </c>
      <c r="L65" s="363">
        <f t="shared" si="22"/>
        <v>92</v>
      </c>
      <c r="M65" s="363">
        <f t="shared" si="22"/>
        <v>97</v>
      </c>
      <c r="N65" s="363">
        <f t="shared" si="22"/>
        <v>77</v>
      </c>
      <c r="O65" s="363">
        <f t="shared" si="22"/>
        <v>49</v>
      </c>
      <c r="P65" s="363">
        <f t="shared" si="22"/>
        <v>0</v>
      </c>
      <c r="Q65" s="363">
        <f t="shared" si="22"/>
        <v>98</v>
      </c>
      <c r="R65" s="363">
        <f t="shared" si="22"/>
        <v>91</v>
      </c>
      <c r="S65" s="363">
        <f t="shared" si="22"/>
        <v>81</v>
      </c>
      <c r="T65" s="363">
        <f t="shared" si="22"/>
        <v>81</v>
      </c>
      <c r="U65" s="363">
        <f t="shared" si="22"/>
        <v>82</v>
      </c>
      <c r="V65" s="363">
        <f t="shared" si="22"/>
        <v>44</v>
      </c>
      <c r="W65" s="363">
        <f t="shared" si="22"/>
        <v>0</v>
      </c>
      <c r="X65" s="363">
        <f t="shared" si="22"/>
        <v>106</v>
      </c>
      <c r="Y65" s="363">
        <f t="shared" si="22"/>
        <v>98</v>
      </c>
      <c r="Z65" s="363">
        <f t="shared" si="22"/>
        <v>87</v>
      </c>
      <c r="AA65" s="363">
        <f t="shared" si="22"/>
        <v>89</v>
      </c>
      <c r="AB65" s="363">
        <f t="shared" si="22"/>
        <v>83</v>
      </c>
      <c r="AC65" s="363">
        <f t="shared" si="22"/>
        <v>5</v>
      </c>
      <c r="AD65" s="363">
        <f t="shared" si="22"/>
        <v>0</v>
      </c>
      <c r="AE65" s="363">
        <f t="shared" si="22"/>
        <v>98</v>
      </c>
      <c r="AF65" s="363">
        <f t="shared" si="22"/>
        <v>74</v>
      </c>
      <c r="AG65" s="363">
        <f t="shared" si="22"/>
        <v>79</v>
      </c>
      <c r="AH65" s="363">
        <f t="shared" si="22"/>
        <v>76</v>
      </c>
      <c r="AI65" s="363">
        <f t="shared" si="22"/>
        <v>30</v>
      </c>
      <c r="AJ65" s="356">
        <f>SUM(E65:AI65)</f>
        <v>2166</v>
      </c>
    </row>
    <row r="66" spans="1:38">
      <c r="A66" s="306"/>
      <c r="B66" s="306"/>
      <c r="C66" s="554" t="s">
        <v>22</v>
      </c>
      <c r="D66" s="501"/>
      <c r="E66" s="363">
        <f t="shared" ref="E66:AI66" si="23">E24-D24</f>
        <v>0</v>
      </c>
      <c r="F66" s="363">
        <f t="shared" si="23"/>
        <v>0</v>
      </c>
      <c r="G66" s="363">
        <f t="shared" si="23"/>
        <v>0</v>
      </c>
      <c r="H66" s="363">
        <f t="shared" si="23"/>
        <v>0</v>
      </c>
      <c r="I66" s="363">
        <f t="shared" si="23"/>
        <v>0</v>
      </c>
      <c r="J66" s="363">
        <f t="shared" si="23"/>
        <v>0</v>
      </c>
      <c r="K66" s="363">
        <f t="shared" si="23"/>
        <v>0</v>
      </c>
      <c r="L66" s="363">
        <f t="shared" si="23"/>
        <v>0</v>
      </c>
      <c r="M66" s="363">
        <f t="shared" si="23"/>
        <v>0</v>
      </c>
      <c r="N66" s="363">
        <f t="shared" si="23"/>
        <v>0</v>
      </c>
      <c r="O66" s="363">
        <f t="shared" si="23"/>
        <v>0</v>
      </c>
      <c r="P66" s="363">
        <f t="shared" si="23"/>
        <v>0</v>
      </c>
      <c r="Q66" s="363">
        <f t="shared" si="23"/>
        <v>0</v>
      </c>
      <c r="R66" s="363">
        <f t="shared" si="23"/>
        <v>0</v>
      </c>
      <c r="S66" s="363">
        <f t="shared" si="23"/>
        <v>0</v>
      </c>
      <c r="T66" s="363">
        <f t="shared" si="23"/>
        <v>0</v>
      </c>
      <c r="U66" s="363">
        <f t="shared" si="23"/>
        <v>0</v>
      </c>
      <c r="V66" s="363">
        <f t="shared" si="23"/>
        <v>0</v>
      </c>
      <c r="W66" s="363">
        <f t="shared" si="23"/>
        <v>0</v>
      </c>
      <c r="X66" s="363">
        <f t="shared" si="23"/>
        <v>0</v>
      </c>
      <c r="Y66" s="363">
        <f t="shared" si="23"/>
        <v>0</v>
      </c>
      <c r="Z66" s="363">
        <f t="shared" si="23"/>
        <v>0</v>
      </c>
      <c r="AA66" s="363">
        <f t="shared" si="23"/>
        <v>0</v>
      </c>
      <c r="AB66" s="363">
        <f t="shared" si="23"/>
        <v>0</v>
      </c>
      <c r="AC66" s="363">
        <f t="shared" si="23"/>
        <v>0</v>
      </c>
      <c r="AD66" s="363">
        <f t="shared" si="23"/>
        <v>0</v>
      </c>
      <c r="AE66" s="363">
        <f t="shared" si="23"/>
        <v>0</v>
      </c>
      <c r="AF66" s="363">
        <f t="shared" si="23"/>
        <v>0</v>
      </c>
      <c r="AG66" s="363">
        <f t="shared" si="23"/>
        <v>0</v>
      </c>
      <c r="AH66" s="363">
        <f t="shared" si="23"/>
        <v>0</v>
      </c>
      <c r="AI66" s="363">
        <f t="shared" si="23"/>
        <v>0</v>
      </c>
      <c r="AJ66" s="356">
        <f t="shared" ref="AJ66:AJ72" si="24">SUM(H66:AH66)</f>
        <v>0</v>
      </c>
    </row>
    <row r="67" spans="1:38">
      <c r="A67" s="306">
        <v>2</v>
      </c>
      <c r="B67" s="306" t="s">
        <v>129</v>
      </c>
      <c r="C67" s="546" t="s">
        <v>120</v>
      </c>
      <c r="D67" s="501"/>
      <c r="E67" s="363">
        <f t="shared" ref="E67:AI67" si="25">E25-D25</f>
        <v>90</v>
      </c>
      <c r="F67" s="363">
        <f t="shared" si="25"/>
        <v>75</v>
      </c>
      <c r="G67" s="363">
        <f t="shared" si="25"/>
        <v>60</v>
      </c>
      <c r="H67" s="363">
        <f t="shared" si="25"/>
        <v>29</v>
      </c>
      <c r="I67" s="363">
        <f t="shared" si="25"/>
        <v>0</v>
      </c>
      <c r="J67" s="363">
        <f t="shared" si="25"/>
        <v>67</v>
      </c>
      <c r="K67" s="363">
        <f t="shared" si="25"/>
        <v>53</v>
      </c>
      <c r="L67" s="363">
        <f t="shared" si="25"/>
        <v>50</v>
      </c>
      <c r="M67" s="363">
        <f t="shared" si="25"/>
        <v>47</v>
      </c>
      <c r="N67" s="363">
        <f t="shared" si="25"/>
        <v>40</v>
      </c>
      <c r="O67" s="363">
        <f t="shared" si="25"/>
        <v>33</v>
      </c>
      <c r="P67" s="363">
        <f t="shared" si="25"/>
        <v>0</v>
      </c>
      <c r="Q67" s="363">
        <f t="shared" si="25"/>
        <v>60</v>
      </c>
      <c r="R67" s="363">
        <f t="shared" si="25"/>
        <v>63</v>
      </c>
      <c r="S67" s="363">
        <f t="shared" si="25"/>
        <v>50</v>
      </c>
      <c r="T67" s="363">
        <f t="shared" si="25"/>
        <v>54</v>
      </c>
      <c r="U67" s="363">
        <f t="shared" si="25"/>
        <v>50</v>
      </c>
      <c r="V67" s="363">
        <f t="shared" si="25"/>
        <v>29</v>
      </c>
      <c r="W67" s="363">
        <f t="shared" si="25"/>
        <v>0</v>
      </c>
      <c r="X67" s="363">
        <f t="shared" si="25"/>
        <v>65</v>
      </c>
      <c r="Y67" s="363">
        <f t="shared" si="25"/>
        <v>50</v>
      </c>
      <c r="Z67" s="363">
        <f t="shared" si="25"/>
        <v>63</v>
      </c>
      <c r="AA67" s="363">
        <f t="shared" si="25"/>
        <v>55</v>
      </c>
      <c r="AB67" s="363">
        <f t="shared" si="25"/>
        <v>64</v>
      </c>
      <c r="AC67" s="363">
        <f t="shared" si="25"/>
        <v>13</v>
      </c>
      <c r="AD67" s="363">
        <f t="shared" si="25"/>
        <v>0</v>
      </c>
      <c r="AE67" s="363">
        <f t="shared" si="25"/>
        <v>82</v>
      </c>
      <c r="AF67" s="363">
        <f t="shared" si="25"/>
        <v>82</v>
      </c>
      <c r="AG67" s="363">
        <f t="shared" si="25"/>
        <v>79</v>
      </c>
      <c r="AH67" s="363">
        <f t="shared" si="25"/>
        <v>80</v>
      </c>
      <c r="AI67" s="363">
        <f t="shared" si="25"/>
        <v>27</v>
      </c>
      <c r="AJ67" s="356">
        <f t="shared" si="24"/>
        <v>1258</v>
      </c>
    </row>
    <row r="68" spans="1:38">
      <c r="A68" s="306"/>
      <c r="B68" s="306"/>
      <c r="C68" s="554" t="s">
        <v>22</v>
      </c>
      <c r="D68" s="501"/>
      <c r="E68" s="363">
        <f t="shared" ref="E68:AI68" si="26">E26-D26</f>
        <v>0</v>
      </c>
      <c r="F68" s="363">
        <f t="shared" si="26"/>
        <v>0</v>
      </c>
      <c r="G68" s="363">
        <f t="shared" si="26"/>
        <v>0</v>
      </c>
      <c r="H68" s="363">
        <f t="shared" si="26"/>
        <v>0</v>
      </c>
      <c r="I68" s="363">
        <f t="shared" si="26"/>
        <v>0</v>
      </c>
      <c r="J68" s="363">
        <f t="shared" si="26"/>
        <v>0</v>
      </c>
      <c r="K68" s="363">
        <f t="shared" si="26"/>
        <v>0</v>
      </c>
      <c r="L68" s="363">
        <f t="shared" si="26"/>
        <v>0</v>
      </c>
      <c r="M68" s="363">
        <f t="shared" si="26"/>
        <v>0</v>
      </c>
      <c r="N68" s="363">
        <f t="shared" si="26"/>
        <v>0</v>
      </c>
      <c r="O68" s="363">
        <f t="shared" si="26"/>
        <v>0</v>
      </c>
      <c r="P68" s="363">
        <f t="shared" si="26"/>
        <v>0</v>
      </c>
      <c r="Q68" s="363">
        <f t="shared" si="26"/>
        <v>0</v>
      </c>
      <c r="R68" s="363">
        <f t="shared" si="26"/>
        <v>0</v>
      </c>
      <c r="S68" s="363">
        <f t="shared" si="26"/>
        <v>0</v>
      </c>
      <c r="T68" s="363">
        <f t="shared" si="26"/>
        <v>0</v>
      </c>
      <c r="U68" s="363">
        <f t="shared" si="26"/>
        <v>0</v>
      </c>
      <c r="V68" s="363">
        <f t="shared" si="26"/>
        <v>0</v>
      </c>
      <c r="W68" s="363">
        <f t="shared" si="26"/>
        <v>0</v>
      </c>
      <c r="X68" s="363">
        <f t="shared" si="26"/>
        <v>0</v>
      </c>
      <c r="Y68" s="363">
        <f t="shared" si="26"/>
        <v>0</v>
      </c>
      <c r="Z68" s="363">
        <f t="shared" si="26"/>
        <v>0</v>
      </c>
      <c r="AA68" s="363">
        <f t="shared" si="26"/>
        <v>0</v>
      </c>
      <c r="AB68" s="363">
        <f t="shared" si="26"/>
        <v>0</v>
      </c>
      <c r="AC68" s="363">
        <f t="shared" si="26"/>
        <v>0</v>
      </c>
      <c r="AD68" s="363">
        <f t="shared" si="26"/>
        <v>0</v>
      </c>
      <c r="AE68" s="363">
        <f t="shared" si="26"/>
        <v>0</v>
      </c>
      <c r="AF68" s="363">
        <f t="shared" si="26"/>
        <v>0</v>
      </c>
      <c r="AG68" s="363">
        <f t="shared" si="26"/>
        <v>0</v>
      </c>
      <c r="AH68" s="363">
        <f t="shared" si="26"/>
        <v>0</v>
      </c>
      <c r="AI68" s="363">
        <f t="shared" si="26"/>
        <v>0</v>
      </c>
      <c r="AJ68" s="356">
        <f t="shared" si="24"/>
        <v>0</v>
      </c>
      <c r="AK68" s="115" t="s">
        <v>20</v>
      </c>
      <c r="AL68" s="116">
        <f>AJ60</f>
        <v>52703</v>
      </c>
    </row>
    <row r="69" spans="1:38">
      <c r="A69" s="306">
        <v>3</v>
      </c>
      <c r="B69" s="306" t="s">
        <v>129</v>
      </c>
      <c r="C69" s="546" t="s">
        <v>121</v>
      </c>
      <c r="D69" s="501"/>
      <c r="E69" s="363">
        <f t="shared" ref="E69:AI69" si="27">E27-D27</f>
        <v>89</v>
      </c>
      <c r="F69" s="363">
        <f t="shared" si="27"/>
        <v>88</v>
      </c>
      <c r="G69" s="363">
        <f t="shared" si="27"/>
        <v>102</v>
      </c>
      <c r="H69" s="363">
        <f t="shared" si="27"/>
        <v>55</v>
      </c>
      <c r="I69" s="363">
        <f t="shared" si="27"/>
        <v>0</v>
      </c>
      <c r="J69" s="363">
        <f t="shared" si="27"/>
        <v>123</v>
      </c>
      <c r="K69" s="363">
        <f t="shared" si="27"/>
        <v>110</v>
      </c>
      <c r="L69" s="363">
        <f t="shared" si="27"/>
        <v>105</v>
      </c>
      <c r="M69" s="363">
        <f t="shared" si="27"/>
        <v>79</v>
      </c>
      <c r="N69" s="363">
        <f t="shared" si="27"/>
        <v>103</v>
      </c>
      <c r="O69" s="363">
        <f t="shared" si="27"/>
        <v>56</v>
      </c>
      <c r="P69" s="363">
        <f t="shared" si="27"/>
        <v>0</v>
      </c>
      <c r="Q69" s="363">
        <f t="shared" si="27"/>
        <v>104</v>
      </c>
      <c r="R69" s="363">
        <f t="shared" si="27"/>
        <v>105</v>
      </c>
      <c r="S69" s="363">
        <f t="shared" si="27"/>
        <v>94</v>
      </c>
      <c r="T69" s="363">
        <f t="shared" si="27"/>
        <v>109</v>
      </c>
      <c r="U69" s="363">
        <f t="shared" si="27"/>
        <v>89</v>
      </c>
      <c r="V69" s="363">
        <f t="shared" si="27"/>
        <v>52</v>
      </c>
      <c r="W69" s="363">
        <f t="shared" si="27"/>
        <v>0</v>
      </c>
      <c r="X69" s="363">
        <f t="shared" si="27"/>
        <v>100</v>
      </c>
      <c r="Y69" s="363">
        <f t="shared" si="27"/>
        <v>105</v>
      </c>
      <c r="Z69" s="363">
        <f t="shared" si="27"/>
        <v>115</v>
      </c>
      <c r="AA69" s="363">
        <f t="shared" si="27"/>
        <v>106</v>
      </c>
      <c r="AB69" s="363">
        <f t="shared" si="27"/>
        <v>102</v>
      </c>
      <c r="AC69" s="363">
        <f t="shared" si="27"/>
        <v>58</v>
      </c>
      <c r="AD69" s="363">
        <f t="shared" si="27"/>
        <v>0</v>
      </c>
      <c r="AE69" s="363">
        <f t="shared" si="27"/>
        <v>98</v>
      </c>
      <c r="AF69" s="363">
        <f t="shared" si="27"/>
        <v>111</v>
      </c>
      <c r="AG69" s="363">
        <f t="shared" si="27"/>
        <v>104</v>
      </c>
      <c r="AH69" s="363">
        <f t="shared" si="27"/>
        <v>102</v>
      </c>
      <c r="AI69" s="363">
        <f t="shared" si="27"/>
        <v>32</v>
      </c>
      <c r="AJ69" s="356">
        <f t="shared" si="24"/>
        <v>2185</v>
      </c>
      <c r="AK69" s="115" t="s">
        <v>21</v>
      </c>
      <c r="AL69" s="116">
        <f>AJ73</f>
        <v>7409</v>
      </c>
    </row>
    <row r="70" spans="1:38">
      <c r="A70" s="306"/>
      <c r="B70" s="306"/>
      <c r="C70" s="554" t="s">
        <v>22</v>
      </c>
      <c r="D70" s="501"/>
      <c r="E70" s="363">
        <f t="shared" ref="E70:AI70" si="28">E28-D28</f>
        <v>0</v>
      </c>
      <c r="F70" s="363">
        <f t="shared" si="28"/>
        <v>0</v>
      </c>
      <c r="G70" s="363">
        <f t="shared" si="28"/>
        <v>0</v>
      </c>
      <c r="H70" s="363">
        <f t="shared" si="28"/>
        <v>0</v>
      </c>
      <c r="I70" s="363">
        <f t="shared" si="28"/>
        <v>0</v>
      </c>
      <c r="J70" s="363">
        <f t="shared" si="28"/>
        <v>0</v>
      </c>
      <c r="K70" s="363">
        <f t="shared" si="28"/>
        <v>0</v>
      </c>
      <c r="L70" s="363">
        <f t="shared" si="28"/>
        <v>0</v>
      </c>
      <c r="M70" s="363">
        <f t="shared" si="28"/>
        <v>0</v>
      </c>
      <c r="N70" s="363">
        <f t="shared" si="28"/>
        <v>0</v>
      </c>
      <c r="O70" s="363">
        <f t="shared" si="28"/>
        <v>0</v>
      </c>
      <c r="P70" s="363">
        <f t="shared" si="28"/>
        <v>0</v>
      </c>
      <c r="Q70" s="363">
        <f t="shared" si="28"/>
        <v>0</v>
      </c>
      <c r="R70" s="363">
        <f t="shared" si="28"/>
        <v>0</v>
      </c>
      <c r="S70" s="363">
        <f t="shared" si="28"/>
        <v>0</v>
      </c>
      <c r="T70" s="363">
        <f t="shared" si="28"/>
        <v>0</v>
      </c>
      <c r="U70" s="363">
        <f t="shared" si="28"/>
        <v>0</v>
      </c>
      <c r="V70" s="363">
        <f t="shared" si="28"/>
        <v>0</v>
      </c>
      <c r="W70" s="363">
        <f t="shared" si="28"/>
        <v>0</v>
      </c>
      <c r="X70" s="363">
        <f t="shared" si="28"/>
        <v>0</v>
      </c>
      <c r="Y70" s="363">
        <f t="shared" si="28"/>
        <v>0</v>
      </c>
      <c r="Z70" s="363">
        <f t="shared" si="28"/>
        <v>0</v>
      </c>
      <c r="AA70" s="363">
        <f t="shared" si="28"/>
        <v>0</v>
      </c>
      <c r="AB70" s="363">
        <f t="shared" si="28"/>
        <v>0</v>
      </c>
      <c r="AC70" s="363">
        <f t="shared" si="28"/>
        <v>0</v>
      </c>
      <c r="AD70" s="363">
        <f t="shared" si="28"/>
        <v>0</v>
      </c>
      <c r="AE70" s="363">
        <f t="shared" si="28"/>
        <v>0</v>
      </c>
      <c r="AF70" s="363">
        <f t="shared" si="28"/>
        <v>0</v>
      </c>
      <c r="AG70" s="363">
        <f t="shared" si="28"/>
        <v>0</v>
      </c>
      <c r="AH70" s="363">
        <f t="shared" si="28"/>
        <v>0</v>
      </c>
      <c r="AI70" s="363">
        <f t="shared" si="28"/>
        <v>0</v>
      </c>
      <c r="AJ70" s="356">
        <f t="shared" si="24"/>
        <v>0</v>
      </c>
      <c r="AK70" s="115" t="s">
        <v>23</v>
      </c>
      <c r="AL70" s="116">
        <f>AJ79*40%</f>
        <v>16225.6</v>
      </c>
    </row>
    <row r="71" spans="1:38">
      <c r="A71" s="306">
        <v>4</v>
      </c>
      <c r="B71" s="306" t="s">
        <v>129</v>
      </c>
      <c r="C71" s="546" t="s">
        <v>122</v>
      </c>
      <c r="D71" s="501"/>
      <c r="E71" s="363">
        <f t="shared" ref="E71:AI71" si="29">E29-D29</f>
        <v>103</v>
      </c>
      <c r="F71" s="363">
        <f t="shared" si="29"/>
        <v>97</v>
      </c>
      <c r="G71" s="363">
        <f t="shared" si="29"/>
        <v>97</v>
      </c>
      <c r="H71" s="363">
        <f t="shared" si="29"/>
        <v>57</v>
      </c>
      <c r="I71" s="363">
        <f t="shared" si="29"/>
        <v>0</v>
      </c>
      <c r="J71" s="363">
        <f t="shared" si="29"/>
        <v>112</v>
      </c>
      <c r="K71" s="363">
        <f t="shared" si="29"/>
        <v>107</v>
      </c>
      <c r="L71" s="363">
        <f t="shared" si="29"/>
        <v>104</v>
      </c>
      <c r="M71" s="363">
        <f t="shared" si="29"/>
        <v>87</v>
      </c>
      <c r="N71" s="363">
        <f t="shared" si="29"/>
        <v>89</v>
      </c>
      <c r="O71" s="363">
        <f t="shared" si="29"/>
        <v>52</v>
      </c>
      <c r="P71" s="363">
        <f t="shared" si="29"/>
        <v>0</v>
      </c>
      <c r="Q71" s="363">
        <f t="shared" si="29"/>
        <v>87</v>
      </c>
      <c r="R71" s="363">
        <f t="shared" si="29"/>
        <v>78</v>
      </c>
      <c r="S71" s="363">
        <f t="shared" si="29"/>
        <v>85</v>
      </c>
      <c r="T71" s="363">
        <f t="shared" si="29"/>
        <v>76</v>
      </c>
      <c r="U71" s="363">
        <f t="shared" si="29"/>
        <v>74</v>
      </c>
      <c r="V71" s="363">
        <f t="shared" si="29"/>
        <v>30</v>
      </c>
      <c r="W71" s="363">
        <f t="shared" si="29"/>
        <v>0</v>
      </c>
      <c r="X71" s="363">
        <f t="shared" si="29"/>
        <v>83</v>
      </c>
      <c r="Y71" s="363">
        <f t="shared" si="29"/>
        <v>74</v>
      </c>
      <c r="Z71" s="363">
        <f t="shared" si="29"/>
        <v>80</v>
      </c>
      <c r="AA71" s="363">
        <f t="shared" si="29"/>
        <v>80</v>
      </c>
      <c r="AB71" s="363">
        <f t="shared" si="29"/>
        <v>71</v>
      </c>
      <c r="AC71" s="363">
        <f t="shared" si="29"/>
        <v>5</v>
      </c>
      <c r="AD71" s="363">
        <f t="shared" si="29"/>
        <v>0</v>
      </c>
      <c r="AE71" s="363">
        <f t="shared" si="29"/>
        <v>87</v>
      </c>
      <c r="AF71" s="363">
        <f t="shared" si="29"/>
        <v>94</v>
      </c>
      <c r="AG71" s="363">
        <f t="shared" si="29"/>
        <v>97</v>
      </c>
      <c r="AH71" s="363">
        <f t="shared" si="29"/>
        <v>91</v>
      </c>
      <c r="AI71" s="363">
        <f t="shared" si="29"/>
        <v>39</v>
      </c>
      <c r="AJ71" s="356">
        <f t="shared" si="24"/>
        <v>1800</v>
      </c>
      <c r="AK71" s="117" t="s">
        <v>22</v>
      </c>
      <c r="AL71" s="118">
        <f>AJ74+AJ61</f>
        <v>0</v>
      </c>
    </row>
    <row r="72" spans="1:38">
      <c r="A72" s="306"/>
      <c r="B72" s="306"/>
      <c r="C72" s="554" t="s">
        <v>22</v>
      </c>
      <c r="D72" s="501"/>
      <c r="E72" s="363">
        <f t="shared" ref="E72:AI72" si="30">E30-D30</f>
        <v>0</v>
      </c>
      <c r="F72" s="363">
        <f t="shared" si="30"/>
        <v>0</v>
      </c>
      <c r="G72" s="363">
        <f t="shared" si="30"/>
        <v>0</v>
      </c>
      <c r="H72" s="363">
        <f t="shared" si="30"/>
        <v>0</v>
      </c>
      <c r="I72" s="363">
        <f t="shared" si="30"/>
        <v>0</v>
      </c>
      <c r="J72" s="363">
        <f t="shared" si="30"/>
        <v>0</v>
      </c>
      <c r="K72" s="363">
        <f t="shared" si="30"/>
        <v>0</v>
      </c>
      <c r="L72" s="363">
        <f t="shared" si="30"/>
        <v>0</v>
      </c>
      <c r="M72" s="363">
        <f t="shared" si="30"/>
        <v>0</v>
      </c>
      <c r="N72" s="363">
        <f t="shared" si="30"/>
        <v>0</v>
      </c>
      <c r="O72" s="363">
        <f t="shared" si="30"/>
        <v>0</v>
      </c>
      <c r="P72" s="363">
        <f t="shared" si="30"/>
        <v>0</v>
      </c>
      <c r="Q72" s="363">
        <f t="shared" si="30"/>
        <v>0</v>
      </c>
      <c r="R72" s="363">
        <f t="shared" si="30"/>
        <v>0</v>
      </c>
      <c r="S72" s="363">
        <f t="shared" si="30"/>
        <v>0</v>
      </c>
      <c r="T72" s="363">
        <f t="shared" si="30"/>
        <v>0</v>
      </c>
      <c r="U72" s="363">
        <f t="shared" si="30"/>
        <v>0</v>
      </c>
      <c r="V72" s="363">
        <f t="shared" si="30"/>
        <v>0</v>
      </c>
      <c r="W72" s="363">
        <f t="shared" si="30"/>
        <v>0</v>
      </c>
      <c r="X72" s="363">
        <f t="shared" si="30"/>
        <v>0</v>
      </c>
      <c r="Y72" s="363">
        <f t="shared" si="30"/>
        <v>0</v>
      </c>
      <c r="Z72" s="363">
        <f t="shared" si="30"/>
        <v>0</v>
      </c>
      <c r="AA72" s="363">
        <f t="shared" si="30"/>
        <v>0</v>
      </c>
      <c r="AB72" s="363">
        <f t="shared" si="30"/>
        <v>0</v>
      </c>
      <c r="AC72" s="363">
        <f t="shared" si="30"/>
        <v>0</v>
      </c>
      <c r="AD72" s="363">
        <f t="shared" si="30"/>
        <v>0</v>
      </c>
      <c r="AE72" s="363">
        <f t="shared" si="30"/>
        <v>0</v>
      </c>
      <c r="AF72" s="363">
        <f t="shared" si="30"/>
        <v>0</v>
      </c>
      <c r="AG72" s="363">
        <f t="shared" si="30"/>
        <v>0</v>
      </c>
      <c r="AH72" s="363">
        <f t="shared" si="30"/>
        <v>0</v>
      </c>
      <c r="AI72" s="363">
        <f t="shared" si="30"/>
        <v>0</v>
      </c>
      <c r="AJ72" s="356">
        <f t="shared" si="24"/>
        <v>0</v>
      </c>
    </row>
    <row r="73" spans="1:38" ht="27" customHeight="1">
      <c r="A73" s="357"/>
      <c r="B73" s="357"/>
      <c r="C73" s="553" t="s">
        <v>134</v>
      </c>
      <c r="D73" s="501"/>
      <c r="E73" s="358">
        <f t="shared" ref="E73:AJ73" si="31">SUM(E65,E67,E69,E71)</f>
        <v>389</v>
      </c>
      <c r="F73" s="358">
        <f t="shared" si="31"/>
        <v>358</v>
      </c>
      <c r="G73" s="358">
        <f t="shared" si="31"/>
        <v>346</v>
      </c>
      <c r="H73" s="358">
        <f t="shared" si="31"/>
        <v>187</v>
      </c>
      <c r="I73" s="358">
        <f t="shared" si="31"/>
        <v>0</v>
      </c>
      <c r="J73" s="358">
        <f t="shared" si="31"/>
        <v>410</v>
      </c>
      <c r="K73" s="358">
        <f t="shared" si="31"/>
        <v>373</v>
      </c>
      <c r="L73" s="358">
        <f t="shared" si="31"/>
        <v>351</v>
      </c>
      <c r="M73" s="358">
        <f t="shared" si="31"/>
        <v>310</v>
      </c>
      <c r="N73" s="358">
        <f t="shared" si="31"/>
        <v>309</v>
      </c>
      <c r="O73" s="358">
        <f t="shared" si="31"/>
        <v>190</v>
      </c>
      <c r="P73" s="358">
        <f t="shared" si="31"/>
        <v>0</v>
      </c>
      <c r="Q73" s="358">
        <f t="shared" si="31"/>
        <v>349</v>
      </c>
      <c r="R73" s="358">
        <f t="shared" si="31"/>
        <v>337</v>
      </c>
      <c r="S73" s="358">
        <f t="shared" si="31"/>
        <v>310</v>
      </c>
      <c r="T73" s="358">
        <f t="shared" si="31"/>
        <v>320</v>
      </c>
      <c r="U73" s="358">
        <f t="shared" si="31"/>
        <v>295</v>
      </c>
      <c r="V73" s="358">
        <f t="shared" si="31"/>
        <v>155</v>
      </c>
      <c r="W73" s="358">
        <f t="shared" si="31"/>
        <v>0</v>
      </c>
      <c r="X73" s="358">
        <f t="shared" si="31"/>
        <v>354</v>
      </c>
      <c r="Y73" s="358">
        <f t="shared" si="31"/>
        <v>327</v>
      </c>
      <c r="Z73" s="358">
        <f t="shared" si="31"/>
        <v>345</v>
      </c>
      <c r="AA73" s="358">
        <f t="shared" si="31"/>
        <v>330</v>
      </c>
      <c r="AB73" s="358">
        <f t="shared" si="31"/>
        <v>320</v>
      </c>
      <c r="AC73" s="358">
        <f t="shared" si="31"/>
        <v>81</v>
      </c>
      <c r="AD73" s="358">
        <f t="shared" si="31"/>
        <v>0</v>
      </c>
      <c r="AE73" s="358">
        <f t="shared" si="31"/>
        <v>365</v>
      </c>
      <c r="AF73" s="358">
        <f t="shared" si="31"/>
        <v>361</v>
      </c>
      <c r="AG73" s="358">
        <f t="shared" si="31"/>
        <v>359</v>
      </c>
      <c r="AH73" s="358">
        <f t="shared" si="31"/>
        <v>349</v>
      </c>
      <c r="AI73" s="358">
        <f t="shared" si="31"/>
        <v>128</v>
      </c>
      <c r="AJ73" s="358">
        <f t="shared" si="31"/>
        <v>7409</v>
      </c>
    </row>
    <row r="74" spans="1:38" ht="25.5" customHeight="1">
      <c r="A74" s="357"/>
      <c r="B74" s="357"/>
      <c r="C74" s="556" t="s">
        <v>135</v>
      </c>
      <c r="D74" s="501"/>
      <c r="E74" s="358">
        <f t="shared" ref="E74:AJ74" si="32">SUM(E66,E68,E70,E72)</f>
        <v>0</v>
      </c>
      <c r="F74" s="358">
        <f t="shared" si="32"/>
        <v>0</v>
      </c>
      <c r="G74" s="358">
        <f t="shared" si="32"/>
        <v>0</v>
      </c>
      <c r="H74" s="358">
        <f t="shared" si="32"/>
        <v>0</v>
      </c>
      <c r="I74" s="358">
        <f t="shared" si="32"/>
        <v>0</v>
      </c>
      <c r="J74" s="358">
        <f t="shared" si="32"/>
        <v>0</v>
      </c>
      <c r="K74" s="358">
        <f t="shared" si="32"/>
        <v>0</v>
      </c>
      <c r="L74" s="358">
        <f t="shared" si="32"/>
        <v>0</v>
      </c>
      <c r="M74" s="358">
        <f t="shared" si="32"/>
        <v>0</v>
      </c>
      <c r="N74" s="358">
        <f t="shared" si="32"/>
        <v>0</v>
      </c>
      <c r="O74" s="358">
        <f t="shared" si="32"/>
        <v>0</v>
      </c>
      <c r="P74" s="358">
        <f t="shared" si="32"/>
        <v>0</v>
      </c>
      <c r="Q74" s="358">
        <f t="shared" si="32"/>
        <v>0</v>
      </c>
      <c r="R74" s="358">
        <f t="shared" si="32"/>
        <v>0</v>
      </c>
      <c r="S74" s="358">
        <f t="shared" si="32"/>
        <v>0</v>
      </c>
      <c r="T74" s="358">
        <f t="shared" si="32"/>
        <v>0</v>
      </c>
      <c r="U74" s="358">
        <f t="shared" si="32"/>
        <v>0</v>
      </c>
      <c r="V74" s="358">
        <f t="shared" si="32"/>
        <v>0</v>
      </c>
      <c r="W74" s="358">
        <f t="shared" si="32"/>
        <v>0</v>
      </c>
      <c r="X74" s="358">
        <f t="shared" si="32"/>
        <v>0</v>
      </c>
      <c r="Y74" s="358">
        <f t="shared" si="32"/>
        <v>0</v>
      </c>
      <c r="Z74" s="358">
        <f t="shared" si="32"/>
        <v>0</v>
      </c>
      <c r="AA74" s="358">
        <f t="shared" si="32"/>
        <v>0</v>
      </c>
      <c r="AB74" s="358">
        <f t="shared" si="32"/>
        <v>0</v>
      </c>
      <c r="AC74" s="358">
        <f t="shared" si="32"/>
        <v>0</v>
      </c>
      <c r="AD74" s="358">
        <f t="shared" si="32"/>
        <v>0</v>
      </c>
      <c r="AE74" s="358">
        <f t="shared" si="32"/>
        <v>0</v>
      </c>
      <c r="AF74" s="358">
        <f t="shared" si="32"/>
        <v>0</v>
      </c>
      <c r="AG74" s="358">
        <f t="shared" si="32"/>
        <v>0</v>
      </c>
      <c r="AH74" s="358">
        <f t="shared" si="32"/>
        <v>0</v>
      </c>
      <c r="AI74" s="358">
        <f t="shared" si="32"/>
        <v>0</v>
      </c>
      <c r="AJ74" s="358">
        <f t="shared" si="32"/>
        <v>0</v>
      </c>
    </row>
    <row r="75" spans="1:38">
      <c r="A75" s="306">
        <v>1</v>
      </c>
      <c r="B75" s="306" t="s">
        <v>129</v>
      </c>
      <c r="C75" s="544" t="s">
        <v>123</v>
      </c>
      <c r="D75" s="501"/>
      <c r="E75" s="363">
        <f t="shared" ref="E75:AI75" si="33">E33-D33</f>
        <v>455</v>
      </c>
      <c r="F75" s="363">
        <f t="shared" si="33"/>
        <v>379</v>
      </c>
      <c r="G75" s="363">
        <f t="shared" si="33"/>
        <v>444</v>
      </c>
      <c r="H75" s="363">
        <f t="shared" si="33"/>
        <v>279</v>
      </c>
      <c r="I75" s="363">
        <f t="shared" si="33"/>
        <v>0</v>
      </c>
      <c r="J75" s="363">
        <f t="shared" si="33"/>
        <v>562</v>
      </c>
      <c r="K75" s="363">
        <f t="shared" si="33"/>
        <v>564</v>
      </c>
      <c r="L75" s="363">
        <f t="shared" si="33"/>
        <v>457</v>
      </c>
      <c r="M75" s="363">
        <f t="shared" si="33"/>
        <v>347</v>
      </c>
      <c r="N75" s="363">
        <f t="shared" si="33"/>
        <v>312</v>
      </c>
      <c r="O75" s="363">
        <f t="shared" si="33"/>
        <v>189</v>
      </c>
      <c r="P75" s="363">
        <f t="shared" si="33"/>
        <v>0</v>
      </c>
      <c r="Q75" s="363">
        <f t="shared" si="33"/>
        <v>532</v>
      </c>
      <c r="R75" s="363">
        <f t="shared" si="33"/>
        <v>548</v>
      </c>
      <c r="S75" s="363">
        <f t="shared" si="33"/>
        <v>469</v>
      </c>
      <c r="T75" s="363">
        <f t="shared" si="33"/>
        <v>411</v>
      </c>
      <c r="U75" s="363">
        <f t="shared" si="33"/>
        <v>536</v>
      </c>
      <c r="V75" s="363">
        <f t="shared" si="33"/>
        <v>205</v>
      </c>
      <c r="W75" s="363">
        <f t="shared" si="33"/>
        <v>0</v>
      </c>
      <c r="X75" s="363">
        <f t="shared" si="33"/>
        <v>642</v>
      </c>
      <c r="Y75" s="363">
        <f t="shared" si="33"/>
        <v>419</v>
      </c>
      <c r="Z75" s="363">
        <f t="shared" si="33"/>
        <v>416</v>
      </c>
      <c r="AA75" s="363">
        <f t="shared" si="33"/>
        <v>429</v>
      </c>
      <c r="AB75" s="363">
        <f t="shared" si="33"/>
        <v>356</v>
      </c>
      <c r="AC75" s="363">
        <f t="shared" si="33"/>
        <v>74</v>
      </c>
      <c r="AD75" s="363">
        <f t="shared" si="33"/>
        <v>0</v>
      </c>
      <c r="AE75" s="363">
        <f t="shared" si="33"/>
        <v>503</v>
      </c>
      <c r="AF75" s="363">
        <f t="shared" si="33"/>
        <v>425</v>
      </c>
      <c r="AG75" s="363">
        <f t="shared" si="33"/>
        <v>444</v>
      </c>
      <c r="AH75" s="363">
        <f t="shared" si="33"/>
        <v>314</v>
      </c>
      <c r="AI75" s="363">
        <f t="shared" si="33"/>
        <v>191</v>
      </c>
      <c r="AJ75" s="356">
        <f>SUM(H75:AH75)</f>
        <v>9433</v>
      </c>
    </row>
    <row r="76" spans="1:38">
      <c r="A76" s="306">
        <v>2</v>
      </c>
      <c r="B76" s="306" t="s">
        <v>129</v>
      </c>
      <c r="C76" s="544" t="s">
        <v>124</v>
      </c>
      <c r="D76" s="501"/>
      <c r="E76" s="363">
        <f t="shared" ref="E76:AI76" si="34">E34-D34</f>
        <v>612</v>
      </c>
      <c r="F76" s="363">
        <f t="shared" si="34"/>
        <v>409</v>
      </c>
      <c r="G76" s="363">
        <f t="shared" si="34"/>
        <v>604</v>
      </c>
      <c r="H76" s="363">
        <f t="shared" si="34"/>
        <v>303</v>
      </c>
      <c r="I76" s="363">
        <f t="shared" si="34"/>
        <v>0</v>
      </c>
      <c r="J76" s="363">
        <f t="shared" si="34"/>
        <v>866</v>
      </c>
      <c r="K76" s="363">
        <f t="shared" si="34"/>
        <v>761</v>
      </c>
      <c r="L76" s="363">
        <f t="shared" si="34"/>
        <v>584</v>
      </c>
      <c r="M76" s="363">
        <f t="shared" si="34"/>
        <v>443</v>
      </c>
      <c r="N76" s="363">
        <f t="shared" si="34"/>
        <v>380</v>
      </c>
      <c r="O76" s="363">
        <f t="shared" si="34"/>
        <v>268</v>
      </c>
      <c r="P76" s="363">
        <f t="shared" si="34"/>
        <v>0</v>
      </c>
      <c r="Q76" s="363">
        <f t="shared" si="34"/>
        <v>780</v>
      </c>
      <c r="R76" s="363">
        <f t="shared" si="34"/>
        <v>608</v>
      </c>
      <c r="S76" s="363">
        <f t="shared" si="34"/>
        <v>645</v>
      </c>
      <c r="T76" s="363">
        <f t="shared" si="34"/>
        <v>454</v>
      </c>
      <c r="U76" s="363">
        <f t="shared" si="34"/>
        <v>645</v>
      </c>
      <c r="V76" s="363">
        <f t="shared" si="34"/>
        <v>257</v>
      </c>
      <c r="W76" s="363">
        <f t="shared" si="34"/>
        <v>0</v>
      </c>
      <c r="X76" s="363">
        <f t="shared" si="34"/>
        <v>750</v>
      </c>
      <c r="Y76" s="363">
        <f t="shared" si="34"/>
        <v>543</v>
      </c>
      <c r="Z76" s="363">
        <f t="shared" si="34"/>
        <v>523</v>
      </c>
      <c r="AA76" s="363">
        <f t="shared" si="34"/>
        <v>576</v>
      </c>
      <c r="AB76" s="363">
        <f t="shared" si="34"/>
        <v>422</v>
      </c>
      <c r="AC76" s="363">
        <f t="shared" si="34"/>
        <v>311</v>
      </c>
      <c r="AD76" s="363">
        <f t="shared" si="34"/>
        <v>0</v>
      </c>
      <c r="AE76" s="363">
        <f t="shared" si="34"/>
        <v>680</v>
      </c>
      <c r="AF76" s="363">
        <f t="shared" si="34"/>
        <v>552</v>
      </c>
      <c r="AG76" s="363">
        <f t="shared" si="34"/>
        <v>572</v>
      </c>
      <c r="AH76" s="363">
        <f t="shared" si="34"/>
        <v>491</v>
      </c>
      <c r="AI76" s="363">
        <f t="shared" si="34"/>
        <v>259</v>
      </c>
      <c r="AJ76" s="356">
        <f>SUM(H76:AH76)</f>
        <v>12414</v>
      </c>
    </row>
    <row r="77" spans="1:38">
      <c r="A77" s="306">
        <v>3</v>
      </c>
      <c r="B77" s="306" t="s">
        <v>129</v>
      </c>
      <c r="C77" s="544" t="s">
        <v>125</v>
      </c>
      <c r="D77" s="501"/>
      <c r="E77" s="363">
        <f t="shared" ref="E77:AI77" si="35">E35-D35</f>
        <v>1073</v>
      </c>
      <c r="F77" s="363">
        <f t="shared" si="35"/>
        <v>919</v>
      </c>
      <c r="G77" s="363">
        <f t="shared" si="35"/>
        <v>823</v>
      </c>
      <c r="H77" s="363">
        <f t="shared" si="35"/>
        <v>491</v>
      </c>
      <c r="I77" s="363">
        <f t="shared" si="35"/>
        <v>0</v>
      </c>
      <c r="J77" s="363">
        <f t="shared" si="35"/>
        <v>1000</v>
      </c>
      <c r="K77" s="363">
        <f t="shared" si="35"/>
        <v>1019</v>
      </c>
      <c r="L77" s="363">
        <f t="shared" si="35"/>
        <v>862</v>
      </c>
      <c r="M77" s="363">
        <f t="shared" si="35"/>
        <v>719</v>
      </c>
      <c r="N77" s="363">
        <f t="shared" si="35"/>
        <v>717</v>
      </c>
      <c r="O77" s="363">
        <f t="shared" si="35"/>
        <v>572</v>
      </c>
      <c r="P77" s="363">
        <f t="shared" si="35"/>
        <v>0</v>
      </c>
      <c r="Q77" s="363">
        <f t="shared" si="35"/>
        <v>1081</v>
      </c>
      <c r="R77" s="363">
        <f t="shared" si="35"/>
        <v>967</v>
      </c>
      <c r="S77" s="363">
        <f t="shared" si="35"/>
        <v>810</v>
      </c>
      <c r="T77" s="363">
        <f t="shared" si="35"/>
        <v>911</v>
      </c>
      <c r="U77" s="363">
        <f t="shared" si="35"/>
        <v>941</v>
      </c>
      <c r="V77" s="363">
        <f t="shared" si="35"/>
        <v>265</v>
      </c>
      <c r="W77" s="363">
        <f t="shared" si="35"/>
        <v>0</v>
      </c>
      <c r="X77" s="363">
        <f t="shared" si="35"/>
        <v>998</v>
      </c>
      <c r="Y77" s="363">
        <f t="shared" si="35"/>
        <v>994</v>
      </c>
      <c r="Z77" s="363">
        <f t="shared" si="35"/>
        <v>855</v>
      </c>
      <c r="AA77" s="363">
        <f t="shared" si="35"/>
        <v>928</v>
      </c>
      <c r="AB77" s="363">
        <f t="shared" si="35"/>
        <v>805</v>
      </c>
      <c r="AC77" s="363">
        <f t="shared" si="35"/>
        <v>132</v>
      </c>
      <c r="AD77" s="363">
        <f t="shared" si="35"/>
        <v>0</v>
      </c>
      <c r="AE77" s="363">
        <f t="shared" si="35"/>
        <v>989</v>
      </c>
      <c r="AF77" s="363">
        <f t="shared" si="35"/>
        <v>884</v>
      </c>
      <c r="AG77" s="363">
        <f t="shared" si="35"/>
        <v>867</v>
      </c>
      <c r="AH77" s="363">
        <f t="shared" si="35"/>
        <v>910</v>
      </c>
      <c r="AI77" s="363">
        <f t="shared" si="35"/>
        <v>349</v>
      </c>
      <c r="AJ77" s="356">
        <f>SUM(H77:AH77)</f>
        <v>18717</v>
      </c>
    </row>
    <row r="78" spans="1:38">
      <c r="A78" s="306">
        <v>4</v>
      </c>
      <c r="B78" s="306" t="s">
        <v>129</v>
      </c>
      <c r="C78" s="544" t="s">
        <v>126</v>
      </c>
      <c r="D78" s="501"/>
      <c r="E78" s="363">
        <f t="shared" ref="E78:AI78" si="36">E36-D36</f>
        <v>0</v>
      </c>
      <c r="F78" s="363">
        <f t="shared" si="36"/>
        <v>0</v>
      </c>
      <c r="G78" s="363">
        <f t="shared" si="36"/>
        <v>0</v>
      </c>
      <c r="H78" s="363">
        <f t="shared" si="36"/>
        <v>0</v>
      </c>
      <c r="I78" s="363">
        <f t="shared" si="36"/>
        <v>0</v>
      </c>
      <c r="J78" s="363">
        <f t="shared" si="36"/>
        <v>0</v>
      </c>
      <c r="K78" s="363">
        <f t="shared" si="36"/>
        <v>0</v>
      </c>
      <c r="L78" s="363">
        <f t="shared" si="36"/>
        <v>0</v>
      </c>
      <c r="M78" s="363">
        <f t="shared" si="36"/>
        <v>0</v>
      </c>
      <c r="N78" s="363">
        <f t="shared" si="36"/>
        <v>0</v>
      </c>
      <c r="O78" s="363">
        <f t="shared" si="36"/>
        <v>0</v>
      </c>
      <c r="P78" s="363">
        <f t="shared" si="36"/>
        <v>0</v>
      </c>
      <c r="Q78" s="363">
        <f t="shared" si="36"/>
        <v>0</v>
      </c>
      <c r="R78" s="363">
        <f t="shared" si="36"/>
        <v>0</v>
      </c>
      <c r="S78" s="363">
        <f t="shared" si="36"/>
        <v>0</v>
      </c>
      <c r="T78" s="363">
        <f t="shared" si="36"/>
        <v>0</v>
      </c>
      <c r="U78" s="363">
        <f t="shared" si="36"/>
        <v>0</v>
      </c>
      <c r="V78" s="363">
        <f t="shared" si="36"/>
        <v>0</v>
      </c>
      <c r="W78" s="363">
        <f t="shared" si="36"/>
        <v>0</v>
      </c>
      <c r="X78" s="363">
        <f t="shared" si="36"/>
        <v>0</v>
      </c>
      <c r="Y78" s="363">
        <f t="shared" si="36"/>
        <v>0</v>
      </c>
      <c r="Z78" s="363">
        <f t="shared" si="36"/>
        <v>0</v>
      </c>
      <c r="AA78" s="363">
        <f t="shared" si="36"/>
        <v>0</v>
      </c>
      <c r="AB78" s="363">
        <f t="shared" si="36"/>
        <v>0</v>
      </c>
      <c r="AC78" s="363">
        <f t="shared" si="36"/>
        <v>0</v>
      </c>
      <c r="AD78" s="363">
        <f t="shared" si="36"/>
        <v>0</v>
      </c>
      <c r="AE78" s="363">
        <f t="shared" si="36"/>
        <v>0</v>
      </c>
      <c r="AF78" s="363">
        <f t="shared" si="36"/>
        <v>0</v>
      </c>
      <c r="AG78" s="363">
        <f t="shared" si="36"/>
        <v>0</v>
      </c>
      <c r="AH78" s="363">
        <f t="shared" si="36"/>
        <v>0</v>
      </c>
      <c r="AI78" s="363">
        <f t="shared" si="36"/>
        <v>0</v>
      </c>
      <c r="AJ78" s="356">
        <f>SUM(H78:AH78)</f>
        <v>0</v>
      </c>
    </row>
    <row r="79" spans="1:38">
      <c r="A79" s="357"/>
      <c r="B79" s="357"/>
      <c r="C79" s="553" t="s">
        <v>136</v>
      </c>
      <c r="D79" s="501"/>
      <c r="E79" s="358">
        <f t="shared" ref="E79:AJ79" si="37">SUM(E75:E78)</f>
        <v>2140</v>
      </c>
      <c r="F79" s="358">
        <f t="shared" si="37"/>
        <v>1707</v>
      </c>
      <c r="G79" s="358">
        <f t="shared" si="37"/>
        <v>1871</v>
      </c>
      <c r="H79" s="358">
        <f t="shared" si="37"/>
        <v>1073</v>
      </c>
      <c r="I79" s="358">
        <f t="shared" si="37"/>
        <v>0</v>
      </c>
      <c r="J79" s="358">
        <f t="shared" si="37"/>
        <v>2428</v>
      </c>
      <c r="K79" s="358">
        <f t="shared" si="37"/>
        <v>2344</v>
      </c>
      <c r="L79" s="358">
        <f t="shared" si="37"/>
        <v>1903</v>
      </c>
      <c r="M79" s="358">
        <f t="shared" si="37"/>
        <v>1509</v>
      </c>
      <c r="N79" s="358">
        <f t="shared" si="37"/>
        <v>1409</v>
      </c>
      <c r="O79" s="358">
        <f t="shared" si="37"/>
        <v>1029</v>
      </c>
      <c r="P79" s="358">
        <f t="shared" si="37"/>
        <v>0</v>
      </c>
      <c r="Q79" s="358">
        <f t="shared" si="37"/>
        <v>2393</v>
      </c>
      <c r="R79" s="358">
        <f t="shared" si="37"/>
        <v>2123</v>
      </c>
      <c r="S79" s="358">
        <f t="shared" si="37"/>
        <v>1924</v>
      </c>
      <c r="T79" s="358">
        <f t="shared" si="37"/>
        <v>1776</v>
      </c>
      <c r="U79" s="358">
        <f t="shared" si="37"/>
        <v>2122</v>
      </c>
      <c r="V79" s="358">
        <f t="shared" si="37"/>
        <v>727</v>
      </c>
      <c r="W79" s="358">
        <f t="shared" si="37"/>
        <v>0</v>
      </c>
      <c r="X79" s="358">
        <f t="shared" si="37"/>
        <v>2390</v>
      </c>
      <c r="Y79" s="358">
        <f t="shared" si="37"/>
        <v>1956</v>
      </c>
      <c r="Z79" s="358">
        <f t="shared" si="37"/>
        <v>1794</v>
      </c>
      <c r="AA79" s="358">
        <f t="shared" si="37"/>
        <v>1933</v>
      </c>
      <c r="AB79" s="358">
        <f t="shared" si="37"/>
        <v>1583</v>
      </c>
      <c r="AC79" s="358">
        <f t="shared" si="37"/>
        <v>517</v>
      </c>
      <c r="AD79" s="358">
        <f t="shared" si="37"/>
        <v>0</v>
      </c>
      <c r="AE79" s="358">
        <f t="shared" si="37"/>
        <v>2172</v>
      </c>
      <c r="AF79" s="358">
        <f t="shared" si="37"/>
        <v>1861</v>
      </c>
      <c r="AG79" s="358">
        <f t="shared" si="37"/>
        <v>1883</v>
      </c>
      <c r="AH79" s="358">
        <f t="shared" si="37"/>
        <v>1715</v>
      </c>
      <c r="AI79" s="358">
        <f t="shared" si="37"/>
        <v>799</v>
      </c>
      <c r="AJ79" s="358">
        <f t="shared" si="37"/>
        <v>40564</v>
      </c>
    </row>
    <row r="80" spans="1:38">
      <c r="A80" s="300"/>
      <c r="B80" s="300"/>
      <c r="C80" s="300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300"/>
      <c r="AA80" s="300"/>
      <c r="AB80" s="300"/>
      <c r="AC80" s="300"/>
      <c r="AD80" s="300"/>
      <c r="AE80" s="300"/>
      <c r="AF80" s="300"/>
      <c r="AG80" s="300"/>
      <c r="AH80" s="300"/>
      <c r="AI80" s="300"/>
    </row>
    <row r="81" spans="1:64">
      <c r="A81" s="300"/>
      <c r="B81" s="300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300"/>
      <c r="AE81" s="300"/>
      <c r="AF81" s="300"/>
      <c r="AG81" s="300"/>
      <c r="AH81" s="300"/>
      <c r="AI81" s="300"/>
    </row>
    <row r="82" spans="1:64">
      <c r="A82" s="300"/>
      <c r="B82" s="300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  <c r="AA82" s="300"/>
      <c r="AB82" s="300"/>
      <c r="AC82" s="300"/>
      <c r="AD82" s="300"/>
      <c r="AE82" s="300"/>
      <c r="AF82" s="300"/>
      <c r="AG82" s="300"/>
      <c r="AH82" s="300"/>
      <c r="AI82" s="300"/>
    </row>
    <row r="83" spans="1:64" ht="18.5" customHeight="1">
      <c r="A83" s="545"/>
      <c r="B83" s="526"/>
      <c r="C83" s="526"/>
      <c r="D83" s="527"/>
      <c r="E83" s="559" t="s">
        <v>149</v>
      </c>
      <c r="F83" s="526"/>
      <c r="G83" s="526"/>
      <c r="H83" s="526"/>
      <c r="I83" s="526"/>
      <c r="J83" s="526"/>
      <c r="K83" s="526"/>
      <c r="L83" s="526"/>
      <c r="M83" s="526"/>
      <c r="N83" s="526"/>
      <c r="O83" s="526"/>
      <c r="P83" s="526"/>
      <c r="Q83" s="526"/>
      <c r="R83" s="526"/>
      <c r="S83" s="526"/>
      <c r="T83" s="526"/>
      <c r="U83" s="526"/>
      <c r="V83" s="526"/>
      <c r="W83" s="526"/>
      <c r="X83" s="526"/>
      <c r="Y83" s="526"/>
      <c r="Z83" s="526"/>
      <c r="AA83" s="526"/>
      <c r="AB83" s="526"/>
      <c r="AC83" s="526"/>
      <c r="AD83" s="526"/>
      <c r="AE83" s="526"/>
      <c r="AF83" s="526"/>
      <c r="AG83" s="526"/>
      <c r="AH83" s="527"/>
      <c r="AI83" s="559" t="s">
        <v>149</v>
      </c>
      <c r="AJ83" s="526"/>
      <c r="AK83" s="526"/>
      <c r="AL83" s="526"/>
      <c r="AM83" s="526"/>
      <c r="AN83" s="526"/>
      <c r="AO83" s="526"/>
      <c r="AP83" s="526"/>
      <c r="AQ83" s="526"/>
      <c r="AR83" s="526"/>
      <c r="AS83" s="526"/>
      <c r="AT83" s="526"/>
      <c r="AU83" s="526"/>
      <c r="AV83" s="526"/>
      <c r="AW83" s="526"/>
      <c r="AX83" s="526"/>
      <c r="AY83" s="526"/>
      <c r="AZ83" s="526"/>
      <c r="BA83" s="526"/>
      <c r="BB83" s="526"/>
      <c r="BC83" s="526"/>
      <c r="BD83" s="526"/>
      <c r="BE83" s="526"/>
      <c r="BF83" s="526"/>
      <c r="BG83" s="526"/>
      <c r="BH83" s="526"/>
      <c r="BI83" s="526"/>
      <c r="BJ83" s="526"/>
      <c r="BK83" s="526"/>
      <c r="BL83" s="527"/>
    </row>
    <row r="84" spans="1:64">
      <c r="A84" s="549" t="s">
        <v>99</v>
      </c>
      <c r="B84" s="549" t="s">
        <v>100</v>
      </c>
      <c r="C84" s="550" t="s">
        <v>101</v>
      </c>
      <c r="D84" s="552" t="s">
        <v>102</v>
      </c>
      <c r="E84" s="301">
        <v>46204</v>
      </c>
      <c r="F84" s="301">
        <v>46205</v>
      </c>
      <c r="G84" s="301">
        <v>46206</v>
      </c>
      <c r="H84" s="301">
        <v>46207</v>
      </c>
      <c r="I84" s="301">
        <v>46208</v>
      </c>
      <c r="J84" s="301">
        <v>46209</v>
      </c>
      <c r="K84" s="301">
        <v>46210</v>
      </c>
      <c r="L84" s="301">
        <v>46211</v>
      </c>
      <c r="M84" s="301">
        <v>46212</v>
      </c>
      <c r="N84" s="301">
        <v>46213</v>
      </c>
      <c r="O84" s="301">
        <v>46214</v>
      </c>
      <c r="P84" s="301">
        <v>46215</v>
      </c>
      <c r="Q84" s="301">
        <v>46216</v>
      </c>
      <c r="R84" s="301">
        <v>46217</v>
      </c>
      <c r="S84" s="301">
        <v>46218</v>
      </c>
      <c r="T84" s="301">
        <v>46219</v>
      </c>
      <c r="U84" s="301">
        <v>46220</v>
      </c>
      <c r="V84" s="301">
        <v>46221</v>
      </c>
      <c r="W84" s="301">
        <v>46222</v>
      </c>
      <c r="X84" s="301">
        <v>46223</v>
      </c>
      <c r="Y84" s="301">
        <v>46224</v>
      </c>
      <c r="Z84" s="301">
        <v>46225</v>
      </c>
      <c r="AA84" s="301">
        <v>46226</v>
      </c>
      <c r="AB84" s="301">
        <v>46227</v>
      </c>
      <c r="AC84" s="301">
        <v>46228</v>
      </c>
      <c r="AD84" s="301">
        <v>46229</v>
      </c>
      <c r="AE84" s="301">
        <v>46230</v>
      </c>
      <c r="AF84" s="301">
        <v>46231</v>
      </c>
      <c r="AG84" s="301">
        <v>46232</v>
      </c>
      <c r="AH84" s="301">
        <v>46233</v>
      </c>
      <c r="AI84" s="301">
        <v>46234</v>
      </c>
      <c r="AJ84" s="541" t="s">
        <v>1</v>
      </c>
    </row>
    <row r="85" spans="1:64">
      <c r="A85" s="511"/>
      <c r="B85" s="511"/>
      <c r="C85" s="511"/>
      <c r="D85" s="511"/>
      <c r="E85" s="302" t="s">
        <v>103</v>
      </c>
      <c r="F85" s="302" t="s">
        <v>104</v>
      </c>
      <c r="G85" s="302" t="s">
        <v>105</v>
      </c>
      <c r="H85" s="302" t="s">
        <v>106</v>
      </c>
      <c r="I85" s="302" t="s">
        <v>107</v>
      </c>
      <c r="J85" s="302" t="s">
        <v>108</v>
      </c>
      <c r="K85" s="302" t="s">
        <v>109</v>
      </c>
      <c r="L85" s="302" t="s">
        <v>103</v>
      </c>
      <c r="M85" s="302" t="s">
        <v>104</v>
      </c>
      <c r="N85" s="302" t="s">
        <v>105</v>
      </c>
      <c r="O85" s="302" t="s">
        <v>106</v>
      </c>
      <c r="P85" s="302" t="s">
        <v>107</v>
      </c>
      <c r="Q85" s="302" t="s">
        <v>108</v>
      </c>
      <c r="R85" s="302" t="s">
        <v>109</v>
      </c>
      <c r="S85" s="302" t="s">
        <v>103</v>
      </c>
      <c r="T85" s="302" t="s">
        <v>104</v>
      </c>
      <c r="U85" s="302" t="s">
        <v>105</v>
      </c>
      <c r="V85" s="302" t="s">
        <v>106</v>
      </c>
      <c r="W85" s="302" t="s">
        <v>107</v>
      </c>
      <c r="X85" s="302" t="s">
        <v>108</v>
      </c>
      <c r="Y85" s="302" t="s">
        <v>109</v>
      </c>
      <c r="Z85" s="302" t="s">
        <v>103</v>
      </c>
      <c r="AA85" s="302" t="s">
        <v>104</v>
      </c>
      <c r="AB85" s="302" t="s">
        <v>105</v>
      </c>
      <c r="AC85" s="302" t="s">
        <v>106</v>
      </c>
      <c r="AD85" s="302" t="s">
        <v>107</v>
      </c>
      <c r="AE85" s="302" t="s">
        <v>108</v>
      </c>
      <c r="AF85" s="302" t="s">
        <v>109</v>
      </c>
      <c r="AG85" s="302" t="s">
        <v>103</v>
      </c>
      <c r="AH85" s="302" t="s">
        <v>104</v>
      </c>
      <c r="AI85" s="302" t="s">
        <v>105</v>
      </c>
      <c r="AJ85" s="508"/>
    </row>
    <row r="86" spans="1:64">
      <c r="A86" s="511"/>
      <c r="B86" s="511"/>
      <c r="C86" s="511"/>
      <c r="D86" s="511"/>
      <c r="E86" s="303" t="s">
        <v>110</v>
      </c>
      <c r="F86" s="303" t="s">
        <v>110</v>
      </c>
      <c r="G86" s="303" t="s">
        <v>110</v>
      </c>
      <c r="H86" s="303" t="s">
        <v>110</v>
      </c>
      <c r="I86" s="303" t="s">
        <v>110</v>
      </c>
      <c r="J86" s="303" t="s">
        <v>110</v>
      </c>
      <c r="K86" s="303" t="s">
        <v>110</v>
      </c>
      <c r="L86" s="303" t="s">
        <v>110</v>
      </c>
      <c r="M86" s="303" t="s">
        <v>110</v>
      </c>
      <c r="N86" s="303" t="s">
        <v>110</v>
      </c>
      <c r="O86" s="303" t="s">
        <v>110</v>
      </c>
      <c r="P86" s="303" t="s">
        <v>110</v>
      </c>
      <c r="Q86" s="303" t="s">
        <v>110</v>
      </c>
      <c r="R86" s="303" t="s">
        <v>110</v>
      </c>
      <c r="S86" s="303" t="s">
        <v>110</v>
      </c>
      <c r="T86" s="303" t="s">
        <v>110</v>
      </c>
      <c r="U86" s="303" t="s">
        <v>110</v>
      </c>
      <c r="V86" s="303" t="s">
        <v>110</v>
      </c>
      <c r="W86" s="303" t="s">
        <v>110</v>
      </c>
      <c r="X86" s="303" t="s">
        <v>110</v>
      </c>
      <c r="Y86" s="303" t="s">
        <v>110</v>
      </c>
      <c r="Z86" s="303" t="s">
        <v>110</v>
      </c>
      <c r="AA86" s="303" t="s">
        <v>110</v>
      </c>
      <c r="AB86" s="303" t="s">
        <v>110</v>
      </c>
      <c r="AC86" s="303" t="s">
        <v>110</v>
      </c>
      <c r="AD86" s="303" t="s">
        <v>110</v>
      </c>
      <c r="AE86" s="303" t="s">
        <v>110</v>
      </c>
      <c r="AF86" s="303" t="s">
        <v>110</v>
      </c>
      <c r="AG86" s="303" t="s">
        <v>110</v>
      </c>
      <c r="AH86" s="303" t="s">
        <v>110</v>
      </c>
      <c r="AI86" s="303" t="s">
        <v>110</v>
      </c>
      <c r="AJ86" s="508"/>
    </row>
    <row r="87" spans="1:64">
      <c r="A87" s="512"/>
      <c r="B87" s="512"/>
      <c r="C87" s="512"/>
      <c r="D87" s="512"/>
      <c r="E87" s="369">
        <v>0.33333333333333331</v>
      </c>
      <c r="F87" s="369">
        <v>0.33333333333333331</v>
      </c>
      <c r="G87" s="369">
        <v>0.33333333333333331</v>
      </c>
      <c r="H87" s="369">
        <v>0.33333333333333331</v>
      </c>
      <c r="I87" s="369">
        <v>0.33333333333333331</v>
      </c>
      <c r="J87" s="369">
        <v>0.33333333333333331</v>
      </c>
      <c r="K87" s="369">
        <v>0.33333333333333331</v>
      </c>
      <c r="L87" s="369">
        <v>0.33333333333333331</v>
      </c>
      <c r="M87" s="369">
        <v>0.33333333333333331</v>
      </c>
      <c r="N87" s="369">
        <v>0.33333333333333331</v>
      </c>
      <c r="O87" s="369">
        <v>0.33333333333333331</v>
      </c>
      <c r="P87" s="369">
        <v>0.33333333333333331</v>
      </c>
      <c r="Q87" s="369">
        <v>0.33333333333333331</v>
      </c>
      <c r="R87" s="369">
        <v>0.33333333333333331</v>
      </c>
      <c r="S87" s="369">
        <v>0.33333333333333331</v>
      </c>
      <c r="T87" s="369">
        <v>0.33333333333333331</v>
      </c>
      <c r="U87" s="369">
        <v>0.33333333333333331</v>
      </c>
      <c r="V87" s="369">
        <v>0.33333333333333331</v>
      </c>
      <c r="W87" s="369">
        <v>0.33333333333333331</v>
      </c>
      <c r="X87" s="369">
        <v>0.33333333333333331</v>
      </c>
      <c r="Y87" s="369">
        <v>0.33333333333333331</v>
      </c>
      <c r="Z87" s="369">
        <v>0.33333333333333331</v>
      </c>
      <c r="AA87" s="369">
        <v>0.33333333333333331</v>
      </c>
      <c r="AB87" s="369">
        <v>0.33333333333333331</v>
      </c>
      <c r="AC87" s="369">
        <v>0.33333333333333331</v>
      </c>
      <c r="AD87" s="369">
        <v>0.33333333333333331</v>
      </c>
      <c r="AE87" s="369">
        <v>0.33333333333333331</v>
      </c>
      <c r="AF87" s="369">
        <v>0.33333333333333331</v>
      </c>
      <c r="AG87" s="369">
        <v>0.33333333333333331</v>
      </c>
      <c r="AH87" s="369">
        <v>0.33333333333333331</v>
      </c>
      <c r="AI87" s="369">
        <v>0.33333333333333331</v>
      </c>
      <c r="AJ87" s="509"/>
    </row>
    <row r="88" spans="1:64">
      <c r="A88" s="310">
        <v>1</v>
      </c>
      <c r="B88" s="370" t="s">
        <v>150</v>
      </c>
      <c r="C88" s="370" t="s">
        <v>151</v>
      </c>
      <c r="D88" s="370">
        <v>3356</v>
      </c>
      <c r="E88" s="370">
        <v>3368</v>
      </c>
      <c r="F88" s="370">
        <v>3395</v>
      </c>
      <c r="G88" s="370">
        <v>3405</v>
      </c>
      <c r="H88" s="370">
        <v>3405</v>
      </c>
      <c r="I88" s="370">
        <v>3405</v>
      </c>
      <c r="J88" s="370">
        <v>3405</v>
      </c>
      <c r="K88" s="370">
        <v>3431</v>
      </c>
      <c r="L88" s="370">
        <v>3443</v>
      </c>
      <c r="M88" s="370">
        <v>3482</v>
      </c>
      <c r="N88" s="370">
        <v>3499</v>
      </c>
      <c r="O88" s="370">
        <v>3499</v>
      </c>
      <c r="P88" s="370">
        <v>3499</v>
      </c>
      <c r="Q88" s="370">
        <v>3499</v>
      </c>
      <c r="R88" s="370">
        <v>3524</v>
      </c>
      <c r="S88" s="370">
        <v>3532</v>
      </c>
      <c r="T88" s="370">
        <v>3532</v>
      </c>
      <c r="U88" s="370">
        <v>3560</v>
      </c>
      <c r="V88" s="370">
        <v>3560</v>
      </c>
      <c r="W88" s="370">
        <v>3560</v>
      </c>
      <c r="X88" s="370">
        <v>3587</v>
      </c>
      <c r="Y88" s="370">
        <v>3609</v>
      </c>
      <c r="Z88" s="370">
        <v>3609</v>
      </c>
      <c r="AA88" s="370">
        <v>3631</v>
      </c>
      <c r="AB88" s="370">
        <v>3678</v>
      </c>
      <c r="AC88" s="370">
        <v>3678</v>
      </c>
      <c r="AD88" s="370">
        <v>3678</v>
      </c>
      <c r="AE88" s="370">
        <v>3678</v>
      </c>
      <c r="AF88" s="370">
        <v>3715</v>
      </c>
      <c r="AG88" s="370">
        <v>3740</v>
      </c>
      <c r="AH88" s="370">
        <v>3781</v>
      </c>
      <c r="AI88" s="370">
        <v>3826</v>
      </c>
      <c r="AJ88" s="399"/>
    </row>
    <row r="89" spans="1:64">
      <c r="A89" s="300"/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  <c r="Y89" s="300"/>
      <c r="Z89" s="300"/>
      <c r="AA89" s="300"/>
      <c r="AB89" s="300"/>
      <c r="AC89" s="300"/>
      <c r="AD89" s="300"/>
      <c r="AE89" s="300"/>
      <c r="AF89" s="300"/>
      <c r="AG89" s="300"/>
      <c r="AH89" s="300"/>
      <c r="AI89" s="300"/>
    </row>
    <row r="90" spans="1:64">
      <c r="A90" s="541" t="s">
        <v>99</v>
      </c>
      <c r="B90" s="541" t="s">
        <v>100</v>
      </c>
      <c r="C90" s="541" t="s">
        <v>101</v>
      </c>
      <c r="D90" s="517"/>
      <c r="E90" s="352">
        <f t="shared" ref="E90:AH90" si="38">E84</f>
        <v>46204</v>
      </c>
      <c r="F90" s="352">
        <f t="shared" si="38"/>
        <v>46205</v>
      </c>
      <c r="G90" s="352">
        <f t="shared" si="38"/>
        <v>46206</v>
      </c>
      <c r="H90" s="352">
        <f t="shared" si="38"/>
        <v>46207</v>
      </c>
      <c r="I90" s="352">
        <f t="shared" si="38"/>
        <v>46208</v>
      </c>
      <c r="J90" s="352">
        <f t="shared" si="38"/>
        <v>46209</v>
      </c>
      <c r="K90" s="352">
        <f t="shared" si="38"/>
        <v>46210</v>
      </c>
      <c r="L90" s="352">
        <f t="shared" si="38"/>
        <v>46211</v>
      </c>
      <c r="M90" s="352">
        <f t="shared" si="38"/>
        <v>46212</v>
      </c>
      <c r="N90" s="352">
        <f t="shared" si="38"/>
        <v>46213</v>
      </c>
      <c r="O90" s="352">
        <f t="shared" si="38"/>
        <v>46214</v>
      </c>
      <c r="P90" s="352">
        <f t="shared" si="38"/>
        <v>46215</v>
      </c>
      <c r="Q90" s="352">
        <f t="shared" si="38"/>
        <v>46216</v>
      </c>
      <c r="R90" s="352">
        <f t="shared" si="38"/>
        <v>46217</v>
      </c>
      <c r="S90" s="352">
        <f t="shared" si="38"/>
        <v>46218</v>
      </c>
      <c r="T90" s="352">
        <f t="shared" si="38"/>
        <v>46219</v>
      </c>
      <c r="U90" s="352">
        <f t="shared" si="38"/>
        <v>46220</v>
      </c>
      <c r="V90" s="352">
        <f t="shared" si="38"/>
        <v>46221</v>
      </c>
      <c r="W90" s="352">
        <f t="shared" si="38"/>
        <v>46222</v>
      </c>
      <c r="X90" s="352">
        <f t="shared" si="38"/>
        <v>46223</v>
      </c>
      <c r="Y90" s="352">
        <f t="shared" si="38"/>
        <v>46224</v>
      </c>
      <c r="Z90" s="352">
        <f t="shared" si="38"/>
        <v>46225</v>
      </c>
      <c r="AA90" s="352">
        <f t="shared" si="38"/>
        <v>46226</v>
      </c>
      <c r="AB90" s="352">
        <f t="shared" si="38"/>
        <v>46227</v>
      </c>
      <c r="AC90" s="352">
        <f t="shared" si="38"/>
        <v>46228</v>
      </c>
      <c r="AD90" s="352">
        <f t="shared" si="38"/>
        <v>46229</v>
      </c>
      <c r="AE90" s="352">
        <f t="shared" si="38"/>
        <v>46230</v>
      </c>
      <c r="AF90" s="352">
        <f t="shared" si="38"/>
        <v>46231</v>
      </c>
      <c r="AG90" s="352">
        <f t="shared" si="38"/>
        <v>46232</v>
      </c>
      <c r="AH90" s="352">
        <f t="shared" si="38"/>
        <v>46233</v>
      </c>
      <c r="AI90" s="442"/>
      <c r="AJ90" s="541" t="s">
        <v>1</v>
      </c>
    </row>
    <row r="91" spans="1:64">
      <c r="A91" s="508"/>
      <c r="B91" s="508"/>
      <c r="C91" s="518"/>
      <c r="D91" s="519"/>
      <c r="E91" s="302" t="s">
        <v>103</v>
      </c>
      <c r="F91" s="302" t="s">
        <v>104</v>
      </c>
      <c r="G91" s="302" t="s">
        <v>105</v>
      </c>
      <c r="H91" s="302" t="s">
        <v>106</v>
      </c>
      <c r="I91" s="302" t="s">
        <v>107</v>
      </c>
      <c r="J91" s="302" t="s">
        <v>108</v>
      </c>
      <c r="K91" s="302" t="s">
        <v>109</v>
      </c>
      <c r="L91" s="302" t="s">
        <v>103</v>
      </c>
      <c r="M91" s="302" t="s">
        <v>104</v>
      </c>
      <c r="N91" s="302" t="s">
        <v>105</v>
      </c>
      <c r="O91" s="302" t="s">
        <v>106</v>
      </c>
      <c r="P91" s="302" t="s">
        <v>107</v>
      </c>
      <c r="Q91" s="302" t="s">
        <v>108</v>
      </c>
      <c r="R91" s="302" t="s">
        <v>109</v>
      </c>
      <c r="S91" s="302" t="s">
        <v>103</v>
      </c>
      <c r="T91" s="302" t="s">
        <v>104</v>
      </c>
      <c r="U91" s="302" t="s">
        <v>105</v>
      </c>
      <c r="V91" s="302" t="s">
        <v>106</v>
      </c>
      <c r="W91" s="302" t="s">
        <v>107</v>
      </c>
      <c r="X91" s="302" t="s">
        <v>108</v>
      </c>
      <c r="Y91" s="302" t="s">
        <v>109</v>
      </c>
      <c r="Z91" s="302" t="s">
        <v>103</v>
      </c>
      <c r="AA91" s="302" t="s">
        <v>104</v>
      </c>
      <c r="AB91" s="302" t="s">
        <v>105</v>
      </c>
      <c r="AC91" s="302" t="s">
        <v>106</v>
      </c>
      <c r="AD91" s="302" t="s">
        <v>107</v>
      </c>
      <c r="AE91" s="302" t="s">
        <v>108</v>
      </c>
      <c r="AF91" s="302" t="s">
        <v>109</v>
      </c>
      <c r="AG91" s="302" t="s">
        <v>103</v>
      </c>
      <c r="AH91" s="302" t="s">
        <v>104</v>
      </c>
      <c r="AI91" s="443"/>
      <c r="AJ91" s="508"/>
    </row>
    <row r="92" spans="1:64">
      <c r="A92" s="508"/>
      <c r="B92" s="508"/>
      <c r="C92" s="518"/>
      <c r="D92" s="519"/>
      <c r="E92" s="353" t="s">
        <v>110</v>
      </c>
      <c r="F92" s="353" t="s">
        <v>110</v>
      </c>
      <c r="G92" s="353" t="s">
        <v>110</v>
      </c>
      <c r="H92" s="353" t="s">
        <v>110</v>
      </c>
      <c r="I92" s="353" t="s">
        <v>110</v>
      </c>
      <c r="J92" s="353" t="s">
        <v>110</v>
      </c>
      <c r="K92" s="353" t="s">
        <v>110</v>
      </c>
      <c r="L92" s="353" t="s">
        <v>110</v>
      </c>
      <c r="M92" s="353" t="s">
        <v>110</v>
      </c>
      <c r="N92" s="353" t="s">
        <v>110</v>
      </c>
      <c r="O92" s="353" t="s">
        <v>110</v>
      </c>
      <c r="P92" s="353" t="s">
        <v>110</v>
      </c>
      <c r="Q92" s="353" t="s">
        <v>110</v>
      </c>
      <c r="R92" s="353" t="s">
        <v>110</v>
      </c>
      <c r="S92" s="353" t="s">
        <v>110</v>
      </c>
      <c r="T92" s="353" t="s">
        <v>110</v>
      </c>
      <c r="U92" s="353" t="s">
        <v>110</v>
      </c>
      <c r="V92" s="353" t="s">
        <v>110</v>
      </c>
      <c r="W92" s="353" t="s">
        <v>110</v>
      </c>
      <c r="X92" s="353" t="s">
        <v>110</v>
      </c>
      <c r="Y92" s="353" t="s">
        <v>110</v>
      </c>
      <c r="Z92" s="353" t="s">
        <v>110</v>
      </c>
      <c r="AA92" s="353" t="s">
        <v>110</v>
      </c>
      <c r="AB92" s="353" t="s">
        <v>110</v>
      </c>
      <c r="AC92" s="353" t="s">
        <v>110</v>
      </c>
      <c r="AD92" s="353" t="s">
        <v>110</v>
      </c>
      <c r="AE92" s="353" t="s">
        <v>110</v>
      </c>
      <c r="AF92" s="353" t="s">
        <v>110</v>
      </c>
      <c r="AG92" s="353" t="s">
        <v>110</v>
      </c>
      <c r="AH92" s="353" t="s">
        <v>110</v>
      </c>
      <c r="AI92" s="444"/>
      <c r="AJ92" s="508"/>
    </row>
    <row r="93" spans="1:64">
      <c r="A93" s="509"/>
      <c r="B93" s="509"/>
      <c r="C93" s="520"/>
      <c r="D93" s="521"/>
      <c r="E93" s="354">
        <v>0.33333333333333331</v>
      </c>
      <c r="F93" s="354">
        <v>0.33333333333333331</v>
      </c>
      <c r="G93" s="354">
        <v>0.33333333333333331</v>
      </c>
      <c r="H93" s="354">
        <v>0.33333333333333331</v>
      </c>
      <c r="I93" s="354">
        <v>0.33333333333333331</v>
      </c>
      <c r="J93" s="354">
        <v>0.33333333333333331</v>
      </c>
      <c r="K93" s="354">
        <v>0.33333333333333331</v>
      </c>
      <c r="L93" s="354">
        <v>0.33333333333333331</v>
      </c>
      <c r="M93" s="354">
        <v>0.33333333333333331</v>
      </c>
      <c r="N93" s="354">
        <v>0.33333333333333331</v>
      </c>
      <c r="O93" s="354">
        <v>0.33333333333333331</v>
      </c>
      <c r="P93" s="354">
        <v>0.33333333333333331</v>
      </c>
      <c r="Q93" s="354">
        <v>0.33333333333333331</v>
      </c>
      <c r="R93" s="354">
        <v>0.33333333333333331</v>
      </c>
      <c r="S93" s="354">
        <v>0.33333333333333331</v>
      </c>
      <c r="T93" s="354">
        <v>0.33333333333333331</v>
      </c>
      <c r="U93" s="354">
        <v>0.33333333333333331</v>
      </c>
      <c r="V93" s="354">
        <v>0.33333333333333331</v>
      </c>
      <c r="W93" s="354">
        <v>0.33333333333333331</v>
      </c>
      <c r="X93" s="354">
        <v>0.33333333333333331</v>
      </c>
      <c r="Y93" s="354">
        <v>0.33333333333333331</v>
      </c>
      <c r="Z93" s="354">
        <v>0.33333333333333331</v>
      </c>
      <c r="AA93" s="354">
        <v>0.33333333333333331</v>
      </c>
      <c r="AB93" s="354">
        <v>0.33333333333333331</v>
      </c>
      <c r="AC93" s="354">
        <v>0.33333333333333331</v>
      </c>
      <c r="AD93" s="354">
        <v>0.33333333333333331</v>
      </c>
      <c r="AE93" s="354">
        <v>0.33333333333333331</v>
      </c>
      <c r="AF93" s="354">
        <v>0.33333333333333331</v>
      </c>
      <c r="AG93" s="354">
        <v>0.33333333333333331</v>
      </c>
      <c r="AH93" s="354">
        <v>0.33333333333333331</v>
      </c>
      <c r="AI93" s="445"/>
      <c r="AJ93" s="509"/>
    </row>
    <row r="94" spans="1:64">
      <c r="A94" s="372">
        <v>1</v>
      </c>
      <c r="B94" s="373" t="s">
        <v>150</v>
      </c>
      <c r="C94" s="546" t="s">
        <v>151</v>
      </c>
      <c r="D94" s="501"/>
      <c r="E94" s="355">
        <f t="shared" ref="E94:AH94" si="39">E88-D88</f>
        <v>12</v>
      </c>
      <c r="F94" s="355">
        <f t="shared" si="39"/>
        <v>27</v>
      </c>
      <c r="G94" s="355">
        <f t="shared" si="39"/>
        <v>10</v>
      </c>
      <c r="H94" s="355">
        <f t="shared" si="39"/>
        <v>0</v>
      </c>
      <c r="I94" s="355">
        <f t="shared" si="39"/>
        <v>0</v>
      </c>
      <c r="J94" s="355">
        <f t="shared" si="39"/>
        <v>0</v>
      </c>
      <c r="K94" s="355">
        <f t="shared" si="39"/>
        <v>26</v>
      </c>
      <c r="L94" s="355">
        <f t="shared" si="39"/>
        <v>12</v>
      </c>
      <c r="M94" s="355">
        <f t="shared" si="39"/>
        <v>39</v>
      </c>
      <c r="N94" s="355">
        <f t="shared" si="39"/>
        <v>17</v>
      </c>
      <c r="O94" s="355">
        <f t="shared" si="39"/>
        <v>0</v>
      </c>
      <c r="P94" s="355">
        <f t="shared" si="39"/>
        <v>0</v>
      </c>
      <c r="Q94" s="355">
        <f t="shared" si="39"/>
        <v>0</v>
      </c>
      <c r="R94" s="355">
        <f t="shared" si="39"/>
        <v>25</v>
      </c>
      <c r="S94" s="355">
        <f t="shared" si="39"/>
        <v>8</v>
      </c>
      <c r="T94" s="355">
        <f t="shared" si="39"/>
        <v>0</v>
      </c>
      <c r="U94" s="355">
        <f t="shared" si="39"/>
        <v>28</v>
      </c>
      <c r="V94" s="355">
        <f t="shared" si="39"/>
        <v>0</v>
      </c>
      <c r="W94" s="355">
        <f t="shared" si="39"/>
        <v>0</v>
      </c>
      <c r="X94" s="355">
        <f t="shared" si="39"/>
        <v>27</v>
      </c>
      <c r="Y94" s="355">
        <f t="shared" si="39"/>
        <v>22</v>
      </c>
      <c r="Z94" s="355">
        <f t="shared" si="39"/>
        <v>0</v>
      </c>
      <c r="AA94" s="355">
        <f t="shared" si="39"/>
        <v>22</v>
      </c>
      <c r="AB94" s="355">
        <f t="shared" si="39"/>
        <v>47</v>
      </c>
      <c r="AC94" s="355">
        <f t="shared" si="39"/>
        <v>0</v>
      </c>
      <c r="AD94" s="355">
        <f t="shared" si="39"/>
        <v>0</v>
      </c>
      <c r="AE94" s="355">
        <f t="shared" si="39"/>
        <v>0</v>
      </c>
      <c r="AF94" s="355">
        <f t="shared" si="39"/>
        <v>37</v>
      </c>
      <c r="AG94" s="355">
        <f t="shared" si="39"/>
        <v>25</v>
      </c>
      <c r="AH94" s="355">
        <f t="shared" si="39"/>
        <v>41</v>
      </c>
      <c r="AI94" s="355">
        <v>45</v>
      </c>
      <c r="AJ94" s="355">
        <f>SUM(H94:AH94)</f>
        <v>376</v>
      </c>
    </row>
  </sheetData>
  <mergeCells count="62">
    <mergeCell ref="AJ90:AJ93"/>
    <mergeCell ref="C58:D58"/>
    <mergeCell ref="AI83:BL83"/>
    <mergeCell ref="C40:D43"/>
    <mergeCell ref="C45:D45"/>
    <mergeCell ref="C79:D79"/>
    <mergeCell ref="C90:D93"/>
    <mergeCell ref="AJ84:AJ87"/>
    <mergeCell ref="C78:D78"/>
    <mergeCell ref="C77:D77"/>
    <mergeCell ref="AJ40:AJ43"/>
    <mergeCell ref="D84:D87"/>
    <mergeCell ref="E83:AH83"/>
    <mergeCell ref="C62:D62"/>
    <mergeCell ref="C68:D68"/>
    <mergeCell ref="C48:D48"/>
    <mergeCell ref="AJ2:AJ5"/>
    <mergeCell ref="C74:D74"/>
    <mergeCell ref="B2:B5"/>
    <mergeCell ref="A22:AH22"/>
    <mergeCell ref="C64:D64"/>
    <mergeCell ref="C73:D73"/>
    <mergeCell ref="C72:D72"/>
    <mergeCell ref="C67:D67"/>
    <mergeCell ref="C57:D57"/>
    <mergeCell ref="C66:D66"/>
    <mergeCell ref="C53:D53"/>
    <mergeCell ref="B39:D39"/>
    <mergeCell ref="C69:D69"/>
    <mergeCell ref="C49:D49"/>
    <mergeCell ref="C94:D94"/>
    <mergeCell ref="C65:D65"/>
    <mergeCell ref="A36:AH37"/>
    <mergeCell ref="C55:D55"/>
    <mergeCell ref="C50:D50"/>
    <mergeCell ref="C75:D75"/>
    <mergeCell ref="C44:D44"/>
    <mergeCell ref="C56:D56"/>
    <mergeCell ref="A40:A43"/>
    <mergeCell ref="C59:D59"/>
    <mergeCell ref="B84:B87"/>
    <mergeCell ref="A90:A93"/>
    <mergeCell ref="A84:A87"/>
    <mergeCell ref="C84:C87"/>
    <mergeCell ref="B38:D38"/>
    <mergeCell ref="C46:D46"/>
    <mergeCell ref="B90:B93"/>
    <mergeCell ref="A1:AJ1"/>
    <mergeCell ref="C47:D47"/>
    <mergeCell ref="C54:D54"/>
    <mergeCell ref="A83:D83"/>
    <mergeCell ref="A31:AH31"/>
    <mergeCell ref="D2:D5"/>
    <mergeCell ref="B40:B43"/>
    <mergeCell ref="C60:D60"/>
    <mergeCell ref="C51:D51"/>
    <mergeCell ref="A2:A5"/>
    <mergeCell ref="C76:D76"/>
    <mergeCell ref="C71:D71"/>
    <mergeCell ref="C2:C5"/>
    <mergeCell ref="C52:D52"/>
    <mergeCell ref="C70:D7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94"/>
  <sheetViews>
    <sheetView topLeftCell="AD57" workbookViewId="0">
      <selection activeCell="AJ68" sqref="AJ68:AK71"/>
    </sheetView>
  </sheetViews>
  <sheetFormatPr defaultRowHeight="14.5"/>
  <cols>
    <col min="1" max="1" width="16" customWidth="1"/>
    <col min="2" max="2" width="27" customWidth="1"/>
    <col min="3" max="3" width="32" bestFit="1" customWidth="1"/>
    <col min="4" max="4" width="20" customWidth="1"/>
    <col min="5" max="5" width="35" customWidth="1"/>
    <col min="6" max="28" width="23" customWidth="1"/>
    <col min="29" max="29" width="23" bestFit="1" customWidth="1"/>
    <col min="30" max="34" width="23" customWidth="1"/>
    <col min="35" max="35" width="18" customWidth="1"/>
    <col min="36" max="36" width="14" customWidth="1"/>
    <col min="37" max="37" width="18" customWidth="1"/>
  </cols>
  <sheetData>
    <row r="1" spans="1:35" ht="21" customHeight="1">
      <c r="A1" s="542" t="s">
        <v>152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</row>
    <row r="2" spans="1:35">
      <c r="A2" s="549" t="s">
        <v>99</v>
      </c>
      <c r="B2" s="549" t="s">
        <v>100</v>
      </c>
      <c r="C2" s="550" t="s">
        <v>101</v>
      </c>
      <c r="D2" s="552" t="s">
        <v>102</v>
      </c>
      <c r="E2" s="301">
        <v>46174</v>
      </c>
      <c r="F2" s="301">
        <v>46175</v>
      </c>
      <c r="G2" s="301">
        <v>46176</v>
      </c>
      <c r="H2" s="301">
        <v>46177</v>
      </c>
      <c r="I2" s="301">
        <v>46178</v>
      </c>
      <c r="J2" s="301">
        <v>46179</v>
      </c>
      <c r="K2" s="301">
        <v>46180</v>
      </c>
      <c r="L2" s="301">
        <v>46181</v>
      </c>
      <c r="M2" s="301">
        <v>46182</v>
      </c>
      <c r="N2" s="301">
        <v>46183</v>
      </c>
      <c r="O2" s="301">
        <v>46184</v>
      </c>
      <c r="P2" s="301">
        <v>46185</v>
      </c>
      <c r="Q2" s="301">
        <v>46186</v>
      </c>
      <c r="R2" s="301">
        <v>46187</v>
      </c>
      <c r="S2" s="301">
        <v>46188</v>
      </c>
      <c r="T2" s="301">
        <v>46189</v>
      </c>
      <c r="U2" s="301">
        <v>46190</v>
      </c>
      <c r="V2" s="301">
        <v>46191</v>
      </c>
      <c r="W2" s="301">
        <v>46192</v>
      </c>
      <c r="X2" s="301">
        <v>46193</v>
      </c>
      <c r="Y2" s="301">
        <v>46194</v>
      </c>
      <c r="Z2" s="301">
        <v>46195</v>
      </c>
      <c r="AA2" s="301">
        <v>46196</v>
      </c>
      <c r="AB2" s="301">
        <v>46197</v>
      </c>
      <c r="AC2" s="301">
        <v>46198</v>
      </c>
      <c r="AD2" s="301">
        <v>46199</v>
      </c>
      <c r="AE2" s="301">
        <v>46200</v>
      </c>
      <c r="AF2" s="301">
        <v>46201</v>
      </c>
      <c r="AG2" s="301">
        <v>46202</v>
      </c>
      <c r="AH2" s="301">
        <v>46203</v>
      </c>
      <c r="AI2" s="555" t="s">
        <v>1</v>
      </c>
    </row>
    <row r="3" spans="1:35">
      <c r="A3" s="511"/>
      <c r="B3" s="511"/>
      <c r="C3" s="511"/>
      <c r="D3" s="511"/>
      <c r="E3" s="302" t="s">
        <v>106</v>
      </c>
      <c r="F3" s="302" t="s">
        <v>107</v>
      </c>
      <c r="G3" s="302" t="s">
        <v>108</v>
      </c>
      <c r="H3" s="302" t="s">
        <v>109</v>
      </c>
      <c r="I3" s="302" t="s">
        <v>103</v>
      </c>
      <c r="J3" s="302" t="s">
        <v>104</v>
      </c>
      <c r="K3" s="302" t="s">
        <v>105</v>
      </c>
      <c r="L3" s="302" t="s">
        <v>106</v>
      </c>
      <c r="M3" s="302" t="s">
        <v>107</v>
      </c>
      <c r="N3" s="302" t="s">
        <v>108</v>
      </c>
      <c r="O3" s="302" t="s">
        <v>109</v>
      </c>
      <c r="P3" s="302" t="s">
        <v>103</v>
      </c>
      <c r="Q3" s="302" t="s">
        <v>104</v>
      </c>
      <c r="R3" s="302" t="s">
        <v>105</v>
      </c>
      <c r="S3" s="302" t="s">
        <v>106</v>
      </c>
      <c r="T3" s="302" t="s">
        <v>107</v>
      </c>
      <c r="U3" s="302" t="s">
        <v>108</v>
      </c>
      <c r="V3" s="302" t="s">
        <v>109</v>
      </c>
      <c r="W3" s="302" t="s">
        <v>103</v>
      </c>
      <c r="X3" s="302" t="s">
        <v>104</v>
      </c>
      <c r="Y3" s="302" t="s">
        <v>105</v>
      </c>
      <c r="Z3" s="302" t="s">
        <v>106</v>
      </c>
      <c r="AA3" s="302" t="s">
        <v>107</v>
      </c>
      <c r="AB3" s="302" t="s">
        <v>108</v>
      </c>
      <c r="AC3" s="302" t="s">
        <v>109</v>
      </c>
      <c r="AD3" s="302" t="s">
        <v>103</v>
      </c>
      <c r="AE3" s="302" t="s">
        <v>104</v>
      </c>
      <c r="AF3" s="302" t="s">
        <v>105</v>
      </c>
      <c r="AG3" s="302" t="s">
        <v>106</v>
      </c>
      <c r="AH3" s="302" t="s">
        <v>107</v>
      </c>
      <c r="AI3" s="511"/>
    </row>
    <row r="4" spans="1:35">
      <c r="A4" s="511"/>
      <c r="B4" s="511"/>
      <c r="C4" s="511"/>
      <c r="D4" s="511"/>
      <c r="E4" s="303" t="s">
        <v>110</v>
      </c>
      <c r="F4" s="303" t="s">
        <v>110</v>
      </c>
      <c r="G4" s="303" t="s">
        <v>110</v>
      </c>
      <c r="H4" s="303" t="s">
        <v>110</v>
      </c>
      <c r="I4" s="303" t="s">
        <v>110</v>
      </c>
      <c r="J4" s="303" t="s">
        <v>110</v>
      </c>
      <c r="K4" s="303" t="s">
        <v>110</v>
      </c>
      <c r="L4" s="303" t="s">
        <v>110</v>
      </c>
      <c r="M4" s="303" t="s">
        <v>110</v>
      </c>
      <c r="N4" s="303" t="s">
        <v>110</v>
      </c>
      <c r="O4" s="303" t="s">
        <v>110</v>
      </c>
      <c r="P4" s="303" t="s">
        <v>110</v>
      </c>
      <c r="Q4" s="303" t="s">
        <v>110</v>
      </c>
      <c r="R4" s="303" t="s">
        <v>110</v>
      </c>
      <c r="S4" s="303" t="s">
        <v>110</v>
      </c>
      <c r="T4" s="303" t="s">
        <v>110</v>
      </c>
      <c r="U4" s="303" t="s">
        <v>110</v>
      </c>
      <c r="V4" s="303" t="s">
        <v>110</v>
      </c>
      <c r="W4" s="303" t="s">
        <v>110</v>
      </c>
      <c r="X4" s="303" t="s">
        <v>110</v>
      </c>
      <c r="Y4" s="303" t="s">
        <v>110</v>
      </c>
      <c r="Z4" s="303" t="s">
        <v>110</v>
      </c>
      <c r="AA4" s="303" t="s">
        <v>110</v>
      </c>
      <c r="AB4" s="303" t="s">
        <v>110</v>
      </c>
      <c r="AC4" s="303" t="s">
        <v>110</v>
      </c>
      <c r="AD4" s="303" t="s">
        <v>110</v>
      </c>
      <c r="AE4" s="303" t="s">
        <v>110</v>
      </c>
      <c r="AF4" s="303" t="s">
        <v>110</v>
      </c>
      <c r="AG4" s="303" t="s">
        <v>110</v>
      </c>
      <c r="AH4" s="303" t="s">
        <v>110</v>
      </c>
      <c r="AI4" s="511"/>
    </row>
    <row r="5" spans="1:35">
      <c r="A5" s="512"/>
      <c r="B5" s="512"/>
      <c r="C5" s="512"/>
      <c r="D5" s="512"/>
      <c r="E5" s="304">
        <v>0.33333333333333331</v>
      </c>
      <c r="F5" s="304">
        <v>0.33333333333333331</v>
      </c>
      <c r="G5" s="304">
        <v>0.33333333333333331</v>
      </c>
      <c r="H5" s="304">
        <v>0.33333333333333331</v>
      </c>
      <c r="I5" s="304">
        <v>0.33333333333333331</v>
      </c>
      <c r="J5" s="304">
        <v>0.33333333333333331</v>
      </c>
      <c r="K5" s="304">
        <v>0.33333333333333331</v>
      </c>
      <c r="L5" s="304">
        <v>0.33333333333333331</v>
      </c>
      <c r="M5" s="304">
        <v>0.33333333333333331</v>
      </c>
      <c r="N5" s="304">
        <v>0.33333333333333331</v>
      </c>
      <c r="O5" s="304">
        <v>0.33333333333333331</v>
      </c>
      <c r="P5" s="304">
        <v>0.33333333333333331</v>
      </c>
      <c r="Q5" s="304">
        <v>0.33333333333333331</v>
      </c>
      <c r="R5" s="304">
        <v>0.33333333333333331</v>
      </c>
      <c r="S5" s="304">
        <v>0.33333333333333331</v>
      </c>
      <c r="T5" s="304">
        <v>0.33333333333333331</v>
      </c>
      <c r="U5" s="304">
        <v>0.33333333333333331</v>
      </c>
      <c r="V5" s="304">
        <v>0.33333333333333331</v>
      </c>
      <c r="W5" s="304">
        <v>0.33333333333333331</v>
      </c>
      <c r="X5" s="304">
        <v>0.33333333333333331</v>
      </c>
      <c r="Y5" s="304">
        <v>0.33333333333333331</v>
      </c>
      <c r="Z5" s="304">
        <v>0.33333333333333331</v>
      </c>
      <c r="AA5" s="304">
        <v>0.33333333333333331</v>
      </c>
      <c r="AB5" s="304">
        <v>0.33333333333333331</v>
      </c>
      <c r="AC5" s="304">
        <v>0.33333333333333331</v>
      </c>
      <c r="AD5" s="304">
        <v>0.33333333333333331</v>
      </c>
      <c r="AE5" s="304">
        <v>0.33333333333333331</v>
      </c>
      <c r="AF5" s="304">
        <v>0.33333333333333331</v>
      </c>
      <c r="AG5" s="304">
        <v>0.33333333333333331</v>
      </c>
      <c r="AH5" s="304">
        <v>0.33333333333333331</v>
      </c>
      <c r="AI5" s="512"/>
    </row>
    <row r="6" spans="1:35">
      <c r="A6" s="305">
        <v>1</v>
      </c>
      <c r="B6" s="306" t="s">
        <v>129</v>
      </c>
      <c r="C6" s="377" t="s">
        <v>111</v>
      </c>
      <c r="D6" s="398">
        <v>203246</v>
      </c>
      <c r="E6" s="378">
        <v>203478</v>
      </c>
      <c r="F6" s="378">
        <v>203736</v>
      </c>
      <c r="G6" s="378">
        <v>203987</v>
      </c>
      <c r="H6" s="378">
        <v>204223</v>
      </c>
      <c r="I6" s="378">
        <v>204466</v>
      </c>
      <c r="J6" s="378">
        <v>204671</v>
      </c>
      <c r="K6" s="378">
        <v>204876</v>
      </c>
      <c r="L6" s="378">
        <v>205060</v>
      </c>
      <c r="M6" s="378">
        <v>205245</v>
      </c>
      <c r="N6" s="378">
        <v>205506</v>
      </c>
      <c r="O6" s="378">
        <v>205765</v>
      </c>
      <c r="P6" s="378">
        <v>206011</v>
      </c>
      <c r="Q6" s="378">
        <v>206216</v>
      </c>
      <c r="R6" s="378">
        <v>206421</v>
      </c>
      <c r="S6" s="378">
        <v>206679</v>
      </c>
      <c r="T6" s="378">
        <v>206930</v>
      </c>
      <c r="U6" s="378">
        <v>207193</v>
      </c>
      <c r="V6" s="378">
        <v>207440</v>
      </c>
      <c r="W6" s="378">
        <v>207689</v>
      </c>
      <c r="X6" s="378">
        <v>207908</v>
      </c>
      <c r="Y6" s="378">
        <v>208110</v>
      </c>
      <c r="Z6" s="378">
        <v>208360</v>
      </c>
      <c r="AA6" s="378">
        <v>208616</v>
      </c>
      <c r="AB6" s="378">
        <v>208877</v>
      </c>
      <c r="AC6" s="378">
        <v>209124</v>
      </c>
      <c r="AD6" s="378">
        <v>209375</v>
      </c>
      <c r="AE6" s="378">
        <v>209584</v>
      </c>
      <c r="AF6" s="378">
        <v>209799</v>
      </c>
      <c r="AG6" s="378">
        <v>210051</v>
      </c>
      <c r="AH6" s="378">
        <v>210307</v>
      </c>
      <c r="AI6" s="314">
        <f t="shared" ref="AI6:AI21" si="0">AH6-D6</f>
        <v>7061</v>
      </c>
    </row>
    <row r="7" spans="1:35">
      <c r="A7" s="315"/>
      <c r="B7" s="315"/>
      <c r="C7" s="325" t="s">
        <v>22</v>
      </c>
      <c r="D7" s="398">
        <v>4343</v>
      </c>
      <c r="E7" s="305">
        <v>4343</v>
      </c>
      <c r="F7" s="305">
        <v>4343</v>
      </c>
      <c r="G7" s="305">
        <v>4343</v>
      </c>
      <c r="H7" s="305">
        <v>4343</v>
      </c>
      <c r="I7" s="305">
        <v>4343</v>
      </c>
      <c r="J7" s="305">
        <v>4343</v>
      </c>
      <c r="K7" s="305">
        <v>4343</v>
      </c>
      <c r="L7" s="305">
        <v>4412</v>
      </c>
      <c r="M7" s="305">
        <v>4486</v>
      </c>
      <c r="N7" s="305">
        <v>4486</v>
      </c>
      <c r="O7" s="305">
        <v>4486</v>
      </c>
      <c r="P7" s="305">
        <v>4486</v>
      </c>
      <c r="Q7" s="305">
        <v>4486</v>
      </c>
      <c r="R7" s="318">
        <v>4486</v>
      </c>
      <c r="S7" s="318">
        <v>4486</v>
      </c>
      <c r="T7" s="318">
        <v>4486</v>
      </c>
      <c r="U7" s="318">
        <v>4486</v>
      </c>
      <c r="V7" s="315">
        <v>4486</v>
      </c>
      <c r="W7" s="315">
        <v>4486</v>
      </c>
      <c r="X7" s="315">
        <v>4486</v>
      </c>
      <c r="Y7" s="315">
        <v>4486</v>
      </c>
      <c r="Z7" s="315">
        <v>4486</v>
      </c>
      <c r="AA7" s="315">
        <v>4486</v>
      </c>
      <c r="AB7" s="315">
        <v>4486</v>
      </c>
      <c r="AC7" s="315">
        <v>4486</v>
      </c>
      <c r="AD7" s="315">
        <v>4486</v>
      </c>
      <c r="AE7" s="315">
        <v>4486</v>
      </c>
      <c r="AF7" s="315">
        <v>4486</v>
      </c>
      <c r="AG7" s="315">
        <v>4486</v>
      </c>
      <c r="AH7" s="315">
        <v>4486</v>
      </c>
      <c r="AI7" s="314">
        <f t="shared" si="0"/>
        <v>143</v>
      </c>
    </row>
    <row r="8" spans="1:35">
      <c r="A8" s="306">
        <v>2</v>
      </c>
      <c r="B8" s="306" t="s">
        <v>129</v>
      </c>
      <c r="C8" s="322" t="s">
        <v>112</v>
      </c>
      <c r="D8" s="398">
        <v>1956</v>
      </c>
      <c r="E8" s="305">
        <v>1956</v>
      </c>
      <c r="F8" s="305">
        <v>1956</v>
      </c>
      <c r="G8" s="305">
        <v>1956</v>
      </c>
      <c r="H8" s="305">
        <v>1956</v>
      </c>
      <c r="I8" s="305">
        <v>1956</v>
      </c>
      <c r="J8" s="305">
        <v>1956</v>
      </c>
      <c r="K8" s="305">
        <v>1956</v>
      </c>
      <c r="L8" s="305">
        <v>1956</v>
      </c>
      <c r="M8" s="305">
        <v>1956</v>
      </c>
      <c r="N8" s="305">
        <v>1956</v>
      </c>
      <c r="O8" s="305">
        <v>1956</v>
      </c>
      <c r="P8" s="305">
        <v>1956</v>
      </c>
      <c r="Q8" s="305">
        <v>1956</v>
      </c>
      <c r="R8" s="306">
        <v>1956</v>
      </c>
      <c r="S8" s="306">
        <v>1956</v>
      </c>
      <c r="T8" s="306">
        <v>1956</v>
      </c>
      <c r="U8" s="306">
        <v>1956</v>
      </c>
      <c r="V8" s="306">
        <v>1956</v>
      </c>
      <c r="W8" s="306">
        <v>1956</v>
      </c>
      <c r="X8" s="306">
        <v>1956</v>
      </c>
      <c r="Y8" s="306">
        <v>1956</v>
      </c>
      <c r="Z8" s="306">
        <v>1956</v>
      </c>
      <c r="AA8" s="306">
        <v>1956</v>
      </c>
      <c r="AB8" s="306">
        <v>1956</v>
      </c>
      <c r="AC8" s="306">
        <v>1956</v>
      </c>
      <c r="AD8" s="306">
        <v>1956</v>
      </c>
      <c r="AE8" s="306">
        <v>1956</v>
      </c>
      <c r="AF8" s="306">
        <v>1956</v>
      </c>
      <c r="AG8" s="306">
        <v>1956</v>
      </c>
      <c r="AH8" s="306">
        <v>1956</v>
      </c>
      <c r="AI8" s="314">
        <f t="shared" si="0"/>
        <v>0</v>
      </c>
    </row>
    <row r="9" spans="1:35">
      <c r="A9" s="306"/>
      <c r="B9" s="306"/>
      <c r="C9" s="325" t="s">
        <v>22</v>
      </c>
      <c r="D9" s="398">
        <v>28.6</v>
      </c>
      <c r="E9" s="305">
        <v>28.6</v>
      </c>
      <c r="F9" s="305">
        <v>28.6</v>
      </c>
      <c r="G9" s="305">
        <v>28.6</v>
      </c>
      <c r="H9" s="305">
        <v>28.6</v>
      </c>
      <c r="I9" s="305">
        <v>28.6</v>
      </c>
      <c r="J9" s="305">
        <v>28.6</v>
      </c>
      <c r="K9" s="305">
        <v>28.6</v>
      </c>
      <c r="L9" s="305">
        <v>28.6</v>
      </c>
      <c r="M9" s="305">
        <v>28.6</v>
      </c>
      <c r="N9" s="305">
        <v>28.6</v>
      </c>
      <c r="O9" s="305">
        <v>28.6</v>
      </c>
      <c r="P9" s="305">
        <v>28.6</v>
      </c>
      <c r="Q9" s="305">
        <v>28.6</v>
      </c>
      <c r="R9" s="309">
        <v>28.6</v>
      </c>
      <c r="S9" s="309">
        <v>28.6</v>
      </c>
      <c r="T9" s="309">
        <v>28.6</v>
      </c>
      <c r="U9" s="309">
        <v>28.6</v>
      </c>
      <c r="V9" s="309">
        <v>28.6</v>
      </c>
      <c r="W9" s="309">
        <v>28.6</v>
      </c>
      <c r="X9" s="306">
        <v>28.6</v>
      </c>
      <c r="Y9" s="306">
        <v>28.6</v>
      </c>
      <c r="Z9" s="306">
        <v>28.6</v>
      </c>
      <c r="AA9" s="306">
        <v>28.6</v>
      </c>
      <c r="AB9" s="306">
        <v>28.6</v>
      </c>
      <c r="AC9" s="306">
        <v>28.6</v>
      </c>
      <c r="AD9" s="306">
        <v>28.6</v>
      </c>
      <c r="AE9" s="306">
        <v>28.6</v>
      </c>
      <c r="AF9" s="306">
        <v>28.6</v>
      </c>
      <c r="AG9" s="306">
        <v>28.6</v>
      </c>
      <c r="AH9" s="306">
        <v>28.6</v>
      </c>
      <c r="AI9" s="314">
        <f t="shared" si="0"/>
        <v>0</v>
      </c>
    </row>
    <row r="10" spans="1:35">
      <c r="A10" s="306">
        <v>3</v>
      </c>
      <c r="B10" s="306" t="s">
        <v>129</v>
      </c>
      <c r="C10" s="322" t="s">
        <v>113</v>
      </c>
      <c r="D10" s="398">
        <v>293912</v>
      </c>
      <c r="E10" s="330">
        <v>294244</v>
      </c>
      <c r="F10" s="331">
        <v>294613</v>
      </c>
      <c r="G10" s="331">
        <v>294973</v>
      </c>
      <c r="H10" s="331">
        <v>295313</v>
      </c>
      <c r="I10" s="331">
        <v>295654</v>
      </c>
      <c r="J10" s="306">
        <v>295928</v>
      </c>
      <c r="K10" s="306">
        <v>296200</v>
      </c>
      <c r="L10" s="306">
        <v>296455</v>
      </c>
      <c r="M10" s="306">
        <v>296712</v>
      </c>
      <c r="N10" s="306">
        <v>297095</v>
      </c>
      <c r="O10" s="306">
        <v>297467</v>
      </c>
      <c r="P10" s="306">
        <v>297817</v>
      </c>
      <c r="Q10" s="306">
        <v>298090</v>
      </c>
      <c r="R10" s="306">
        <v>298360</v>
      </c>
      <c r="S10" s="306">
        <v>298731</v>
      </c>
      <c r="T10" s="306">
        <v>299094</v>
      </c>
      <c r="U10" s="306">
        <v>299475</v>
      </c>
      <c r="V10" s="306">
        <v>299832</v>
      </c>
      <c r="W10" s="306">
        <v>300190</v>
      </c>
      <c r="X10" s="306">
        <v>300482</v>
      </c>
      <c r="Y10" s="306">
        <v>300746</v>
      </c>
      <c r="Z10" s="306">
        <v>301109</v>
      </c>
      <c r="AA10" s="309">
        <v>301477</v>
      </c>
      <c r="AB10" s="315">
        <v>301858</v>
      </c>
      <c r="AC10" s="315">
        <v>302214</v>
      </c>
      <c r="AD10" s="315">
        <v>302574</v>
      </c>
      <c r="AE10" s="318">
        <v>302855</v>
      </c>
      <c r="AF10" s="318">
        <v>303142</v>
      </c>
      <c r="AG10" s="390">
        <v>303503</v>
      </c>
      <c r="AH10" s="390">
        <v>303867</v>
      </c>
      <c r="AI10" s="314">
        <f t="shared" si="0"/>
        <v>9955</v>
      </c>
    </row>
    <row r="11" spans="1:35">
      <c r="A11" s="306"/>
      <c r="B11" s="306"/>
      <c r="C11" s="325" t="s">
        <v>22</v>
      </c>
      <c r="D11" s="398">
        <v>6492</v>
      </c>
      <c r="E11" s="305">
        <v>6492</v>
      </c>
      <c r="F11" s="305">
        <v>6492</v>
      </c>
      <c r="G11" s="305">
        <v>6492</v>
      </c>
      <c r="H11" s="305">
        <v>6492</v>
      </c>
      <c r="I11" s="305">
        <v>6492</v>
      </c>
      <c r="J11" s="305">
        <v>6492</v>
      </c>
      <c r="K11" s="305">
        <v>6492</v>
      </c>
      <c r="L11" s="305">
        <v>6599</v>
      </c>
      <c r="M11" s="305">
        <v>6713</v>
      </c>
      <c r="N11" s="305">
        <v>6713</v>
      </c>
      <c r="O11" s="305">
        <v>6713</v>
      </c>
      <c r="P11" s="305">
        <v>6713</v>
      </c>
      <c r="Q11" s="305">
        <v>6713</v>
      </c>
      <c r="R11" s="309">
        <v>6713</v>
      </c>
      <c r="S11" s="309">
        <v>6713</v>
      </c>
      <c r="T11" s="309">
        <v>6713</v>
      </c>
      <c r="U11" s="309">
        <v>6713</v>
      </c>
      <c r="V11" s="306">
        <v>6713</v>
      </c>
      <c r="W11" s="306">
        <v>6713</v>
      </c>
      <c r="X11" s="306">
        <v>6713</v>
      </c>
      <c r="Y11" s="306">
        <v>6713</v>
      </c>
      <c r="Z11" s="306">
        <v>6713</v>
      </c>
      <c r="AA11" s="306">
        <v>6713</v>
      </c>
      <c r="AB11" s="306">
        <v>6713</v>
      </c>
      <c r="AC11" s="306">
        <v>6713</v>
      </c>
      <c r="AD11" s="306">
        <v>6713</v>
      </c>
      <c r="AE11" s="306">
        <v>6713</v>
      </c>
      <c r="AF11" s="306">
        <v>6713</v>
      </c>
      <c r="AG11" s="306">
        <v>6713</v>
      </c>
      <c r="AH11" s="306">
        <v>6713</v>
      </c>
      <c r="AI11" s="314">
        <f t="shared" si="0"/>
        <v>221</v>
      </c>
    </row>
    <row r="12" spans="1:35">
      <c r="A12" s="306">
        <v>4</v>
      </c>
      <c r="B12" s="306" t="s">
        <v>129</v>
      </c>
      <c r="C12" s="322" t="s">
        <v>114</v>
      </c>
      <c r="D12" s="398">
        <v>0</v>
      </c>
      <c r="E12" s="305">
        <v>0</v>
      </c>
      <c r="F12" s="305">
        <v>0</v>
      </c>
      <c r="G12" s="305">
        <v>0</v>
      </c>
      <c r="H12" s="305">
        <v>0</v>
      </c>
      <c r="I12" s="305">
        <v>0</v>
      </c>
      <c r="J12" s="305">
        <v>0</v>
      </c>
      <c r="K12" s="305">
        <v>0</v>
      </c>
      <c r="L12" s="305">
        <v>0</v>
      </c>
      <c r="M12" s="305">
        <v>0</v>
      </c>
      <c r="N12" s="305">
        <v>0</v>
      </c>
      <c r="O12" s="305">
        <v>0</v>
      </c>
      <c r="P12" s="305">
        <v>0</v>
      </c>
      <c r="Q12" s="305">
        <v>0</v>
      </c>
      <c r="R12" s="306">
        <v>0</v>
      </c>
      <c r="S12" s="306">
        <v>0</v>
      </c>
      <c r="T12" s="306">
        <v>0</v>
      </c>
      <c r="U12" s="306">
        <v>0</v>
      </c>
      <c r="V12" s="306">
        <v>0</v>
      </c>
      <c r="W12" s="306">
        <v>0</v>
      </c>
      <c r="X12" s="306">
        <v>0</v>
      </c>
      <c r="Y12" s="306">
        <v>0</v>
      </c>
      <c r="Z12" s="306">
        <v>0</v>
      </c>
      <c r="AA12" s="306">
        <v>0</v>
      </c>
      <c r="AB12" s="306">
        <v>0</v>
      </c>
      <c r="AC12" s="306">
        <v>0</v>
      </c>
      <c r="AD12" s="306">
        <v>0</v>
      </c>
      <c r="AE12" s="306">
        <v>0</v>
      </c>
      <c r="AF12" s="306">
        <v>0</v>
      </c>
      <c r="AG12" s="306">
        <v>0</v>
      </c>
      <c r="AH12" s="306">
        <v>0</v>
      </c>
      <c r="AI12" s="314">
        <f t="shared" si="0"/>
        <v>0</v>
      </c>
    </row>
    <row r="13" spans="1:35">
      <c r="A13" s="306"/>
      <c r="B13" s="306"/>
      <c r="C13" s="325" t="s">
        <v>22</v>
      </c>
      <c r="D13" s="398">
        <v>0</v>
      </c>
      <c r="E13" s="305">
        <v>0</v>
      </c>
      <c r="F13" s="305">
        <v>0</v>
      </c>
      <c r="G13" s="305">
        <v>0</v>
      </c>
      <c r="H13" s="305">
        <v>0</v>
      </c>
      <c r="I13" s="305">
        <v>0</v>
      </c>
      <c r="J13" s="305">
        <v>0</v>
      </c>
      <c r="K13" s="305">
        <v>0</v>
      </c>
      <c r="L13" s="305">
        <v>0</v>
      </c>
      <c r="M13" s="305">
        <v>0</v>
      </c>
      <c r="N13" s="305">
        <v>0</v>
      </c>
      <c r="O13" s="305">
        <v>0</v>
      </c>
      <c r="P13" s="305">
        <v>0</v>
      </c>
      <c r="Q13" s="305">
        <v>0</v>
      </c>
      <c r="R13" s="306">
        <v>0</v>
      </c>
      <c r="S13" s="306">
        <v>0</v>
      </c>
      <c r="T13" s="306">
        <v>0</v>
      </c>
      <c r="U13" s="306">
        <v>0</v>
      </c>
      <c r="V13" s="306">
        <v>0</v>
      </c>
      <c r="W13" s="306">
        <v>0</v>
      </c>
      <c r="X13" s="306">
        <v>0</v>
      </c>
      <c r="Y13" s="306">
        <v>0</v>
      </c>
      <c r="Z13" s="306">
        <v>0</v>
      </c>
      <c r="AA13" s="306">
        <v>0</v>
      </c>
      <c r="AB13" s="306">
        <v>0</v>
      </c>
      <c r="AC13" s="306">
        <v>0</v>
      </c>
      <c r="AD13" s="306">
        <v>0</v>
      </c>
      <c r="AE13" s="306">
        <v>0</v>
      </c>
      <c r="AF13" s="306">
        <v>0</v>
      </c>
      <c r="AG13" s="306">
        <v>0</v>
      </c>
      <c r="AH13" s="306">
        <v>0</v>
      </c>
      <c r="AI13" s="314">
        <f t="shared" si="0"/>
        <v>0</v>
      </c>
    </row>
    <row r="14" spans="1:35">
      <c r="A14" s="306">
        <v>5</v>
      </c>
      <c r="B14" s="306" t="s">
        <v>129</v>
      </c>
      <c r="C14" s="322" t="s">
        <v>115</v>
      </c>
      <c r="D14" s="398">
        <v>155368</v>
      </c>
      <c r="E14" s="335">
        <v>155561</v>
      </c>
      <c r="F14" s="315">
        <v>155767</v>
      </c>
      <c r="G14" s="315">
        <v>155872</v>
      </c>
      <c r="H14" s="315">
        <v>156167</v>
      </c>
      <c r="I14" s="315">
        <v>156360</v>
      </c>
      <c r="J14" s="306">
        <v>156506</v>
      </c>
      <c r="K14" s="306">
        <v>156633</v>
      </c>
      <c r="L14" s="306">
        <v>156776</v>
      </c>
      <c r="M14" s="306">
        <v>156919</v>
      </c>
      <c r="N14" s="306">
        <v>157131</v>
      </c>
      <c r="O14" s="306">
        <v>157342</v>
      </c>
      <c r="P14" s="306">
        <v>157537</v>
      </c>
      <c r="Q14" s="306">
        <v>157667</v>
      </c>
      <c r="R14" s="306">
        <v>157783</v>
      </c>
      <c r="S14" s="306">
        <v>157992</v>
      </c>
      <c r="T14" s="306">
        <v>158186</v>
      </c>
      <c r="U14" s="328">
        <v>158409</v>
      </c>
      <c r="V14" s="306">
        <v>158598</v>
      </c>
      <c r="W14" s="306">
        <v>158790</v>
      </c>
      <c r="X14" s="306">
        <v>158938</v>
      </c>
      <c r="Y14" s="306">
        <v>159067</v>
      </c>
      <c r="Z14" s="306">
        <v>159278</v>
      </c>
      <c r="AA14" s="309">
        <v>159493</v>
      </c>
      <c r="AB14" s="328">
        <v>159710</v>
      </c>
      <c r="AC14" s="328">
        <v>159915</v>
      </c>
      <c r="AD14" s="328">
        <v>160116</v>
      </c>
      <c r="AE14" s="329">
        <v>160267</v>
      </c>
      <c r="AF14" s="329">
        <v>160407</v>
      </c>
      <c r="AG14" s="390">
        <v>160623</v>
      </c>
      <c r="AH14" s="390">
        <v>160838</v>
      </c>
      <c r="AI14" s="314">
        <f t="shared" si="0"/>
        <v>5470</v>
      </c>
    </row>
    <row r="15" spans="1:35">
      <c r="A15" s="306"/>
      <c r="B15" s="306"/>
      <c r="C15" s="325" t="s">
        <v>22</v>
      </c>
      <c r="D15" s="398">
        <v>3327</v>
      </c>
      <c r="E15" s="330">
        <v>3327</v>
      </c>
      <c r="F15" s="330">
        <v>3327</v>
      </c>
      <c r="G15" s="330">
        <v>3327</v>
      </c>
      <c r="H15" s="330">
        <v>3327</v>
      </c>
      <c r="I15" s="330">
        <v>3327</v>
      </c>
      <c r="J15" s="330">
        <v>3327</v>
      </c>
      <c r="K15" s="330">
        <v>3327</v>
      </c>
      <c r="L15" s="330">
        <v>3390</v>
      </c>
      <c r="M15" s="330">
        <v>3459</v>
      </c>
      <c r="N15" s="330">
        <v>3459</v>
      </c>
      <c r="O15" s="330">
        <v>3459</v>
      </c>
      <c r="P15" s="330">
        <v>3459</v>
      </c>
      <c r="Q15" s="330">
        <v>3459</v>
      </c>
      <c r="R15" s="330">
        <v>3459</v>
      </c>
      <c r="S15" s="330">
        <v>3459</v>
      </c>
      <c r="T15" s="330">
        <v>3459</v>
      </c>
      <c r="U15" s="330">
        <v>3459</v>
      </c>
      <c r="V15" s="331">
        <v>3459</v>
      </c>
      <c r="W15" s="331">
        <v>3459</v>
      </c>
      <c r="X15" s="331">
        <v>3459</v>
      </c>
      <c r="Y15" s="331">
        <v>3459</v>
      </c>
      <c r="Z15" s="331">
        <v>3459</v>
      </c>
      <c r="AA15" s="331">
        <v>3459</v>
      </c>
      <c r="AB15" s="331">
        <v>3459</v>
      </c>
      <c r="AC15" s="331">
        <v>3459</v>
      </c>
      <c r="AD15" s="331">
        <v>3459</v>
      </c>
      <c r="AE15" s="331">
        <v>3459</v>
      </c>
      <c r="AF15" s="331">
        <v>3459</v>
      </c>
      <c r="AG15" s="331">
        <v>3459</v>
      </c>
      <c r="AH15" s="331">
        <v>3459</v>
      </c>
      <c r="AI15" s="314">
        <f t="shared" si="0"/>
        <v>132</v>
      </c>
    </row>
    <row r="16" spans="1:35">
      <c r="A16" s="306">
        <v>6</v>
      </c>
      <c r="B16" s="306" t="s">
        <v>129</v>
      </c>
      <c r="C16" s="322" t="s">
        <v>142</v>
      </c>
      <c r="D16" s="398">
        <v>173457</v>
      </c>
      <c r="E16" s="332">
        <v>173696</v>
      </c>
      <c r="F16" s="309">
        <v>173957</v>
      </c>
      <c r="G16" s="305">
        <v>174206</v>
      </c>
      <c r="H16" s="311">
        <v>174453</v>
      </c>
      <c r="I16" s="306">
        <v>174694</v>
      </c>
      <c r="J16" s="306">
        <v>174828</v>
      </c>
      <c r="K16" s="309">
        <v>174919</v>
      </c>
      <c r="L16" s="333">
        <v>175108</v>
      </c>
      <c r="M16" s="310">
        <v>175282</v>
      </c>
      <c r="N16" s="310">
        <v>175559</v>
      </c>
      <c r="O16" s="310">
        <v>175812</v>
      </c>
      <c r="P16" s="310">
        <v>176061</v>
      </c>
      <c r="Q16" s="334">
        <v>176168</v>
      </c>
      <c r="R16" s="310">
        <v>176268</v>
      </c>
      <c r="S16" s="311">
        <v>176513</v>
      </c>
      <c r="T16" s="306">
        <v>176754</v>
      </c>
      <c r="U16" s="306">
        <v>177006</v>
      </c>
      <c r="V16" s="306">
        <v>177266</v>
      </c>
      <c r="W16" s="306">
        <v>177498</v>
      </c>
      <c r="X16" s="306">
        <v>177632</v>
      </c>
      <c r="Y16" s="306">
        <v>177722</v>
      </c>
      <c r="Z16" s="306">
        <v>177962</v>
      </c>
      <c r="AA16" s="309">
        <v>178221</v>
      </c>
      <c r="AB16" s="309">
        <v>178506</v>
      </c>
      <c r="AC16" s="305">
        <v>178761</v>
      </c>
      <c r="AD16" s="305">
        <v>179023</v>
      </c>
      <c r="AE16" s="313">
        <v>179166</v>
      </c>
      <c r="AF16" s="313">
        <v>179314</v>
      </c>
      <c r="AG16" s="390">
        <v>179563</v>
      </c>
      <c r="AH16" s="390">
        <v>179845</v>
      </c>
      <c r="AI16" s="314">
        <f t="shared" si="0"/>
        <v>6388</v>
      </c>
    </row>
    <row r="17" spans="1:35">
      <c r="A17" s="306"/>
      <c r="B17" s="306"/>
      <c r="C17" s="325" t="s">
        <v>22</v>
      </c>
      <c r="D17" s="398">
        <v>4311</v>
      </c>
      <c r="E17" s="335">
        <v>4311</v>
      </c>
      <c r="F17" s="335">
        <v>4311</v>
      </c>
      <c r="G17" s="335">
        <v>4311</v>
      </c>
      <c r="H17" s="335">
        <v>4311</v>
      </c>
      <c r="I17" s="335">
        <v>4311</v>
      </c>
      <c r="J17" s="335">
        <v>4311</v>
      </c>
      <c r="K17" s="335">
        <v>4311</v>
      </c>
      <c r="L17" s="335">
        <v>4395</v>
      </c>
      <c r="M17" s="335">
        <v>4490</v>
      </c>
      <c r="N17" s="335">
        <v>4490</v>
      </c>
      <c r="O17" s="335">
        <v>4490</v>
      </c>
      <c r="P17" s="335">
        <v>4490</v>
      </c>
      <c r="Q17" s="335">
        <v>4490</v>
      </c>
      <c r="R17" s="335">
        <v>4490</v>
      </c>
      <c r="S17" s="335">
        <v>4490</v>
      </c>
      <c r="T17" s="335">
        <v>4490</v>
      </c>
      <c r="U17" s="335">
        <v>4490</v>
      </c>
      <c r="V17" s="335">
        <v>4490</v>
      </c>
      <c r="W17" s="335">
        <v>4490</v>
      </c>
      <c r="X17" s="335">
        <v>4490</v>
      </c>
      <c r="Y17" s="335">
        <v>4490</v>
      </c>
      <c r="Z17" s="335">
        <v>4490</v>
      </c>
      <c r="AA17" s="335">
        <v>4490</v>
      </c>
      <c r="AB17" s="335">
        <v>4490</v>
      </c>
      <c r="AC17" s="335">
        <v>4490</v>
      </c>
      <c r="AD17" s="335">
        <v>4490</v>
      </c>
      <c r="AE17" s="335">
        <v>4490</v>
      </c>
      <c r="AF17" s="335">
        <v>4490</v>
      </c>
      <c r="AG17" s="335">
        <v>4490</v>
      </c>
      <c r="AH17" s="335">
        <v>4490</v>
      </c>
      <c r="AI17" s="314">
        <f t="shared" si="0"/>
        <v>179</v>
      </c>
    </row>
    <row r="18" spans="1:35">
      <c r="A18" s="306">
        <v>7</v>
      </c>
      <c r="B18" s="306" t="s">
        <v>129</v>
      </c>
      <c r="C18" s="322" t="s">
        <v>117</v>
      </c>
      <c r="D18" s="398">
        <v>565472</v>
      </c>
      <c r="E18" s="311">
        <v>566108</v>
      </c>
      <c r="F18" s="306">
        <v>566781</v>
      </c>
      <c r="G18" s="306">
        <v>567438</v>
      </c>
      <c r="H18" s="306">
        <v>568082</v>
      </c>
      <c r="I18" s="306">
        <v>568742</v>
      </c>
      <c r="J18" s="306">
        <v>569192</v>
      </c>
      <c r="K18" s="306">
        <v>569499</v>
      </c>
      <c r="L18" s="306">
        <v>569499</v>
      </c>
      <c r="M18" s="306">
        <v>569989</v>
      </c>
      <c r="N18" s="336">
        <v>570454</v>
      </c>
      <c r="O18" s="306">
        <v>571141</v>
      </c>
      <c r="P18" s="306">
        <v>571814</v>
      </c>
      <c r="Q18" s="306">
        <v>572447</v>
      </c>
      <c r="R18" s="315">
        <v>572820</v>
      </c>
      <c r="S18" s="336">
        <v>573100</v>
      </c>
      <c r="T18" s="306">
        <v>573823</v>
      </c>
      <c r="U18" s="306">
        <v>574514</v>
      </c>
      <c r="V18" s="306">
        <v>575218</v>
      </c>
      <c r="W18" s="306">
        <v>575872</v>
      </c>
      <c r="X18" s="328">
        <v>575638</v>
      </c>
      <c r="Y18" s="306">
        <v>577093</v>
      </c>
      <c r="Z18" s="306">
        <v>578071</v>
      </c>
      <c r="AA18" s="309">
        <v>578778</v>
      </c>
      <c r="AB18" s="305">
        <v>579457</v>
      </c>
      <c r="AC18" s="337">
        <v>580131</v>
      </c>
      <c r="AD18" s="315">
        <v>580812</v>
      </c>
      <c r="AE18" s="318">
        <v>581259</v>
      </c>
      <c r="AF18" s="318">
        <v>581611</v>
      </c>
      <c r="AG18" s="390">
        <v>582306</v>
      </c>
      <c r="AH18" s="390">
        <v>582999</v>
      </c>
      <c r="AI18" s="314">
        <f t="shared" si="0"/>
        <v>17527</v>
      </c>
    </row>
    <row r="19" spans="1:35">
      <c r="A19" s="306"/>
      <c r="B19" s="306"/>
      <c r="C19" s="325" t="s">
        <v>22</v>
      </c>
      <c r="D19" s="398">
        <v>11782</v>
      </c>
      <c r="E19" s="311">
        <v>11782</v>
      </c>
      <c r="F19" s="311">
        <v>11782</v>
      </c>
      <c r="G19" s="311">
        <v>11782</v>
      </c>
      <c r="H19" s="311">
        <v>11782</v>
      </c>
      <c r="I19" s="311">
        <v>11782</v>
      </c>
      <c r="J19" s="311">
        <v>11782</v>
      </c>
      <c r="K19" s="311">
        <v>11782</v>
      </c>
      <c r="L19" s="311">
        <v>11986</v>
      </c>
      <c r="M19" s="306">
        <v>12192</v>
      </c>
      <c r="N19" s="306">
        <v>12192</v>
      </c>
      <c r="O19" s="306">
        <v>12192</v>
      </c>
      <c r="P19" s="306">
        <v>12192</v>
      </c>
      <c r="Q19" s="306">
        <v>12192</v>
      </c>
      <c r="R19" s="306">
        <v>12192</v>
      </c>
      <c r="S19" s="306">
        <v>12192</v>
      </c>
      <c r="T19" s="306">
        <v>12192</v>
      </c>
      <c r="U19" s="306">
        <v>12192</v>
      </c>
      <c r="V19" s="306">
        <v>12192</v>
      </c>
      <c r="W19" s="306">
        <v>12192</v>
      </c>
      <c r="X19" s="306">
        <v>12192</v>
      </c>
      <c r="Y19" s="306">
        <v>12192</v>
      </c>
      <c r="Z19" s="306">
        <v>12192</v>
      </c>
      <c r="AA19" s="306">
        <v>12192</v>
      </c>
      <c r="AB19" s="306">
        <v>12192</v>
      </c>
      <c r="AC19" s="306">
        <v>12192</v>
      </c>
      <c r="AD19" s="306">
        <v>12192</v>
      </c>
      <c r="AE19" s="306">
        <v>12192</v>
      </c>
      <c r="AF19" s="306">
        <v>12192</v>
      </c>
      <c r="AG19" s="306">
        <v>12192</v>
      </c>
      <c r="AH19" s="306">
        <v>12192</v>
      </c>
      <c r="AI19" s="314">
        <f t="shared" si="0"/>
        <v>410</v>
      </c>
    </row>
    <row r="20" spans="1:35">
      <c r="A20" s="306">
        <v>8</v>
      </c>
      <c r="B20" s="306" t="s">
        <v>129</v>
      </c>
      <c r="C20" s="322" t="s">
        <v>118</v>
      </c>
      <c r="D20" s="398">
        <v>109469</v>
      </c>
      <c r="E20" s="311">
        <v>109597</v>
      </c>
      <c r="F20" s="306">
        <v>109740</v>
      </c>
      <c r="G20" s="306">
        <v>109888</v>
      </c>
      <c r="H20" s="306">
        <v>110021</v>
      </c>
      <c r="I20" s="306">
        <v>110165</v>
      </c>
      <c r="J20" s="306">
        <v>110298</v>
      </c>
      <c r="K20" s="306">
        <v>110432</v>
      </c>
      <c r="L20" s="306">
        <v>110540</v>
      </c>
      <c r="M20" s="306">
        <v>110659</v>
      </c>
      <c r="N20" s="306">
        <v>110814</v>
      </c>
      <c r="O20" s="306">
        <v>110968</v>
      </c>
      <c r="P20" s="306">
        <v>111094</v>
      </c>
      <c r="Q20" s="306">
        <v>111205</v>
      </c>
      <c r="R20" s="306">
        <v>111324</v>
      </c>
      <c r="S20" s="306">
        <v>111467</v>
      </c>
      <c r="T20" s="306">
        <v>111594</v>
      </c>
      <c r="U20" s="306">
        <v>111740</v>
      </c>
      <c r="V20" s="306">
        <v>111864</v>
      </c>
      <c r="W20" s="306">
        <v>112011</v>
      </c>
      <c r="X20" s="306">
        <v>112152</v>
      </c>
      <c r="Y20" s="306">
        <v>112282</v>
      </c>
      <c r="Z20" s="306">
        <v>112430</v>
      </c>
      <c r="AA20" s="315">
        <v>112565</v>
      </c>
      <c r="AB20" s="315">
        <v>112683</v>
      </c>
      <c r="AC20" s="315">
        <v>112809</v>
      </c>
      <c r="AD20" s="315">
        <v>112921</v>
      </c>
      <c r="AE20" s="318">
        <v>113039</v>
      </c>
      <c r="AF20" s="318">
        <v>113159</v>
      </c>
      <c r="AG20" s="390">
        <v>113338</v>
      </c>
      <c r="AH20" s="390">
        <v>113483</v>
      </c>
      <c r="AI20" s="314">
        <f t="shared" si="0"/>
        <v>4014</v>
      </c>
    </row>
    <row r="21" spans="1:35">
      <c r="A21" s="306"/>
      <c r="B21" s="306"/>
      <c r="C21" s="325" t="s">
        <v>22</v>
      </c>
      <c r="D21" s="398">
        <v>2240</v>
      </c>
      <c r="E21" s="311">
        <v>2240</v>
      </c>
      <c r="F21" s="311">
        <v>2240</v>
      </c>
      <c r="G21" s="311">
        <v>2240</v>
      </c>
      <c r="H21" s="311">
        <v>2240</v>
      </c>
      <c r="I21" s="311">
        <v>2240</v>
      </c>
      <c r="J21" s="311">
        <v>2240</v>
      </c>
      <c r="K21" s="311">
        <v>2240</v>
      </c>
      <c r="L21" s="311">
        <v>2289</v>
      </c>
      <c r="M21" s="306">
        <v>2332</v>
      </c>
      <c r="N21" s="306">
        <v>2332</v>
      </c>
      <c r="O21" s="306">
        <v>2332</v>
      </c>
      <c r="P21" s="306">
        <v>2332</v>
      </c>
      <c r="Q21" s="306">
        <v>2332</v>
      </c>
      <c r="R21" s="306">
        <v>2332</v>
      </c>
      <c r="S21" s="306">
        <v>2332</v>
      </c>
      <c r="T21" s="306">
        <v>2332</v>
      </c>
      <c r="U21" s="306">
        <v>2332</v>
      </c>
      <c r="V21" s="306">
        <v>2332</v>
      </c>
      <c r="W21" s="306">
        <v>2332</v>
      </c>
      <c r="X21" s="306">
        <v>2332</v>
      </c>
      <c r="Y21" s="306">
        <v>2332</v>
      </c>
      <c r="Z21" s="306">
        <v>2332</v>
      </c>
      <c r="AA21" s="306">
        <v>2332</v>
      </c>
      <c r="AB21" s="306">
        <v>2332</v>
      </c>
      <c r="AC21" s="306">
        <v>2332</v>
      </c>
      <c r="AD21" s="306">
        <v>2332</v>
      </c>
      <c r="AE21" s="306">
        <v>2332</v>
      </c>
      <c r="AF21" s="306">
        <v>2332</v>
      </c>
      <c r="AG21" s="306">
        <v>2332</v>
      </c>
      <c r="AH21" s="306">
        <v>2332</v>
      </c>
      <c r="AI21" s="314">
        <f t="shared" si="0"/>
        <v>92</v>
      </c>
    </row>
    <row r="22" spans="1:35">
      <c r="A22" s="548"/>
      <c r="B22" s="495"/>
      <c r="C22" s="495"/>
      <c r="D22" s="495"/>
      <c r="E22" s="495"/>
      <c r="F22" s="495"/>
      <c r="G22" s="495"/>
      <c r="H22" s="495"/>
      <c r="I22" s="495"/>
      <c r="J22" s="495"/>
      <c r="K22" s="495"/>
      <c r="L22" s="495"/>
      <c r="M22" s="495"/>
      <c r="N22" s="495"/>
      <c r="O22" s="495"/>
      <c r="P22" s="495"/>
      <c r="Q22" s="495"/>
      <c r="R22" s="495"/>
      <c r="S22" s="495"/>
      <c r="T22" s="495"/>
      <c r="U22" s="495"/>
      <c r="V22" s="495"/>
      <c r="W22" s="495"/>
      <c r="X22" s="495"/>
      <c r="Y22" s="495"/>
      <c r="Z22" s="495"/>
      <c r="AA22" s="495"/>
      <c r="AB22" s="495"/>
      <c r="AC22" s="495"/>
      <c r="AD22" s="495"/>
      <c r="AE22" s="495"/>
      <c r="AF22" s="495"/>
      <c r="AG22" s="495"/>
      <c r="AH22" s="495"/>
    </row>
    <row r="23" spans="1:35">
      <c r="A23" s="306">
        <v>1</v>
      </c>
      <c r="B23" s="306" t="s">
        <v>129</v>
      </c>
      <c r="C23" s="322" t="s">
        <v>119</v>
      </c>
      <c r="D23" s="398">
        <v>60602</v>
      </c>
      <c r="E23" s="311">
        <v>60700</v>
      </c>
      <c r="F23" s="306">
        <v>60805</v>
      </c>
      <c r="G23" s="306">
        <v>60893</v>
      </c>
      <c r="H23" s="306">
        <v>60975</v>
      </c>
      <c r="I23" s="306">
        <v>61058</v>
      </c>
      <c r="J23" s="306">
        <v>61109</v>
      </c>
      <c r="K23" s="306">
        <v>61109</v>
      </c>
      <c r="L23" s="306">
        <v>61168</v>
      </c>
      <c r="M23" s="306">
        <v>61206</v>
      </c>
      <c r="N23" s="306">
        <v>61279</v>
      </c>
      <c r="O23" s="306">
        <v>61346</v>
      </c>
      <c r="P23" s="306">
        <v>61402</v>
      </c>
      <c r="Q23" s="306">
        <v>61420</v>
      </c>
      <c r="R23" s="306">
        <v>61420</v>
      </c>
      <c r="S23" s="306">
        <v>61489</v>
      </c>
      <c r="T23" s="306">
        <v>61545</v>
      </c>
      <c r="U23" s="306">
        <v>61612</v>
      </c>
      <c r="V23" s="306">
        <v>61672</v>
      </c>
      <c r="W23" s="306">
        <v>61730</v>
      </c>
      <c r="X23" s="306">
        <v>61763</v>
      </c>
      <c r="Y23" s="306">
        <v>61763</v>
      </c>
      <c r="Z23" s="306">
        <v>61840</v>
      </c>
      <c r="AA23" s="306">
        <v>61911</v>
      </c>
      <c r="AB23" s="306">
        <v>61990</v>
      </c>
      <c r="AC23" s="306">
        <v>62075</v>
      </c>
      <c r="AD23" s="309">
        <v>62160</v>
      </c>
      <c r="AE23" s="305">
        <v>62196</v>
      </c>
      <c r="AF23" s="305">
        <v>62196</v>
      </c>
      <c r="AG23" s="305">
        <v>62310</v>
      </c>
      <c r="AH23" s="305">
        <v>62404</v>
      </c>
      <c r="AI23" s="384">
        <f t="shared" ref="AI23:AI30" si="1">AH23-D23</f>
        <v>1802</v>
      </c>
    </row>
    <row r="24" spans="1:35">
      <c r="A24" s="306"/>
      <c r="B24" s="306"/>
      <c r="C24" s="338" t="s">
        <v>22</v>
      </c>
      <c r="D24" s="398">
        <v>1992</v>
      </c>
      <c r="E24" s="306">
        <v>1922</v>
      </c>
      <c r="F24" s="306">
        <v>1922</v>
      </c>
      <c r="G24" s="306">
        <v>1929</v>
      </c>
      <c r="H24" s="306">
        <v>1929</v>
      </c>
      <c r="I24" s="306">
        <v>1929</v>
      </c>
      <c r="J24" s="306">
        <v>1929</v>
      </c>
      <c r="K24" s="306">
        <v>1929</v>
      </c>
      <c r="L24" s="306">
        <v>1972</v>
      </c>
      <c r="M24" s="306">
        <v>2004</v>
      </c>
      <c r="N24" s="306">
        <v>2004</v>
      </c>
      <c r="O24" s="306">
        <v>2004</v>
      </c>
      <c r="P24" s="306">
        <v>2004</v>
      </c>
      <c r="Q24" s="306">
        <v>2004</v>
      </c>
      <c r="R24" s="306">
        <v>2004</v>
      </c>
      <c r="S24" s="306">
        <v>2004</v>
      </c>
      <c r="T24" s="306">
        <v>2004</v>
      </c>
      <c r="U24" s="306">
        <v>2004</v>
      </c>
      <c r="V24" s="306">
        <v>2004</v>
      </c>
      <c r="W24" s="306">
        <v>2004</v>
      </c>
      <c r="X24" s="306">
        <v>2004</v>
      </c>
      <c r="Y24" s="328">
        <v>2004</v>
      </c>
      <c r="Z24" s="328">
        <v>2004</v>
      </c>
      <c r="AA24" s="328">
        <v>2004</v>
      </c>
      <c r="AB24" s="328">
        <v>2004</v>
      </c>
      <c r="AC24" s="328">
        <v>2004</v>
      </c>
      <c r="AD24" s="328">
        <v>2004</v>
      </c>
      <c r="AE24" s="328">
        <v>2004</v>
      </c>
      <c r="AF24" s="328">
        <v>2004</v>
      </c>
      <c r="AG24" s="328">
        <v>2004</v>
      </c>
      <c r="AH24" s="305">
        <v>2004</v>
      </c>
      <c r="AI24" s="384">
        <f t="shared" si="1"/>
        <v>12</v>
      </c>
    </row>
    <row r="25" spans="1:35">
      <c r="A25" s="306">
        <v>2</v>
      </c>
      <c r="B25" s="306" t="s">
        <v>129</v>
      </c>
      <c r="C25" s="319" t="s">
        <v>120</v>
      </c>
      <c r="D25" s="398">
        <v>62620</v>
      </c>
      <c r="E25" s="306">
        <v>62701</v>
      </c>
      <c r="F25" s="306">
        <v>62779</v>
      </c>
      <c r="G25" s="306">
        <v>62853</v>
      </c>
      <c r="H25" s="306">
        <v>62926</v>
      </c>
      <c r="I25" s="306">
        <v>63001</v>
      </c>
      <c r="J25" s="306">
        <v>63042</v>
      </c>
      <c r="K25" s="306">
        <v>63042</v>
      </c>
      <c r="L25" s="306">
        <v>63090</v>
      </c>
      <c r="M25" s="306">
        <v>63139</v>
      </c>
      <c r="N25" s="306">
        <v>63220</v>
      </c>
      <c r="O25" s="306">
        <v>63291</v>
      </c>
      <c r="P25" s="306">
        <v>63367</v>
      </c>
      <c r="Q25" s="306">
        <v>63388</v>
      </c>
      <c r="R25" s="306">
        <v>63388</v>
      </c>
      <c r="S25" s="306">
        <v>63474</v>
      </c>
      <c r="T25" s="306">
        <v>63548</v>
      </c>
      <c r="U25" s="306">
        <v>63622</v>
      </c>
      <c r="V25" s="306">
        <v>63691</v>
      </c>
      <c r="W25" s="306">
        <v>63767</v>
      </c>
      <c r="X25" s="306">
        <v>63805</v>
      </c>
      <c r="Y25" s="306">
        <v>63805</v>
      </c>
      <c r="Z25" s="306">
        <v>63887</v>
      </c>
      <c r="AA25" s="306">
        <v>63973</v>
      </c>
      <c r="AB25" s="306">
        <v>64066</v>
      </c>
      <c r="AC25" s="306">
        <v>64171</v>
      </c>
      <c r="AD25" s="309">
        <v>64246</v>
      </c>
      <c r="AE25" s="305">
        <v>64284</v>
      </c>
      <c r="AF25" s="305">
        <v>64284</v>
      </c>
      <c r="AG25" s="390">
        <v>64388</v>
      </c>
      <c r="AH25" s="390">
        <v>64476</v>
      </c>
      <c r="AI25" s="384">
        <f t="shared" si="1"/>
        <v>1856</v>
      </c>
    </row>
    <row r="26" spans="1:35">
      <c r="A26" s="306"/>
      <c r="B26" s="306"/>
      <c r="C26" s="338" t="s">
        <v>22</v>
      </c>
      <c r="D26" s="398">
        <v>1945</v>
      </c>
      <c r="E26" s="306">
        <v>1945</v>
      </c>
      <c r="F26" s="306">
        <v>1945</v>
      </c>
      <c r="G26" s="306">
        <v>1945</v>
      </c>
      <c r="H26" s="306">
        <v>1945</v>
      </c>
      <c r="I26" s="306">
        <v>1945</v>
      </c>
      <c r="J26" s="306">
        <v>1945</v>
      </c>
      <c r="K26" s="306">
        <v>1945</v>
      </c>
      <c r="L26" s="306">
        <v>1978</v>
      </c>
      <c r="M26" s="306">
        <v>2013</v>
      </c>
      <c r="N26" s="306">
        <v>2013</v>
      </c>
      <c r="O26" s="306">
        <v>2013</v>
      </c>
      <c r="P26" s="306">
        <v>2013</v>
      </c>
      <c r="Q26" s="306">
        <v>2013</v>
      </c>
      <c r="R26" s="306">
        <v>2013</v>
      </c>
      <c r="S26" s="306">
        <v>2013</v>
      </c>
      <c r="T26" s="306">
        <v>2013</v>
      </c>
      <c r="U26" s="306">
        <v>2013</v>
      </c>
      <c r="V26" s="306">
        <v>2013</v>
      </c>
      <c r="W26" s="306">
        <v>2013</v>
      </c>
      <c r="X26" s="306">
        <v>2013</v>
      </c>
      <c r="Y26" s="306">
        <v>2013</v>
      </c>
      <c r="Z26" s="306">
        <v>2013</v>
      </c>
      <c r="AA26" s="306">
        <v>2013</v>
      </c>
      <c r="AB26" s="306">
        <v>2013</v>
      </c>
      <c r="AC26" s="306">
        <v>2013</v>
      </c>
      <c r="AD26" s="306">
        <v>2013</v>
      </c>
      <c r="AE26" s="306">
        <v>2013</v>
      </c>
      <c r="AF26" s="306">
        <v>2013</v>
      </c>
      <c r="AG26" s="306">
        <v>2013</v>
      </c>
      <c r="AH26" s="309">
        <v>2013</v>
      </c>
      <c r="AI26" s="384">
        <f t="shared" si="1"/>
        <v>68</v>
      </c>
    </row>
    <row r="27" spans="1:35">
      <c r="A27" s="306">
        <v>3</v>
      </c>
      <c r="B27" s="306" t="s">
        <v>129</v>
      </c>
      <c r="C27" s="319" t="s">
        <v>121</v>
      </c>
      <c r="D27" s="398">
        <v>75704</v>
      </c>
      <c r="E27" s="306">
        <v>75802</v>
      </c>
      <c r="F27" s="306">
        <v>75907</v>
      </c>
      <c r="G27" s="306">
        <v>75991</v>
      </c>
      <c r="H27" s="306">
        <v>76075</v>
      </c>
      <c r="I27" s="306">
        <v>76152</v>
      </c>
      <c r="J27" s="306">
        <v>76206</v>
      </c>
      <c r="K27" s="306">
        <v>76206</v>
      </c>
      <c r="L27" s="306">
        <v>76262</v>
      </c>
      <c r="M27" s="306">
        <v>76319</v>
      </c>
      <c r="N27" s="306">
        <v>76420</v>
      </c>
      <c r="O27" s="306">
        <v>76515</v>
      </c>
      <c r="P27" s="306">
        <v>76608</v>
      </c>
      <c r="Q27" s="306">
        <v>76659</v>
      </c>
      <c r="R27" s="306">
        <v>76659</v>
      </c>
      <c r="S27" s="306">
        <v>76754</v>
      </c>
      <c r="T27" s="306">
        <v>76833</v>
      </c>
      <c r="U27" s="306">
        <v>76913</v>
      </c>
      <c r="V27" s="306">
        <v>76997</v>
      </c>
      <c r="W27" s="306">
        <v>77075</v>
      </c>
      <c r="X27" s="306">
        <v>77120</v>
      </c>
      <c r="Y27" s="306">
        <v>77120</v>
      </c>
      <c r="Z27" s="306">
        <v>77219</v>
      </c>
      <c r="AA27" s="306">
        <v>77330</v>
      </c>
      <c r="AB27" s="306">
        <v>77424</v>
      </c>
      <c r="AC27" s="306">
        <v>77523</v>
      </c>
      <c r="AD27" s="309">
        <v>77622</v>
      </c>
      <c r="AE27" s="305">
        <v>77671</v>
      </c>
      <c r="AF27" s="324">
        <v>77671</v>
      </c>
      <c r="AG27" s="390">
        <v>77797</v>
      </c>
      <c r="AH27" s="390">
        <v>77898</v>
      </c>
      <c r="AI27" s="384">
        <f t="shared" si="1"/>
        <v>2194</v>
      </c>
    </row>
    <row r="28" spans="1:35">
      <c r="A28" s="306"/>
      <c r="B28" s="306"/>
      <c r="C28" s="338" t="s">
        <v>22</v>
      </c>
      <c r="D28" s="398">
        <v>2075</v>
      </c>
      <c r="E28" s="306">
        <v>2075</v>
      </c>
      <c r="F28" s="306">
        <v>2075</v>
      </c>
      <c r="G28" s="306">
        <v>2075</v>
      </c>
      <c r="H28" s="306">
        <v>2075</v>
      </c>
      <c r="I28" s="306">
        <v>2075</v>
      </c>
      <c r="J28" s="306">
        <v>2075</v>
      </c>
      <c r="K28" s="306">
        <v>2075</v>
      </c>
      <c r="L28" s="306">
        <v>2121</v>
      </c>
      <c r="M28" s="306">
        <v>2166</v>
      </c>
      <c r="N28" s="306">
        <v>2166</v>
      </c>
      <c r="O28" s="306">
        <v>2166</v>
      </c>
      <c r="P28" s="306">
        <v>2166</v>
      </c>
      <c r="Q28" s="306">
        <v>2166</v>
      </c>
      <c r="R28" s="306">
        <v>2166</v>
      </c>
      <c r="S28" s="306">
        <v>2166</v>
      </c>
      <c r="T28" s="306">
        <v>2166</v>
      </c>
      <c r="U28" s="306">
        <v>2166</v>
      </c>
      <c r="V28" s="306">
        <v>2166</v>
      </c>
      <c r="W28" s="306">
        <v>2166</v>
      </c>
      <c r="X28" s="306">
        <v>2166</v>
      </c>
      <c r="Y28" s="306">
        <v>2166</v>
      </c>
      <c r="Z28" s="306">
        <v>2166</v>
      </c>
      <c r="AA28" s="306">
        <v>2166</v>
      </c>
      <c r="AB28" s="306">
        <v>2166</v>
      </c>
      <c r="AC28" s="306">
        <v>2166</v>
      </c>
      <c r="AD28" s="306">
        <v>2166</v>
      </c>
      <c r="AE28" s="306">
        <v>2166</v>
      </c>
      <c r="AF28" s="306">
        <v>2166</v>
      </c>
      <c r="AG28" s="331">
        <v>2166</v>
      </c>
      <c r="AH28" s="306">
        <v>2166</v>
      </c>
      <c r="AI28" s="384">
        <f t="shared" si="1"/>
        <v>91</v>
      </c>
    </row>
    <row r="29" spans="1:35">
      <c r="A29" s="306">
        <v>4</v>
      </c>
      <c r="B29" s="306" t="s">
        <v>129</v>
      </c>
      <c r="C29" s="319" t="s">
        <v>122</v>
      </c>
      <c r="D29" s="398">
        <v>51063</v>
      </c>
      <c r="E29" s="306">
        <v>51141</v>
      </c>
      <c r="F29" s="306">
        <v>51216</v>
      </c>
      <c r="G29" s="306">
        <v>51290</v>
      </c>
      <c r="H29" s="306">
        <v>51353</v>
      </c>
      <c r="I29" s="306">
        <v>51417</v>
      </c>
      <c r="J29" s="306">
        <v>51436</v>
      </c>
      <c r="K29" s="306">
        <v>51436</v>
      </c>
      <c r="L29" s="306">
        <v>51489</v>
      </c>
      <c r="M29" s="306">
        <v>51544</v>
      </c>
      <c r="N29" s="306">
        <v>51633</v>
      </c>
      <c r="O29" s="306">
        <v>51719</v>
      </c>
      <c r="P29" s="306">
        <v>51802</v>
      </c>
      <c r="Q29" s="306">
        <v>51804</v>
      </c>
      <c r="R29" s="306">
        <v>51804</v>
      </c>
      <c r="S29" s="306">
        <v>51886</v>
      </c>
      <c r="T29" s="306">
        <v>51960</v>
      </c>
      <c r="U29" s="306">
        <v>52033</v>
      </c>
      <c r="V29" s="306">
        <v>52108</v>
      </c>
      <c r="W29" s="306">
        <v>52176</v>
      </c>
      <c r="X29" s="306">
        <v>52217</v>
      </c>
      <c r="Y29" s="306">
        <v>52217</v>
      </c>
      <c r="Z29" s="306">
        <v>52303</v>
      </c>
      <c r="AA29" s="306">
        <v>52392</v>
      </c>
      <c r="AB29" s="306">
        <v>52467</v>
      </c>
      <c r="AC29" s="306">
        <v>52545</v>
      </c>
      <c r="AD29" s="306">
        <v>52618</v>
      </c>
      <c r="AE29" s="318">
        <v>52663</v>
      </c>
      <c r="AF29" s="318">
        <v>52663</v>
      </c>
      <c r="AG29" s="305">
        <v>52782</v>
      </c>
      <c r="AH29" s="400">
        <v>52893</v>
      </c>
      <c r="AI29" s="384">
        <f t="shared" si="1"/>
        <v>1830</v>
      </c>
    </row>
    <row r="30" spans="1:35">
      <c r="A30" s="306"/>
      <c r="B30" s="306"/>
      <c r="C30" s="338" t="s">
        <v>22</v>
      </c>
      <c r="D30" s="398">
        <v>1793</v>
      </c>
      <c r="E30" s="306">
        <v>1793</v>
      </c>
      <c r="F30" s="306">
        <v>1793</v>
      </c>
      <c r="G30" s="306">
        <v>1793</v>
      </c>
      <c r="H30" s="306">
        <v>1793</v>
      </c>
      <c r="I30" s="306">
        <v>1793</v>
      </c>
      <c r="J30" s="306">
        <v>1793</v>
      </c>
      <c r="K30" s="306">
        <v>1793</v>
      </c>
      <c r="L30" s="306">
        <v>1844</v>
      </c>
      <c r="M30" s="306">
        <v>1884</v>
      </c>
      <c r="N30" s="306">
        <v>1884</v>
      </c>
      <c r="O30" s="306">
        <v>1884</v>
      </c>
      <c r="P30" s="306">
        <v>1884</v>
      </c>
      <c r="Q30" s="306">
        <v>1884</v>
      </c>
      <c r="R30" s="306">
        <v>1884</v>
      </c>
      <c r="S30" s="306">
        <v>1884</v>
      </c>
      <c r="T30" s="306">
        <v>1884</v>
      </c>
      <c r="U30" s="306">
        <v>1884</v>
      </c>
      <c r="V30" s="306">
        <v>1884</v>
      </c>
      <c r="W30" s="306">
        <v>1884</v>
      </c>
      <c r="X30" s="306">
        <v>1884</v>
      </c>
      <c r="Y30" s="306">
        <v>1884</v>
      </c>
      <c r="Z30" s="306">
        <v>1884</v>
      </c>
      <c r="AA30" s="306">
        <v>1884</v>
      </c>
      <c r="AB30" s="306">
        <v>1884</v>
      </c>
      <c r="AC30" s="306">
        <v>1884</v>
      </c>
      <c r="AD30" s="306">
        <v>1884</v>
      </c>
      <c r="AE30" s="306">
        <v>1884</v>
      </c>
      <c r="AF30" s="306">
        <v>1884</v>
      </c>
      <c r="AG30" s="315">
        <v>1884</v>
      </c>
      <c r="AH30" s="306">
        <v>1884</v>
      </c>
      <c r="AI30" s="384">
        <f t="shared" si="1"/>
        <v>91</v>
      </c>
    </row>
    <row r="31" spans="1:35">
      <c r="A31" s="548" t="s">
        <v>148</v>
      </c>
      <c r="B31" s="495"/>
      <c r="C31" s="495"/>
      <c r="D31" s="495"/>
      <c r="E31" s="495"/>
      <c r="F31" s="495"/>
      <c r="G31" s="495"/>
      <c r="H31" s="495"/>
      <c r="I31" s="495"/>
      <c r="J31" s="495"/>
      <c r="K31" s="495"/>
      <c r="L31" s="495"/>
      <c r="M31" s="495"/>
      <c r="N31" s="495"/>
      <c r="O31" s="495"/>
      <c r="P31" s="495"/>
      <c r="Q31" s="495"/>
      <c r="R31" s="495"/>
      <c r="S31" s="495"/>
      <c r="T31" s="495"/>
      <c r="U31" s="495"/>
      <c r="V31" s="495"/>
      <c r="W31" s="495"/>
      <c r="X31" s="495"/>
      <c r="Y31" s="495"/>
      <c r="Z31" s="495"/>
      <c r="AA31" s="495"/>
      <c r="AB31" s="495"/>
      <c r="AC31" s="495"/>
      <c r="AD31" s="495"/>
      <c r="AE31" s="495"/>
      <c r="AF31" s="495"/>
      <c r="AG31" s="495"/>
      <c r="AH31" s="495"/>
    </row>
    <row r="32" spans="1:35">
      <c r="A32" s="306">
        <v>1</v>
      </c>
      <c r="B32" s="306" t="s">
        <v>129</v>
      </c>
      <c r="C32" s="319" t="s">
        <v>123</v>
      </c>
      <c r="D32" s="398">
        <v>436512</v>
      </c>
      <c r="E32" s="382">
        <v>437036</v>
      </c>
      <c r="F32" s="383">
        <v>437505</v>
      </c>
      <c r="G32" s="383">
        <v>437972</v>
      </c>
      <c r="H32" s="383">
        <v>438400</v>
      </c>
      <c r="I32" s="383">
        <v>438774</v>
      </c>
      <c r="J32" s="383">
        <v>438930</v>
      </c>
      <c r="K32" s="383">
        <v>438930</v>
      </c>
      <c r="L32" s="383">
        <v>439432</v>
      </c>
      <c r="M32" s="382">
        <v>439996</v>
      </c>
      <c r="N32" s="383">
        <v>440530</v>
      </c>
      <c r="O32" s="383">
        <v>441100</v>
      </c>
      <c r="P32" s="383">
        <v>441493</v>
      </c>
      <c r="Q32" s="382">
        <v>441642</v>
      </c>
      <c r="R32" s="383">
        <v>441642</v>
      </c>
      <c r="S32" s="383">
        <v>442135</v>
      </c>
      <c r="T32" s="383">
        <v>442586</v>
      </c>
      <c r="U32" s="382">
        <v>443090</v>
      </c>
      <c r="V32" s="383">
        <v>443495</v>
      </c>
      <c r="W32" s="383">
        <v>443908</v>
      </c>
      <c r="X32" s="383">
        <v>444122</v>
      </c>
      <c r="Y32" s="382">
        <v>444122</v>
      </c>
      <c r="Z32" s="383">
        <v>444658</v>
      </c>
      <c r="AA32" s="383">
        <v>445174</v>
      </c>
      <c r="AB32" s="383">
        <v>445659</v>
      </c>
      <c r="AC32" s="383">
        <v>446257</v>
      </c>
      <c r="AD32" s="382">
        <v>446737</v>
      </c>
      <c r="AE32" s="383">
        <v>447059</v>
      </c>
      <c r="AF32" s="383">
        <v>447059</v>
      </c>
      <c r="AG32" s="383">
        <v>447656</v>
      </c>
      <c r="AH32" s="383">
        <v>448252</v>
      </c>
      <c r="AI32" s="384">
        <f>AH32-D32</f>
        <v>11740</v>
      </c>
    </row>
    <row r="33" spans="1:35">
      <c r="A33" s="306">
        <v>2</v>
      </c>
      <c r="B33" s="306" t="s">
        <v>129</v>
      </c>
      <c r="C33" s="319" t="s">
        <v>124</v>
      </c>
      <c r="D33" s="398">
        <v>410185</v>
      </c>
      <c r="E33" s="383">
        <v>410652</v>
      </c>
      <c r="F33" s="383">
        <v>411116</v>
      </c>
      <c r="G33" s="383">
        <v>411652</v>
      </c>
      <c r="H33" s="383">
        <v>411997</v>
      </c>
      <c r="I33" s="383">
        <v>412469</v>
      </c>
      <c r="J33" s="383">
        <v>412713</v>
      </c>
      <c r="K33" s="383">
        <v>412713</v>
      </c>
      <c r="L33" s="383">
        <v>413193</v>
      </c>
      <c r="M33" s="383">
        <v>413707</v>
      </c>
      <c r="N33" s="383">
        <v>414175</v>
      </c>
      <c r="O33" s="383">
        <v>414708</v>
      </c>
      <c r="P33" s="383">
        <v>415135</v>
      </c>
      <c r="Q33" s="383">
        <v>415332</v>
      </c>
      <c r="R33" s="383">
        <v>415332</v>
      </c>
      <c r="S33" s="383">
        <v>415824</v>
      </c>
      <c r="T33" s="383">
        <v>416263</v>
      </c>
      <c r="U33" s="383">
        <v>416766</v>
      </c>
      <c r="V33" s="383">
        <v>417208</v>
      </c>
      <c r="W33" s="383">
        <v>417664</v>
      </c>
      <c r="X33" s="383">
        <v>417933</v>
      </c>
      <c r="Y33" s="383">
        <v>417933</v>
      </c>
      <c r="Z33" s="383">
        <v>418442</v>
      </c>
      <c r="AA33" s="383">
        <v>448890</v>
      </c>
      <c r="AB33" s="383">
        <v>419367</v>
      </c>
      <c r="AC33" s="383">
        <v>419910</v>
      </c>
      <c r="AD33" s="383">
        <v>420368</v>
      </c>
      <c r="AE33" s="383">
        <v>420611</v>
      </c>
      <c r="AF33" s="383">
        <v>420611</v>
      </c>
      <c r="AG33" s="383">
        <v>421191</v>
      </c>
      <c r="AH33" s="383">
        <v>421761</v>
      </c>
      <c r="AI33" s="384">
        <f>AH33-D33</f>
        <v>11576</v>
      </c>
    </row>
    <row r="34" spans="1:35">
      <c r="A34" s="306">
        <v>3</v>
      </c>
      <c r="B34" s="306" t="s">
        <v>129</v>
      </c>
      <c r="C34" s="319" t="s">
        <v>125</v>
      </c>
      <c r="D34" s="398">
        <v>444498</v>
      </c>
      <c r="E34" s="383">
        <v>445220</v>
      </c>
      <c r="F34" s="383">
        <v>445724</v>
      </c>
      <c r="G34" s="383">
        <v>446303</v>
      </c>
      <c r="H34" s="383">
        <v>446812</v>
      </c>
      <c r="I34" s="383">
        <v>447291</v>
      </c>
      <c r="J34" s="383">
        <v>447578</v>
      </c>
      <c r="K34" s="383">
        <v>447578</v>
      </c>
      <c r="L34" s="383">
        <v>448286</v>
      </c>
      <c r="M34" s="383">
        <v>448952</v>
      </c>
      <c r="N34" s="383">
        <v>449387</v>
      </c>
      <c r="O34" s="383">
        <v>450006</v>
      </c>
      <c r="P34" s="383">
        <v>450377</v>
      </c>
      <c r="Q34" s="383">
        <v>450684</v>
      </c>
      <c r="R34" s="383">
        <v>450684</v>
      </c>
      <c r="S34" s="383">
        <v>451371</v>
      </c>
      <c r="T34" s="383">
        <v>451805</v>
      </c>
      <c r="U34" s="383">
        <v>452224</v>
      </c>
      <c r="V34" s="383">
        <v>452645</v>
      </c>
      <c r="W34" s="383">
        <v>453039</v>
      </c>
      <c r="X34" s="383">
        <v>453324</v>
      </c>
      <c r="Y34" s="383">
        <v>453324</v>
      </c>
      <c r="Z34" s="383">
        <v>453978</v>
      </c>
      <c r="AA34" s="383">
        <v>454566</v>
      </c>
      <c r="AB34" s="383">
        <v>455079</v>
      </c>
      <c r="AC34" s="433">
        <v>455675</v>
      </c>
      <c r="AD34" s="383">
        <v>456327</v>
      </c>
      <c r="AE34" s="383">
        <v>456734</v>
      </c>
      <c r="AF34" s="383">
        <v>456734</v>
      </c>
      <c r="AG34" s="383">
        <v>457569</v>
      </c>
      <c r="AH34" s="383">
        <v>458458</v>
      </c>
      <c r="AI34" s="384">
        <f>AH34-D34</f>
        <v>13960</v>
      </c>
    </row>
    <row r="35" spans="1:35">
      <c r="A35" s="306">
        <v>4</v>
      </c>
      <c r="B35" s="306" t="s">
        <v>129</v>
      </c>
      <c r="C35" s="319" t="s">
        <v>126</v>
      </c>
      <c r="D35" s="398">
        <v>489616</v>
      </c>
      <c r="E35" s="379">
        <v>490429</v>
      </c>
      <c r="F35" s="379">
        <v>491240</v>
      </c>
      <c r="G35" s="379">
        <v>492012</v>
      </c>
      <c r="H35" s="379">
        <v>492777</v>
      </c>
      <c r="I35" s="379">
        <v>493455</v>
      </c>
      <c r="J35" s="379">
        <v>493710</v>
      </c>
      <c r="K35" s="379">
        <v>493710</v>
      </c>
      <c r="L35" s="379">
        <v>494532</v>
      </c>
      <c r="M35" s="379">
        <v>495500</v>
      </c>
      <c r="N35" s="379">
        <v>496239</v>
      </c>
      <c r="O35" s="379">
        <v>497238</v>
      </c>
      <c r="P35" s="380">
        <v>498008</v>
      </c>
      <c r="Q35" s="379">
        <v>498190</v>
      </c>
      <c r="R35" s="379">
        <v>498190</v>
      </c>
      <c r="S35" s="379">
        <v>499113</v>
      </c>
      <c r="T35" s="379">
        <v>499861</v>
      </c>
      <c r="U35" s="379">
        <v>500719</v>
      </c>
      <c r="V35" s="379">
        <v>501571</v>
      </c>
      <c r="W35" s="379">
        <v>502320</v>
      </c>
      <c r="X35" s="379">
        <v>502682</v>
      </c>
      <c r="Y35" s="379">
        <v>502682</v>
      </c>
      <c r="Z35" s="379">
        <v>503553</v>
      </c>
      <c r="AA35" s="379">
        <v>504389</v>
      </c>
      <c r="AB35" s="379">
        <v>505322</v>
      </c>
      <c r="AC35" s="383">
        <v>506094</v>
      </c>
      <c r="AD35" s="379">
        <v>506963</v>
      </c>
      <c r="AE35" s="381">
        <v>507414</v>
      </c>
      <c r="AF35" s="381">
        <v>507414</v>
      </c>
      <c r="AG35" s="381">
        <v>508346</v>
      </c>
      <c r="AH35" s="383">
        <v>509335</v>
      </c>
      <c r="AI35" s="384">
        <f>AH35-D35</f>
        <v>19719</v>
      </c>
    </row>
    <row r="36" spans="1:35">
      <c r="A36" s="547"/>
      <c r="B36" s="495"/>
      <c r="C36" s="495"/>
      <c r="D36" s="495"/>
      <c r="E36" s="495"/>
      <c r="F36" s="495"/>
      <c r="G36" s="495"/>
      <c r="H36" s="495"/>
      <c r="I36" s="495"/>
      <c r="J36" s="495"/>
      <c r="K36" s="495"/>
      <c r="L36" s="495"/>
      <c r="M36" s="495"/>
      <c r="N36" s="495"/>
      <c r="O36" s="495"/>
      <c r="P36" s="495"/>
      <c r="Q36" s="495"/>
      <c r="R36" s="495"/>
      <c r="S36" s="495"/>
      <c r="T36" s="495"/>
      <c r="U36" s="495"/>
      <c r="V36" s="495"/>
      <c r="W36" s="495"/>
      <c r="X36" s="495"/>
      <c r="Y36" s="495"/>
      <c r="Z36" s="495"/>
      <c r="AA36" s="495"/>
      <c r="AB36" s="495"/>
      <c r="AC36" s="495"/>
      <c r="AD36" s="495"/>
      <c r="AE36" s="495"/>
      <c r="AF36" s="495"/>
      <c r="AG36" s="495"/>
      <c r="AH36" s="495"/>
    </row>
    <row r="37" spans="1:35">
      <c r="A37" s="495"/>
      <c r="B37" s="495"/>
      <c r="C37" s="495"/>
      <c r="D37" s="495"/>
      <c r="E37" s="495"/>
      <c r="F37" s="495"/>
      <c r="G37" s="495"/>
      <c r="H37" s="495"/>
      <c r="I37" s="495"/>
      <c r="J37" s="495"/>
      <c r="K37" s="495"/>
      <c r="L37" s="495"/>
      <c r="M37" s="495"/>
      <c r="N37" s="495"/>
      <c r="O37" s="495"/>
      <c r="P37" s="495"/>
      <c r="Q37" s="495"/>
      <c r="R37" s="495"/>
      <c r="S37" s="495"/>
      <c r="T37" s="495"/>
      <c r="U37" s="495"/>
      <c r="V37" s="495"/>
      <c r="W37" s="495"/>
      <c r="X37" s="495"/>
      <c r="Y37" s="495"/>
      <c r="Z37" s="495"/>
      <c r="AA37" s="495"/>
      <c r="AB37" s="495"/>
      <c r="AC37" s="495"/>
      <c r="AD37" s="495"/>
      <c r="AE37" s="495"/>
      <c r="AF37" s="495"/>
      <c r="AG37" s="495"/>
      <c r="AH37" s="495"/>
    </row>
    <row r="38" spans="1:35">
      <c r="A38" s="350"/>
      <c r="B38" s="551" t="s">
        <v>127</v>
      </c>
      <c r="C38" s="504"/>
      <c r="D38" s="501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350"/>
      <c r="AE38" s="350"/>
      <c r="AF38" s="350"/>
      <c r="AG38" s="350"/>
      <c r="AH38" s="350"/>
    </row>
    <row r="39" spans="1:35">
      <c r="A39" s="351"/>
      <c r="B39" s="558" t="s">
        <v>128</v>
      </c>
      <c r="C39" s="504"/>
      <c r="D39" s="50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  <c r="AA39" s="351"/>
      <c r="AB39" s="351"/>
      <c r="AC39" s="351"/>
      <c r="AD39" s="351"/>
      <c r="AE39" s="351"/>
      <c r="AF39" s="351"/>
      <c r="AG39" s="351"/>
      <c r="AH39" s="351"/>
    </row>
    <row r="40" spans="1:35">
      <c r="A40" s="541" t="s">
        <v>99</v>
      </c>
      <c r="B40" s="541" t="s">
        <v>100</v>
      </c>
      <c r="C40" s="541" t="s">
        <v>101</v>
      </c>
      <c r="D40" s="517"/>
      <c r="E40" s="301">
        <v>46174</v>
      </c>
      <c r="F40" s="301">
        <v>46175</v>
      </c>
      <c r="G40" s="301">
        <v>46176</v>
      </c>
      <c r="H40" s="301">
        <v>46177</v>
      </c>
      <c r="I40" s="301">
        <v>46178</v>
      </c>
      <c r="J40" s="301">
        <v>46179</v>
      </c>
      <c r="K40" s="301">
        <v>46180</v>
      </c>
      <c r="L40" s="301">
        <v>46181</v>
      </c>
      <c r="M40" s="301">
        <v>46182</v>
      </c>
      <c r="N40" s="301">
        <v>46183</v>
      </c>
      <c r="O40" s="301">
        <v>46184</v>
      </c>
      <c r="P40" s="301">
        <v>46185</v>
      </c>
      <c r="Q40" s="301">
        <v>46186</v>
      </c>
      <c r="R40" s="301">
        <v>46187</v>
      </c>
      <c r="S40" s="301">
        <v>46188</v>
      </c>
      <c r="T40" s="301">
        <v>46189</v>
      </c>
      <c r="U40" s="301">
        <v>46190</v>
      </c>
      <c r="V40" s="301">
        <v>46191</v>
      </c>
      <c r="W40" s="301">
        <v>46192</v>
      </c>
      <c r="X40" s="301">
        <v>46193</v>
      </c>
      <c r="Y40" s="301">
        <v>46194</v>
      </c>
      <c r="Z40" s="301">
        <v>46195</v>
      </c>
      <c r="AA40" s="301">
        <v>46196</v>
      </c>
      <c r="AB40" s="301">
        <v>46197</v>
      </c>
      <c r="AC40" s="301">
        <v>46198</v>
      </c>
      <c r="AD40" s="301">
        <v>46199</v>
      </c>
      <c r="AE40" s="301">
        <v>46200</v>
      </c>
      <c r="AF40" s="301">
        <v>46201</v>
      </c>
      <c r="AG40" s="301">
        <v>46202</v>
      </c>
      <c r="AH40" s="301">
        <v>46203</v>
      </c>
      <c r="AI40" s="541" t="s">
        <v>1</v>
      </c>
    </row>
    <row r="41" spans="1:35">
      <c r="A41" s="508"/>
      <c r="B41" s="508"/>
      <c r="C41" s="518"/>
      <c r="D41" s="519"/>
      <c r="E41" s="302" t="s">
        <v>103</v>
      </c>
      <c r="F41" s="302" t="s">
        <v>104</v>
      </c>
      <c r="G41" s="302" t="s">
        <v>105</v>
      </c>
      <c r="H41" s="302" t="s">
        <v>106</v>
      </c>
      <c r="I41" s="302" t="s">
        <v>107</v>
      </c>
      <c r="J41" s="302" t="s">
        <v>108</v>
      </c>
      <c r="K41" s="302" t="s">
        <v>109</v>
      </c>
      <c r="L41" s="302" t="s">
        <v>103</v>
      </c>
      <c r="M41" s="302" t="s">
        <v>104</v>
      </c>
      <c r="N41" s="302" t="s">
        <v>105</v>
      </c>
      <c r="O41" s="302" t="s">
        <v>106</v>
      </c>
      <c r="P41" s="302" t="s">
        <v>107</v>
      </c>
      <c r="Q41" s="302" t="s">
        <v>108</v>
      </c>
      <c r="R41" s="302" t="s">
        <v>109</v>
      </c>
      <c r="S41" s="302" t="s">
        <v>103</v>
      </c>
      <c r="T41" s="302" t="s">
        <v>104</v>
      </c>
      <c r="U41" s="302" t="s">
        <v>105</v>
      </c>
      <c r="V41" s="302" t="s">
        <v>106</v>
      </c>
      <c r="W41" s="302" t="s">
        <v>107</v>
      </c>
      <c r="X41" s="302" t="s">
        <v>108</v>
      </c>
      <c r="Y41" s="302" t="s">
        <v>109</v>
      </c>
      <c r="Z41" s="302" t="s">
        <v>103</v>
      </c>
      <c r="AA41" s="302" t="s">
        <v>104</v>
      </c>
      <c r="AB41" s="302" t="s">
        <v>105</v>
      </c>
      <c r="AC41" s="302" t="s">
        <v>106</v>
      </c>
      <c r="AD41" s="302" t="s">
        <v>107</v>
      </c>
      <c r="AE41" s="302" t="s">
        <v>108</v>
      </c>
      <c r="AF41" s="302" t="s">
        <v>109</v>
      </c>
      <c r="AG41" s="302" t="s">
        <v>103</v>
      </c>
      <c r="AH41" s="302" t="s">
        <v>104</v>
      </c>
      <c r="AI41" s="508"/>
    </row>
    <row r="42" spans="1:35">
      <c r="A42" s="508"/>
      <c r="B42" s="508"/>
      <c r="C42" s="518"/>
      <c r="D42" s="519"/>
      <c r="E42" s="353" t="s">
        <v>110</v>
      </c>
      <c r="F42" s="353" t="s">
        <v>110</v>
      </c>
      <c r="G42" s="353" t="s">
        <v>110</v>
      </c>
      <c r="H42" s="353" t="s">
        <v>110</v>
      </c>
      <c r="I42" s="353" t="s">
        <v>110</v>
      </c>
      <c r="J42" s="353" t="s">
        <v>110</v>
      </c>
      <c r="K42" s="353" t="s">
        <v>110</v>
      </c>
      <c r="L42" s="353" t="s">
        <v>110</v>
      </c>
      <c r="M42" s="353" t="s">
        <v>110</v>
      </c>
      <c r="N42" s="353" t="s">
        <v>110</v>
      </c>
      <c r="O42" s="353" t="s">
        <v>110</v>
      </c>
      <c r="P42" s="353" t="s">
        <v>110</v>
      </c>
      <c r="Q42" s="353" t="s">
        <v>110</v>
      </c>
      <c r="R42" s="353" t="s">
        <v>110</v>
      </c>
      <c r="S42" s="353" t="s">
        <v>110</v>
      </c>
      <c r="T42" s="353" t="s">
        <v>110</v>
      </c>
      <c r="U42" s="353" t="s">
        <v>110</v>
      </c>
      <c r="V42" s="353" t="s">
        <v>110</v>
      </c>
      <c r="W42" s="353" t="s">
        <v>110</v>
      </c>
      <c r="X42" s="353" t="s">
        <v>110</v>
      </c>
      <c r="Y42" s="353" t="s">
        <v>110</v>
      </c>
      <c r="Z42" s="353" t="s">
        <v>110</v>
      </c>
      <c r="AA42" s="353" t="s">
        <v>110</v>
      </c>
      <c r="AB42" s="353" t="s">
        <v>110</v>
      </c>
      <c r="AC42" s="353" t="s">
        <v>110</v>
      </c>
      <c r="AD42" s="353" t="s">
        <v>110</v>
      </c>
      <c r="AE42" s="352" t="str">
        <f>AE4</f>
        <v>Time</v>
      </c>
      <c r="AF42" s="303" t="s">
        <v>110</v>
      </c>
      <c r="AG42" s="353" t="s">
        <v>110</v>
      </c>
      <c r="AH42" s="353" t="s">
        <v>110</v>
      </c>
      <c r="AI42" s="508"/>
    </row>
    <row r="43" spans="1:35">
      <c r="A43" s="509"/>
      <c r="B43" s="509"/>
      <c r="C43" s="520"/>
      <c r="D43" s="521"/>
      <c r="E43" s="354">
        <v>0.33333333333333331</v>
      </c>
      <c r="F43" s="354">
        <v>0.33333333333333331</v>
      </c>
      <c r="G43" s="354">
        <v>0.33333333333333331</v>
      </c>
      <c r="H43" s="354">
        <v>0.33333333333333331</v>
      </c>
      <c r="I43" s="354">
        <v>0.33333333333333331</v>
      </c>
      <c r="J43" s="354">
        <v>0.33333333333333331</v>
      </c>
      <c r="K43" s="354">
        <v>0.33333333333333331</v>
      </c>
      <c r="L43" s="354">
        <v>0.33333333333333331</v>
      </c>
      <c r="M43" s="354">
        <v>0.33333333333333331</v>
      </c>
      <c r="N43" s="354">
        <v>0.33333333333333331</v>
      </c>
      <c r="O43" s="354">
        <v>0.33333333333333331</v>
      </c>
      <c r="P43" s="354">
        <v>0.33333333333333331</v>
      </c>
      <c r="Q43" s="354">
        <v>0.33333333333333331</v>
      </c>
      <c r="R43" s="354">
        <v>0.33333333333333331</v>
      </c>
      <c r="S43" s="354">
        <v>0.33333333333333331</v>
      </c>
      <c r="T43" s="354">
        <v>0.33333333333333331</v>
      </c>
      <c r="U43" s="354">
        <v>0.33333333333333331</v>
      </c>
      <c r="V43" s="354">
        <v>0.33333333333333331</v>
      </c>
      <c r="W43" s="354">
        <v>0.33333333333333331</v>
      </c>
      <c r="X43" s="354">
        <v>0.33333333333333331</v>
      </c>
      <c r="Y43" s="354">
        <v>0.33333333333333331</v>
      </c>
      <c r="Z43" s="354">
        <v>0.33333333333333331</v>
      </c>
      <c r="AA43" s="354">
        <v>0.33333333333333331</v>
      </c>
      <c r="AB43" s="354">
        <v>0.33333333333333331</v>
      </c>
      <c r="AC43" s="354">
        <v>0.33333333333333331</v>
      </c>
      <c r="AD43" s="354">
        <v>0.33333333333333331</v>
      </c>
      <c r="AE43" s="354">
        <v>0.33333333333333331</v>
      </c>
      <c r="AF43" s="304">
        <v>0.33333333333333331</v>
      </c>
      <c r="AG43" s="354">
        <v>0.33333333333333331</v>
      </c>
      <c r="AH43" s="354">
        <v>0.33333333333333331</v>
      </c>
      <c r="AI43" s="509"/>
    </row>
    <row r="44" spans="1:35">
      <c r="A44" s="306">
        <v>1</v>
      </c>
      <c r="B44" s="306" t="s">
        <v>129</v>
      </c>
      <c r="C44" s="544" t="s">
        <v>111</v>
      </c>
      <c r="D44" s="501"/>
      <c r="E44" s="355">
        <f t="shared" ref="E44:AH44" si="2">E6-D6</f>
        <v>232</v>
      </c>
      <c r="F44" s="355">
        <f t="shared" si="2"/>
        <v>258</v>
      </c>
      <c r="G44" s="355">
        <f t="shared" si="2"/>
        <v>251</v>
      </c>
      <c r="H44" s="355">
        <f t="shared" si="2"/>
        <v>236</v>
      </c>
      <c r="I44" s="355">
        <f t="shared" si="2"/>
        <v>243</v>
      </c>
      <c r="J44" s="355">
        <f t="shared" si="2"/>
        <v>205</v>
      </c>
      <c r="K44" s="355">
        <f t="shared" si="2"/>
        <v>205</v>
      </c>
      <c r="L44" s="355">
        <f t="shared" si="2"/>
        <v>184</v>
      </c>
      <c r="M44" s="355">
        <f t="shared" si="2"/>
        <v>185</v>
      </c>
      <c r="N44" s="355">
        <f t="shared" si="2"/>
        <v>261</v>
      </c>
      <c r="O44" s="355">
        <f t="shared" si="2"/>
        <v>259</v>
      </c>
      <c r="P44" s="355">
        <f t="shared" si="2"/>
        <v>246</v>
      </c>
      <c r="Q44" s="355">
        <f t="shared" si="2"/>
        <v>205</v>
      </c>
      <c r="R44" s="355">
        <f t="shared" si="2"/>
        <v>205</v>
      </c>
      <c r="S44" s="355">
        <f t="shared" si="2"/>
        <v>258</v>
      </c>
      <c r="T44" s="355">
        <f t="shared" si="2"/>
        <v>251</v>
      </c>
      <c r="U44" s="355">
        <f t="shared" si="2"/>
        <v>263</v>
      </c>
      <c r="V44" s="355">
        <f t="shared" si="2"/>
        <v>247</v>
      </c>
      <c r="W44" s="355">
        <f t="shared" si="2"/>
        <v>249</v>
      </c>
      <c r="X44" s="355">
        <f t="shared" si="2"/>
        <v>219</v>
      </c>
      <c r="Y44" s="355">
        <f t="shared" si="2"/>
        <v>202</v>
      </c>
      <c r="Z44" s="355">
        <f t="shared" si="2"/>
        <v>250</v>
      </c>
      <c r="AA44" s="355">
        <f t="shared" si="2"/>
        <v>256</v>
      </c>
      <c r="AB44" s="355">
        <f t="shared" si="2"/>
        <v>261</v>
      </c>
      <c r="AC44" s="355">
        <f t="shared" si="2"/>
        <v>247</v>
      </c>
      <c r="AD44" s="355">
        <f t="shared" si="2"/>
        <v>251</v>
      </c>
      <c r="AE44" s="355">
        <f t="shared" si="2"/>
        <v>209</v>
      </c>
      <c r="AF44" s="355">
        <f t="shared" si="2"/>
        <v>215</v>
      </c>
      <c r="AG44" s="355">
        <f t="shared" si="2"/>
        <v>252</v>
      </c>
      <c r="AH44" s="355">
        <f t="shared" si="2"/>
        <v>256</v>
      </c>
      <c r="AI44" s="356">
        <f t="shared" ref="AI44:AI59" si="3">SUM(E44:AH44)</f>
        <v>7061</v>
      </c>
    </row>
    <row r="45" spans="1:35">
      <c r="A45" s="306"/>
      <c r="B45" s="306"/>
      <c r="C45" s="543" t="s">
        <v>22</v>
      </c>
      <c r="D45" s="501"/>
      <c r="E45" s="355">
        <f t="shared" ref="E45:AH45" si="4">E7-D7</f>
        <v>0</v>
      </c>
      <c r="F45" s="355">
        <f t="shared" si="4"/>
        <v>0</v>
      </c>
      <c r="G45" s="355">
        <f t="shared" si="4"/>
        <v>0</v>
      </c>
      <c r="H45" s="355">
        <f t="shared" si="4"/>
        <v>0</v>
      </c>
      <c r="I45" s="355">
        <f t="shared" si="4"/>
        <v>0</v>
      </c>
      <c r="J45" s="355">
        <f t="shared" si="4"/>
        <v>0</v>
      </c>
      <c r="K45" s="355">
        <f t="shared" si="4"/>
        <v>0</v>
      </c>
      <c r="L45" s="355">
        <f t="shared" si="4"/>
        <v>69</v>
      </c>
      <c r="M45" s="355">
        <f t="shared" si="4"/>
        <v>74</v>
      </c>
      <c r="N45" s="355">
        <f t="shared" si="4"/>
        <v>0</v>
      </c>
      <c r="O45" s="355">
        <f t="shared" si="4"/>
        <v>0</v>
      </c>
      <c r="P45" s="355">
        <f t="shared" si="4"/>
        <v>0</v>
      </c>
      <c r="Q45" s="355">
        <f t="shared" si="4"/>
        <v>0</v>
      </c>
      <c r="R45" s="355">
        <f t="shared" si="4"/>
        <v>0</v>
      </c>
      <c r="S45" s="355">
        <f t="shared" si="4"/>
        <v>0</v>
      </c>
      <c r="T45" s="355">
        <f t="shared" si="4"/>
        <v>0</v>
      </c>
      <c r="U45" s="355">
        <f t="shared" si="4"/>
        <v>0</v>
      </c>
      <c r="V45" s="355">
        <f t="shared" si="4"/>
        <v>0</v>
      </c>
      <c r="W45" s="355">
        <f t="shared" si="4"/>
        <v>0</v>
      </c>
      <c r="X45" s="355">
        <f t="shared" si="4"/>
        <v>0</v>
      </c>
      <c r="Y45" s="355">
        <f t="shared" si="4"/>
        <v>0</v>
      </c>
      <c r="Z45" s="355">
        <f t="shared" si="4"/>
        <v>0</v>
      </c>
      <c r="AA45" s="355">
        <f t="shared" si="4"/>
        <v>0</v>
      </c>
      <c r="AB45" s="355">
        <f t="shared" si="4"/>
        <v>0</v>
      </c>
      <c r="AC45" s="355">
        <f t="shared" si="4"/>
        <v>0</v>
      </c>
      <c r="AD45" s="355">
        <f t="shared" si="4"/>
        <v>0</v>
      </c>
      <c r="AE45" s="355">
        <f t="shared" si="4"/>
        <v>0</v>
      </c>
      <c r="AF45" s="355">
        <f t="shared" si="4"/>
        <v>0</v>
      </c>
      <c r="AG45" s="355">
        <f t="shared" si="4"/>
        <v>0</v>
      </c>
      <c r="AH45" s="355">
        <f t="shared" si="4"/>
        <v>0</v>
      </c>
      <c r="AI45" s="356">
        <f t="shared" si="3"/>
        <v>143</v>
      </c>
    </row>
    <row r="46" spans="1:35">
      <c r="A46" s="306">
        <v>2</v>
      </c>
      <c r="B46" s="306" t="s">
        <v>129</v>
      </c>
      <c r="C46" s="544" t="s">
        <v>112</v>
      </c>
      <c r="D46" s="501"/>
      <c r="E46" s="355">
        <f t="shared" ref="E46:AH46" si="5">E8-D8</f>
        <v>0</v>
      </c>
      <c r="F46" s="355">
        <f t="shared" si="5"/>
        <v>0</v>
      </c>
      <c r="G46" s="355">
        <f t="shared" si="5"/>
        <v>0</v>
      </c>
      <c r="H46" s="355">
        <f t="shared" si="5"/>
        <v>0</v>
      </c>
      <c r="I46" s="355">
        <f t="shared" si="5"/>
        <v>0</v>
      </c>
      <c r="J46" s="355">
        <f t="shared" si="5"/>
        <v>0</v>
      </c>
      <c r="K46" s="355">
        <f t="shared" si="5"/>
        <v>0</v>
      </c>
      <c r="L46" s="355">
        <f t="shared" si="5"/>
        <v>0</v>
      </c>
      <c r="M46" s="355">
        <f t="shared" si="5"/>
        <v>0</v>
      </c>
      <c r="N46" s="355">
        <f t="shared" si="5"/>
        <v>0</v>
      </c>
      <c r="O46" s="355">
        <f t="shared" si="5"/>
        <v>0</v>
      </c>
      <c r="P46" s="355">
        <f t="shared" si="5"/>
        <v>0</v>
      </c>
      <c r="Q46" s="355">
        <f t="shared" si="5"/>
        <v>0</v>
      </c>
      <c r="R46" s="355">
        <f t="shared" si="5"/>
        <v>0</v>
      </c>
      <c r="S46" s="355">
        <f t="shared" si="5"/>
        <v>0</v>
      </c>
      <c r="T46" s="355">
        <f t="shared" si="5"/>
        <v>0</v>
      </c>
      <c r="U46" s="355">
        <f t="shared" si="5"/>
        <v>0</v>
      </c>
      <c r="V46" s="355">
        <f t="shared" si="5"/>
        <v>0</v>
      </c>
      <c r="W46" s="355">
        <f t="shared" si="5"/>
        <v>0</v>
      </c>
      <c r="X46" s="355">
        <f t="shared" si="5"/>
        <v>0</v>
      </c>
      <c r="Y46" s="355">
        <f t="shared" si="5"/>
        <v>0</v>
      </c>
      <c r="Z46" s="355">
        <f t="shared" si="5"/>
        <v>0</v>
      </c>
      <c r="AA46" s="355">
        <f t="shared" si="5"/>
        <v>0</v>
      </c>
      <c r="AB46" s="355">
        <f t="shared" si="5"/>
        <v>0</v>
      </c>
      <c r="AC46" s="355">
        <f t="shared" si="5"/>
        <v>0</v>
      </c>
      <c r="AD46" s="355">
        <f t="shared" si="5"/>
        <v>0</v>
      </c>
      <c r="AE46" s="355">
        <f t="shared" si="5"/>
        <v>0</v>
      </c>
      <c r="AF46" s="355">
        <f t="shared" si="5"/>
        <v>0</v>
      </c>
      <c r="AG46" s="355">
        <f t="shared" si="5"/>
        <v>0</v>
      </c>
      <c r="AH46" s="355">
        <f t="shared" si="5"/>
        <v>0</v>
      </c>
      <c r="AI46" s="356">
        <f t="shared" si="3"/>
        <v>0</v>
      </c>
    </row>
    <row r="47" spans="1:35">
      <c r="A47" s="306"/>
      <c r="B47" s="306"/>
      <c r="C47" s="543" t="s">
        <v>22</v>
      </c>
      <c r="D47" s="501"/>
      <c r="E47" s="355">
        <f t="shared" ref="E47:AH47" si="6">E9-D9</f>
        <v>0</v>
      </c>
      <c r="F47" s="355">
        <f t="shared" si="6"/>
        <v>0</v>
      </c>
      <c r="G47" s="355">
        <f t="shared" si="6"/>
        <v>0</v>
      </c>
      <c r="H47" s="355">
        <f t="shared" si="6"/>
        <v>0</v>
      </c>
      <c r="I47" s="355">
        <f t="shared" si="6"/>
        <v>0</v>
      </c>
      <c r="J47" s="355">
        <f t="shared" si="6"/>
        <v>0</v>
      </c>
      <c r="K47" s="355">
        <f t="shared" si="6"/>
        <v>0</v>
      </c>
      <c r="L47" s="355">
        <f t="shared" si="6"/>
        <v>0</v>
      </c>
      <c r="M47" s="355">
        <f t="shared" si="6"/>
        <v>0</v>
      </c>
      <c r="N47" s="355">
        <f t="shared" si="6"/>
        <v>0</v>
      </c>
      <c r="O47" s="355">
        <f t="shared" si="6"/>
        <v>0</v>
      </c>
      <c r="P47" s="355">
        <f t="shared" si="6"/>
        <v>0</v>
      </c>
      <c r="Q47" s="355">
        <f t="shared" si="6"/>
        <v>0</v>
      </c>
      <c r="R47" s="355">
        <f t="shared" si="6"/>
        <v>0</v>
      </c>
      <c r="S47" s="355">
        <f t="shared" si="6"/>
        <v>0</v>
      </c>
      <c r="T47" s="355">
        <f t="shared" si="6"/>
        <v>0</v>
      </c>
      <c r="U47" s="355">
        <f t="shared" si="6"/>
        <v>0</v>
      </c>
      <c r="V47" s="355">
        <f t="shared" si="6"/>
        <v>0</v>
      </c>
      <c r="W47" s="355">
        <f t="shared" si="6"/>
        <v>0</v>
      </c>
      <c r="X47" s="355">
        <f t="shared" si="6"/>
        <v>0</v>
      </c>
      <c r="Y47" s="355">
        <f t="shared" si="6"/>
        <v>0</v>
      </c>
      <c r="Z47" s="355">
        <f t="shared" si="6"/>
        <v>0</v>
      </c>
      <c r="AA47" s="355">
        <f t="shared" si="6"/>
        <v>0</v>
      </c>
      <c r="AB47" s="355">
        <f t="shared" si="6"/>
        <v>0</v>
      </c>
      <c r="AC47" s="355">
        <f t="shared" si="6"/>
        <v>0</v>
      </c>
      <c r="AD47" s="355">
        <f t="shared" si="6"/>
        <v>0</v>
      </c>
      <c r="AE47" s="355">
        <f t="shared" si="6"/>
        <v>0</v>
      </c>
      <c r="AF47" s="355">
        <f t="shared" si="6"/>
        <v>0</v>
      </c>
      <c r="AG47" s="355">
        <f t="shared" si="6"/>
        <v>0</v>
      </c>
      <c r="AH47" s="355">
        <f t="shared" si="6"/>
        <v>0</v>
      </c>
      <c r="AI47" s="356">
        <f t="shared" si="3"/>
        <v>0</v>
      </c>
    </row>
    <row r="48" spans="1:35">
      <c r="A48" s="306">
        <v>3</v>
      </c>
      <c r="B48" s="306" t="s">
        <v>129</v>
      </c>
      <c r="C48" s="544" t="s">
        <v>113</v>
      </c>
      <c r="D48" s="501"/>
      <c r="E48" s="355">
        <f t="shared" ref="E48:AH48" si="7">E10-D10</f>
        <v>332</v>
      </c>
      <c r="F48" s="355">
        <f t="shared" si="7"/>
        <v>369</v>
      </c>
      <c r="G48" s="355">
        <f t="shared" si="7"/>
        <v>360</v>
      </c>
      <c r="H48" s="355">
        <f t="shared" si="7"/>
        <v>340</v>
      </c>
      <c r="I48" s="355">
        <f t="shared" si="7"/>
        <v>341</v>
      </c>
      <c r="J48" s="355">
        <f t="shared" si="7"/>
        <v>274</v>
      </c>
      <c r="K48" s="355">
        <f t="shared" si="7"/>
        <v>272</v>
      </c>
      <c r="L48" s="355">
        <f t="shared" si="7"/>
        <v>255</v>
      </c>
      <c r="M48" s="355">
        <f t="shared" si="7"/>
        <v>257</v>
      </c>
      <c r="N48" s="355">
        <f t="shared" si="7"/>
        <v>383</v>
      </c>
      <c r="O48" s="355">
        <f t="shared" si="7"/>
        <v>372</v>
      </c>
      <c r="P48" s="355">
        <f t="shared" si="7"/>
        <v>350</v>
      </c>
      <c r="Q48" s="355">
        <f t="shared" si="7"/>
        <v>273</v>
      </c>
      <c r="R48" s="355">
        <f t="shared" si="7"/>
        <v>270</v>
      </c>
      <c r="S48" s="355">
        <f t="shared" si="7"/>
        <v>371</v>
      </c>
      <c r="T48" s="355">
        <f t="shared" si="7"/>
        <v>363</v>
      </c>
      <c r="U48" s="355">
        <f t="shared" si="7"/>
        <v>381</v>
      </c>
      <c r="V48" s="355">
        <f t="shared" si="7"/>
        <v>357</v>
      </c>
      <c r="W48" s="355">
        <f t="shared" si="7"/>
        <v>358</v>
      </c>
      <c r="X48" s="355">
        <f t="shared" si="7"/>
        <v>292</v>
      </c>
      <c r="Y48" s="355">
        <f t="shared" si="7"/>
        <v>264</v>
      </c>
      <c r="Z48" s="355">
        <f t="shared" si="7"/>
        <v>363</v>
      </c>
      <c r="AA48" s="355">
        <f t="shared" si="7"/>
        <v>368</v>
      </c>
      <c r="AB48" s="355">
        <f t="shared" si="7"/>
        <v>381</v>
      </c>
      <c r="AC48" s="355">
        <f t="shared" si="7"/>
        <v>356</v>
      </c>
      <c r="AD48" s="355">
        <f t="shared" si="7"/>
        <v>360</v>
      </c>
      <c r="AE48" s="355">
        <f t="shared" si="7"/>
        <v>281</v>
      </c>
      <c r="AF48" s="355">
        <f t="shared" si="7"/>
        <v>287</v>
      </c>
      <c r="AG48" s="355">
        <f t="shared" si="7"/>
        <v>361</v>
      </c>
      <c r="AH48" s="355">
        <f t="shared" si="7"/>
        <v>364</v>
      </c>
      <c r="AI48" s="356">
        <f t="shared" si="3"/>
        <v>9955</v>
      </c>
    </row>
    <row r="49" spans="1:35">
      <c r="A49" s="306"/>
      <c r="B49" s="306"/>
      <c r="C49" s="543" t="s">
        <v>22</v>
      </c>
      <c r="D49" s="501"/>
      <c r="E49" s="355">
        <f t="shared" ref="E49:AH49" si="8">E11-D11</f>
        <v>0</v>
      </c>
      <c r="F49" s="355">
        <f t="shared" si="8"/>
        <v>0</v>
      </c>
      <c r="G49" s="355">
        <f t="shared" si="8"/>
        <v>0</v>
      </c>
      <c r="H49" s="355">
        <f t="shared" si="8"/>
        <v>0</v>
      </c>
      <c r="I49" s="355">
        <f t="shared" si="8"/>
        <v>0</v>
      </c>
      <c r="J49" s="355">
        <f t="shared" si="8"/>
        <v>0</v>
      </c>
      <c r="K49" s="355">
        <f t="shared" si="8"/>
        <v>0</v>
      </c>
      <c r="L49" s="355">
        <f t="shared" si="8"/>
        <v>107</v>
      </c>
      <c r="M49" s="355">
        <f t="shared" si="8"/>
        <v>114</v>
      </c>
      <c r="N49" s="355">
        <f t="shared" si="8"/>
        <v>0</v>
      </c>
      <c r="O49" s="355">
        <f t="shared" si="8"/>
        <v>0</v>
      </c>
      <c r="P49" s="355">
        <f t="shared" si="8"/>
        <v>0</v>
      </c>
      <c r="Q49" s="355">
        <f t="shared" si="8"/>
        <v>0</v>
      </c>
      <c r="R49" s="355">
        <f t="shared" si="8"/>
        <v>0</v>
      </c>
      <c r="S49" s="355">
        <f t="shared" si="8"/>
        <v>0</v>
      </c>
      <c r="T49" s="355">
        <f t="shared" si="8"/>
        <v>0</v>
      </c>
      <c r="U49" s="355">
        <f t="shared" si="8"/>
        <v>0</v>
      </c>
      <c r="V49" s="355">
        <f t="shared" si="8"/>
        <v>0</v>
      </c>
      <c r="W49" s="355">
        <f t="shared" si="8"/>
        <v>0</v>
      </c>
      <c r="X49" s="355">
        <f t="shared" si="8"/>
        <v>0</v>
      </c>
      <c r="Y49" s="355">
        <f t="shared" si="8"/>
        <v>0</v>
      </c>
      <c r="Z49" s="355">
        <f t="shared" si="8"/>
        <v>0</v>
      </c>
      <c r="AA49" s="355">
        <f t="shared" si="8"/>
        <v>0</v>
      </c>
      <c r="AB49" s="355">
        <f t="shared" si="8"/>
        <v>0</v>
      </c>
      <c r="AC49" s="355">
        <f t="shared" si="8"/>
        <v>0</v>
      </c>
      <c r="AD49" s="355">
        <f t="shared" si="8"/>
        <v>0</v>
      </c>
      <c r="AE49" s="355">
        <f t="shared" si="8"/>
        <v>0</v>
      </c>
      <c r="AF49" s="355">
        <f t="shared" si="8"/>
        <v>0</v>
      </c>
      <c r="AG49" s="355">
        <f t="shared" si="8"/>
        <v>0</v>
      </c>
      <c r="AH49" s="355">
        <f t="shared" si="8"/>
        <v>0</v>
      </c>
      <c r="AI49" s="356">
        <f t="shared" si="3"/>
        <v>221</v>
      </c>
    </row>
    <row r="50" spans="1:35">
      <c r="A50" s="306">
        <v>4</v>
      </c>
      <c r="B50" s="306" t="s">
        <v>129</v>
      </c>
      <c r="C50" s="544" t="s">
        <v>114</v>
      </c>
      <c r="D50" s="501"/>
      <c r="E50" s="355">
        <f t="shared" ref="E50:AH50" si="9">E12-D12</f>
        <v>0</v>
      </c>
      <c r="F50" s="355">
        <f t="shared" si="9"/>
        <v>0</v>
      </c>
      <c r="G50" s="355">
        <f t="shared" si="9"/>
        <v>0</v>
      </c>
      <c r="H50" s="355">
        <f t="shared" si="9"/>
        <v>0</v>
      </c>
      <c r="I50" s="355">
        <f t="shared" si="9"/>
        <v>0</v>
      </c>
      <c r="J50" s="355">
        <f t="shared" si="9"/>
        <v>0</v>
      </c>
      <c r="K50" s="355">
        <f t="shared" si="9"/>
        <v>0</v>
      </c>
      <c r="L50" s="355">
        <f t="shared" si="9"/>
        <v>0</v>
      </c>
      <c r="M50" s="355">
        <f t="shared" si="9"/>
        <v>0</v>
      </c>
      <c r="N50" s="355">
        <f t="shared" si="9"/>
        <v>0</v>
      </c>
      <c r="O50" s="355">
        <f t="shared" si="9"/>
        <v>0</v>
      </c>
      <c r="P50" s="355">
        <f t="shared" si="9"/>
        <v>0</v>
      </c>
      <c r="Q50" s="355">
        <f t="shared" si="9"/>
        <v>0</v>
      </c>
      <c r="R50" s="355">
        <f t="shared" si="9"/>
        <v>0</v>
      </c>
      <c r="S50" s="355">
        <f t="shared" si="9"/>
        <v>0</v>
      </c>
      <c r="T50" s="355">
        <f t="shared" si="9"/>
        <v>0</v>
      </c>
      <c r="U50" s="355">
        <f t="shared" si="9"/>
        <v>0</v>
      </c>
      <c r="V50" s="355">
        <f t="shared" si="9"/>
        <v>0</v>
      </c>
      <c r="W50" s="355">
        <f t="shared" si="9"/>
        <v>0</v>
      </c>
      <c r="X50" s="355">
        <f t="shared" si="9"/>
        <v>0</v>
      </c>
      <c r="Y50" s="355">
        <f t="shared" si="9"/>
        <v>0</v>
      </c>
      <c r="Z50" s="355">
        <f t="shared" si="9"/>
        <v>0</v>
      </c>
      <c r="AA50" s="355">
        <f t="shared" si="9"/>
        <v>0</v>
      </c>
      <c r="AB50" s="355">
        <f t="shared" si="9"/>
        <v>0</v>
      </c>
      <c r="AC50" s="355">
        <f t="shared" si="9"/>
        <v>0</v>
      </c>
      <c r="AD50" s="355">
        <f t="shared" si="9"/>
        <v>0</v>
      </c>
      <c r="AE50" s="355">
        <f t="shared" si="9"/>
        <v>0</v>
      </c>
      <c r="AF50" s="355">
        <f t="shared" si="9"/>
        <v>0</v>
      </c>
      <c r="AG50" s="355">
        <f t="shared" si="9"/>
        <v>0</v>
      </c>
      <c r="AH50" s="355">
        <f t="shared" si="9"/>
        <v>0</v>
      </c>
      <c r="AI50" s="356">
        <f t="shared" si="3"/>
        <v>0</v>
      </c>
    </row>
    <row r="51" spans="1:35">
      <c r="A51" s="306"/>
      <c r="B51" s="306"/>
      <c r="C51" s="543" t="s">
        <v>22</v>
      </c>
      <c r="D51" s="501"/>
      <c r="E51" s="355">
        <f t="shared" ref="E51:AH51" si="10">E13-D13</f>
        <v>0</v>
      </c>
      <c r="F51" s="355">
        <f t="shared" si="10"/>
        <v>0</v>
      </c>
      <c r="G51" s="355">
        <f t="shared" si="10"/>
        <v>0</v>
      </c>
      <c r="H51" s="355">
        <f t="shared" si="10"/>
        <v>0</v>
      </c>
      <c r="I51" s="355">
        <f t="shared" si="10"/>
        <v>0</v>
      </c>
      <c r="J51" s="355">
        <f t="shared" si="10"/>
        <v>0</v>
      </c>
      <c r="K51" s="355">
        <f t="shared" si="10"/>
        <v>0</v>
      </c>
      <c r="L51" s="355">
        <f t="shared" si="10"/>
        <v>0</v>
      </c>
      <c r="M51" s="355">
        <f t="shared" si="10"/>
        <v>0</v>
      </c>
      <c r="N51" s="355">
        <f t="shared" si="10"/>
        <v>0</v>
      </c>
      <c r="O51" s="355">
        <f t="shared" si="10"/>
        <v>0</v>
      </c>
      <c r="P51" s="355">
        <f t="shared" si="10"/>
        <v>0</v>
      </c>
      <c r="Q51" s="355">
        <f t="shared" si="10"/>
        <v>0</v>
      </c>
      <c r="R51" s="355">
        <f t="shared" si="10"/>
        <v>0</v>
      </c>
      <c r="S51" s="355">
        <f t="shared" si="10"/>
        <v>0</v>
      </c>
      <c r="T51" s="355">
        <f t="shared" si="10"/>
        <v>0</v>
      </c>
      <c r="U51" s="355">
        <f t="shared" si="10"/>
        <v>0</v>
      </c>
      <c r="V51" s="355">
        <f t="shared" si="10"/>
        <v>0</v>
      </c>
      <c r="W51" s="355">
        <f t="shared" si="10"/>
        <v>0</v>
      </c>
      <c r="X51" s="355">
        <f t="shared" si="10"/>
        <v>0</v>
      </c>
      <c r="Y51" s="355">
        <f t="shared" si="10"/>
        <v>0</v>
      </c>
      <c r="Z51" s="355">
        <f t="shared" si="10"/>
        <v>0</v>
      </c>
      <c r="AA51" s="355">
        <f t="shared" si="10"/>
        <v>0</v>
      </c>
      <c r="AB51" s="355">
        <f t="shared" si="10"/>
        <v>0</v>
      </c>
      <c r="AC51" s="355">
        <f t="shared" si="10"/>
        <v>0</v>
      </c>
      <c r="AD51" s="355">
        <f t="shared" si="10"/>
        <v>0</v>
      </c>
      <c r="AE51" s="355">
        <f t="shared" si="10"/>
        <v>0</v>
      </c>
      <c r="AF51" s="355">
        <f t="shared" si="10"/>
        <v>0</v>
      </c>
      <c r="AG51" s="355">
        <f t="shared" si="10"/>
        <v>0</v>
      </c>
      <c r="AH51" s="355">
        <f t="shared" si="10"/>
        <v>0</v>
      </c>
      <c r="AI51" s="356">
        <f t="shared" si="3"/>
        <v>0</v>
      </c>
    </row>
    <row r="52" spans="1:35">
      <c r="A52" s="306">
        <v>5</v>
      </c>
      <c r="B52" s="306" t="s">
        <v>129</v>
      </c>
      <c r="C52" s="544" t="s">
        <v>115</v>
      </c>
      <c r="D52" s="501"/>
      <c r="E52" s="355">
        <f t="shared" ref="E52:AH52" si="11">E14-D14</f>
        <v>193</v>
      </c>
      <c r="F52" s="355">
        <f t="shared" si="11"/>
        <v>206</v>
      </c>
      <c r="G52" s="355">
        <f t="shared" si="11"/>
        <v>105</v>
      </c>
      <c r="H52" s="355">
        <f t="shared" si="11"/>
        <v>295</v>
      </c>
      <c r="I52" s="355">
        <f t="shared" si="11"/>
        <v>193</v>
      </c>
      <c r="J52" s="355">
        <f t="shared" si="11"/>
        <v>146</v>
      </c>
      <c r="K52" s="355">
        <f t="shared" si="11"/>
        <v>127</v>
      </c>
      <c r="L52" s="355">
        <f t="shared" si="11"/>
        <v>143</v>
      </c>
      <c r="M52" s="355">
        <f t="shared" si="11"/>
        <v>143</v>
      </c>
      <c r="N52" s="355">
        <f t="shared" si="11"/>
        <v>212</v>
      </c>
      <c r="O52" s="355">
        <f t="shared" si="11"/>
        <v>211</v>
      </c>
      <c r="P52" s="355">
        <f t="shared" si="11"/>
        <v>195</v>
      </c>
      <c r="Q52" s="355">
        <f t="shared" si="11"/>
        <v>130</v>
      </c>
      <c r="R52" s="355">
        <f t="shared" si="11"/>
        <v>116</v>
      </c>
      <c r="S52" s="355">
        <f t="shared" si="11"/>
        <v>209</v>
      </c>
      <c r="T52" s="355">
        <f t="shared" si="11"/>
        <v>194</v>
      </c>
      <c r="U52" s="355">
        <f t="shared" si="11"/>
        <v>223</v>
      </c>
      <c r="V52" s="355">
        <f t="shared" si="11"/>
        <v>189</v>
      </c>
      <c r="W52" s="355">
        <f t="shared" si="11"/>
        <v>192</v>
      </c>
      <c r="X52" s="355">
        <f t="shared" si="11"/>
        <v>148</v>
      </c>
      <c r="Y52" s="355">
        <f t="shared" si="11"/>
        <v>129</v>
      </c>
      <c r="Z52" s="355">
        <f t="shared" si="11"/>
        <v>211</v>
      </c>
      <c r="AA52" s="355">
        <f t="shared" si="11"/>
        <v>215</v>
      </c>
      <c r="AB52" s="355">
        <f t="shared" si="11"/>
        <v>217</v>
      </c>
      <c r="AC52" s="355">
        <f t="shared" si="11"/>
        <v>205</v>
      </c>
      <c r="AD52" s="355">
        <f t="shared" si="11"/>
        <v>201</v>
      </c>
      <c r="AE52" s="355">
        <f t="shared" si="11"/>
        <v>151</v>
      </c>
      <c r="AF52" s="355">
        <f t="shared" si="11"/>
        <v>140</v>
      </c>
      <c r="AG52" s="355">
        <f t="shared" si="11"/>
        <v>216</v>
      </c>
      <c r="AH52" s="355">
        <f t="shared" si="11"/>
        <v>215</v>
      </c>
      <c r="AI52" s="356">
        <f t="shared" si="3"/>
        <v>5470</v>
      </c>
    </row>
    <row r="53" spans="1:35">
      <c r="A53" s="306"/>
      <c r="B53" s="306"/>
      <c r="C53" s="543" t="s">
        <v>22</v>
      </c>
      <c r="D53" s="501"/>
      <c r="E53" s="355">
        <f t="shared" ref="E53:AH53" si="12">E15-D15</f>
        <v>0</v>
      </c>
      <c r="F53" s="355">
        <f t="shared" si="12"/>
        <v>0</v>
      </c>
      <c r="G53" s="355">
        <f t="shared" si="12"/>
        <v>0</v>
      </c>
      <c r="H53" s="355">
        <f t="shared" si="12"/>
        <v>0</v>
      </c>
      <c r="I53" s="355">
        <f t="shared" si="12"/>
        <v>0</v>
      </c>
      <c r="J53" s="355">
        <f t="shared" si="12"/>
        <v>0</v>
      </c>
      <c r="K53" s="355">
        <f t="shared" si="12"/>
        <v>0</v>
      </c>
      <c r="L53" s="355">
        <f t="shared" si="12"/>
        <v>63</v>
      </c>
      <c r="M53" s="355">
        <f t="shared" si="12"/>
        <v>69</v>
      </c>
      <c r="N53" s="355">
        <f t="shared" si="12"/>
        <v>0</v>
      </c>
      <c r="O53" s="355">
        <f t="shared" si="12"/>
        <v>0</v>
      </c>
      <c r="P53" s="355">
        <f t="shared" si="12"/>
        <v>0</v>
      </c>
      <c r="Q53" s="355">
        <f t="shared" si="12"/>
        <v>0</v>
      </c>
      <c r="R53" s="355">
        <f t="shared" si="12"/>
        <v>0</v>
      </c>
      <c r="S53" s="355">
        <f t="shared" si="12"/>
        <v>0</v>
      </c>
      <c r="T53" s="355">
        <f t="shared" si="12"/>
        <v>0</v>
      </c>
      <c r="U53" s="355">
        <f t="shared" si="12"/>
        <v>0</v>
      </c>
      <c r="V53" s="355">
        <f t="shared" si="12"/>
        <v>0</v>
      </c>
      <c r="W53" s="355">
        <f t="shared" si="12"/>
        <v>0</v>
      </c>
      <c r="X53" s="355">
        <f t="shared" si="12"/>
        <v>0</v>
      </c>
      <c r="Y53" s="355">
        <f t="shared" si="12"/>
        <v>0</v>
      </c>
      <c r="Z53" s="355">
        <f t="shared" si="12"/>
        <v>0</v>
      </c>
      <c r="AA53" s="355">
        <f t="shared" si="12"/>
        <v>0</v>
      </c>
      <c r="AB53" s="355">
        <f t="shared" si="12"/>
        <v>0</v>
      </c>
      <c r="AC53" s="355">
        <f t="shared" si="12"/>
        <v>0</v>
      </c>
      <c r="AD53" s="355">
        <f t="shared" si="12"/>
        <v>0</v>
      </c>
      <c r="AE53" s="355">
        <f t="shared" si="12"/>
        <v>0</v>
      </c>
      <c r="AF53" s="355">
        <f t="shared" si="12"/>
        <v>0</v>
      </c>
      <c r="AG53" s="355">
        <f t="shared" si="12"/>
        <v>0</v>
      </c>
      <c r="AH53" s="355">
        <f t="shared" si="12"/>
        <v>0</v>
      </c>
      <c r="AI53" s="356">
        <f t="shared" si="3"/>
        <v>132</v>
      </c>
    </row>
    <row r="54" spans="1:35">
      <c r="A54" s="306">
        <v>6</v>
      </c>
      <c r="B54" s="306" t="s">
        <v>129</v>
      </c>
      <c r="C54" s="544" t="s">
        <v>116</v>
      </c>
      <c r="D54" s="501"/>
      <c r="E54" s="355">
        <f t="shared" ref="E54:AH54" si="13">E16-D16</f>
        <v>239</v>
      </c>
      <c r="F54" s="355">
        <f t="shared" si="13"/>
        <v>261</v>
      </c>
      <c r="G54" s="355">
        <f t="shared" si="13"/>
        <v>249</v>
      </c>
      <c r="H54" s="355">
        <f t="shared" si="13"/>
        <v>247</v>
      </c>
      <c r="I54" s="355">
        <f t="shared" si="13"/>
        <v>241</v>
      </c>
      <c r="J54" s="355">
        <f t="shared" si="13"/>
        <v>134</v>
      </c>
      <c r="K54" s="355">
        <f t="shared" si="13"/>
        <v>91</v>
      </c>
      <c r="L54" s="355">
        <f t="shared" si="13"/>
        <v>189</v>
      </c>
      <c r="M54" s="355">
        <f t="shared" si="13"/>
        <v>174</v>
      </c>
      <c r="N54" s="355">
        <f t="shared" si="13"/>
        <v>277</v>
      </c>
      <c r="O54" s="355">
        <f t="shared" si="13"/>
        <v>253</v>
      </c>
      <c r="P54" s="355">
        <f t="shared" si="13"/>
        <v>249</v>
      </c>
      <c r="Q54" s="355">
        <f t="shared" si="13"/>
        <v>107</v>
      </c>
      <c r="R54" s="355">
        <f t="shared" si="13"/>
        <v>100</v>
      </c>
      <c r="S54" s="355">
        <f t="shared" si="13"/>
        <v>245</v>
      </c>
      <c r="T54" s="355">
        <f t="shared" si="13"/>
        <v>241</v>
      </c>
      <c r="U54" s="355">
        <f t="shared" si="13"/>
        <v>252</v>
      </c>
      <c r="V54" s="355">
        <f t="shared" si="13"/>
        <v>260</v>
      </c>
      <c r="W54" s="355">
        <f t="shared" si="13"/>
        <v>232</v>
      </c>
      <c r="X54" s="355">
        <f t="shared" si="13"/>
        <v>134</v>
      </c>
      <c r="Y54" s="355">
        <f t="shared" si="13"/>
        <v>90</v>
      </c>
      <c r="Z54" s="355">
        <f t="shared" si="13"/>
        <v>240</v>
      </c>
      <c r="AA54" s="355">
        <f t="shared" si="13"/>
        <v>259</v>
      </c>
      <c r="AB54" s="355">
        <f t="shared" si="13"/>
        <v>285</v>
      </c>
      <c r="AC54" s="355">
        <f t="shared" si="13"/>
        <v>255</v>
      </c>
      <c r="AD54" s="355">
        <f t="shared" si="13"/>
        <v>262</v>
      </c>
      <c r="AE54" s="355">
        <f t="shared" si="13"/>
        <v>143</v>
      </c>
      <c r="AF54" s="355">
        <f t="shared" si="13"/>
        <v>148</v>
      </c>
      <c r="AG54" s="355">
        <f t="shared" si="13"/>
        <v>249</v>
      </c>
      <c r="AH54" s="355">
        <f t="shared" si="13"/>
        <v>282</v>
      </c>
      <c r="AI54" s="356">
        <f t="shared" si="3"/>
        <v>6388</v>
      </c>
    </row>
    <row r="55" spans="1:35">
      <c r="A55" s="306"/>
      <c r="B55" s="306"/>
      <c r="C55" s="543" t="s">
        <v>22</v>
      </c>
      <c r="D55" s="501"/>
      <c r="E55" s="355">
        <f t="shared" ref="E55:AH55" si="14">E17-D17</f>
        <v>0</v>
      </c>
      <c r="F55" s="355">
        <f t="shared" si="14"/>
        <v>0</v>
      </c>
      <c r="G55" s="355">
        <f t="shared" si="14"/>
        <v>0</v>
      </c>
      <c r="H55" s="355">
        <f t="shared" si="14"/>
        <v>0</v>
      </c>
      <c r="I55" s="355">
        <f t="shared" si="14"/>
        <v>0</v>
      </c>
      <c r="J55" s="355">
        <f t="shared" si="14"/>
        <v>0</v>
      </c>
      <c r="K55" s="355">
        <f t="shared" si="14"/>
        <v>0</v>
      </c>
      <c r="L55" s="355">
        <f t="shared" si="14"/>
        <v>84</v>
      </c>
      <c r="M55" s="355">
        <f t="shared" si="14"/>
        <v>95</v>
      </c>
      <c r="N55" s="355">
        <f t="shared" si="14"/>
        <v>0</v>
      </c>
      <c r="O55" s="355">
        <f t="shared" si="14"/>
        <v>0</v>
      </c>
      <c r="P55" s="355">
        <f t="shared" si="14"/>
        <v>0</v>
      </c>
      <c r="Q55" s="355">
        <f t="shared" si="14"/>
        <v>0</v>
      </c>
      <c r="R55" s="355">
        <f t="shared" si="14"/>
        <v>0</v>
      </c>
      <c r="S55" s="355">
        <f t="shared" si="14"/>
        <v>0</v>
      </c>
      <c r="T55" s="355">
        <f t="shared" si="14"/>
        <v>0</v>
      </c>
      <c r="U55" s="355">
        <f t="shared" si="14"/>
        <v>0</v>
      </c>
      <c r="V55" s="355">
        <f t="shared" si="14"/>
        <v>0</v>
      </c>
      <c r="W55" s="355">
        <f t="shared" si="14"/>
        <v>0</v>
      </c>
      <c r="X55" s="355">
        <f t="shared" si="14"/>
        <v>0</v>
      </c>
      <c r="Y55" s="355">
        <f t="shared" si="14"/>
        <v>0</v>
      </c>
      <c r="Z55" s="355">
        <f t="shared" si="14"/>
        <v>0</v>
      </c>
      <c r="AA55" s="355">
        <f t="shared" si="14"/>
        <v>0</v>
      </c>
      <c r="AB55" s="355">
        <f t="shared" si="14"/>
        <v>0</v>
      </c>
      <c r="AC55" s="355">
        <f t="shared" si="14"/>
        <v>0</v>
      </c>
      <c r="AD55" s="355">
        <f t="shared" si="14"/>
        <v>0</v>
      </c>
      <c r="AE55" s="355">
        <f t="shared" si="14"/>
        <v>0</v>
      </c>
      <c r="AF55" s="355">
        <f t="shared" si="14"/>
        <v>0</v>
      </c>
      <c r="AG55" s="355">
        <f t="shared" si="14"/>
        <v>0</v>
      </c>
      <c r="AH55" s="355">
        <f t="shared" si="14"/>
        <v>0</v>
      </c>
      <c r="AI55" s="356">
        <f t="shared" si="3"/>
        <v>179</v>
      </c>
    </row>
    <row r="56" spans="1:35">
      <c r="A56" s="306">
        <v>7</v>
      </c>
      <c r="B56" s="306" t="s">
        <v>129</v>
      </c>
      <c r="C56" s="544" t="s">
        <v>117</v>
      </c>
      <c r="D56" s="501"/>
      <c r="E56" s="355">
        <f t="shared" ref="E56:AH56" si="15">E18-D18</f>
        <v>636</v>
      </c>
      <c r="F56" s="355">
        <f t="shared" si="15"/>
        <v>673</v>
      </c>
      <c r="G56" s="355">
        <f t="shared" si="15"/>
        <v>657</v>
      </c>
      <c r="H56" s="355">
        <f t="shared" si="15"/>
        <v>644</v>
      </c>
      <c r="I56" s="355">
        <f t="shared" si="15"/>
        <v>660</v>
      </c>
      <c r="J56" s="355">
        <f t="shared" si="15"/>
        <v>450</v>
      </c>
      <c r="K56" s="355">
        <f t="shared" si="15"/>
        <v>307</v>
      </c>
      <c r="L56" s="355">
        <f t="shared" si="15"/>
        <v>0</v>
      </c>
      <c r="M56" s="355">
        <f t="shared" si="15"/>
        <v>490</v>
      </c>
      <c r="N56" s="355">
        <f t="shared" si="15"/>
        <v>465</v>
      </c>
      <c r="O56" s="355">
        <f t="shared" si="15"/>
        <v>687</v>
      </c>
      <c r="P56" s="355">
        <f t="shared" si="15"/>
        <v>673</v>
      </c>
      <c r="Q56" s="355">
        <f t="shared" si="15"/>
        <v>633</v>
      </c>
      <c r="R56" s="355">
        <f t="shared" si="15"/>
        <v>373</v>
      </c>
      <c r="S56" s="355">
        <f t="shared" si="15"/>
        <v>280</v>
      </c>
      <c r="T56" s="355">
        <f t="shared" si="15"/>
        <v>723</v>
      </c>
      <c r="U56" s="355">
        <f t="shared" si="15"/>
        <v>691</v>
      </c>
      <c r="V56" s="355">
        <f t="shared" si="15"/>
        <v>704</v>
      </c>
      <c r="W56" s="355">
        <f t="shared" si="15"/>
        <v>654</v>
      </c>
      <c r="X56" s="355">
        <f t="shared" si="15"/>
        <v>-234</v>
      </c>
      <c r="Y56" s="355">
        <f t="shared" si="15"/>
        <v>1455</v>
      </c>
      <c r="Z56" s="355">
        <f t="shared" si="15"/>
        <v>978</v>
      </c>
      <c r="AA56" s="355">
        <f t="shared" si="15"/>
        <v>707</v>
      </c>
      <c r="AB56" s="355">
        <f t="shared" si="15"/>
        <v>679</v>
      </c>
      <c r="AC56" s="355">
        <f t="shared" si="15"/>
        <v>674</v>
      </c>
      <c r="AD56" s="355">
        <f t="shared" si="15"/>
        <v>681</v>
      </c>
      <c r="AE56" s="355">
        <f t="shared" si="15"/>
        <v>447</v>
      </c>
      <c r="AF56" s="355">
        <f t="shared" si="15"/>
        <v>352</v>
      </c>
      <c r="AG56" s="355">
        <f t="shared" si="15"/>
        <v>695</v>
      </c>
      <c r="AH56" s="355">
        <f t="shared" si="15"/>
        <v>693</v>
      </c>
      <c r="AI56" s="356">
        <f t="shared" si="3"/>
        <v>17527</v>
      </c>
    </row>
    <row r="57" spans="1:35">
      <c r="A57" s="306"/>
      <c r="B57" s="306"/>
      <c r="C57" s="543" t="s">
        <v>22</v>
      </c>
      <c r="D57" s="501"/>
      <c r="E57" s="355">
        <f t="shared" ref="E57:AH57" si="16">E19-D19</f>
        <v>0</v>
      </c>
      <c r="F57" s="355">
        <f t="shared" si="16"/>
        <v>0</v>
      </c>
      <c r="G57" s="355">
        <f t="shared" si="16"/>
        <v>0</v>
      </c>
      <c r="H57" s="355">
        <f t="shared" si="16"/>
        <v>0</v>
      </c>
      <c r="I57" s="355">
        <f t="shared" si="16"/>
        <v>0</v>
      </c>
      <c r="J57" s="355">
        <f t="shared" si="16"/>
        <v>0</v>
      </c>
      <c r="K57" s="355">
        <f t="shared" si="16"/>
        <v>0</v>
      </c>
      <c r="L57" s="355">
        <f t="shared" si="16"/>
        <v>204</v>
      </c>
      <c r="M57" s="355">
        <f t="shared" si="16"/>
        <v>206</v>
      </c>
      <c r="N57" s="355">
        <f t="shared" si="16"/>
        <v>0</v>
      </c>
      <c r="O57" s="355">
        <f t="shared" si="16"/>
        <v>0</v>
      </c>
      <c r="P57" s="355">
        <f t="shared" si="16"/>
        <v>0</v>
      </c>
      <c r="Q57" s="355">
        <f t="shared" si="16"/>
        <v>0</v>
      </c>
      <c r="R57" s="355">
        <f t="shared" si="16"/>
        <v>0</v>
      </c>
      <c r="S57" s="355">
        <f t="shared" si="16"/>
        <v>0</v>
      </c>
      <c r="T57" s="355">
        <f t="shared" si="16"/>
        <v>0</v>
      </c>
      <c r="U57" s="355">
        <f t="shared" si="16"/>
        <v>0</v>
      </c>
      <c r="V57" s="355">
        <f t="shared" si="16"/>
        <v>0</v>
      </c>
      <c r="W57" s="355">
        <f t="shared" si="16"/>
        <v>0</v>
      </c>
      <c r="X57" s="355">
        <f t="shared" si="16"/>
        <v>0</v>
      </c>
      <c r="Y57" s="355">
        <f t="shared" si="16"/>
        <v>0</v>
      </c>
      <c r="Z57" s="355">
        <f t="shared" si="16"/>
        <v>0</v>
      </c>
      <c r="AA57" s="355">
        <f t="shared" si="16"/>
        <v>0</v>
      </c>
      <c r="AB57" s="355">
        <f t="shared" si="16"/>
        <v>0</v>
      </c>
      <c r="AC57" s="355">
        <f t="shared" si="16"/>
        <v>0</v>
      </c>
      <c r="AD57" s="355">
        <f t="shared" si="16"/>
        <v>0</v>
      </c>
      <c r="AE57" s="355">
        <f t="shared" si="16"/>
        <v>0</v>
      </c>
      <c r="AF57" s="355">
        <f t="shared" si="16"/>
        <v>0</v>
      </c>
      <c r="AG57" s="355">
        <f t="shared" si="16"/>
        <v>0</v>
      </c>
      <c r="AH57" s="355">
        <f t="shared" si="16"/>
        <v>0</v>
      </c>
      <c r="AI57" s="356">
        <f t="shared" si="3"/>
        <v>410</v>
      </c>
    </row>
    <row r="58" spans="1:35">
      <c r="A58" s="306">
        <v>8</v>
      </c>
      <c r="B58" s="306" t="s">
        <v>129</v>
      </c>
      <c r="C58" s="544" t="s">
        <v>118</v>
      </c>
      <c r="D58" s="501"/>
      <c r="E58" s="355">
        <f t="shared" ref="E58:AH58" si="17">E20-D20</f>
        <v>128</v>
      </c>
      <c r="F58" s="355">
        <f t="shared" si="17"/>
        <v>143</v>
      </c>
      <c r="G58" s="355">
        <f t="shared" si="17"/>
        <v>148</v>
      </c>
      <c r="H58" s="355">
        <f t="shared" si="17"/>
        <v>133</v>
      </c>
      <c r="I58" s="355">
        <f t="shared" si="17"/>
        <v>144</v>
      </c>
      <c r="J58" s="355">
        <f t="shared" si="17"/>
        <v>133</v>
      </c>
      <c r="K58" s="355">
        <f t="shared" si="17"/>
        <v>134</v>
      </c>
      <c r="L58" s="355">
        <f t="shared" si="17"/>
        <v>108</v>
      </c>
      <c r="M58" s="355">
        <f t="shared" si="17"/>
        <v>119</v>
      </c>
      <c r="N58" s="355">
        <f t="shared" si="17"/>
        <v>155</v>
      </c>
      <c r="O58" s="355">
        <f t="shared" si="17"/>
        <v>154</v>
      </c>
      <c r="P58" s="355">
        <f t="shared" si="17"/>
        <v>126</v>
      </c>
      <c r="Q58" s="355">
        <f t="shared" si="17"/>
        <v>111</v>
      </c>
      <c r="R58" s="355">
        <f t="shared" si="17"/>
        <v>119</v>
      </c>
      <c r="S58" s="355">
        <f t="shared" si="17"/>
        <v>143</v>
      </c>
      <c r="T58" s="355">
        <f t="shared" si="17"/>
        <v>127</v>
      </c>
      <c r="U58" s="355">
        <f t="shared" si="17"/>
        <v>146</v>
      </c>
      <c r="V58" s="355">
        <f t="shared" si="17"/>
        <v>124</v>
      </c>
      <c r="W58" s="355">
        <f t="shared" si="17"/>
        <v>147</v>
      </c>
      <c r="X58" s="355">
        <f t="shared" si="17"/>
        <v>141</v>
      </c>
      <c r="Y58" s="355">
        <f t="shared" si="17"/>
        <v>130</v>
      </c>
      <c r="Z58" s="355">
        <f t="shared" si="17"/>
        <v>148</v>
      </c>
      <c r="AA58" s="355">
        <f t="shared" si="17"/>
        <v>135</v>
      </c>
      <c r="AB58" s="355">
        <f t="shared" si="17"/>
        <v>118</v>
      </c>
      <c r="AC58" s="355">
        <f t="shared" si="17"/>
        <v>126</v>
      </c>
      <c r="AD58" s="355">
        <f t="shared" si="17"/>
        <v>112</v>
      </c>
      <c r="AE58" s="355">
        <f t="shared" si="17"/>
        <v>118</v>
      </c>
      <c r="AF58" s="355">
        <f t="shared" si="17"/>
        <v>120</v>
      </c>
      <c r="AG58" s="355">
        <f t="shared" si="17"/>
        <v>179</v>
      </c>
      <c r="AH58" s="355">
        <f t="shared" si="17"/>
        <v>145</v>
      </c>
      <c r="AI58" s="356">
        <f t="shared" si="3"/>
        <v>4014</v>
      </c>
    </row>
    <row r="59" spans="1:35" ht="12.75" customHeight="1">
      <c r="A59" s="306"/>
      <c r="B59" s="306"/>
      <c r="C59" s="543" t="s">
        <v>22</v>
      </c>
      <c r="D59" s="501"/>
      <c r="E59" s="355">
        <f t="shared" ref="E59:AH59" si="18">E21-D21</f>
        <v>0</v>
      </c>
      <c r="F59" s="355">
        <f t="shared" si="18"/>
        <v>0</v>
      </c>
      <c r="G59" s="355">
        <f t="shared" si="18"/>
        <v>0</v>
      </c>
      <c r="H59" s="355">
        <f t="shared" si="18"/>
        <v>0</v>
      </c>
      <c r="I59" s="355">
        <f t="shared" si="18"/>
        <v>0</v>
      </c>
      <c r="J59" s="355">
        <f t="shared" si="18"/>
        <v>0</v>
      </c>
      <c r="K59" s="355">
        <f t="shared" si="18"/>
        <v>0</v>
      </c>
      <c r="L59" s="355">
        <f t="shared" si="18"/>
        <v>49</v>
      </c>
      <c r="M59" s="355">
        <f t="shared" si="18"/>
        <v>43</v>
      </c>
      <c r="N59" s="355">
        <f t="shared" si="18"/>
        <v>0</v>
      </c>
      <c r="O59" s="355">
        <f t="shared" si="18"/>
        <v>0</v>
      </c>
      <c r="P59" s="355">
        <f t="shared" si="18"/>
        <v>0</v>
      </c>
      <c r="Q59" s="355">
        <f t="shared" si="18"/>
        <v>0</v>
      </c>
      <c r="R59" s="355">
        <f t="shared" si="18"/>
        <v>0</v>
      </c>
      <c r="S59" s="355">
        <f t="shared" si="18"/>
        <v>0</v>
      </c>
      <c r="T59" s="355">
        <f t="shared" si="18"/>
        <v>0</v>
      </c>
      <c r="U59" s="355">
        <f t="shared" si="18"/>
        <v>0</v>
      </c>
      <c r="V59" s="355">
        <f t="shared" si="18"/>
        <v>0</v>
      </c>
      <c r="W59" s="355">
        <f t="shared" si="18"/>
        <v>0</v>
      </c>
      <c r="X59" s="355">
        <f t="shared" si="18"/>
        <v>0</v>
      </c>
      <c r="Y59" s="355">
        <f t="shared" si="18"/>
        <v>0</v>
      </c>
      <c r="Z59" s="355">
        <f t="shared" si="18"/>
        <v>0</v>
      </c>
      <c r="AA59" s="355">
        <f t="shared" si="18"/>
        <v>0</v>
      </c>
      <c r="AB59" s="355">
        <f t="shared" si="18"/>
        <v>0</v>
      </c>
      <c r="AC59" s="355">
        <f t="shared" si="18"/>
        <v>0</v>
      </c>
      <c r="AD59" s="355">
        <f t="shared" si="18"/>
        <v>0</v>
      </c>
      <c r="AE59" s="355">
        <f t="shared" si="18"/>
        <v>0</v>
      </c>
      <c r="AF59" s="355">
        <f t="shared" si="18"/>
        <v>0</v>
      </c>
      <c r="AG59" s="355">
        <f t="shared" si="18"/>
        <v>0</v>
      </c>
      <c r="AH59" s="355">
        <f t="shared" si="18"/>
        <v>0</v>
      </c>
      <c r="AI59" s="356">
        <f t="shared" si="3"/>
        <v>92</v>
      </c>
    </row>
    <row r="60" spans="1:35">
      <c r="A60" s="357"/>
      <c r="B60" s="357"/>
      <c r="C60" s="553" t="s">
        <v>130</v>
      </c>
      <c r="D60" s="501"/>
      <c r="E60" s="358">
        <f t="shared" ref="E60:AH60" si="19">SUM(E58,E56,E54,E52,E50,E48,E46,E44)</f>
        <v>1760</v>
      </c>
      <c r="F60" s="358">
        <f t="shared" si="19"/>
        <v>1910</v>
      </c>
      <c r="G60" s="358">
        <f t="shared" si="19"/>
        <v>1770</v>
      </c>
      <c r="H60" s="358">
        <f t="shared" si="19"/>
        <v>1895</v>
      </c>
      <c r="I60" s="358">
        <f t="shared" si="19"/>
        <v>1822</v>
      </c>
      <c r="J60" s="358">
        <f t="shared" si="19"/>
        <v>1342</v>
      </c>
      <c r="K60" s="358">
        <f t="shared" si="19"/>
        <v>1136</v>
      </c>
      <c r="L60" s="358">
        <f t="shared" si="19"/>
        <v>879</v>
      </c>
      <c r="M60" s="358">
        <f t="shared" si="19"/>
        <v>1368</v>
      </c>
      <c r="N60" s="358">
        <f t="shared" si="19"/>
        <v>1753</v>
      </c>
      <c r="O60" s="358">
        <f t="shared" si="19"/>
        <v>1936</v>
      </c>
      <c r="P60" s="358">
        <f t="shared" si="19"/>
        <v>1839</v>
      </c>
      <c r="Q60" s="358">
        <f t="shared" si="19"/>
        <v>1459</v>
      </c>
      <c r="R60" s="358">
        <f t="shared" si="19"/>
        <v>1183</v>
      </c>
      <c r="S60" s="358">
        <f t="shared" si="19"/>
        <v>1506</v>
      </c>
      <c r="T60" s="358">
        <f t="shared" si="19"/>
        <v>1899</v>
      </c>
      <c r="U60" s="358">
        <f t="shared" si="19"/>
        <v>1956</v>
      </c>
      <c r="V60" s="358">
        <f t="shared" si="19"/>
        <v>1881</v>
      </c>
      <c r="W60" s="358">
        <f t="shared" si="19"/>
        <v>1832</v>
      </c>
      <c r="X60" s="358">
        <f t="shared" si="19"/>
        <v>700</v>
      </c>
      <c r="Y60" s="358">
        <f t="shared" si="19"/>
        <v>2270</v>
      </c>
      <c r="Z60" s="358">
        <f t="shared" si="19"/>
        <v>2190</v>
      </c>
      <c r="AA60" s="358">
        <f t="shared" si="19"/>
        <v>1940</v>
      </c>
      <c r="AB60" s="358">
        <f t="shared" si="19"/>
        <v>1941</v>
      </c>
      <c r="AC60" s="358">
        <f t="shared" si="19"/>
        <v>1863</v>
      </c>
      <c r="AD60" s="358">
        <f t="shared" si="19"/>
        <v>1867</v>
      </c>
      <c r="AE60" s="358">
        <f t="shared" si="19"/>
        <v>1349</v>
      </c>
      <c r="AF60" s="358">
        <f t="shared" si="19"/>
        <v>1262</v>
      </c>
      <c r="AG60" s="358">
        <f t="shared" si="19"/>
        <v>1952</v>
      </c>
      <c r="AH60" s="358">
        <f t="shared" si="19"/>
        <v>1955</v>
      </c>
      <c r="AI60" s="359">
        <f>SUM(AI44,AI46,AI48,AI50,AI52,AI54,AI56,AI58)</f>
        <v>50415</v>
      </c>
    </row>
    <row r="61" spans="1:35" ht="16.5" customHeight="1">
      <c r="A61" s="357"/>
      <c r="B61" s="357"/>
      <c r="C61" s="360" t="s">
        <v>131</v>
      </c>
      <c r="D61" s="361"/>
      <c r="E61" s="358">
        <f t="shared" ref="E61:AH61" si="20">SUM(E45,E47,E49,E51,E53,E55,E57,E59)</f>
        <v>0</v>
      </c>
      <c r="F61" s="358">
        <f t="shared" si="20"/>
        <v>0</v>
      </c>
      <c r="G61" s="358">
        <f t="shared" si="20"/>
        <v>0</v>
      </c>
      <c r="H61" s="358">
        <f t="shared" si="20"/>
        <v>0</v>
      </c>
      <c r="I61" s="358">
        <f t="shared" si="20"/>
        <v>0</v>
      </c>
      <c r="J61" s="358">
        <f t="shared" si="20"/>
        <v>0</v>
      </c>
      <c r="K61" s="358">
        <f t="shared" si="20"/>
        <v>0</v>
      </c>
      <c r="L61" s="358">
        <f t="shared" si="20"/>
        <v>576</v>
      </c>
      <c r="M61" s="358">
        <f t="shared" si="20"/>
        <v>601</v>
      </c>
      <c r="N61" s="358">
        <f t="shared" si="20"/>
        <v>0</v>
      </c>
      <c r="O61" s="358">
        <f t="shared" si="20"/>
        <v>0</v>
      </c>
      <c r="P61" s="358">
        <f t="shared" si="20"/>
        <v>0</v>
      </c>
      <c r="Q61" s="358">
        <f t="shared" si="20"/>
        <v>0</v>
      </c>
      <c r="R61" s="358">
        <f t="shared" si="20"/>
        <v>0</v>
      </c>
      <c r="S61" s="358">
        <f t="shared" si="20"/>
        <v>0</v>
      </c>
      <c r="T61" s="358">
        <f t="shared" si="20"/>
        <v>0</v>
      </c>
      <c r="U61" s="358">
        <f t="shared" si="20"/>
        <v>0</v>
      </c>
      <c r="V61" s="358">
        <f t="shared" si="20"/>
        <v>0</v>
      </c>
      <c r="W61" s="358">
        <f t="shared" si="20"/>
        <v>0</v>
      </c>
      <c r="X61" s="358">
        <f t="shared" si="20"/>
        <v>0</v>
      </c>
      <c r="Y61" s="358">
        <f t="shared" si="20"/>
        <v>0</v>
      </c>
      <c r="Z61" s="358">
        <f t="shared" si="20"/>
        <v>0</v>
      </c>
      <c r="AA61" s="358">
        <f t="shared" si="20"/>
        <v>0</v>
      </c>
      <c r="AB61" s="358">
        <f t="shared" si="20"/>
        <v>0</v>
      </c>
      <c r="AC61" s="358">
        <f t="shared" si="20"/>
        <v>0</v>
      </c>
      <c r="AD61" s="358">
        <f t="shared" si="20"/>
        <v>0</v>
      </c>
      <c r="AE61" s="358">
        <f t="shared" si="20"/>
        <v>0</v>
      </c>
      <c r="AF61" s="358">
        <f t="shared" si="20"/>
        <v>0</v>
      </c>
      <c r="AG61" s="358">
        <f t="shared" si="20"/>
        <v>0</v>
      </c>
      <c r="AH61" s="358">
        <f t="shared" si="20"/>
        <v>0</v>
      </c>
      <c r="AI61" s="359">
        <f>SUM(AI59,AI57,AI55,AI53,AI51,AI49,AI47,AI45)</f>
        <v>1177</v>
      </c>
    </row>
    <row r="62" spans="1:35">
      <c r="A62" s="362"/>
      <c r="B62" s="362"/>
      <c r="C62" s="560" t="s">
        <v>132</v>
      </c>
      <c r="D62" s="501"/>
      <c r="E62" s="363">
        <f t="shared" ref="E62:AI62" si="21">E60</f>
        <v>1760</v>
      </c>
      <c r="F62" s="363">
        <f t="shared" si="21"/>
        <v>1910</v>
      </c>
      <c r="G62" s="363">
        <f t="shared" si="21"/>
        <v>1770</v>
      </c>
      <c r="H62" s="363">
        <f t="shared" si="21"/>
        <v>1895</v>
      </c>
      <c r="I62" s="363">
        <f t="shared" si="21"/>
        <v>1822</v>
      </c>
      <c r="J62" s="363">
        <f t="shared" si="21"/>
        <v>1342</v>
      </c>
      <c r="K62" s="363">
        <f t="shared" si="21"/>
        <v>1136</v>
      </c>
      <c r="L62" s="363">
        <f t="shared" si="21"/>
        <v>879</v>
      </c>
      <c r="M62" s="363">
        <f t="shared" si="21"/>
        <v>1368</v>
      </c>
      <c r="N62" s="363">
        <f t="shared" si="21"/>
        <v>1753</v>
      </c>
      <c r="O62" s="363">
        <f t="shared" si="21"/>
        <v>1936</v>
      </c>
      <c r="P62" s="363">
        <f t="shared" si="21"/>
        <v>1839</v>
      </c>
      <c r="Q62" s="363">
        <f t="shared" si="21"/>
        <v>1459</v>
      </c>
      <c r="R62" s="363">
        <f t="shared" si="21"/>
        <v>1183</v>
      </c>
      <c r="S62" s="363">
        <f t="shared" si="21"/>
        <v>1506</v>
      </c>
      <c r="T62" s="363">
        <f t="shared" si="21"/>
        <v>1899</v>
      </c>
      <c r="U62" s="363">
        <f t="shared" si="21"/>
        <v>1956</v>
      </c>
      <c r="V62" s="363">
        <f t="shared" si="21"/>
        <v>1881</v>
      </c>
      <c r="W62" s="363">
        <f t="shared" si="21"/>
        <v>1832</v>
      </c>
      <c r="X62" s="363">
        <f t="shared" si="21"/>
        <v>700</v>
      </c>
      <c r="Y62" s="363">
        <f t="shared" si="21"/>
        <v>2270</v>
      </c>
      <c r="Z62" s="363">
        <f t="shared" si="21"/>
        <v>2190</v>
      </c>
      <c r="AA62" s="363">
        <f t="shared" si="21"/>
        <v>1940</v>
      </c>
      <c r="AB62" s="363">
        <f t="shared" si="21"/>
        <v>1941</v>
      </c>
      <c r="AC62" s="363">
        <f t="shared" si="21"/>
        <v>1863</v>
      </c>
      <c r="AD62" s="363">
        <f t="shared" si="21"/>
        <v>1867</v>
      </c>
      <c r="AE62" s="363">
        <f t="shared" si="21"/>
        <v>1349</v>
      </c>
      <c r="AF62" s="363">
        <f t="shared" si="21"/>
        <v>1262</v>
      </c>
      <c r="AG62" s="363">
        <f t="shared" si="21"/>
        <v>1952</v>
      </c>
      <c r="AH62" s="363">
        <f t="shared" si="21"/>
        <v>1955</v>
      </c>
      <c r="AI62" s="363">
        <f t="shared" si="21"/>
        <v>50415</v>
      </c>
    </row>
    <row r="63" spans="1:35">
      <c r="A63" s="351"/>
      <c r="B63" s="364"/>
      <c r="C63" s="365"/>
      <c r="D63" s="366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</row>
    <row r="64" spans="1:35">
      <c r="A64" s="367" t="s">
        <v>133</v>
      </c>
      <c r="B64" s="367" t="s">
        <v>100</v>
      </c>
      <c r="C64" s="557" t="s">
        <v>101</v>
      </c>
      <c r="D64" s="501"/>
      <c r="E64" s="367"/>
      <c r="F64" s="367"/>
      <c r="G64" s="367"/>
      <c r="H64" s="367"/>
      <c r="I64" s="367"/>
      <c r="J64" s="367"/>
      <c r="K64" s="367"/>
      <c r="L64" s="367"/>
      <c r="M64" s="367"/>
      <c r="N64" s="367"/>
      <c r="O64" s="367"/>
      <c r="P64" s="367"/>
      <c r="Q64" s="367"/>
      <c r="R64" s="367"/>
      <c r="S64" s="367"/>
      <c r="T64" s="367"/>
      <c r="U64" s="367"/>
      <c r="V64" s="367"/>
      <c r="W64" s="367"/>
      <c r="X64" s="367"/>
      <c r="Y64" s="367"/>
      <c r="Z64" s="367"/>
      <c r="AA64" s="367"/>
      <c r="AB64" s="367"/>
      <c r="AC64" s="367"/>
      <c r="AD64" s="367"/>
      <c r="AE64" s="367"/>
      <c r="AF64" s="367"/>
      <c r="AG64" s="367"/>
      <c r="AH64" s="367"/>
      <c r="AI64" s="368"/>
    </row>
    <row r="65" spans="1:37">
      <c r="A65" s="306">
        <v>1</v>
      </c>
      <c r="B65" s="306" t="s">
        <v>129</v>
      </c>
      <c r="C65" s="546" t="s">
        <v>119</v>
      </c>
      <c r="D65" s="501"/>
      <c r="E65" s="363">
        <f t="shared" ref="E65:AH65" si="22">E23-D23</f>
        <v>98</v>
      </c>
      <c r="F65" s="363">
        <f t="shared" si="22"/>
        <v>105</v>
      </c>
      <c r="G65" s="363">
        <f t="shared" si="22"/>
        <v>88</v>
      </c>
      <c r="H65" s="363">
        <f t="shared" si="22"/>
        <v>82</v>
      </c>
      <c r="I65" s="363">
        <f t="shared" si="22"/>
        <v>83</v>
      </c>
      <c r="J65" s="363">
        <f t="shared" si="22"/>
        <v>51</v>
      </c>
      <c r="K65" s="363">
        <f t="shared" si="22"/>
        <v>0</v>
      </c>
      <c r="L65" s="363">
        <f t="shared" si="22"/>
        <v>59</v>
      </c>
      <c r="M65" s="363">
        <f t="shared" si="22"/>
        <v>38</v>
      </c>
      <c r="N65" s="363">
        <f t="shared" si="22"/>
        <v>73</v>
      </c>
      <c r="O65" s="363">
        <f t="shared" si="22"/>
        <v>67</v>
      </c>
      <c r="P65" s="363">
        <f t="shared" si="22"/>
        <v>56</v>
      </c>
      <c r="Q65" s="363">
        <f t="shared" si="22"/>
        <v>18</v>
      </c>
      <c r="R65" s="363">
        <f t="shared" si="22"/>
        <v>0</v>
      </c>
      <c r="S65" s="363">
        <f t="shared" si="22"/>
        <v>69</v>
      </c>
      <c r="T65" s="363">
        <f t="shared" si="22"/>
        <v>56</v>
      </c>
      <c r="U65" s="363">
        <f t="shared" si="22"/>
        <v>67</v>
      </c>
      <c r="V65" s="363">
        <f t="shared" si="22"/>
        <v>60</v>
      </c>
      <c r="W65" s="363">
        <f t="shared" si="22"/>
        <v>58</v>
      </c>
      <c r="X65" s="363">
        <f t="shared" si="22"/>
        <v>33</v>
      </c>
      <c r="Y65" s="363">
        <f t="shared" si="22"/>
        <v>0</v>
      </c>
      <c r="Z65" s="363">
        <f t="shared" si="22"/>
        <v>77</v>
      </c>
      <c r="AA65" s="363">
        <f t="shared" si="22"/>
        <v>71</v>
      </c>
      <c r="AB65" s="363">
        <f t="shared" si="22"/>
        <v>79</v>
      </c>
      <c r="AC65" s="363">
        <f t="shared" si="22"/>
        <v>85</v>
      </c>
      <c r="AD65" s="363">
        <f t="shared" si="22"/>
        <v>85</v>
      </c>
      <c r="AE65" s="363">
        <f t="shared" si="22"/>
        <v>36</v>
      </c>
      <c r="AF65" s="363">
        <f t="shared" si="22"/>
        <v>0</v>
      </c>
      <c r="AG65" s="363">
        <f t="shared" si="22"/>
        <v>114</v>
      </c>
      <c r="AH65" s="363">
        <f t="shared" si="22"/>
        <v>94</v>
      </c>
      <c r="AI65" s="363">
        <f t="shared" ref="AI65:AI72" si="23">SUM(E65:AH65)</f>
        <v>1802</v>
      </c>
    </row>
    <row r="66" spans="1:37">
      <c r="A66" s="306"/>
      <c r="B66" s="306"/>
      <c r="C66" s="554" t="s">
        <v>22</v>
      </c>
      <c r="D66" s="501"/>
      <c r="E66" s="363">
        <f t="shared" ref="E66:AH66" si="24">E24-D24</f>
        <v>-70</v>
      </c>
      <c r="F66" s="363">
        <f t="shared" si="24"/>
        <v>0</v>
      </c>
      <c r="G66" s="363">
        <f t="shared" si="24"/>
        <v>7</v>
      </c>
      <c r="H66" s="363">
        <f t="shared" si="24"/>
        <v>0</v>
      </c>
      <c r="I66" s="363">
        <f t="shared" si="24"/>
        <v>0</v>
      </c>
      <c r="J66" s="363">
        <f t="shared" si="24"/>
        <v>0</v>
      </c>
      <c r="K66" s="363">
        <f t="shared" si="24"/>
        <v>0</v>
      </c>
      <c r="L66" s="363">
        <f t="shared" si="24"/>
        <v>43</v>
      </c>
      <c r="M66" s="363">
        <f t="shared" si="24"/>
        <v>32</v>
      </c>
      <c r="N66" s="363">
        <f t="shared" si="24"/>
        <v>0</v>
      </c>
      <c r="O66" s="363">
        <f t="shared" si="24"/>
        <v>0</v>
      </c>
      <c r="P66" s="363">
        <f t="shared" si="24"/>
        <v>0</v>
      </c>
      <c r="Q66" s="363">
        <f t="shared" si="24"/>
        <v>0</v>
      </c>
      <c r="R66" s="363">
        <f t="shared" si="24"/>
        <v>0</v>
      </c>
      <c r="S66" s="363">
        <f t="shared" si="24"/>
        <v>0</v>
      </c>
      <c r="T66" s="363">
        <f t="shared" si="24"/>
        <v>0</v>
      </c>
      <c r="U66" s="363">
        <f t="shared" si="24"/>
        <v>0</v>
      </c>
      <c r="V66" s="363">
        <f t="shared" si="24"/>
        <v>0</v>
      </c>
      <c r="W66" s="363">
        <f t="shared" si="24"/>
        <v>0</v>
      </c>
      <c r="X66" s="363">
        <f t="shared" si="24"/>
        <v>0</v>
      </c>
      <c r="Y66" s="363">
        <f t="shared" si="24"/>
        <v>0</v>
      </c>
      <c r="Z66" s="363">
        <f t="shared" si="24"/>
        <v>0</v>
      </c>
      <c r="AA66" s="363">
        <f t="shared" si="24"/>
        <v>0</v>
      </c>
      <c r="AB66" s="363">
        <f t="shared" si="24"/>
        <v>0</v>
      </c>
      <c r="AC66" s="363">
        <f t="shared" si="24"/>
        <v>0</v>
      </c>
      <c r="AD66" s="363">
        <f t="shared" si="24"/>
        <v>0</v>
      </c>
      <c r="AE66" s="363">
        <f t="shared" si="24"/>
        <v>0</v>
      </c>
      <c r="AF66" s="363">
        <f t="shared" si="24"/>
        <v>0</v>
      </c>
      <c r="AG66" s="363">
        <f t="shared" si="24"/>
        <v>0</v>
      </c>
      <c r="AH66" s="363">
        <f t="shared" si="24"/>
        <v>0</v>
      </c>
      <c r="AI66" s="363">
        <f t="shared" si="23"/>
        <v>12</v>
      </c>
    </row>
    <row r="67" spans="1:37">
      <c r="A67" s="306">
        <v>2</v>
      </c>
      <c r="B67" s="306" t="s">
        <v>129</v>
      </c>
      <c r="C67" s="546" t="s">
        <v>120</v>
      </c>
      <c r="D67" s="501"/>
      <c r="E67" s="363">
        <f t="shared" ref="E67:AH67" si="25">E25-D25</f>
        <v>81</v>
      </c>
      <c r="F67" s="363">
        <f t="shared" si="25"/>
        <v>78</v>
      </c>
      <c r="G67" s="363">
        <f t="shared" si="25"/>
        <v>74</v>
      </c>
      <c r="H67" s="363">
        <f t="shared" si="25"/>
        <v>73</v>
      </c>
      <c r="I67" s="363">
        <f t="shared" si="25"/>
        <v>75</v>
      </c>
      <c r="J67" s="363">
        <f t="shared" si="25"/>
        <v>41</v>
      </c>
      <c r="K67" s="363">
        <f t="shared" si="25"/>
        <v>0</v>
      </c>
      <c r="L67" s="363">
        <f t="shared" si="25"/>
        <v>48</v>
      </c>
      <c r="M67" s="363">
        <f t="shared" si="25"/>
        <v>49</v>
      </c>
      <c r="N67" s="363">
        <f t="shared" si="25"/>
        <v>81</v>
      </c>
      <c r="O67" s="363">
        <f t="shared" si="25"/>
        <v>71</v>
      </c>
      <c r="P67" s="363">
        <f t="shared" si="25"/>
        <v>76</v>
      </c>
      <c r="Q67" s="363">
        <f t="shared" si="25"/>
        <v>21</v>
      </c>
      <c r="R67" s="363">
        <f t="shared" si="25"/>
        <v>0</v>
      </c>
      <c r="S67" s="363">
        <f t="shared" si="25"/>
        <v>86</v>
      </c>
      <c r="T67" s="363">
        <f t="shared" si="25"/>
        <v>74</v>
      </c>
      <c r="U67" s="363">
        <f t="shared" si="25"/>
        <v>74</v>
      </c>
      <c r="V67" s="363">
        <f t="shared" si="25"/>
        <v>69</v>
      </c>
      <c r="W67" s="363">
        <f t="shared" si="25"/>
        <v>76</v>
      </c>
      <c r="X67" s="363">
        <f t="shared" si="25"/>
        <v>38</v>
      </c>
      <c r="Y67" s="363">
        <f t="shared" si="25"/>
        <v>0</v>
      </c>
      <c r="Z67" s="363">
        <f t="shared" si="25"/>
        <v>82</v>
      </c>
      <c r="AA67" s="363">
        <f t="shared" si="25"/>
        <v>86</v>
      </c>
      <c r="AB67" s="363">
        <f t="shared" si="25"/>
        <v>93</v>
      </c>
      <c r="AC67" s="363">
        <f t="shared" si="25"/>
        <v>105</v>
      </c>
      <c r="AD67" s="363">
        <f t="shared" si="25"/>
        <v>75</v>
      </c>
      <c r="AE67" s="363">
        <f t="shared" si="25"/>
        <v>38</v>
      </c>
      <c r="AF67" s="363">
        <f t="shared" si="25"/>
        <v>0</v>
      </c>
      <c r="AG67" s="363">
        <f t="shared" si="25"/>
        <v>104</v>
      </c>
      <c r="AH67" s="363">
        <f t="shared" si="25"/>
        <v>88</v>
      </c>
      <c r="AI67" s="363">
        <f t="shared" si="23"/>
        <v>1856</v>
      </c>
    </row>
    <row r="68" spans="1:37">
      <c r="A68" s="306"/>
      <c r="B68" s="306"/>
      <c r="C68" s="554" t="s">
        <v>22</v>
      </c>
      <c r="D68" s="501"/>
      <c r="E68" s="363">
        <f t="shared" ref="E68:AH68" si="26">E26-D26</f>
        <v>0</v>
      </c>
      <c r="F68" s="363">
        <f t="shared" si="26"/>
        <v>0</v>
      </c>
      <c r="G68" s="363">
        <f t="shared" si="26"/>
        <v>0</v>
      </c>
      <c r="H68" s="363">
        <f t="shared" si="26"/>
        <v>0</v>
      </c>
      <c r="I68" s="363">
        <f t="shared" si="26"/>
        <v>0</v>
      </c>
      <c r="J68" s="363">
        <f t="shared" si="26"/>
        <v>0</v>
      </c>
      <c r="K68" s="363">
        <f t="shared" si="26"/>
        <v>0</v>
      </c>
      <c r="L68" s="363">
        <f t="shared" si="26"/>
        <v>33</v>
      </c>
      <c r="M68" s="363">
        <f t="shared" si="26"/>
        <v>35</v>
      </c>
      <c r="N68" s="363">
        <f t="shared" si="26"/>
        <v>0</v>
      </c>
      <c r="O68" s="363">
        <f t="shared" si="26"/>
        <v>0</v>
      </c>
      <c r="P68" s="363">
        <f t="shared" si="26"/>
        <v>0</v>
      </c>
      <c r="Q68" s="363">
        <f t="shared" si="26"/>
        <v>0</v>
      </c>
      <c r="R68" s="363">
        <f t="shared" si="26"/>
        <v>0</v>
      </c>
      <c r="S68" s="363">
        <f t="shared" si="26"/>
        <v>0</v>
      </c>
      <c r="T68" s="363">
        <f t="shared" si="26"/>
        <v>0</v>
      </c>
      <c r="U68" s="363">
        <f t="shared" si="26"/>
        <v>0</v>
      </c>
      <c r="V68" s="363">
        <f t="shared" si="26"/>
        <v>0</v>
      </c>
      <c r="W68" s="363">
        <f t="shared" si="26"/>
        <v>0</v>
      </c>
      <c r="X68" s="363">
        <f t="shared" si="26"/>
        <v>0</v>
      </c>
      <c r="Y68" s="363">
        <f t="shared" si="26"/>
        <v>0</v>
      </c>
      <c r="Z68" s="363">
        <f t="shared" si="26"/>
        <v>0</v>
      </c>
      <c r="AA68" s="363">
        <f t="shared" si="26"/>
        <v>0</v>
      </c>
      <c r="AB68" s="363">
        <f t="shared" si="26"/>
        <v>0</v>
      </c>
      <c r="AC68" s="363">
        <f t="shared" si="26"/>
        <v>0</v>
      </c>
      <c r="AD68" s="363">
        <f t="shared" si="26"/>
        <v>0</v>
      </c>
      <c r="AE68" s="363">
        <f t="shared" si="26"/>
        <v>0</v>
      </c>
      <c r="AF68" s="363">
        <f t="shared" si="26"/>
        <v>0</v>
      </c>
      <c r="AG68" s="363">
        <f t="shared" si="26"/>
        <v>0</v>
      </c>
      <c r="AH68" s="363">
        <f t="shared" si="26"/>
        <v>0</v>
      </c>
      <c r="AI68" s="363">
        <f t="shared" si="23"/>
        <v>68</v>
      </c>
      <c r="AJ68" s="115" t="s">
        <v>20</v>
      </c>
      <c r="AK68" s="116">
        <f>AI60</f>
        <v>50415</v>
      </c>
    </row>
    <row r="69" spans="1:37">
      <c r="A69" s="306">
        <v>3</v>
      </c>
      <c r="B69" s="306" t="s">
        <v>129</v>
      </c>
      <c r="C69" s="546" t="s">
        <v>121</v>
      </c>
      <c r="D69" s="501"/>
      <c r="E69" s="363">
        <f t="shared" ref="E69:AH69" si="27">E27-D27</f>
        <v>98</v>
      </c>
      <c r="F69" s="363">
        <f t="shared" si="27"/>
        <v>105</v>
      </c>
      <c r="G69" s="363">
        <f t="shared" si="27"/>
        <v>84</v>
      </c>
      <c r="H69" s="363">
        <f t="shared" si="27"/>
        <v>84</v>
      </c>
      <c r="I69" s="363">
        <f t="shared" si="27"/>
        <v>77</v>
      </c>
      <c r="J69" s="363">
        <f t="shared" si="27"/>
        <v>54</v>
      </c>
      <c r="K69" s="363">
        <f t="shared" si="27"/>
        <v>0</v>
      </c>
      <c r="L69" s="363">
        <f t="shared" si="27"/>
        <v>56</v>
      </c>
      <c r="M69" s="363">
        <f t="shared" si="27"/>
        <v>57</v>
      </c>
      <c r="N69" s="363">
        <f t="shared" si="27"/>
        <v>101</v>
      </c>
      <c r="O69" s="363">
        <f t="shared" si="27"/>
        <v>95</v>
      </c>
      <c r="P69" s="363">
        <f t="shared" si="27"/>
        <v>93</v>
      </c>
      <c r="Q69" s="363">
        <f t="shared" si="27"/>
        <v>51</v>
      </c>
      <c r="R69" s="363">
        <f t="shared" si="27"/>
        <v>0</v>
      </c>
      <c r="S69" s="363">
        <f t="shared" si="27"/>
        <v>95</v>
      </c>
      <c r="T69" s="363">
        <f t="shared" si="27"/>
        <v>79</v>
      </c>
      <c r="U69" s="363">
        <f t="shared" si="27"/>
        <v>80</v>
      </c>
      <c r="V69" s="363">
        <f t="shared" si="27"/>
        <v>84</v>
      </c>
      <c r="W69" s="363">
        <f t="shared" si="27"/>
        <v>78</v>
      </c>
      <c r="X69" s="363">
        <f t="shared" si="27"/>
        <v>45</v>
      </c>
      <c r="Y69" s="363">
        <f t="shared" si="27"/>
        <v>0</v>
      </c>
      <c r="Z69" s="363">
        <f t="shared" si="27"/>
        <v>99</v>
      </c>
      <c r="AA69" s="363">
        <f t="shared" si="27"/>
        <v>111</v>
      </c>
      <c r="AB69" s="363">
        <f t="shared" si="27"/>
        <v>94</v>
      </c>
      <c r="AC69" s="363">
        <f t="shared" si="27"/>
        <v>99</v>
      </c>
      <c r="AD69" s="363">
        <f t="shared" si="27"/>
        <v>99</v>
      </c>
      <c r="AE69" s="363">
        <f t="shared" si="27"/>
        <v>49</v>
      </c>
      <c r="AF69" s="363">
        <f t="shared" si="27"/>
        <v>0</v>
      </c>
      <c r="AG69" s="363">
        <f t="shared" si="27"/>
        <v>126</v>
      </c>
      <c r="AH69" s="363">
        <f t="shared" si="27"/>
        <v>101</v>
      </c>
      <c r="AI69" s="363">
        <f t="shared" si="23"/>
        <v>2194</v>
      </c>
      <c r="AJ69" s="115" t="s">
        <v>21</v>
      </c>
      <c r="AK69" s="116">
        <f>AI73</f>
        <v>7682</v>
      </c>
    </row>
    <row r="70" spans="1:37">
      <c r="A70" s="306"/>
      <c r="B70" s="306"/>
      <c r="C70" s="554" t="s">
        <v>22</v>
      </c>
      <c r="D70" s="501"/>
      <c r="E70" s="363">
        <f t="shared" ref="E70:AH70" si="28">E28-D28</f>
        <v>0</v>
      </c>
      <c r="F70" s="363">
        <f t="shared" si="28"/>
        <v>0</v>
      </c>
      <c r="G70" s="363">
        <f t="shared" si="28"/>
        <v>0</v>
      </c>
      <c r="H70" s="363">
        <f t="shared" si="28"/>
        <v>0</v>
      </c>
      <c r="I70" s="363">
        <f t="shared" si="28"/>
        <v>0</v>
      </c>
      <c r="J70" s="363">
        <f t="shared" si="28"/>
        <v>0</v>
      </c>
      <c r="K70" s="363">
        <f t="shared" si="28"/>
        <v>0</v>
      </c>
      <c r="L70" s="363">
        <f t="shared" si="28"/>
        <v>46</v>
      </c>
      <c r="M70" s="363">
        <f t="shared" si="28"/>
        <v>45</v>
      </c>
      <c r="N70" s="363">
        <f t="shared" si="28"/>
        <v>0</v>
      </c>
      <c r="O70" s="363">
        <f t="shared" si="28"/>
        <v>0</v>
      </c>
      <c r="P70" s="363">
        <f t="shared" si="28"/>
        <v>0</v>
      </c>
      <c r="Q70" s="363">
        <f t="shared" si="28"/>
        <v>0</v>
      </c>
      <c r="R70" s="363">
        <f t="shared" si="28"/>
        <v>0</v>
      </c>
      <c r="S70" s="363">
        <f t="shared" si="28"/>
        <v>0</v>
      </c>
      <c r="T70" s="363">
        <f t="shared" si="28"/>
        <v>0</v>
      </c>
      <c r="U70" s="363">
        <f t="shared" si="28"/>
        <v>0</v>
      </c>
      <c r="V70" s="363">
        <f t="shared" si="28"/>
        <v>0</v>
      </c>
      <c r="W70" s="363">
        <f t="shared" si="28"/>
        <v>0</v>
      </c>
      <c r="X70" s="363">
        <f t="shared" si="28"/>
        <v>0</v>
      </c>
      <c r="Y70" s="363">
        <f t="shared" si="28"/>
        <v>0</v>
      </c>
      <c r="Z70" s="363">
        <f t="shared" si="28"/>
        <v>0</v>
      </c>
      <c r="AA70" s="363">
        <f t="shared" si="28"/>
        <v>0</v>
      </c>
      <c r="AB70" s="363">
        <f t="shared" si="28"/>
        <v>0</v>
      </c>
      <c r="AC70" s="363">
        <f t="shared" si="28"/>
        <v>0</v>
      </c>
      <c r="AD70" s="363">
        <f t="shared" si="28"/>
        <v>0</v>
      </c>
      <c r="AE70" s="363">
        <f t="shared" si="28"/>
        <v>0</v>
      </c>
      <c r="AF70" s="363">
        <f t="shared" si="28"/>
        <v>0</v>
      </c>
      <c r="AG70" s="363">
        <f t="shared" si="28"/>
        <v>0</v>
      </c>
      <c r="AH70" s="363">
        <f t="shared" si="28"/>
        <v>0</v>
      </c>
      <c r="AI70" s="363">
        <f t="shared" si="23"/>
        <v>91</v>
      </c>
      <c r="AJ70" s="115" t="s">
        <v>23</v>
      </c>
      <c r="AK70" s="116">
        <f>AI79*40%</f>
        <v>22798</v>
      </c>
    </row>
    <row r="71" spans="1:37">
      <c r="A71" s="306">
        <v>4</v>
      </c>
      <c r="B71" s="306" t="s">
        <v>129</v>
      </c>
      <c r="C71" s="546" t="s">
        <v>122</v>
      </c>
      <c r="D71" s="501"/>
      <c r="E71" s="363">
        <f t="shared" ref="E71:AH71" si="29">E29-D29</f>
        <v>78</v>
      </c>
      <c r="F71" s="363">
        <f t="shared" si="29"/>
        <v>75</v>
      </c>
      <c r="G71" s="363">
        <f t="shared" si="29"/>
        <v>74</v>
      </c>
      <c r="H71" s="363">
        <f t="shared" si="29"/>
        <v>63</v>
      </c>
      <c r="I71" s="363">
        <f t="shared" si="29"/>
        <v>64</v>
      </c>
      <c r="J71" s="363">
        <f t="shared" si="29"/>
        <v>19</v>
      </c>
      <c r="K71" s="363">
        <f t="shared" si="29"/>
        <v>0</v>
      </c>
      <c r="L71" s="363">
        <f t="shared" si="29"/>
        <v>53</v>
      </c>
      <c r="M71" s="363">
        <f t="shared" si="29"/>
        <v>55</v>
      </c>
      <c r="N71" s="363">
        <f t="shared" si="29"/>
        <v>89</v>
      </c>
      <c r="O71" s="363">
        <f t="shared" si="29"/>
        <v>86</v>
      </c>
      <c r="P71" s="363">
        <f t="shared" si="29"/>
        <v>83</v>
      </c>
      <c r="Q71" s="363">
        <f t="shared" si="29"/>
        <v>2</v>
      </c>
      <c r="R71" s="363">
        <f t="shared" si="29"/>
        <v>0</v>
      </c>
      <c r="S71" s="363">
        <f t="shared" si="29"/>
        <v>82</v>
      </c>
      <c r="T71" s="363">
        <f t="shared" si="29"/>
        <v>74</v>
      </c>
      <c r="U71" s="363">
        <f t="shared" si="29"/>
        <v>73</v>
      </c>
      <c r="V71" s="363">
        <f t="shared" si="29"/>
        <v>75</v>
      </c>
      <c r="W71" s="363">
        <f t="shared" si="29"/>
        <v>68</v>
      </c>
      <c r="X71" s="363">
        <f t="shared" si="29"/>
        <v>41</v>
      </c>
      <c r="Y71" s="363">
        <f t="shared" si="29"/>
        <v>0</v>
      </c>
      <c r="Z71" s="363">
        <f t="shared" si="29"/>
        <v>86</v>
      </c>
      <c r="AA71" s="363">
        <f t="shared" si="29"/>
        <v>89</v>
      </c>
      <c r="AB71" s="363">
        <f t="shared" si="29"/>
        <v>75</v>
      </c>
      <c r="AC71" s="363">
        <f t="shared" si="29"/>
        <v>78</v>
      </c>
      <c r="AD71" s="363">
        <f t="shared" si="29"/>
        <v>73</v>
      </c>
      <c r="AE71" s="363">
        <f t="shared" si="29"/>
        <v>45</v>
      </c>
      <c r="AF71" s="363">
        <f t="shared" si="29"/>
        <v>0</v>
      </c>
      <c r="AG71" s="363">
        <f t="shared" si="29"/>
        <v>119</v>
      </c>
      <c r="AH71" s="363">
        <f t="shared" si="29"/>
        <v>111</v>
      </c>
      <c r="AI71" s="363">
        <f t="shared" si="23"/>
        <v>1830</v>
      </c>
      <c r="AJ71" s="117" t="s">
        <v>22</v>
      </c>
      <c r="AK71" s="118">
        <f>AI74+AI61</f>
        <v>1439</v>
      </c>
    </row>
    <row r="72" spans="1:37">
      <c r="A72" s="306"/>
      <c r="B72" s="306"/>
      <c r="C72" s="554" t="s">
        <v>22</v>
      </c>
      <c r="D72" s="501"/>
      <c r="E72" s="363">
        <f t="shared" ref="E72:AH72" si="30">E30-D30</f>
        <v>0</v>
      </c>
      <c r="F72" s="363">
        <f t="shared" si="30"/>
        <v>0</v>
      </c>
      <c r="G72" s="363">
        <f t="shared" si="30"/>
        <v>0</v>
      </c>
      <c r="H72" s="363">
        <f t="shared" si="30"/>
        <v>0</v>
      </c>
      <c r="I72" s="363">
        <f t="shared" si="30"/>
        <v>0</v>
      </c>
      <c r="J72" s="363">
        <f t="shared" si="30"/>
        <v>0</v>
      </c>
      <c r="K72" s="363">
        <f t="shared" si="30"/>
        <v>0</v>
      </c>
      <c r="L72" s="363">
        <f t="shared" si="30"/>
        <v>51</v>
      </c>
      <c r="M72" s="363">
        <f t="shared" si="30"/>
        <v>40</v>
      </c>
      <c r="N72" s="363">
        <f t="shared" si="30"/>
        <v>0</v>
      </c>
      <c r="O72" s="363">
        <f t="shared" si="30"/>
        <v>0</v>
      </c>
      <c r="P72" s="363">
        <f t="shared" si="30"/>
        <v>0</v>
      </c>
      <c r="Q72" s="363">
        <f t="shared" si="30"/>
        <v>0</v>
      </c>
      <c r="R72" s="363">
        <f t="shared" si="30"/>
        <v>0</v>
      </c>
      <c r="S72" s="363">
        <f t="shared" si="30"/>
        <v>0</v>
      </c>
      <c r="T72" s="363">
        <f t="shared" si="30"/>
        <v>0</v>
      </c>
      <c r="U72" s="363">
        <f t="shared" si="30"/>
        <v>0</v>
      </c>
      <c r="V72" s="363">
        <f t="shared" si="30"/>
        <v>0</v>
      </c>
      <c r="W72" s="363">
        <f t="shared" si="30"/>
        <v>0</v>
      </c>
      <c r="X72" s="363">
        <f t="shared" si="30"/>
        <v>0</v>
      </c>
      <c r="Y72" s="363">
        <f t="shared" si="30"/>
        <v>0</v>
      </c>
      <c r="Z72" s="363">
        <f t="shared" si="30"/>
        <v>0</v>
      </c>
      <c r="AA72" s="363">
        <f t="shared" si="30"/>
        <v>0</v>
      </c>
      <c r="AB72" s="363">
        <f t="shared" si="30"/>
        <v>0</v>
      </c>
      <c r="AC72" s="363">
        <f t="shared" si="30"/>
        <v>0</v>
      </c>
      <c r="AD72" s="363">
        <f t="shared" si="30"/>
        <v>0</v>
      </c>
      <c r="AE72" s="363">
        <f t="shared" si="30"/>
        <v>0</v>
      </c>
      <c r="AF72" s="363">
        <f t="shared" si="30"/>
        <v>0</v>
      </c>
      <c r="AG72" s="363">
        <f t="shared" si="30"/>
        <v>0</v>
      </c>
      <c r="AH72" s="363">
        <f t="shared" si="30"/>
        <v>0</v>
      </c>
      <c r="AI72" s="363">
        <f t="shared" si="23"/>
        <v>91</v>
      </c>
      <c r="AK72" s="64"/>
    </row>
    <row r="73" spans="1:37" ht="27" customHeight="1">
      <c r="A73" s="357"/>
      <c r="B73" s="357"/>
      <c r="C73" s="553" t="s">
        <v>134</v>
      </c>
      <c r="D73" s="501"/>
      <c r="E73" s="358">
        <f t="shared" ref="E73:AI73" si="31">SUM(E65,E67,E69,E71)</f>
        <v>355</v>
      </c>
      <c r="F73" s="358">
        <f t="shared" si="31"/>
        <v>363</v>
      </c>
      <c r="G73" s="358">
        <f t="shared" si="31"/>
        <v>320</v>
      </c>
      <c r="H73" s="358">
        <f t="shared" si="31"/>
        <v>302</v>
      </c>
      <c r="I73" s="358">
        <f t="shared" si="31"/>
        <v>299</v>
      </c>
      <c r="J73" s="358">
        <f t="shared" si="31"/>
        <v>165</v>
      </c>
      <c r="K73" s="358">
        <f t="shared" si="31"/>
        <v>0</v>
      </c>
      <c r="L73" s="358">
        <f t="shared" si="31"/>
        <v>216</v>
      </c>
      <c r="M73" s="358">
        <f t="shared" si="31"/>
        <v>199</v>
      </c>
      <c r="N73" s="358">
        <f t="shared" si="31"/>
        <v>344</v>
      </c>
      <c r="O73" s="358">
        <f t="shared" si="31"/>
        <v>319</v>
      </c>
      <c r="P73" s="358">
        <f t="shared" si="31"/>
        <v>308</v>
      </c>
      <c r="Q73" s="358">
        <f t="shared" si="31"/>
        <v>92</v>
      </c>
      <c r="R73" s="358">
        <f t="shared" si="31"/>
        <v>0</v>
      </c>
      <c r="S73" s="358">
        <f t="shared" si="31"/>
        <v>332</v>
      </c>
      <c r="T73" s="358">
        <f t="shared" si="31"/>
        <v>283</v>
      </c>
      <c r="U73" s="358">
        <f t="shared" si="31"/>
        <v>294</v>
      </c>
      <c r="V73" s="358">
        <f t="shared" si="31"/>
        <v>288</v>
      </c>
      <c r="W73" s="358">
        <f t="shared" si="31"/>
        <v>280</v>
      </c>
      <c r="X73" s="358">
        <f t="shared" si="31"/>
        <v>157</v>
      </c>
      <c r="Y73" s="358">
        <f t="shared" si="31"/>
        <v>0</v>
      </c>
      <c r="Z73" s="358">
        <f t="shared" si="31"/>
        <v>344</v>
      </c>
      <c r="AA73" s="358">
        <f t="shared" si="31"/>
        <v>357</v>
      </c>
      <c r="AB73" s="358">
        <f t="shared" si="31"/>
        <v>341</v>
      </c>
      <c r="AC73" s="358">
        <f t="shared" si="31"/>
        <v>367</v>
      </c>
      <c r="AD73" s="358">
        <f t="shared" si="31"/>
        <v>332</v>
      </c>
      <c r="AE73" s="358">
        <f t="shared" si="31"/>
        <v>168</v>
      </c>
      <c r="AF73" s="358">
        <f t="shared" si="31"/>
        <v>0</v>
      </c>
      <c r="AG73" s="358">
        <f t="shared" si="31"/>
        <v>463</v>
      </c>
      <c r="AH73" s="358">
        <f t="shared" si="31"/>
        <v>394</v>
      </c>
      <c r="AI73" s="358">
        <f t="shared" si="31"/>
        <v>7682</v>
      </c>
    </row>
    <row r="74" spans="1:37" ht="25.5" customHeight="1">
      <c r="A74" s="357"/>
      <c r="B74" s="357"/>
      <c r="C74" s="556" t="s">
        <v>135</v>
      </c>
      <c r="D74" s="501"/>
      <c r="E74" s="358">
        <f t="shared" ref="E74:AI74" si="32">SUM(E66,E68,E70,E72)</f>
        <v>-70</v>
      </c>
      <c r="F74" s="358">
        <f t="shared" si="32"/>
        <v>0</v>
      </c>
      <c r="G74" s="358">
        <f t="shared" si="32"/>
        <v>7</v>
      </c>
      <c r="H74" s="358">
        <f t="shared" si="32"/>
        <v>0</v>
      </c>
      <c r="I74" s="358">
        <f t="shared" si="32"/>
        <v>0</v>
      </c>
      <c r="J74" s="358">
        <f t="shared" si="32"/>
        <v>0</v>
      </c>
      <c r="K74" s="358">
        <f t="shared" si="32"/>
        <v>0</v>
      </c>
      <c r="L74" s="358">
        <f t="shared" si="32"/>
        <v>173</v>
      </c>
      <c r="M74" s="358">
        <f t="shared" si="32"/>
        <v>152</v>
      </c>
      <c r="N74" s="358">
        <f t="shared" si="32"/>
        <v>0</v>
      </c>
      <c r="O74" s="358">
        <f t="shared" si="32"/>
        <v>0</v>
      </c>
      <c r="P74" s="358">
        <f t="shared" si="32"/>
        <v>0</v>
      </c>
      <c r="Q74" s="358">
        <f t="shared" si="32"/>
        <v>0</v>
      </c>
      <c r="R74" s="358">
        <f t="shared" si="32"/>
        <v>0</v>
      </c>
      <c r="S74" s="358">
        <f t="shared" si="32"/>
        <v>0</v>
      </c>
      <c r="T74" s="358">
        <f t="shared" si="32"/>
        <v>0</v>
      </c>
      <c r="U74" s="358">
        <f t="shared" si="32"/>
        <v>0</v>
      </c>
      <c r="V74" s="358">
        <f t="shared" si="32"/>
        <v>0</v>
      </c>
      <c r="W74" s="358">
        <f t="shared" si="32"/>
        <v>0</v>
      </c>
      <c r="X74" s="358">
        <f t="shared" si="32"/>
        <v>0</v>
      </c>
      <c r="Y74" s="358">
        <f t="shared" si="32"/>
        <v>0</v>
      </c>
      <c r="Z74" s="358">
        <f t="shared" si="32"/>
        <v>0</v>
      </c>
      <c r="AA74" s="358">
        <f t="shared" si="32"/>
        <v>0</v>
      </c>
      <c r="AB74" s="358">
        <f t="shared" si="32"/>
        <v>0</v>
      </c>
      <c r="AC74" s="358">
        <f t="shared" si="32"/>
        <v>0</v>
      </c>
      <c r="AD74" s="358">
        <f t="shared" si="32"/>
        <v>0</v>
      </c>
      <c r="AE74" s="358">
        <f t="shared" si="32"/>
        <v>0</v>
      </c>
      <c r="AF74" s="358">
        <f t="shared" si="32"/>
        <v>0</v>
      </c>
      <c r="AG74" s="358">
        <f t="shared" si="32"/>
        <v>0</v>
      </c>
      <c r="AH74" s="358">
        <f t="shared" si="32"/>
        <v>0</v>
      </c>
      <c r="AI74" s="358">
        <f t="shared" si="32"/>
        <v>262</v>
      </c>
    </row>
    <row r="75" spans="1:37">
      <c r="A75" s="306">
        <v>1</v>
      </c>
      <c r="B75" s="306" t="s">
        <v>129</v>
      </c>
      <c r="C75" s="544" t="s">
        <v>123</v>
      </c>
      <c r="D75" s="501"/>
      <c r="E75" s="363">
        <f t="shared" ref="E75:AH75" si="33">E32-D32</f>
        <v>524</v>
      </c>
      <c r="F75" s="363">
        <f t="shared" si="33"/>
        <v>469</v>
      </c>
      <c r="G75" s="363">
        <f t="shared" si="33"/>
        <v>467</v>
      </c>
      <c r="H75" s="363">
        <f t="shared" si="33"/>
        <v>428</v>
      </c>
      <c r="I75" s="363">
        <f t="shared" si="33"/>
        <v>374</v>
      </c>
      <c r="J75" s="363">
        <f t="shared" si="33"/>
        <v>156</v>
      </c>
      <c r="K75" s="363">
        <f t="shared" si="33"/>
        <v>0</v>
      </c>
      <c r="L75" s="363">
        <f t="shared" si="33"/>
        <v>502</v>
      </c>
      <c r="M75" s="363">
        <f t="shared" si="33"/>
        <v>564</v>
      </c>
      <c r="N75" s="363">
        <f t="shared" si="33"/>
        <v>534</v>
      </c>
      <c r="O75" s="363">
        <f t="shared" si="33"/>
        <v>570</v>
      </c>
      <c r="P75" s="363">
        <f t="shared" si="33"/>
        <v>393</v>
      </c>
      <c r="Q75" s="363">
        <f t="shared" si="33"/>
        <v>149</v>
      </c>
      <c r="R75" s="363">
        <f t="shared" si="33"/>
        <v>0</v>
      </c>
      <c r="S75" s="363">
        <f t="shared" si="33"/>
        <v>493</v>
      </c>
      <c r="T75" s="363">
        <f t="shared" si="33"/>
        <v>451</v>
      </c>
      <c r="U75" s="363">
        <f t="shared" si="33"/>
        <v>504</v>
      </c>
      <c r="V75" s="363">
        <f t="shared" si="33"/>
        <v>405</v>
      </c>
      <c r="W75" s="363">
        <f t="shared" si="33"/>
        <v>413</v>
      </c>
      <c r="X75" s="363">
        <f t="shared" si="33"/>
        <v>214</v>
      </c>
      <c r="Y75" s="363">
        <f t="shared" si="33"/>
        <v>0</v>
      </c>
      <c r="Z75" s="363">
        <f t="shared" si="33"/>
        <v>536</v>
      </c>
      <c r="AA75" s="363">
        <f t="shared" si="33"/>
        <v>516</v>
      </c>
      <c r="AB75" s="363">
        <f t="shared" si="33"/>
        <v>485</v>
      </c>
      <c r="AC75" s="363">
        <f t="shared" si="33"/>
        <v>598</v>
      </c>
      <c r="AD75" s="363">
        <f t="shared" si="33"/>
        <v>480</v>
      </c>
      <c r="AE75" s="363">
        <f t="shared" si="33"/>
        <v>322</v>
      </c>
      <c r="AF75" s="363">
        <f t="shared" si="33"/>
        <v>0</v>
      </c>
      <c r="AG75" s="363">
        <f t="shared" si="33"/>
        <v>597</v>
      </c>
      <c r="AH75" s="363">
        <f t="shared" si="33"/>
        <v>596</v>
      </c>
      <c r="AI75" s="363">
        <f>SUM(E75:AH75)</f>
        <v>11740</v>
      </c>
    </row>
    <row r="76" spans="1:37">
      <c r="A76" s="306">
        <v>2</v>
      </c>
      <c r="B76" s="306" t="s">
        <v>129</v>
      </c>
      <c r="C76" s="544" t="s">
        <v>124</v>
      </c>
      <c r="D76" s="501"/>
      <c r="E76" s="363">
        <f t="shared" ref="E76:Z76" si="34">E33-D33</f>
        <v>467</v>
      </c>
      <c r="F76" s="363">
        <f t="shared" si="34"/>
        <v>464</v>
      </c>
      <c r="G76" s="363">
        <f t="shared" si="34"/>
        <v>536</v>
      </c>
      <c r="H76" s="363">
        <f t="shared" si="34"/>
        <v>345</v>
      </c>
      <c r="I76" s="363">
        <f t="shared" si="34"/>
        <v>472</v>
      </c>
      <c r="J76" s="363">
        <f t="shared" si="34"/>
        <v>244</v>
      </c>
      <c r="K76" s="363">
        <f t="shared" si="34"/>
        <v>0</v>
      </c>
      <c r="L76" s="363">
        <f t="shared" si="34"/>
        <v>480</v>
      </c>
      <c r="M76" s="363">
        <f t="shared" si="34"/>
        <v>514</v>
      </c>
      <c r="N76" s="363">
        <f t="shared" si="34"/>
        <v>468</v>
      </c>
      <c r="O76" s="363">
        <f t="shared" si="34"/>
        <v>533</v>
      </c>
      <c r="P76" s="363">
        <f t="shared" si="34"/>
        <v>427</v>
      </c>
      <c r="Q76" s="363">
        <f t="shared" si="34"/>
        <v>197</v>
      </c>
      <c r="R76" s="363">
        <f t="shared" si="34"/>
        <v>0</v>
      </c>
      <c r="S76" s="363">
        <f t="shared" si="34"/>
        <v>492</v>
      </c>
      <c r="T76" s="363">
        <f t="shared" si="34"/>
        <v>439</v>
      </c>
      <c r="U76" s="363">
        <f t="shared" si="34"/>
        <v>503</v>
      </c>
      <c r="V76" s="363">
        <f t="shared" si="34"/>
        <v>442</v>
      </c>
      <c r="W76" s="363">
        <f t="shared" si="34"/>
        <v>456</v>
      </c>
      <c r="X76" s="363">
        <f t="shared" si="34"/>
        <v>269</v>
      </c>
      <c r="Y76" s="363">
        <f t="shared" si="34"/>
        <v>0</v>
      </c>
      <c r="Z76" s="363">
        <f t="shared" si="34"/>
        <v>509</v>
      </c>
      <c r="AA76" s="363">
        <v>448</v>
      </c>
      <c r="AB76" s="363">
        <v>477</v>
      </c>
      <c r="AC76" s="363">
        <f t="shared" ref="AC76:AH78" si="35">AC33-AB33</f>
        <v>543</v>
      </c>
      <c r="AD76" s="363">
        <f t="shared" si="35"/>
        <v>458</v>
      </c>
      <c r="AE76" s="363">
        <f t="shared" si="35"/>
        <v>243</v>
      </c>
      <c r="AF76" s="363">
        <f t="shared" si="35"/>
        <v>0</v>
      </c>
      <c r="AG76" s="363">
        <f t="shared" si="35"/>
        <v>580</v>
      </c>
      <c r="AH76" s="363">
        <f t="shared" si="35"/>
        <v>570</v>
      </c>
      <c r="AI76" s="363">
        <f>SUM(E76:AH76)</f>
        <v>11576</v>
      </c>
    </row>
    <row r="77" spans="1:37">
      <c r="A77" s="306">
        <v>3</v>
      </c>
      <c r="B77" s="306" t="s">
        <v>129</v>
      </c>
      <c r="C77" s="544" t="s">
        <v>125</v>
      </c>
      <c r="D77" s="501"/>
      <c r="E77" s="363">
        <f t="shared" ref="E77:Z77" si="36">E34-D34</f>
        <v>722</v>
      </c>
      <c r="F77" s="363">
        <f t="shared" si="36"/>
        <v>504</v>
      </c>
      <c r="G77" s="363">
        <f t="shared" si="36"/>
        <v>579</v>
      </c>
      <c r="H77" s="363">
        <f t="shared" si="36"/>
        <v>509</v>
      </c>
      <c r="I77" s="363">
        <f t="shared" si="36"/>
        <v>479</v>
      </c>
      <c r="J77" s="363">
        <f t="shared" si="36"/>
        <v>287</v>
      </c>
      <c r="K77" s="363">
        <f t="shared" si="36"/>
        <v>0</v>
      </c>
      <c r="L77" s="363">
        <f t="shared" si="36"/>
        <v>708</v>
      </c>
      <c r="M77" s="363">
        <f t="shared" si="36"/>
        <v>666</v>
      </c>
      <c r="N77" s="363">
        <f t="shared" si="36"/>
        <v>435</v>
      </c>
      <c r="O77" s="363">
        <f t="shared" si="36"/>
        <v>619</v>
      </c>
      <c r="P77" s="363">
        <f t="shared" si="36"/>
        <v>371</v>
      </c>
      <c r="Q77" s="363">
        <f t="shared" si="36"/>
        <v>307</v>
      </c>
      <c r="R77" s="363">
        <f t="shared" si="36"/>
        <v>0</v>
      </c>
      <c r="S77" s="363">
        <f t="shared" si="36"/>
        <v>687</v>
      </c>
      <c r="T77" s="363">
        <f t="shared" si="36"/>
        <v>434</v>
      </c>
      <c r="U77" s="363">
        <f t="shared" si="36"/>
        <v>419</v>
      </c>
      <c r="V77" s="363">
        <f t="shared" si="36"/>
        <v>421</v>
      </c>
      <c r="W77" s="363">
        <f t="shared" si="36"/>
        <v>394</v>
      </c>
      <c r="X77" s="363">
        <f t="shared" si="36"/>
        <v>285</v>
      </c>
      <c r="Y77" s="363">
        <f t="shared" si="36"/>
        <v>0</v>
      </c>
      <c r="Z77" s="363">
        <f t="shared" si="36"/>
        <v>654</v>
      </c>
      <c r="AA77" s="363">
        <f>AA34-Z34</f>
        <v>588</v>
      </c>
      <c r="AB77" s="363">
        <f>AB34-AA34</f>
        <v>513</v>
      </c>
      <c r="AC77" s="363">
        <f t="shared" si="35"/>
        <v>596</v>
      </c>
      <c r="AD77" s="363">
        <f t="shared" si="35"/>
        <v>652</v>
      </c>
      <c r="AE77" s="363">
        <f t="shared" si="35"/>
        <v>407</v>
      </c>
      <c r="AF77" s="363">
        <f t="shared" si="35"/>
        <v>0</v>
      </c>
      <c r="AG77" s="363">
        <f t="shared" si="35"/>
        <v>835</v>
      </c>
      <c r="AH77" s="363">
        <f t="shared" si="35"/>
        <v>889</v>
      </c>
      <c r="AI77" s="363">
        <f>SUM(E77:AH77)</f>
        <v>13960</v>
      </c>
    </row>
    <row r="78" spans="1:37">
      <c r="A78" s="306">
        <v>4</v>
      </c>
      <c r="B78" s="306" t="s">
        <v>129</v>
      </c>
      <c r="C78" s="544" t="s">
        <v>126</v>
      </c>
      <c r="D78" s="501"/>
      <c r="E78" s="363">
        <f t="shared" ref="E78:Z78" si="37">E35-D35</f>
        <v>813</v>
      </c>
      <c r="F78" s="363">
        <f t="shared" si="37"/>
        <v>811</v>
      </c>
      <c r="G78" s="363">
        <f t="shared" si="37"/>
        <v>772</v>
      </c>
      <c r="H78" s="363">
        <f t="shared" si="37"/>
        <v>765</v>
      </c>
      <c r="I78" s="363">
        <f t="shared" si="37"/>
        <v>678</v>
      </c>
      <c r="J78" s="363">
        <f t="shared" si="37"/>
        <v>255</v>
      </c>
      <c r="K78" s="363">
        <f t="shared" si="37"/>
        <v>0</v>
      </c>
      <c r="L78" s="363">
        <f t="shared" si="37"/>
        <v>822</v>
      </c>
      <c r="M78" s="363">
        <f t="shared" si="37"/>
        <v>968</v>
      </c>
      <c r="N78" s="363">
        <f t="shared" si="37"/>
        <v>739</v>
      </c>
      <c r="O78" s="363">
        <f t="shared" si="37"/>
        <v>999</v>
      </c>
      <c r="P78" s="363">
        <f t="shared" si="37"/>
        <v>770</v>
      </c>
      <c r="Q78" s="363">
        <f t="shared" si="37"/>
        <v>182</v>
      </c>
      <c r="R78" s="363">
        <f t="shared" si="37"/>
        <v>0</v>
      </c>
      <c r="S78" s="363">
        <f t="shared" si="37"/>
        <v>923</v>
      </c>
      <c r="T78" s="363">
        <f t="shared" si="37"/>
        <v>748</v>
      </c>
      <c r="U78" s="363">
        <f t="shared" si="37"/>
        <v>858</v>
      </c>
      <c r="V78" s="363">
        <f t="shared" si="37"/>
        <v>852</v>
      </c>
      <c r="W78" s="363">
        <f t="shared" si="37"/>
        <v>749</v>
      </c>
      <c r="X78" s="363">
        <f t="shared" si="37"/>
        <v>362</v>
      </c>
      <c r="Y78" s="363">
        <f t="shared" si="37"/>
        <v>0</v>
      </c>
      <c r="Z78" s="363">
        <f t="shared" si="37"/>
        <v>871</v>
      </c>
      <c r="AA78" s="363">
        <f>AA35-Z35</f>
        <v>836</v>
      </c>
      <c r="AB78" s="363">
        <f>AB35-AA35</f>
        <v>933</v>
      </c>
      <c r="AC78" s="363">
        <f t="shared" si="35"/>
        <v>772</v>
      </c>
      <c r="AD78" s="363">
        <f t="shared" si="35"/>
        <v>869</v>
      </c>
      <c r="AE78" s="363">
        <f t="shared" si="35"/>
        <v>451</v>
      </c>
      <c r="AF78" s="363">
        <f t="shared" si="35"/>
        <v>0</v>
      </c>
      <c r="AG78" s="363">
        <f t="shared" si="35"/>
        <v>932</v>
      </c>
      <c r="AH78" s="363">
        <f t="shared" si="35"/>
        <v>989</v>
      </c>
      <c r="AI78" s="363">
        <f>SUM(E78:AH78)</f>
        <v>19719</v>
      </c>
    </row>
    <row r="79" spans="1:37">
      <c r="A79" s="357"/>
      <c r="B79" s="357"/>
      <c r="C79" s="553" t="s">
        <v>136</v>
      </c>
      <c r="D79" s="501"/>
      <c r="E79" s="358">
        <f t="shared" ref="E79:AI79" si="38">SUM(E75:E78)</f>
        <v>2526</v>
      </c>
      <c r="F79" s="358">
        <f t="shared" si="38"/>
        <v>2248</v>
      </c>
      <c r="G79" s="358">
        <f t="shared" si="38"/>
        <v>2354</v>
      </c>
      <c r="H79" s="358">
        <f t="shared" si="38"/>
        <v>2047</v>
      </c>
      <c r="I79" s="358">
        <f t="shared" si="38"/>
        <v>2003</v>
      </c>
      <c r="J79" s="358">
        <f t="shared" si="38"/>
        <v>942</v>
      </c>
      <c r="K79" s="358">
        <f t="shared" si="38"/>
        <v>0</v>
      </c>
      <c r="L79" s="358">
        <f t="shared" si="38"/>
        <v>2512</v>
      </c>
      <c r="M79" s="358">
        <f t="shared" si="38"/>
        <v>2712</v>
      </c>
      <c r="N79" s="358">
        <f t="shared" si="38"/>
        <v>2176</v>
      </c>
      <c r="O79" s="358">
        <f t="shared" si="38"/>
        <v>2721</v>
      </c>
      <c r="P79" s="358">
        <f t="shared" si="38"/>
        <v>1961</v>
      </c>
      <c r="Q79" s="358">
        <f t="shared" si="38"/>
        <v>835</v>
      </c>
      <c r="R79" s="358">
        <f t="shared" si="38"/>
        <v>0</v>
      </c>
      <c r="S79" s="358">
        <f t="shared" si="38"/>
        <v>2595</v>
      </c>
      <c r="T79" s="358">
        <f t="shared" si="38"/>
        <v>2072</v>
      </c>
      <c r="U79" s="358">
        <f t="shared" si="38"/>
        <v>2284</v>
      </c>
      <c r="V79" s="358">
        <f t="shared" si="38"/>
        <v>2120</v>
      </c>
      <c r="W79" s="358">
        <f t="shared" si="38"/>
        <v>2012</v>
      </c>
      <c r="X79" s="358">
        <f t="shared" si="38"/>
        <v>1130</v>
      </c>
      <c r="Y79" s="358">
        <f t="shared" si="38"/>
        <v>0</v>
      </c>
      <c r="Z79" s="358">
        <f t="shared" si="38"/>
        <v>2570</v>
      </c>
      <c r="AA79" s="358">
        <f t="shared" si="38"/>
        <v>2388</v>
      </c>
      <c r="AB79" s="358">
        <f t="shared" si="38"/>
        <v>2408</v>
      </c>
      <c r="AC79" s="358">
        <f t="shared" si="38"/>
        <v>2509</v>
      </c>
      <c r="AD79" s="358">
        <f t="shared" si="38"/>
        <v>2459</v>
      </c>
      <c r="AE79" s="358">
        <f t="shared" si="38"/>
        <v>1423</v>
      </c>
      <c r="AF79" s="358">
        <f t="shared" si="38"/>
        <v>0</v>
      </c>
      <c r="AG79" s="358">
        <f t="shared" si="38"/>
        <v>2944</v>
      </c>
      <c r="AH79" s="358">
        <f t="shared" si="38"/>
        <v>3044</v>
      </c>
      <c r="AI79" s="358">
        <f t="shared" si="38"/>
        <v>56995</v>
      </c>
    </row>
    <row r="80" spans="1:37">
      <c r="A80" s="300"/>
      <c r="B80" s="300"/>
      <c r="C80" s="300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300"/>
      <c r="AA80" s="300"/>
      <c r="AB80" s="300"/>
      <c r="AC80" s="300"/>
      <c r="AD80" s="300"/>
      <c r="AE80" s="300"/>
      <c r="AF80" s="300"/>
      <c r="AG80" s="300"/>
      <c r="AH80" s="300"/>
    </row>
    <row r="81" spans="1:35">
      <c r="A81" s="300"/>
      <c r="B81" s="300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300"/>
      <c r="AE81" s="300"/>
      <c r="AF81" s="300"/>
      <c r="AG81" s="300"/>
      <c r="AH81" s="300"/>
    </row>
    <row r="82" spans="1:35">
      <c r="A82" s="300"/>
      <c r="B82" s="300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  <c r="AA82" s="300"/>
      <c r="AB82" s="300"/>
      <c r="AC82" s="300"/>
      <c r="AD82" s="300"/>
      <c r="AE82" s="300"/>
      <c r="AF82" s="300"/>
      <c r="AG82" s="300"/>
      <c r="AH82" s="300"/>
    </row>
    <row r="83" spans="1:35" ht="18.5" customHeight="1">
      <c r="A83" s="545"/>
      <c r="B83" s="526"/>
      <c r="C83" s="526"/>
      <c r="D83" s="527"/>
      <c r="E83" s="559" t="s">
        <v>149</v>
      </c>
      <c r="F83" s="526"/>
      <c r="G83" s="526"/>
      <c r="H83" s="526"/>
      <c r="I83" s="526"/>
      <c r="J83" s="526"/>
      <c r="K83" s="526"/>
      <c r="L83" s="526"/>
      <c r="M83" s="526"/>
      <c r="N83" s="526"/>
      <c r="O83" s="526"/>
      <c r="P83" s="526"/>
      <c r="Q83" s="526"/>
      <c r="R83" s="526"/>
      <c r="S83" s="526"/>
      <c r="T83" s="526"/>
      <c r="U83" s="526"/>
      <c r="V83" s="526"/>
      <c r="W83" s="526"/>
      <c r="X83" s="526"/>
      <c r="Y83" s="526"/>
      <c r="Z83" s="526"/>
      <c r="AA83" s="526"/>
      <c r="AB83" s="526"/>
      <c r="AC83" s="526"/>
      <c r="AD83" s="526"/>
      <c r="AE83" s="526"/>
      <c r="AF83" s="526"/>
      <c r="AG83" s="526"/>
      <c r="AH83" s="527"/>
    </row>
    <row r="84" spans="1:35">
      <c r="A84" s="549" t="s">
        <v>99</v>
      </c>
      <c r="B84" s="549" t="s">
        <v>100</v>
      </c>
      <c r="C84" s="550" t="s">
        <v>101</v>
      </c>
      <c r="D84" s="552" t="s">
        <v>102</v>
      </c>
      <c r="E84" s="301">
        <v>46174</v>
      </c>
      <c r="F84" s="301">
        <v>46175</v>
      </c>
      <c r="G84" s="301">
        <v>46176</v>
      </c>
      <c r="H84" s="301">
        <v>46177</v>
      </c>
      <c r="I84" s="301">
        <v>46178</v>
      </c>
      <c r="J84" s="301">
        <v>46179</v>
      </c>
      <c r="K84" s="301">
        <v>46180</v>
      </c>
      <c r="L84" s="301">
        <v>46181</v>
      </c>
      <c r="M84" s="301">
        <v>46182</v>
      </c>
      <c r="N84" s="301">
        <v>46183</v>
      </c>
      <c r="O84" s="301">
        <v>46184</v>
      </c>
      <c r="P84" s="301">
        <v>46185</v>
      </c>
      <c r="Q84" s="301">
        <v>46186</v>
      </c>
      <c r="R84" s="301">
        <v>46187</v>
      </c>
      <c r="S84" s="301">
        <v>46188</v>
      </c>
      <c r="T84" s="301">
        <v>46189</v>
      </c>
      <c r="U84" s="301">
        <v>46190</v>
      </c>
      <c r="V84" s="301">
        <v>46191</v>
      </c>
      <c r="W84" s="301">
        <v>46192</v>
      </c>
      <c r="X84" s="301">
        <v>46193</v>
      </c>
      <c r="Y84" s="301">
        <v>46194</v>
      </c>
      <c r="Z84" s="301">
        <v>46195</v>
      </c>
      <c r="AA84" s="301">
        <v>46196</v>
      </c>
      <c r="AB84" s="301">
        <v>46197</v>
      </c>
      <c r="AC84" s="301">
        <v>46198</v>
      </c>
      <c r="AD84" s="301">
        <v>46199</v>
      </c>
      <c r="AE84" s="301">
        <v>46200</v>
      </c>
      <c r="AF84" s="301">
        <v>46201</v>
      </c>
      <c r="AG84" s="301">
        <v>46202</v>
      </c>
      <c r="AH84" s="301">
        <v>46203</v>
      </c>
      <c r="AI84" s="541" t="s">
        <v>1</v>
      </c>
    </row>
    <row r="85" spans="1:35">
      <c r="A85" s="511"/>
      <c r="B85" s="511"/>
      <c r="C85" s="511"/>
      <c r="D85" s="511"/>
      <c r="E85" s="302" t="s">
        <v>103</v>
      </c>
      <c r="F85" s="302" t="s">
        <v>104</v>
      </c>
      <c r="G85" s="302" t="s">
        <v>105</v>
      </c>
      <c r="H85" s="302" t="s">
        <v>106</v>
      </c>
      <c r="I85" s="302" t="s">
        <v>107</v>
      </c>
      <c r="J85" s="302" t="s">
        <v>108</v>
      </c>
      <c r="K85" s="302" t="s">
        <v>109</v>
      </c>
      <c r="L85" s="302" t="s">
        <v>103</v>
      </c>
      <c r="M85" s="302" t="s">
        <v>104</v>
      </c>
      <c r="N85" s="302" t="s">
        <v>105</v>
      </c>
      <c r="O85" s="302" t="s">
        <v>106</v>
      </c>
      <c r="P85" s="302" t="s">
        <v>107</v>
      </c>
      <c r="Q85" s="302" t="s">
        <v>108</v>
      </c>
      <c r="R85" s="302" t="s">
        <v>109</v>
      </c>
      <c r="S85" s="302" t="s">
        <v>103</v>
      </c>
      <c r="T85" s="302" t="s">
        <v>104</v>
      </c>
      <c r="U85" s="302" t="s">
        <v>105</v>
      </c>
      <c r="V85" s="302" t="s">
        <v>106</v>
      </c>
      <c r="W85" s="302" t="s">
        <v>107</v>
      </c>
      <c r="X85" s="302" t="s">
        <v>108</v>
      </c>
      <c r="Y85" s="302" t="s">
        <v>109</v>
      </c>
      <c r="Z85" s="302" t="s">
        <v>103</v>
      </c>
      <c r="AA85" s="302" t="s">
        <v>104</v>
      </c>
      <c r="AB85" s="302" t="s">
        <v>105</v>
      </c>
      <c r="AC85" s="302" t="s">
        <v>106</v>
      </c>
      <c r="AD85" s="302" t="s">
        <v>107</v>
      </c>
      <c r="AE85" s="302" t="s">
        <v>108</v>
      </c>
      <c r="AF85" s="302" t="s">
        <v>109</v>
      </c>
      <c r="AG85" s="302" t="s">
        <v>103</v>
      </c>
      <c r="AH85" s="302" t="s">
        <v>104</v>
      </c>
      <c r="AI85" s="508"/>
    </row>
    <row r="86" spans="1:35">
      <c r="A86" s="511"/>
      <c r="B86" s="511"/>
      <c r="C86" s="511"/>
      <c r="D86" s="511"/>
      <c r="E86" s="303" t="s">
        <v>110</v>
      </c>
      <c r="F86" s="303" t="s">
        <v>110</v>
      </c>
      <c r="G86" s="303" t="s">
        <v>110</v>
      </c>
      <c r="H86" s="303" t="s">
        <v>110</v>
      </c>
      <c r="I86" s="303" t="s">
        <v>110</v>
      </c>
      <c r="J86" s="303" t="s">
        <v>110</v>
      </c>
      <c r="K86" s="303" t="s">
        <v>110</v>
      </c>
      <c r="L86" s="303" t="s">
        <v>110</v>
      </c>
      <c r="M86" s="303" t="s">
        <v>110</v>
      </c>
      <c r="N86" s="303" t="s">
        <v>110</v>
      </c>
      <c r="O86" s="303" t="s">
        <v>110</v>
      </c>
      <c r="P86" s="303" t="s">
        <v>110</v>
      </c>
      <c r="Q86" s="303" t="s">
        <v>110</v>
      </c>
      <c r="R86" s="303" t="s">
        <v>110</v>
      </c>
      <c r="S86" s="303" t="s">
        <v>110</v>
      </c>
      <c r="T86" s="303" t="s">
        <v>110</v>
      </c>
      <c r="U86" s="303" t="s">
        <v>110</v>
      </c>
      <c r="V86" s="303" t="s">
        <v>110</v>
      </c>
      <c r="W86" s="303" t="s">
        <v>110</v>
      </c>
      <c r="X86" s="303" t="s">
        <v>110</v>
      </c>
      <c r="Y86" s="303" t="s">
        <v>110</v>
      </c>
      <c r="Z86" s="303" t="s">
        <v>110</v>
      </c>
      <c r="AA86" s="303" t="s">
        <v>110</v>
      </c>
      <c r="AB86" s="303" t="s">
        <v>110</v>
      </c>
      <c r="AC86" s="303" t="s">
        <v>110</v>
      </c>
      <c r="AD86" s="303" t="s">
        <v>110</v>
      </c>
      <c r="AE86" s="303" t="s">
        <v>110</v>
      </c>
      <c r="AF86" s="303" t="s">
        <v>110</v>
      </c>
      <c r="AG86" s="303" t="s">
        <v>110</v>
      </c>
      <c r="AH86" s="303" t="s">
        <v>110</v>
      </c>
      <c r="AI86" s="508"/>
    </row>
    <row r="87" spans="1:35">
      <c r="A87" s="512"/>
      <c r="B87" s="512"/>
      <c r="C87" s="512"/>
      <c r="D87" s="512"/>
      <c r="E87" s="369">
        <v>0.33333333333333331</v>
      </c>
      <c r="F87" s="369">
        <v>0.33333333333333331</v>
      </c>
      <c r="G87" s="369">
        <v>0.33333333333333331</v>
      </c>
      <c r="H87" s="369">
        <v>0.33333333333333331</v>
      </c>
      <c r="I87" s="369">
        <v>0.33333333333333331</v>
      </c>
      <c r="J87" s="369">
        <v>0.33333333333333331</v>
      </c>
      <c r="K87" s="369">
        <v>0.33333333333333331</v>
      </c>
      <c r="L87" s="369">
        <v>0.33333333333333331</v>
      </c>
      <c r="M87" s="369">
        <v>0.33333333333333331</v>
      </c>
      <c r="N87" s="369">
        <v>0.33333333333333331</v>
      </c>
      <c r="O87" s="369">
        <v>0.33333333333333331</v>
      </c>
      <c r="P87" s="369">
        <v>0.33333333333333331</v>
      </c>
      <c r="Q87" s="369">
        <v>0.33333333333333331</v>
      </c>
      <c r="R87" s="369">
        <v>0.33333333333333331</v>
      </c>
      <c r="S87" s="369">
        <v>0.33333333333333331</v>
      </c>
      <c r="T87" s="369">
        <v>0.33333333333333331</v>
      </c>
      <c r="U87" s="369">
        <v>0.33333333333333331</v>
      </c>
      <c r="V87" s="369">
        <v>0.33333333333333331</v>
      </c>
      <c r="W87" s="369">
        <v>0.33333333333333331</v>
      </c>
      <c r="X87" s="369">
        <v>0.33333333333333331</v>
      </c>
      <c r="Y87" s="369">
        <v>0.33333333333333331</v>
      </c>
      <c r="Z87" s="369">
        <v>0.33333333333333331</v>
      </c>
      <c r="AA87" s="369">
        <v>0.33333333333333331</v>
      </c>
      <c r="AB87" s="369">
        <v>0.33333333333333331</v>
      </c>
      <c r="AC87" s="369">
        <v>0.33333333333333331</v>
      </c>
      <c r="AD87" s="369">
        <v>0.33333333333333331</v>
      </c>
      <c r="AE87" s="369">
        <v>0.33333333333333331</v>
      </c>
      <c r="AF87" s="369">
        <v>0.33333333333333331</v>
      </c>
      <c r="AG87" s="369">
        <v>0.33333333333333331</v>
      </c>
      <c r="AH87" s="369">
        <v>0.33333333333333331</v>
      </c>
      <c r="AI87" s="509"/>
    </row>
    <row r="88" spans="1:35">
      <c r="A88" s="310">
        <v>1</v>
      </c>
      <c r="B88" s="370" t="s">
        <v>150</v>
      </c>
      <c r="C88" s="370" t="s">
        <v>151</v>
      </c>
      <c r="D88" s="370">
        <v>3124</v>
      </c>
      <c r="E88" s="370">
        <v>3124</v>
      </c>
      <c r="F88" s="370">
        <v>3150</v>
      </c>
      <c r="G88" s="370">
        <v>3167</v>
      </c>
      <c r="H88" s="370">
        <v>3167</v>
      </c>
      <c r="I88" s="370">
        <v>3167</v>
      </c>
      <c r="J88" s="370">
        <v>3167</v>
      </c>
      <c r="K88" s="370">
        <v>3167</v>
      </c>
      <c r="L88" s="370">
        <v>3167</v>
      </c>
      <c r="M88" s="370">
        <v>3177</v>
      </c>
      <c r="N88" s="370">
        <v>3200</v>
      </c>
      <c r="O88" s="370">
        <v>3200</v>
      </c>
      <c r="P88" s="370">
        <v>3227</v>
      </c>
      <c r="Q88" s="370">
        <v>3227</v>
      </c>
      <c r="R88" s="370">
        <v>3227</v>
      </c>
      <c r="S88" s="370">
        <v>3227</v>
      </c>
      <c r="T88" s="370">
        <v>3254</v>
      </c>
      <c r="U88" s="370">
        <v>3265</v>
      </c>
      <c r="V88" s="370">
        <v>3289</v>
      </c>
      <c r="W88" s="370">
        <v>3289</v>
      </c>
      <c r="X88" s="370">
        <v>3289</v>
      </c>
      <c r="Y88" s="370">
        <v>3289</v>
      </c>
      <c r="Z88" s="370">
        <v>3312</v>
      </c>
      <c r="AA88" s="370">
        <v>3312</v>
      </c>
      <c r="AB88" s="370">
        <v>3327</v>
      </c>
      <c r="AC88" s="370">
        <v>3327</v>
      </c>
      <c r="AD88" s="370">
        <v>3327</v>
      </c>
      <c r="AE88" s="370">
        <v>3327</v>
      </c>
      <c r="AF88" s="370">
        <v>3327</v>
      </c>
      <c r="AG88" s="370">
        <v>3344</v>
      </c>
      <c r="AH88" s="370">
        <v>3356</v>
      </c>
      <c r="AI88" s="399"/>
    </row>
    <row r="89" spans="1:35">
      <c r="A89" s="300"/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  <c r="Y89" s="300"/>
      <c r="Z89" s="300"/>
      <c r="AA89" s="300"/>
      <c r="AB89" s="300"/>
      <c r="AC89" s="300"/>
      <c r="AD89" s="300"/>
      <c r="AE89" s="300"/>
      <c r="AF89" s="300"/>
      <c r="AG89" s="300"/>
      <c r="AH89" s="300"/>
    </row>
    <row r="90" spans="1:35">
      <c r="A90" s="541" t="s">
        <v>99</v>
      </c>
      <c r="B90" s="541" t="s">
        <v>100</v>
      </c>
      <c r="C90" s="541" t="s">
        <v>101</v>
      </c>
      <c r="D90" s="517"/>
      <c r="E90" s="352">
        <f t="shared" ref="E90:AH90" si="39">E84</f>
        <v>46174</v>
      </c>
      <c r="F90" s="352">
        <f t="shared" si="39"/>
        <v>46175</v>
      </c>
      <c r="G90" s="352">
        <f t="shared" si="39"/>
        <v>46176</v>
      </c>
      <c r="H90" s="352">
        <f t="shared" si="39"/>
        <v>46177</v>
      </c>
      <c r="I90" s="352">
        <f t="shared" si="39"/>
        <v>46178</v>
      </c>
      <c r="J90" s="352">
        <f t="shared" si="39"/>
        <v>46179</v>
      </c>
      <c r="K90" s="352">
        <f t="shared" si="39"/>
        <v>46180</v>
      </c>
      <c r="L90" s="352">
        <f t="shared" si="39"/>
        <v>46181</v>
      </c>
      <c r="M90" s="352">
        <f t="shared" si="39"/>
        <v>46182</v>
      </c>
      <c r="N90" s="352">
        <f t="shared" si="39"/>
        <v>46183</v>
      </c>
      <c r="O90" s="352">
        <f t="shared" si="39"/>
        <v>46184</v>
      </c>
      <c r="P90" s="352">
        <f t="shared" si="39"/>
        <v>46185</v>
      </c>
      <c r="Q90" s="352">
        <f t="shared" si="39"/>
        <v>46186</v>
      </c>
      <c r="R90" s="352">
        <f t="shared" si="39"/>
        <v>46187</v>
      </c>
      <c r="S90" s="352">
        <f t="shared" si="39"/>
        <v>46188</v>
      </c>
      <c r="T90" s="352">
        <f t="shared" si="39"/>
        <v>46189</v>
      </c>
      <c r="U90" s="352">
        <f t="shared" si="39"/>
        <v>46190</v>
      </c>
      <c r="V90" s="352">
        <f t="shared" si="39"/>
        <v>46191</v>
      </c>
      <c r="W90" s="352">
        <f t="shared" si="39"/>
        <v>46192</v>
      </c>
      <c r="X90" s="352">
        <f t="shared" si="39"/>
        <v>46193</v>
      </c>
      <c r="Y90" s="352">
        <f t="shared" si="39"/>
        <v>46194</v>
      </c>
      <c r="Z90" s="352">
        <f t="shared" si="39"/>
        <v>46195</v>
      </c>
      <c r="AA90" s="352">
        <f t="shared" si="39"/>
        <v>46196</v>
      </c>
      <c r="AB90" s="352">
        <f t="shared" si="39"/>
        <v>46197</v>
      </c>
      <c r="AC90" s="352">
        <f t="shared" si="39"/>
        <v>46198</v>
      </c>
      <c r="AD90" s="352">
        <f t="shared" si="39"/>
        <v>46199</v>
      </c>
      <c r="AE90" s="352">
        <f t="shared" si="39"/>
        <v>46200</v>
      </c>
      <c r="AF90" s="352">
        <f t="shared" si="39"/>
        <v>46201</v>
      </c>
      <c r="AG90" s="352">
        <f t="shared" si="39"/>
        <v>46202</v>
      </c>
      <c r="AH90" s="352">
        <f t="shared" si="39"/>
        <v>46203</v>
      </c>
      <c r="AI90" s="541" t="s">
        <v>1</v>
      </c>
    </row>
    <row r="91" spans="1:35">
      <c r="A91" s="508"/>
      <c r="B91" s="508"/>
      <c r="C91" s="518"/>
      <c r="D91" s="519"/>
      <c r="E91" s="302" t="s">
        <v>103</v>
      </c>
      <c r="F91" s="302" t="s">
        <v>104</v>
      </c>
      <c r="G91" s="302" t="s">
        <v>105</v>
      </c>
      <c r="H91" s="302" t="s">
        <v>106</v>
      </c>
      <c r="I91" s="302" t="s">
        <v>107</v>
      </c>
      <c r="J91" s="302" t="s">
        <v>108</v>
      </c>
      <c r="K91" s="302" t="s">
        <v>109</v>
      </c>
      <c r="L91" s="302" t="s">
        <v>103</v>
      </c>
      <c r="M91" s="302" t="s">
        <v>104</v>
      </c>
      <c r="N91" s="302" t="s">
        <v>105</v>
      </c>
      <c r="O91" s="302" t="s">
        <v>106</v>
      </c>
      <c r="P91" s="302" t="s">
        <v>107</v>
      </c>
      <c r="Q91" s="302" t="s">
        <v>108</v>
      </c>
      <c r="R91" s="302" t="s">
        <v>109</v>
      </c>
      <c r="S91" s="302" t="s">
        <v>103</v>
      </c>
      <c r="T91" s="302" t="s">
        <v>104</v>
      </c>
      <c r="U91" s="302" t="s">
        <v>105</v>
      </c>
      <c r="V91" s="302" t="s">
        <v>106</v>
      </c>
      <c r="W91" s="302" t="s">
        <v>107</v>
      </c>
      <c r="X91" s="302" t="s">
        <v>108</v>
      </c>
      <c r="Y91" s="302" t="s">
        <v>109</v>
      </c>
      <c r="Z91" s="302" t="s">
        <v>103</v>
      </c>
      <c r="AA91" s="302" t="s">
        <v>104</v>
      </c>
      <c r="AB91" s="302" t="s">
        <v>105</v>
      </c>
      <c r="AC91" s="302" t="s">
        <v>106</v>
      </c>
      <c r="AD91" s="302" t="s">
        <v>107</v>
      </c>
      <c r="AE91" s="302" t="s">
        <v>108</v>
      </c>
      <c r="AF91" s="302" t="s">
        <v>109</v>
      </c>
      <c r="AG91" s="302" t="s">
        <v>103</v>
      </c>
      <c r="AH91" s="302" t="s">
        <v>104</v>
      </c>
      <c r="AI91" s="508"/>
    </row>
    <row r="92" spans="1:35">
      <c r="A92" s="508"/>
      <c r="B92" s="508"/>
      <c r="C92" s="518"/>
      <c r="D92" s="519"/>
      <c r="E92" s="353" t="s">
        <v>110</v>
      </c>
      <c r="F92" s="353" t="s">
        <v>110</v>
      </c>
      <c r="G92" s="353" t="s">
        <v>110</v>
      </c>
      <c r="H92" s="353" t="s">
        <v>110</v>
      </c>
      <c r="I92" s="353" t="s">
        <v>110</v>
      </c>
      <c r="J92" s="353" t="s">
        <v>110</v>
      </c>
      <c r="K92" s="353" t="s">
        <v>110</v>
      </c>
      <c r="L92" s="353" t="s">
        <v>110</v>
      </c>
      <c r="M92" s="353" t="s">
        <v>110</v>
      </c>
      <c r="N92" s="353" t="s">
        <v>110</v>
      </c>
      <c r="O92" s="353" t="s">
        <v>110</v>
      </c>
      <c r="P92" s="353" t="s">
        <v>110</v>
      </c>
      <c r="Q92" s="353" t="s">
        <v>110</v>
      </c>
      <c r="R92" s="353" t="s">
        <v>110</v>
      </c>
      <c r="S92" s="353" t="s">
        <v>110</v>
      </c>
      <c r="T92" s="353" t="s">
        <v>110</v>
      </c>
      <c r="U92" s="353" t="s">
        <v>110</v>
      </c>
      <c r="V92" s="353" t="s">
        <v>110</v>
      </c>
      <c r="W92" s="353" t="s">
        <v>110</v>
      </c>
      <c r="X92" s="353" t="s">
        <v>110</v>
      </c>
      <c r="Y92" s="353" t="s">
        <v>110</v>
      </c>
      <c r="Z92" s="353" t="s">
        <v>110</v>
      </c>
      <c r="AA92" s="353" t="s">
        <v>110</v>
      </c>
      <c r="AB92" s="353" t="s">
        <v>110</v>
      </c>
      <c r="AC92" s="353" t="s">
        <v>110</v>
      </c>
      <c r="AD92" s="353" t="s">
        <v>110</v>
      </c>
      <c r="AE92" s="353" t="s">
        <v>110</v>
      </c>
      <c r="AF92" s="353" t="s">
        <v>110</v>
      </c>
      <c r="AG92" s="353" t="s">
        <v>110</v>
      </c>
      <c r="AH92" s="353" t="s">
        <v>110</v>
      </c>
      <c r="AI92" s="508"/>
    </row>
    <row r="93" spans="1:35">
      <c r="A93" s="509"/>
      <c r="B93" s="509"/>
      <c r="C93" s="520"/>
      <c r="D93" s="521"/>
      <c r="E93" s="354">
        <v>0.33333333333333331</v>
      </c>
      <c r="F93" s="354">
        <v>0.33333333333333331</v>
      </c>
      <c r="G93" s="354">
        <v>0.33333333333333331</v>
      </c>
      <c r="H93" s="354">
        <v>0.33333333333333331</v>
      </c>
      <c r="I93" s="354">
        <v>0.33333333333333331</v>
      </c>
      <c r="J93" s="354">
        <v>0.33333333333333331</v>
      </c>
      <c r="K93" s="354">
        <v>0.33333333333333331</v>
      </c>
      <c r="L93" s="354">
        <v>0.33333333333333331</v>
      </c>
      <c r="M93" s="354">
        <v>0.33333333333333331</v>
      </c>
      <c r="N93" s="354">
        <v>0.33333333333333331</v>
      </c>
      <c r="O93" s="354">
        <v>0.33333333333333331</v>
      </c>
      <c r="P93" s="354">
        <v>0.33333333333333331</v>
      </c>
      <c r="Q93" s="354">
        <v>0.33333333333333331</v>
      </c>
      <c r="R93" s="354">
        <v>0.33333333333333331</v>
      </c>
      <c r="S93" s="354">
        <v>0.33333333333333331</v>
      </c>
      <c r="T93" s="354">
        <v>0.33333333333333331</v>
      </c>
      <c r="U93" s="354">
        <v>0.33333333333333331</v>
      </c>
      <c r="V93" s="354">
        <v>0.33333333333333331</v>
      </c>
      <c r="W93" s="354">
        <v>0.33333333333333331</v>
      </c>
      <c r="X93" s="354">
        <v>0.33333333333333331</v>
      </c>
      <c r="Y93" s="354">
        <v>0.33333333333333331</v>
      </c>
      <c r="Z93" s="354">
        <v>0.33333333333333331</v>
      </c>
      <c r="AA93" s="354">
        <v>0.33333333333333331</v>
      </c>
      <c r="AB93" s="354">
        <v>0.33333333333333331</v>
      </c>
      <c r="AC93" s="354">
        <v>0.33333333333333331</v>
      </c>
      <c r="AD93" s="354">
        <v>0.33333333333333331</v>
      </c>
      <c r="AE93" s="354">
        <v>0.33333333333333331</v>
      </c>
      <c r="AF93" s="354">
        <v>0.33333333333333331</v>
      </c>
      <c r="AG93" s="354">
        <v>0.33333333333333331</v>
      </c>
      <c r="AH93" s="354">
        <v>0.33333333333333331</v>
      </c>
      <c r="AI93" s="509"/>
    </row>
    <row r="94" spans="1:35">
      <c r="A94" s="372">
        <v>1</v>
      </c>
      <c r="B94" s="373" t="s">
        <v>150</v>
      </c>
      <c r="C94" s="546" t="s">
        <v>151</v>
      </c>
      <c r="D94" s="501"/>
      <c r="E94" s="355">
        <f t="shared" ref="E94:AH94" si="40">E88-D88</f>
        <v>0</v>
      </c>
      <c r="F94" s="355">
        <f t="shared" si="40"/>
        <v>26</v>
      </c>
      <c r="G94" s="355">
        <f t="shared" si="40"/>
        <v>17</v>
      </c>
      <c r="H94" s="355">
        <f t="shared" si="40"/>
        <v>0</v>
      </c>
      <c r="I94" s="355">
        <f t="shared" si="40"/>
        <v>0</v>
      </c>
      <c r="J94" s="355">
        <f t="shared" si="40"/>
        <v>0</v>
      </c>
      <c r="K94" s="355">
        <f t="shared" si="40"/>
        <v>0</v>
      </c>
      <c r="L94" s="355">
        <f t="shared" si="40"/>
        <v>0</v>
      </c>
      <c r="M94" s="355">
        <f t="shared" si="40"/>
        <v>10</v>
      </c>
      <c r="N94" s="355">
        <f t="shared" si="40"/>
        <v>23</v>
      </c>
      <c r="O94" s="355">
        <f t="shared" si="40"/>
        <v>0</v>
      </c>
      <c r="P94" s="355">
        <f t="shared" si="40"/>
        <v>27</v>
      </c>
      <c r="Q94" s="355">
        <f t="shared" si="40"/>
        <v>0</v>
      </c>
      <c r="R94" s="355">
        <f t="shared" si="40"/>
        <v>0</v>
      </c>
      <c r="S94" s="355">
        <f t="shared" si="40"/>
        <v>0</v>
      </c>
      <c r="T94" s="355">
        <f t="shared" si="40"/>
        <v>27</v>
      </c>
      <c r="U94" s="355">
        <f t="shared" si="40"/>
        <v>11</v>
      </c>
      <c r="V94" s="355">
        <f t="shared" si="40"/>
        <v>24</v>
      </c>
      <c r="W94" s="355">
        <f t="shared" si="40"/>
        <v>0</v>
      </c>
      <c r="X94" s="355">
        <f t="shared" si="40"/>
        <v>0</v>
      </c>
      <c r="Y94" s="355">
        <f t="shared" si="40"/>
        <v>0</v>
      </c>
      <c r="Z94" s="355">
        <f t="shared" si="40"/>
        <v>23</v>
      </c>
      <c r="AA94" s="355">
        <f t="shared" si="40"/>
        <v>0</v>
      </c>
      <c r="AB94" s="355">
        <f t="shared" si="40"/>
        <v>15</v>
      </c>
      <c r="AC94" s="355">
        <f t="shared" si="40"/>
        <v>0</v>
      </c>
      <c r="AD94" s="355">
        <f t="shared" si="40"/>
        <v>0</v>
      </c>
      <c r="AE94" s="355">
        <f t="shared" si="40"/>
        <v>0</v>
      </c>
      <c r="AF94" s="355">
        <f t="shared" si="40"/>
        <v>0</v>
      </c>
      <c r="AG94" s="355">
        <f t="shared" si="40"/>
        <v>17</v>
      </c>
      <c r="AH94" s="355">
        <f t="shared" si="40"/>
        <v>12</v>
      </c>
      <c r="AI94" s="355">
        <f>SUM(H94:AH94)</f>
        <v>189</v>
      </c>
    </row>
  </sheetData>
  <mergeCells count="61">
    <mergeCell ref="A90:A93"/>
    <mergeCell ref="A84:A87"/>
    <mergeCell ref="C84:C87"/>
    <mergeCell ref="AI40:AI43"/>
    <mergeCell ref="C47:D47"/>
    <mergeCell ref="C54:D54"/>
    <mergeCell ref="A83:D83"/>
    <mergeCell ref="AI84:AI87"/>
    <mergeCell ref="C58:D58"/>
    <mergeCell ref="C40:D43"/>
    <mergeCell ref="C45:D45"/>
    <mergeCell ref="C74:D74"/>
    <mergeCell ref="C51:D51"/>
    <mergeCell ref="C78:D78"/>
    <mergeCell ref="C77:D77"/>
    <mergeCell ref="D84:D87"/>
    <mergeCell ref="C94:D94"/>
    <mergeCell ref="C65:D65"/>
    <mergeCell ref="A36:AH37"/>
    <mergeCell ref="A1:AI1"/>
    <mergeCell ref="C55:D55"/>
    <mergeCell ref="C50:D50"/>
    <mergeCell ref="C75:D75"/>
    <mergeCell ref="C44:D44"/>
    <mergeCell ref="A31:AH31"/>
    <mergeCell ref="C56:D56"/>
    <mergeCell ref="A40:A43"/>
    <mergeCell ref="C59:D59"/>
    <mergeCell ref="B84:B87"/>
    <mergeCell ref="C46:D46"/>
    <mergeCell ref="B40:B43"/>
    <mergeCell ref="C60:D60"/>
    <mergeCell ref="A2:A5"/>
    <mergeCell ref="C76:D76"/>
    <mergeCell ref="C71:D71"/>
    <mergeCell ref="C2:C5"/>
    <mergeCell ref="C52:D52"/>
    <mergeCell ref="C70:D70"/>
    <mergeCell ref="C48:D48"/>
    <mergeCell ref="B2:B5"/>
    <mergeCell ref="A22:AH22"/>
    <mergeCell ref="C64:D64"/>
    <mergeCell ref="B38:D38"/>
    <mergeCell ref="D2:D5"/>
    <mergeCell ref="C73:D73"/>
    <mergeCell ref="C62:D62"/>
    <mergeCell ref="C68:D68"/>
    <mergeCell ref="B90:B93"/>
    <mergeCell ref="AI2:AI5"/>
    <mergeCell ref="C72:D72"/>
    <mergeCell ref="C67:D67"/>
    <mergeCell ref="C57:D57"/>
    <mergeCell ref="C66:D66"/>
    <mergeCell ref="C53:D53"/>
    <mergeCell ref="B39:D39"/>
    <mergeCell ref="C69:D69"/>
    <mergeCell ref="C49:D49"/>
    <mergeCell ref="AI90:AI93"/>
    <mergeCell ref="C79:D79"/>
    <mergeCell ref="C90:D93"/>
    <mergeCell ref="E83:AH8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L94"/>
  <sheetViews>
    <sheetView topLeftCell="AE63" zoomScaleNormal="100" workbookViewId="0">
      <selection activeCell="AK68" sqref="AK68:AL71"/>
    </sheetView>
  </sheetViews>
  <sheetFormatPr defaultRowHeight="14.5"/>
  <cols>
    <col min="1" max="1" width="15" customWidth="1"/>
    <col min="2" max="2" width="27" customWidth="1"/>
    <col min="3" max="3" width="32" customWidth="1"/>
    <col min="4" max="4" width="20" customWidth="1"/>
    <col min="5" max="5" width="34" customWidth="1"/>
    <col min="6" max="22" width="23" customWidth="1"/>
    <col min="23" max="23" width="23" bestFit="1" customWidth="1"/>
    <col min="24" max="35" width="23" customWidth="1"/>
    <col min="36" max="36" width="18" customWidth="1"/>
    <col min="37" max="37" width="14" customWidth="1"/>
    <col min="38" max="38" width="18" customWidth="1"/>
  </cols>
  <sheetData>
    <row r="1" spans="1:36" ht="21" customHeight="1">
      <c r="A1" s="542" t="s">
        <v>153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</row>
    <row r="2" spans="1:36" ht="15" customHeight="1">
      <c r="A2" s="549" t="s">
        <v>99</v>
      </c>
      <c r="B2" s="549" t="s">
        <v>100</v>
      </c>
      <c r="C2" s="550" t="s">
        <v>101</v>
      </c>
      <c r="D2" s="552" t="s">
        <v>102</v>
      </c>
      <c r="E2" s="301">
        <v>46143</v>
      </c>
      <c r="F2" s="301">
        <v>46144</v>
      </c>
      <c r="G2" s="301">
        <v>46145</v>
      </c>
      <c r="H2" s="301">
        <v>46146</v>
      </c>
      <c r="I2" s="301">
        <v>46147</v>
      </c>
      <c r="J2" s="301">
        <v>46148</v>
      </c>
      <c r="K2" s="301">
        <v>46149</v>
      </c>
      <c r="L2" s="301">
        <v>46150</v>
      </c>
      <c r="M2" s="301">
        <v>46151</v>
      </c>
      <c r="N2" s="301">
        <v>46152</v>
      </c>
      <c r="O2" s="301">
        <v>46153</v>
      </c>
      <c r="P2" s="301">
        <v>46154</v>
      </c>
      <c r="Q2" s="301">
        <v>46155</v>
      </c>
      <c r="R2" s="301">
        <v>46156</v>
      </c>
      <c r="S2" s="301">
        <v>46157</v>
      </c>
      <c r="T2" s="301">
        <v>46158</v>
      </c>
      <c r="U2" s="301">
        <v>46159</v>
      </c>
      <c r="V2" s="301">
        <v>46160</v>
      </c>
      <c r="W2" s="301">
        <v>46161</v>
      </c>
      <c r="X2" s="301">
        <v>46162</v>
      </c>
      <c r="Y2" s="301">
        <v>46163</v>
      </c>
      <c r="Z2" s="301">
        <v>46164</v>
      </c>
      <c r="AA2" s="301">
        <v>46165</v>
      </c>
      <c r="AB2" s="301">
        <v>46166</v>
      </c>
      <c r="AC2" s="301">
        <v>46167</v>
      </c>
      <c r="AD2" s="301">
        <v>46168</v>
      </c>
      <c r="AE2" s="301">
        <v>46169</v>
      </c>
      <c r="AF2" s="301">
        <v>46170</v>
      </c>
      <c r="AG2" s="301">
        <v>46171</v>
      </c>
      <c r="AH2" s="301">
        <v>46172</v>
      </c>
      <c r="AI2" s="301">
        <v>46173</v>
      </c>
      <c r="AJ2" s="555" t="s">
        <v>1</v>
      </c>
    </row>
    <row r="3" spans="1:36">
      <c r="A3" s="511"/>
      <c r="B3" s="511"/>
      <c r="C3" s="511"/>
      <c r="D3" s="511"/>
      <c r="E3" s="302" t="s">
        <v>103</v>
      </c>
      <c r="F3" s="302" t="s">
        <v>104</v>
      </c>
      <c r="G3" s="302" t="s">
        <v>105</v>
      </c>
      <c r="H3" s="302" t="s">
        <v>106</v>
      </c>
      <c r="I3" s="302" t="s">
        <v>107</v>
      </c>
      <c r="J3" s="302" t="s">
        <v>108</v>
      </c>
      <c r="K3" s="302" t="s">
        <v>109</v>
      </c>
      <c r="L3" s="302" t="s">
        <v>103</v>
      </c>
      <c r="M3" s="302" t="s">
        <v>104</v>
      </c>
      <c r="N3" s="302" t="s">
        <v>105</v>
      </c>
      <c r="O3" s="302" t="s">
        <v>106</v>
      </c>
      <c r="P3" s="302" t="s">
        <v>107</v>
      </c>
      <c r="Q3" s="302" t="s">
        <v>108</v>
      </c>
      <c r="R3" s="302" t="s">
        <v>109</v>
      </c>
      <c r="S3" s="302" t="s">
        <v>103</v>
      </c>
      <c r="T3" s="302" t="s">
        <v>104</v>
      </c>
      <c r="U3" s="302" t="s">
        <v>105</v>
      </c>
      <c r="V3" s="302" t="s">
        <v>106</v>
      </c>
      <c r="W3" s="302" t="s">
        <v>107</v>
      </c>
      <c r="X3" s="302" t="s">
        <v>108</v>
      </c>
      <c r="Y3" s="302" t="s">
        <v>109</v>
      </c>
      <c r="Z3" s="302" t="s">
        <v>103</v>
      </c>
      <c r="AA3" s="302" t="s">
        <v>104</v>
      </c>
      <c r="AB3" s="302" t="s">
        <v>105</v>
      </c>
      <c r="AC3" s="302" t="s">
        <v>106</v>
      </c>
      <c r="AD3" s="302" t="s">
        <v>107</v>
      </c>
      <c r="AE3" s="302" t="s">
        <v>108</v>
      </c>
      <c r="AF3" s="302" t="s">
        <v>109</v>
      </c>
      <c r="AG3" s="302" t="s">
        <v>103</v>
      </c>
      <c r="AH3" s="302" t="s">
        <v>104</v>
      </c>
      <c r="AI3" s="302" t="s">
        <v>105</v>
      </c>
      <c r="AJ3" s="511"/>
    </row>
    <row r="4" spans="1:36">
      <c r="A4" s="511"/>
      <c r="B4" s="511"/>
      <c r="C4" s="511"/>
      <c r="D4" s="511"/>
      <c r="E4" s="303" t="s">
        <v>110</v>
      </c>
      <c r="F4" s="303" t="s">
        <v>110</v>
      </c>
      <c r="G4" s="303" t="s">
        <v>110</v>
      </c>
      <c r="H4" s="303" t="s">
        <v>110</v>
      </c>
      <c r="I4" s="303" t="s">
        <v>110</v>
      </c>
      <c r="J4" s="303" t="s">
        <v>110</v>
      </c>
      <c r="K4" s="303" t="s">
        <v>110</v>
      </c>
      <c r="L4" s="303" t="s">
        <v>110</v>
      </c>
      <c r="M4" s="303" t="s">
        <v>110</v>
      </c>
      <c r="N4" s="303" t="s">
        <v>110</v>
      </c>
      <c r="O4" s="303" t="s">
        <v>110</v>
      </c>
      <c r="P4" s="303" t="s">
        <v>110</v>
      </c>
      <c r="Q4" s="303" t="s">
        <v>110</v>
      </c>
      <c r="R4" s="303" t="s">
        <v>110</v>
      </c>
      <c r="S4" s="303" t="s">
        <v>110</v>
      </c>
      <c r="T4" s="303" t="s">
        <v>110</v>
      </c>
      <c r="U4" s="303" t="s">
        <v>110</v>
      </c>
      <c r="V4" s="303" t="s">
        <v>110</v>
      </c>
      <c r="W4" s="303" t="s">
        <v>110</v>
      </c>
      <c r="X4" s="303" t="s">
        <v>110</v>
      </c>
      <c r="Y4" s="303" t="s">
        <v>110</v>
      </c>
      <c r="Z4" s="303" t="s">
        <v>110</v>
      </c>
      <c r="AA4" s="303" t="s">
        <v>110</v>
      </c>
      <c r="AB4" s="303" t="s">
        <v>110</v>
      </c>
      <c r="AC4" s="303" t="s">
        <v>110</v>
      </c>
      <c r="AD4" s="303" t="s">
        <v>110</v>
      </c>
      <c r="AE4" s="303" t="s">
        <v>110</v>
      </c>
      <c r="AF4" s="303" t="s">
        <v>110</v>
      </c>
      <c r="AG4" s="303" t="s">
        <v>110</v>
      </c>
      <c r="AH4" s="303" t="s">
        <v>110</v>
      </c>
      <c r="AI4" s="303" t="s">
        <v>110</v>
      </c>
      <c r="AJ4" s="511"/>
    </row>
    <row r="5" spans="1:36">
      <c r="A5" s="512"/>
      <c r="B5" s="512"/>
      <c r="C5" s="512"/>
      <c r="D5" s="512"/>
      <c r="E5" s="304">
        <v>0.33333333333333331</v>
      </c>
      <c r="F5" s="304">
        <v>0.33333333333333331</v>
      </c>
      <c r="G5" s="304">
        <v>0.33333333333333331</v>
      </c>
      <c r="H5" s="304">
        <v>0.33333333333333331</v>
      </c>
      <c r="I5" s="304">
        <v>0.33333333333333331</v>
      </c>
      <c r="J5" s="304">
        <v>0.33333333333333331</v>
      </c>
      <c r="K5" s="304">
        <v>0.33333333333333331</v>
      </c>
      <c r="L5" s="304">
        <v>0.33333333333333331</v>
      </c>
      <c r="M5" s="304">
        <v>0.33333333333333331</v>
      </c>
      <c r="N5" s="304">
        <v>0.33333333333333331</v>
      </c>
      <c r="O5" s="304">
        <v>0.33333333333333331</v>
      </c>
      <c r="P5" s="304">
        <v>0.33333333333333331</v>
      </c>
      <c r="Q5" s="304">
        <v>0.33333333333333331</v>
      </c>
      <c r="R5" s="304">
        <v>0.33333333333333331</v>
      </c>
      <c r="S5" s="304">
        <v>0.33333333333333331</v>
      </c>
      <c r="T5" s="304">
        <v>0.33333333333333331</v>
      </c>
      <c r="U5" s="304">
        <v>0.33333333333333331</v>
      </c>
      <c r="V5" s="304">
        <v>0.33333333333333331</v>
      </c>
      <c r="W5" s="304">
        <v>0.33333333333333331</v>
      </c>
      <c r="X5" s="304">
        <v>0.33333333333333331</v>
      </c>
      <c r="Y5" s="304">
        <v>0.33333333333333331</v>
      </c>
      <c r="Z5" s="304">
        <v>0.33333333333333331</v>
      </c>
      <c r="AA5" s="304">
        <v>0.33333333333333331</v>
      </c>
      <c r="AB5" s="304">
        <v>0.33333333333333331</v>
      </c>
      <c r="AC5" s="304">
        <v>0.33333333333333331</v>
      </c>
      <c r="AD5" s="304">
        <v>0.33333333333333331</v>
      </c>
      <c r="AE5" s="304">
        <v>0.33333333333333331</v>
      </c>
      <c r="AF5" s="304">
        <v>0.33333333333333331</v>
      </c>
      <c r="AG5" s="304">
        <v>0.33333333333333331</v>
      </c>
      <c r="AH5" s="304">
        <v>0.33333333333333331</v>
      </c>
      <c r="AI5" s="304">
        <v>0.33333333333333331</v>
      </c>
      <c r="AJ5" s="512"/>
    </row>
    <row r="6" spans="1:36">
      <c r="A6" s="305">
        <v>1</v>
      </c>
      <c r="B6" s="306" t="s">
        <v>129</v>
      </c>
      <c r="C6" s="377" t="s">
        <v>111</v>
      </c>
      <c r="D6" s="397">
        <v>196078</v>
      </c>
      <c r="E6" s="378">
        <v>196329</v>
      </c>
      <c r="F6" s="378">
        <v>196545</v>
      </c>
      <c r="G6" s="378">
        <v>196744</v>
      </c>
      <c r="H6" s="378">
        <v>196988</v>
      </c>
      <c r="I6" s="378">
        <v>197243</v>
      </c>
      <c r="J6" s="378">
        <v>197487</v>
      </c>
      <c r="K6" s="378">
        <v>197732</v>
      </c>
      <c r="L6" s="378">
        <v>197972</v>
      </c>
      <c r="M6" s="378">
        <v>198189</v>
      </c>
      <c r="N6" s="378">
        <v>198400</v>
      </c>
      <c r="O6" s="378">
        <v>198652</v>
      </c>
      <c r="P6" s="378">
        <v>198904</v>
      </c>
      <c r="Q6" s="378">
        <v>199142</v>
      </c>
      <c r="R6" s="378">
        <v>199401</v>
      </c>
      <c r="S6" s="378">
        <v>199622</v>
      </c>
      <c r="T6" s="378">
        <v>199832</v>
      </c>
      <c r="U6" s="378">
        <v>200036</v>
      </c>
      <c r="V6" s="378">
        <v>200278</v>
      </c>
      <c r="W6" s="378">
        <v>200522</v>
      </c>
      <c r="X6" s="378">
        <v>200776</v>
      </c>
      <c r="Y6" s="378">
        <v>201019</v>
      </c>
      <c r="Z6" s="378">
        <v>201267</v>
      </c>
      <c r="AA6" s="378">
        <v>201486</v>
      </c>
      <c r="AB6" s="378">
        <v>201682</v>
      </c>
      <c r="AC6" s="378">
        <v>201918</v>
      </c>
      <c r="AD6" s="378">
        <v>202153</v>
      </c>
      <c r="AE6" s="378">
        <v>202362</v>
      </c>
      <c r="AF6" s="378">
        <v>202608</v>
      </c>
      <c r="AG6" s="378">
        <v>202841</v>
      </c>
      <c r="AH6" s="378">
        <v>203035</v>
      </c>
      <c r="AI6" s="378">
        <v>203246</v>
      </c>
      <c r="AJ6" s="314">
        <f t="shared" ref="AJ6:AJ21" si="0">AI6-D6</f>
        <v>7168</v>
      </c>
    </row>
    <row r="7" spans="1:36">
      <c r="A7" s="315"/>
      <c r="B7" s="315"/>
      <c r="C7" s="325" t="s">
        <v>22</v>
      </c>
      <c r="D7" s="79">
        <v>4329</v>
      </c>
      <c r="E7" s="305">
        <v>4329</v>
      </c>
      <c r="F7" s="305">
        <v>4329</v>
      </c>
      <c r="G7" s="305">
        <v>4329</v>
      </c>
      <c r="H7" s="305">
        <v>4329</v>
      </c>
      <c r="I7" s="305">
        <v>4329</v>
      </c>
      <c r="J7" s="305">
        <v>4329</v>
      </c>
      <c r="K7" s="305">
        <v>4329</v>
      </c>
      <c r="L7" s="305">
        <v>4329</v>
      </c>
      <c r="M7" s="305">
        <v>4329</v>
      </c>
      <c r="N7" s="305">
        <v>4329</v>
      </c>
      <c r="O7" s="305">
        <v>4329</v>
      </c>
      <c r="P7" s="305">
        <v>4329</v>
      </c>
      <c r="Q7" s="305">
        <v>4329</v>
      </c>
      <c r="R7" s="318">
        <v>4329</v>
      </c>
      <c r="S7" s="318">
        <v>4329</v>
      </c>
      <c r="T7" s="318">
        <v>4329</v>
      </c>
      <c r="U7" s="318">
        <v>4329</v>
      </c>
      <c r="V7" s="315">
        <v>4329</v>
      </c>
      <c r="W7" s="315">
        <v>4329</v>
      </c>
      <c r="X7" s="315">
        <v>4329</v>
      </c>
      <c r="Y7" s="315">
        <v>4329</v>
      </c>
      <c r="Z7" s="315">
        <v>4329</v>
      </c>
      <c r="AA7" s="315">
        <v>4329</v>
      </c>
      <c r="AB7" s="315">
        <v>4329</v>
      </c>
      <c r="AC7" s="315">
        <v>4339</v>
      </c>
      <c r="AD7" s="315">
        <v>4339</v>
      </c>
      <c r="AE7" s="315">
        <v>4339</v>
      </c>
      <c r="AF7" s="315">
        <v>4339</v>
      </c>
      <c r="AG7" s="315">
        <v>4339</v>
      </c>
      <c r="AH7" s="315">
        <v>4339</v>
      </c>
      <c r="AI7" s="315">
        <v>4343</v>
      </c>
      <c r="AJ7" s="314">
        <f t="shared" si="0"/>
        <v>14</v>
      </c>
    </row>
    <row r="8" spans="1:36">
      <c r="A8" s="306">
        <v>2</v>
      </c>
      <c r="B8" s="306" t="s">
        <v>129</v>
      </c>
      <c r="C8" s="322" t="s">
        <v>112</v>
      </c>
      <c r="D8" s="80">
        <v>1956</v>
      </c>
      <c r="E8" s="305">
        <v>1956</v>
      </c>
      <c r="F8" s="305">
        <v>1956</v>
      </c>
      <c r="G8" s="305">
        <v>1956</v>
      </c>
      <c r="H8" s="305">
        <v>1956</v>
      </c>
      <c r="I8" s="305">
        <v>1956</v>
      </c>
      <c r="J8" s="305">
        <v>1956</v>
      </c>
      <c r="K8" s="305">
        <v>1956</v>
      </c>
      <c r="L8" s="305">
        <v>1956</v>
      </c>
      <c r="M8" s="305">
        <v>1956</v>
      </c>
      <c r="N8" s="305">
        <v>1956</v>
      </c>
      <c r="O8" s="305">
        <v>1956</v>
      </c>
      <c r="P8" s="305">
        <v>1956</v>
      </c>
      <c r="Q8" s="305">
        <v>1956</v>
      </c>
      <c r="R8" s="306">
        <v>1956</v>
      </c>
      <c r="S8" s="306">
        <v>1956</v>
      </c>
      <c r="T8" s="306">
        <v>1956</v>
      </c>
      <c r="U8" s="306">
        <v>1956</v>
      </c>
      <c r="V8" s="306">
        <v>1956</v>
      </c>
      <c r="W8" s="306">
        <v>1956</v>
      </c>
      <c r="X8" s="306">
        <v>1956</v>
      </c>
      <c r="Y8" s="306">
        <v>1956</v>
      </c>
      <c r="Z8" s="306">
        <v>1956</v>
      </c>
      <c r="AA8" s="306">
        <v>1956</v>
      </c>
      <c r="AB8" s="306">
        <v>1956</v>
      </c>
      <c r="AC8" s="306">
        <v>1956</v>
      </c>
      <c r="AD8" s="306">
        <v>1956</v>
      </c>
      <c r="AE8" s="306">
        <v>1956</v>
      </c>
      <c r="AF8" s="306">
        <v>1956</v>
      </c>
      <c r="AG8" s="306">
        <v>1956</v>
      </c>
      <c r="AH8" s="306">
        <v>1956</v>
      </c>
      <c r="AI8" s="306">
        <v>1956</v>
      </c>
      <c r="AJ8" s="314">
        <f t="shared" si="0"/>
        <v>0</v>
      </c>
    </row>
    <row r="9" spans="1:36">
      <c r="A9" s="306"/>
      <c r="B9" s="306"/>
      <c r="C9" s="325" t="s">
        <v>22</v>
      </c>
      <c r="D9" s="80">
        <v>28.6</v>
      </c>
      <c r="E9" s="305">
        <v>28.6</v>
      </c>
      <c r="F9" s="305">
        <v>28.6</v>
      </c>
      <c r="G9" s="305">
        <v>28.6</v>
      </c>
      <c r="H9" s="305">
        <v>28.6</v>
      </c>
      <c r="I9" s="305">
        <v>28.6</v>
      </c>
      <c r="J9" s="305">
        <v>28.6</v>
      </c>
      <c r="K9" s="305">
        <v>28.6</v>
      </c>
      <c r="L9" s="305">
        <v>28.6</v>
      </c>
      <c r="M9" s="305">
        <v>28.6</v>
      </c>
      <c r="N9" s="305">
        <v>28.6</v>
      </c>
      <c r="O9" s="305">
        <v>28.6</v>
      </c>
      <c r="P9" s="305">
        <v>28.6</v>
      </c>
      <c r="Q9" s="305">
        <v>28.6</v>
      </c>
      <c r="R9" s="309">
        <v>28.6</v>
      </c>
      <c r="S9" s="309">
        <v>28.6</v>
      </c>
      <c r="T9" s="309">
        <v>28.6</v>
      </c>
      <c r="U9" s="309">
        <v>28.6</v>
      </c>
      <c r="V9" s="306">
        <v>28.6</v>
      </c>
      <c r="W9" s="306">
        <v>28.6</v>
      </c>
      <c r="X9" s="306">
        <v>28.6</v>
      </c>
      <c r="Y9" s="306">
        <v>28.6</v>
      </c>
      <c r="Z9" s="306">
        <v>28.6</v>
      </c>
      <c r="AA9" s="306">
        <v>28.6</v>
      </c>
      <c r="AB9" s="306">
        <v>28.6</v>
      </c>
      <c r="AC9" s="306">
        <v>28.6</v>
      </c>
      <c r="AD9" s="306">
        <v>28.6</v>
      </c>
      <c r="AE9" s="306">
        <v>28.6</v>
      </c>
      <c r="AF9" s="306">
        <v>28.6</v>
      </c>
      <c r="AG9" s="306">
        <v>28.6</v>
      </c>
      <c r="AH9" s="306">
        <v>28.6</v>
      </c>
      <c r="AI9" s="306">
        <v>28.6</v>
      </c>
      <c r="AJ9" s="314">
        <f t="shared" si="0"/>
        <v>0</v>
      </c>
    </row>
    <row r="10" spans="1:36">
      <c r="A10" s="306">
        <v>3</v>
      </c>
      <c r="B10" s="306" t="s">
        <v>129</v>
      </c>
      <c r="C10" s="322" t="s">
        <v>113</v>
      </c>
      <c r="D10" s="393">
        <v>283914</v>
      </c>
      <c r="E10" s="330">
        <v>284312</v>
      </c>
      <c r="F10" s="331">
        <v>284601</v>
      </c>
      <c r="G10" s="331">
        <v>284864</v>
      </c>
      <c r="H10" s="331">
        <v>285209</v>
      </c>
      <c r="I10" s="331">
        <v>285572</v>
      </c>
      <c r="J10" s="306">
        <v>285919</v>
      </c>
      <c r="K10" s="306">
        <v>286267</v>
      </c>
      <c r="L10" s="306">
        <v>286606</v>
      </c>
      <c r="M10" s="306">
        <v>286898</v>
      </c>
      <c r="N10" s="306">
        <v>287179</v>
      </c>
      <c r="O10" s="306">
        <v>287540</v>
      </c>
      <c r="P10" s="306">
        <v>287501</v>
      </c>
      <c r="Q10" s="306">
        <v>288125</v>
      </c>
      <c r="R10" s="306">
        <v>288608</v>
      </c>
      <c r="S10" s="306">
        <v>288923</v>
      </c>
      <c r="T10" s="306">
        <v>289202</v>
      </c>
      <c r="U10" s="306">
        <v>289467</v>
      </c>
      <c r="V10" s="306">
        <v>289812</v>
      </c>
      <c r="W10" s="306">
        <v>290159</v>
      </c>
      <c r="X10" s="306">
        <v>290520</v>
      </c>
      <c r="Y10" s="306">
        <v>290865</v>
      </c>
      <c r="Z10" s="306">
        <v>291221</v>
      </c>
      <c r="AA10" s="309">
        <v>291513</v>
      </c>
      <c r="AB10" s="315">
        <v>291769</v>
      </c>
      <c r="AC10" s="315">
        <v>292099</v>
      </c>
      <c r="AD10" s="315">
        <v>292432</v>
      </c>
      <c r="AE10" s="318">
        <v>292708</v>
      </c>
      <c r="AF10" s="318">
        <v>293056</v>
      </c>
      <c r="AG10" s="390">
        <v>293381</v>
      </c>
      <c r="AH10" s="390">
        <v>293636</v>
      </c>
      <c r="AI10" s="310">
        <v>293912</v>
      </c>
      <c r="AJ10" s="314">
        <f t="shared" si="0"/>
        <v>9998</v>
      </c>
    </row>
    <row r="11" spans="1:36">
      <c r="A11" s="306"/>
      <c r="B11" s="306"/>
      <c r="C11" s="325" t="s">
        <v>22</v>
      </c>
      <c r="D11" s="80">
        <v>6472</v>
      </c>
      <c r="E11" s="305">
        <v>6472</v>
      </c>
      <c r="F11" s="305">
        <v>6472</v>
      </c>
      <c r="G11" s="305">
        <v>6472</v>
      </c>
      <c r="H11" s="305">
        <v>6472</v>
      </c>
      <c r="I11" s="305">
        <v>6472</v>
      </c>
      <c r="J11" s="305">
        <v>6472</v>
      </c>
      <c r="K11" s="305">
        <v>6472</v>
      </c>
      <c r="L11" s="305">
        <v>6472</v>
      </c>
      <c r="M11" s="305">
        <v>6472</v>
      </c>
      <c r="N11" s="305">
        <v>6472</v>
      </c>
      <c r="O11" s="305">
        <v>6472</v>
      </c>
      <c r="P11" s="305">
        <v>6472</v>
      </c>
      <c r="Q11" s="305">
        <v>6472</v>
      </c>
      <c r="R11" s="309">
        <v>6472</v>
      </c>
      <c r="S11" s="309">
        <v>6472</v>
      </c>
      <c r="T11" s="309">
        <v>6472</v>
      </c>
      <c r="U11" s="309">
        <v>6472</v>
      </c>
      <c r="V11" s="306">
        <v>6472</v>
      </c>
      <c r="W11" s="306">
        <v>6472</v>
      </c>
      <c r="X11" s="306">
        <v>6472</v>
      </c>
      <c r="Y11" s="306">
        <v>6472</v>
      </c>
      <c r="Z11" s="306">
        <v>6472</v>
      </c>
      <c r="AA11" s="306">
        <v>6472</v>
      </c>
      <c r="AB11" s="306">
        <v>6472</v>
      </c>
      <c r="AC11" s="306">
        <v>6487</v>
      </c>
      <c r="AD11" s="306">
        <v>6487</v>
      </c>
      <c r="AE11" s="306">
        <v>6487</v>
      </c>
      <c r="AF11" s="306">
        <v>6487</v>
      </c>
      <c r="AG11" s="306">
        <v>6487</v>
      </c>
      <c r="AH11" s="306">
        <v>6487</v>
      </c>
      <c r="AI11" s="306">
        <v>6492</v>
      </c>
      <c r="AJ11" s="314">
        <f t="shared" si="0"/>
        <v>20</v>
      </c>
    </row>
    <row r="12" spans="1:36">
      <c r="A12" s="306">
        <v>4</v>
      </c>
      <c r="B12" s="306" t="s">
        <v>129</v>
      </c>
      <c r="C12" s="322" t="s">
        <v>114</v>
      </c>
      <c r="D12" s="80">
        <v>0</v>
      </c>
      <c r="E12" s="305">
        <v>0</v>
      </c>
      <c r="F12" s="305">
        <v>0</v>
      </c>
      <c r="G12" s="305">
        <v>0</v>
      </c>
      <c r="H12" s="305">
        <v>0</v>
      </c>
      <c r="I12" s="305">
        <v>0</v>
      </c>
      <c r="J12" s="305">
        <v>0</v>
      </c>
      <c r="K12" s="305">
        <v>0</v>
      </c>
      <c r="L12" s="305">
        <v>0</v>
      </c>
      <c r="M12" s="305">
        <v>0</v>
      </c>
      <c r="N12" s="305">
        <v>0</v>
      </c>
      <c r="O12" s="305">
        <v>0</v>
      </c>
      <c r="P12" s="305">
        <v>0</v>
      </c>
      <c r="Q12" s="305">
        <v>0</v>
      </c>
      <c r="R12" s="306">
        <v>0</v>
      </c>
      <c r="S12" s="306">
        <v>0</v>
      </c>
      <c r="T12" s="306">
        <v>0</v>
      </c>
      <c r="U12" s="306">
        <v>0</v>
      </c>
      <c r="V12" s="306">
        <v>0</v>
      </c>
      <c r="W12" s="306">
        <v>0</v>
      </c>
      <c r="X12" s="306">
        <v>0</v>
      </c>
      <c r="Y12" s="306">
        <v>0</v>
      </c>
      <c r="Z12" s="306">
        <v>0</v>
      </c>
      <c r="AA12" s="306">
        <v>0</v>
      </c>
      <c r="AB12" s="306">
        <v>0</v>
      </c>
      <c r="AC12" s="306">
        <v>0</v>
      </c>
      <c r="AD12" s="306">
        <v>0</v>
      </c>
      <c r="AE12" s="306">
        <v>0</v>
      </c>
      <c r="AF12" s="306">
        <v>0</v>
      </c>
      <c r="AG12" s="306">
        <v>0</v>
      </c>
      <c r="AH12" s="306">
        <v>0</v>
      </c>
      <c r="AI12" s="306">
        <v>0</v>
      </c>
      <c r="AJ12" s="314">
        <f t="shared" si="0"/>
        <v>0</v>
      </c>
    </row>
    <row r="13" spans="1:36">
      <c r="A13" s="306"/>
      <c r="B13" s="306"/>
      <c r="C13" s="325" t="s">
        <v>22</v>
      </c>
      <c r="D13" s="80">
        <v>0</v>
      </c>
      <c r="E13" s="305">
        <v>0</v>
      </c>
      <c r="F13" s="305">
        <v>0</v>
      </c>
      <c r="G13" s="305">
        <v>0</v>
      </c>
      <c r="H13" s="305">
        <v>0</v>
      </c>
      <c r="I13" s="305">
        <v>0</v>
      </c>
      <c r="J13" s="305">
        <v>0</v>
      </c>
      <c r="K13" s="305">
        <v>0</v>
      </c>
      <c r="L13" s="305">
        <v>0</v>
      </c>
      <c r="M13" s="305">
        <v>0</v>
      </c>
      <c r="N13" s="305">
        <v>0</v>
      </c>
      <c r="O13" s="305">
        <v>0</v>
      </c>
      <c r="P13" s="305">
        <v>0</v>
      </c>
      <c r="Q13" s="305">
        <v>0</v>
      </c>
      <c r="R13" s="306">
        <v>0</v>
      </c>
      <c r="S13" s="306">
        <v>0</v>
      </c>
      <c r="T13" s="306">
        <v>0</v>
      </c>
      <c r="U13" s="306">
        <v>0</v>
      </c>
      <c r="V13" s="306">
        <v>0</v>
      </c>
      <c r="W13" s="306">
        <v>0</v>
      </c>
      <c r="X13" s="306">
        <v>0</v>
      </c>
      <c r="Y13" s="306">
        <v>0</v>
      </c>
      <c r="Z13" s="306">
        <v>0</v>
      </c>
      <c r="AA13" s="306">
        <v>0</v>
      </c>
      <c r="AB13" s="306">
        <v>0</v>
      </c>
      <c r="AC13" s="306">
        <v>0</v>
      </c>
      <c r="AD13" s="306">
        <v>0</v>
      </c>
      <c r="AE13" s="306">
        <v>0</v>
      </c>
      <c r="AF13" s="306">
        <v>0</v>
      </c>
      <c r="AG13" s="306">
        <v>0</v>
      </c>
      <c r="AH13" s="306">
        <v>0</v>
      </c>
      <c r="AI13" s="306">
        <v>0</v>
      </c>
      <c r="AJ13" s="314">
        <f t="shared" si="0"/>
        <v>0</v>
      </c>
    </row>
    <row r="14" spans="1:36">
      <c r="A14" s="306">
        <v>5</v>
      </c>
      <c r="B14" s="306" t="s">
        <v>129</v>
      </c>
      <c r="C14" s="322" t="s">
        <v>115</v>
      </c>
      <c r="D14" s="393">
        <v>149904</v>
      </c>
      <c r="E14" s="335">
        <v>150177</v>
      </c>
      <c r="F14" s="315">
        <v>150283</v>
      </c>
      <c r="G14" s="315">
        <v>150409</v>
      </c>
      <c r="H14" s="315">
        <v>150621</v>
      </c>
      <c r="I14" s="315">
        <v>150832</v>
      </c>
      <c r="J14" s="306">
        <v>151045</v>
      </c>
      <c r="K14" s="306">
        <v>151252</v>
      </c>
      <c r="L14" s="306">
        <v>151446</v>
      </c>
      <c r="M14" s="306">
        <v>151583</v>
      </c>
      <c r="N14" s="306">
        <v>151719</v>
      </c>
      <c r="O14" s="306">
        <v>151919</v>
      </c>
      <c r="P14" s="306">
        <v>152123</v>
      </c>
      <c r="Q14" s="306">
        <v>152308</v>
      </c>
      <c r="R14" s="306">
        <v>152507</v>
      </c>
      <c r="S14" s="306">
        <v>152684</v>
      </c>
      <c r="T14" s="306">
        <v>152831</v>
      </c>
      <c r="U14" s="328">
        <v>152949</v>
      </c>
      <c r="V14" s="306">
        <v>153150</v>
      </c>
      <c r="W14" s="306">
        <v>153347</v>
      </c>
      <c r="X14" s="306">
        <v>153549</v>
      </c>
      <c r="Y14" s="306">
        <v>153750</v>
      </c>
      <c r="Z14" s="306">
        <v>153949</v>
      </c>
      <c r="AA14" s="309">
        <v>154083</v>
      </c>
      <c r="AB14" s="328">
        <v>154204</v>
      </c>
      <c r="AC14" s="328">
        <v>154400</v>
      </c>
      <c r="AD14" s="328">
        <v>154588</v>
      </c>
      <c r="AE14" s="329">
        <v>154716</v>
      </c>
      <c r="AF14" s="329">
        <v>154913</v>
      </c>
      <c r="AG14" s="390">
        <v>155098</v>
      </c>
      <c r="AH14" s="390">
        <v>155228</v>
      </c>
      <c r="AI14" s="310">
        <v>155368</v>
      </c>
      <c r="AJ14" s="314">
        <f t="shared" si="0"/>
        <v>5464</v>
      </c>
    </row>
    <row r="15" spans="1:36">
      <c r="A15" s="306"/>
      <c r="B15" s="306"/>
      <c r="C15" s="325" t="s">
        <v>22</v>
      </c>
      <c r="D15" s="394">
        <v>3316</v>
      </c>
      <c r="E15" s="330">
        <v>3316</v>
      </c>
      <c r="F15" s="330">
        <v>3316</v>
      </c>
      <c r="G15" s="330">
        <v>3316</v>
      </c>
      <c r="H15" s="330">
        <v>3316</v>
      </c>
      <c r="I15" s="330">
        <v>3316</v>
      </c>
      <c r="J15" s="330">
        <v>3316</v>
      </c>
      <c r="K15" s="330">
        <v>3316</v>
      </c>
      <c r="L15" s="330">
        <v>3316</v>
      </c>
      <c r="M15" s="330">
        <v>3316</v>
      </c>
      <c r="N15" s="330">
        <v>3316</v>
      </c>
      <c r="O15" s="330">
        <v>3316</v>
      </c>
      <c r="P15" s="330">
        <v>3316</v>
      </c>
      <c r="Q15" s="330">
        <v>3316</v>
      </c>
      <c r="R15" s="330">
        <v>3316</v>
      </c>
      <c r="S15" s="330">
        <v>3316</v>
      </c>
      <c r="T15" s="330">
        <v>3316</v>
      </c>
      <c r="U15" s="330">
        <v>3316</v>
      </c>
      <c r="V15" s="331">
        <v>3316</v>
      </c>
      <c r="W15" s="331">
        <v>3316</v>
      </c>
      <c r="X15" s="331">
        <v>3316</v>
      </c>
      <c r="Y15" s="331">
        <v>3316</v>
      </c>
      <c r="Z15" s="331">
        <v>3316</v>
      </c>
      <c r="AA15" s="331">
        <v>3316</v>
      </c>
      <c r="AB15" s="331">
        <v>3316</v>
      </c>
      <c r="AC15" s="331">
        <v>3324</v>
      </c>
      <c r="AD15" s="331">
        <v>3324</v>
      </c>
      <c r="AE15" s="331">
        <v>3324</v>
      </c>
      <c r="AF15" s="331">
        <v>3324</v>
      </c>
      <c r="AG15" s="331">
        <v>3324</v>
      </c>
      <c r="AH15" s="331">
        <v>3327</v>
      </c>
      <c r="AI15" s="331">
        <v>3327</v>
      </c>
      <c r="AJ15" s="314">
        <f t="shared" si="0"/>
        <v>11</v>
      </c>
    </row>
    <row r="16" spans="1:36">
      <c r="A16" s="306">
        <v>6</v>
      </c>
      <c r="B16" s="306" t="s">
        <v>129</v>
      </c>
      <c r="C16" s="322" t="s">
        <v>142</v>
      </c>
      <c r="D16" s="393">
        <v>166898</v>
      </c>
      <c r="E16" s="332">
        <v>167179</v>
      </c>
      <c r="F16" s="309">
        <v>167330</v>
      </c>
      <c r="G16" s="305">
        <v>167429</v>
      </c>
      <c r="H16" s="311">
        <v>167673</v>
      </c>
      <c r="I16" s="306">
        <v>167940</v>
      </c>
      <c r="J16" s="306">
        <v>168183</v>
      </c>
      <c r="K16" s="309">
        <v>168435</v>
      </c>
      <c r="L16" s="333">
        <v>168672</v>
      </c>
      <c r="M16" s="310">
        <v>168821</v>
      </c>
      <c r="N16" s="310">
        <v>168917</v>
      </c>
      <c r="O16" s="310">
        <v>169119</v>
      </c>
      <c r="P16" s="310">
        <v>169447</v>
      </c>
      <c r="Q16" s="334">
        <v>169687</v>
      </c>
      <c r="R16" s="310">
        <v>169946</v>
      </c>
      <c r="S16" s="311">
        <v>170188</v>
      </c>
      <c r="T16" s="306">
        <v>170308</v>
      </c>
      <c r="U16" s="306">
        <v>170432</v>
      </c>
      <c r="V16" s="306">
        <v>170704</v>
      </c>
      <c r="W16" s="306">
        <v>170980</v>
      </c>
      <c r="X16" s="306">
        <v>171268</v>
      </c>
      <c r="Y16" s="306">
        <v>171542</v>
      </c>
      <c r="Z16" s="306">
        <v>171801</v>
      </c>
      <c r="AA16" s="309">
        <v>171944</v>
      </c>
      <c r="AB16" s="309">
        <v>172078</v>
      </c>
      <c r="AC16" s="305">
        <v>172368</v>
      </c>
      <c r="AD16" s="305">
        <v>172623</v>
      </c>
      <c r="AE16" s="313">
        <v>172745</v>
      </c>
      <c r="AF16" s="313">
        <v>172997</v>
      </c>
      <c r="AG16" s="390">
        <v>173241</v>
      </c>
      <c r="AH16" s="390">
        <v>173347</v>
      </c>
      <c r="AI16" s="310">
        <v>173457</v>
      </c>
      <c r="AJ16" s="314">
        <f t="shared" si="0"/>
        <v>6559</v>
      </c>
    </row>
    <row r="17" spans="1:36">
      <c r="A17" s="306"/>
      <c r="B17" s="306"/>
      <c r="C17" s="325" t="s">
        <v>22</v>
      </c>
      <c r="D17" s="395">
        <v>4297</v>
      </c>
      <c r="E17" s="335">
        <v>4297</v>
      </c>
      <c r="F17" s="335">
        <v>4297</v>
      </c>
      <c r="G17" s="335">
        <v>4297</v>
      </c>
      <c r="H17" s="335">
        <v>4297</v>
      </c>
      <c r="I17" s="335">
        <v>4297</v>
      </c>
      <c r="J17" s="335">
        <v>4297</v>
      </c>
      <c r="K17" s="335">
        <v>4297</v>
      </c>
      <c r="L17" s="335">
        <v>4297</v>
      </c>
      <c r="M17" s="335">
        <v>4297</v>
      </c>
      <c r="N17" s="335">
        <v>4297</v>
      </c>
      <c r="O17" s="335">
        <v>4297</v>
      </c>
      <c r="P17" s="335">
        <v>4297</v>
      </c>
      <c r="Q17" s="335">
        <v>4297</v>
      </c>
      <c r="R17" s="335">
        <v>4297</v>
      </c>
      <c r="S17" s="335">
        <v>4297</v>
      </c>
      <c r="T17" s="335">
        <v>4297</v>
      </c>
      <c r="U17" s="335">
        <v>4297</v>
      </c>
      <c r="V17" s="335">
        <v>4297</v>
      </c>
      <c r="W17" s="335">
        <v>4297</v>
      </c>
      <c r="X17" s="335">
        <v>4297</v>
      </c>
      <c r="Y17" s="335">
        <v>4297</v>
      </c>
      <c r="Z17" s="335">
        <v>4297</v>
      </c>
      <c r="AA17" s="335">
        <v>4297</v>
      </c>
      <c r="AB17" s="335">
        <v>4297</v>
      </c>
      <c r="AC17" s="335">
        <v>4308</v>
      </c>
      <c r="AD17" s="335">
        <v>4308</v>
      </c>
      <c r="AE17" s="335">
        <v>4308</v>
      </c>
      <c r="AF17" s="335">
        <v>4308</v>
      </c>
      <c r="AG17" s="335">
        <v>4308</v>
      </c>
      <c r="AH17" s="335">
        <v>4311</v>
      </c>
      <c r="AI17" s="335">
        <v>4311</v>
      </c>
      <c r="AJ17" s="314">
        <f t="shared" si="0"/>
        <v>14</v>
      </c>
    </row>
    <row r="18" spans="1:36">
      <c r="A18" s="306">
        <v>7</v>
      </c>
      <c r="B18" s="306" t="s">
        <v>129</v>
      </c>
      <c r="C18" s="322" t="s">
        <v>117</v>
      </c>
      <c r="D18" s="393">
        <v>548563</v>
      </c>
      <c r="E18" s="311">
        <v>549307</v>
      </c>
      <c r="F18" s="306">
        <v>549711</v>
      </c>
      <c r="G18" s="306">
        <v>550092</v>
      </c>
      <c r="H18" s="306">
        <v>550821</v>
      </c>
      <c r="I18" s="306">
        <v>551534</v>
      </c>
      <c r="J18" s="306">
        <v>552181</v>
      </c>
      <c r="K18" s="306">
        <v>552862</v>
      </c>
      <c r="L18" s="306">
        <v>553486</v>
      </c>
      <c r="M18" s="306">
        <v>553905</v>
      </c>
      <c r="N18" s="336">
        <v>554260</v>
      </c>
      <c r="O18" s="306">
        <v>554964</v>
      </c>
      <c r="P18" s="306">
        <v>555661</v>
      </c>
      <c r="Q18" s="306">
        <v>556256</v>
      </c>
      <c r="R18" s="315">
        <v>556942</v>
      </c>
      <c r="S18" s="336">
        <v>557560</v>
      </c>
      <c r="T18" s="306">
        <v>557872</v>
      </c>
      <c r="U18" s="306">
        <v>558164</v>
      </c>
      <c r="V18" s="306">
        <v>558867</v>
      </c>
      <c r="W18" s="306">
        <v>559513</v>
      </c>
      <c r="X18" s="328">
        <v>560204</v>
      </c>
      <c r="Y18" s="306">
        <v>560880</v>
      </c>
      <c r="Z18" s="306">
        <v>561550</v>
      </c>
      <c r="AA18" s="309">
        <v>561821</v>
      </c>
      <c r="AB18" s="305">
        <v>562085</v>
      </c>
      <c r="AC18" s="337">
        <v>562720</v>
      </c>
      <c r="AD18" s="315">
        <v>563336</v>
      </c>
      <c r="AE18" s="318">
        <v>563585</v>
      </c>
      <c r="AF18" s="318">
        <v>564216</v>
      </c>
      <c r="AG18" s="390">
        <v>564857</v>
      </c>
      <c r="AH18" s="390">
        <v>565149</v>
      </c>
      <c r="AI18" s="310">
        <v>565472</v>
      </c>
      <c r="AJ18" s="314">
        <f t="shared" si="0"/>
        <v>16909</v>
      </c>
    </row>
    <row r="19" spans="1:36">
      <c r="A19" s="306"/>
      <c r="B19" s="306"/>
      <c r="C19" s="325" t="s">
        <v>22</v>
      </c>
      <c r="D19" s="80">
        <v>11747</v>
      </c>
      <c r="E19" s="311">
        <v>11747</v>
      </c>
      <c r="F19" s="311">
        <v>11747</v>
      </c>
      <c r="G19" s="311">
        <v>11747</v>
      </c>
      <c r="H19" s="311">
        <v>11747</v>
      </c>
      <c r="I19" s="311">
        <v>11747</v>
      </c>
      <c r="J19" s="311">
        <v>11747</v>
      </c>
      <c r="K19" s="311">
        <v>11747</v>
      </c>
      <c r="L19" s="311">
        <v>11747</v>
      </c>
      <c r="M19" s="306">
        <v>11747</v>
      </c>
      <c r="N19" s="306">
        <v>11747</v>
      </c>
      <c r="O19" s="306">
        <v>11747</v>
      </c>
      <c r="P19" s="306">
        <v>11747</v>
      </c>
      <c r="Q19" s="306">
        <v>11747</v>
      </c>
      <c r="R19" s="306">
        <v>11747</v>
      </c>
      <c r="S19" s="306">
        <v>11747</v>
      </c>
      <c r="T19" s="306">
        <v>11747</v>
      </c>
      <c r="U19" s="306">
        <v>11747</v>
      </c>
      <c r="V19" s="306">
        <v>11747</v>
      </c>
      <c r="W19" s="306">
        <v>11747</v>
      </c>
      <c r="X19" s="306">
        <v>11747</v>
      </c>
      <c r="Y19" s="306">
        <v>11747</v>
      </c>
      <c r="Z19" s="306">
        <v>11747</v>
      </c>
      <c r="AA19" s="306">
        <v>11747</v>
      </c>
      <c r="AB19" s="306">
        <v>11747</v>
      </c>
      <c r="AC19" s="306">
        <v>11775</v>
      </c>
      <c r="AD19" s="306">
        <v>11775</v>
      </c>
      <c r="AE19" s="306">
        <v>11775</v>
      </c>
      <c r="AF19" s="306">
        <v>11775</v>
      </c>
      <c r="AG19" s="306">
        <v>11775</v>
      </c>
      <c r="AH19" s="306">
        <v>11775</v>
      </c>
      <c r="AI19" s="306">
        <v>11782</v>
      </c>
      <c r="AJ19" s="314">
        <f t="shared" si="0"/>
        <v>35</v>
      </c>
    </row>
    <row r="20" spans="1:36">
      <c r="A20" s="306">
        <v>8</v>
      </c>
      <c r="B20" s="306" t="s">
        <v>129</v>
      </c>
      <c r="C20" s="322" t="s">
        <v>118</v>
      </c>
      <c r="D20" s="393">
        <v>105288</v>
      </c>
      <c r="E20" s="311">
        <v>105417</v>
      </c>
      <c r="F20" s="306">
        <v>105552</v>
      </c>
      <c r="G20" s="306">
        <v>105660</v>
      </c>
      <c r="H20" s="306">
        <v>105794</v>
      </c>
      <c r="I20" s="306">
        <v>105931</v>
      </c>
      <c r="J20" s="306">
        <v>106066</v>
      </c>
      <c r="K20" s="306">
        <v>106194</v>
      </c>
      <c r="L20" s="306">
        <v>106341</v>
      </c>
      <c r="M20" s="306">
        <v>106459</v>
      </c>
      <c r="N20" s="306">
        <v>106584</v>
      </c>
      <c r="O20" s="306">
        <v>106721</v>
      </c>
      <c r="P20" s="306">
        <v>106870</v>
      </c>
      <c r="Q20" s="306">
        <v>107000</v>
      </c>
      <c r="R20" s="306">
        <v>107133</v>
      </c>
      <c r="S20" s="306">
        <v>107265</v>
      </c>
      <c r="T20" s="306">
        <v>107398</v>
      </c>
      <c r="U20" s="306">
        <v>107529</v>
      </c>
      <c r="V20" s="306">
        <v>107689</v>
      </c>
      <c r="W20" s="306">
        <v>107842</v>
      </c>
      <c r="X20" s="306">
        <v>107991</v>
      </c>
      <c r="Y20" s="306">
        <v>108140</v>
      </c>
      <c r="Z20" s="306">
        <v>108302</v>
      </c>
      <c r="AA20" s="315">
        <v>108421</v>
      </c>
      <c r="AB20" s="315">
        <v>108533</v>
      </c>
      <c r="AC20" s="315">
        <v>108679</v>
      </c>
      <c r="AD20" s="315">
        <v>108838</v>
      </c>
      <c r="AE20" s="318">
        <v>108975</v>
      </c>
      <c r="AF20" s="318">
        <v>109126</v>
      </c>
      <c r="AG20" s="390">
        <v>109254</v>
      </c>
      <c r="AH20" s="390">
        <v>109359</v>
      </c>
      <c r="AI20" s="310">
        <v>109469</v>
      </c>
      <c r="AJ20" s="314">
        <f t="shared" si="0"/>
        <v>4181</v>
      </c>
    </row>
    <row r="21" spans="1:36">
      <c r="A21" s="306"/>
      <c r="B21" s="306"/>
      <c r="C21" s="325" t="s">
        <v>22</v>
      </c>
      <c r="D21" s="80">
        <v>2232</v>
      </c>
      <c r="E21" s="311">
        <v>2232</v>
      </c>
      <c r="F21" s="311">
        <v>2232</v>
      </c>
      <c r="G21" s="311">
        <v>2232</v>
      </c>
      <c r="H21" s="311">
        <v>2232</v>
      </c>
      <c r="I21" s="311">
        <v>2232</v>
      </c>
      <c r="J21" s="311">
        <v>2232</v>
      </c>
      <c r="K21" s="311">
        <v>2232</v>
      </c>
      <c r="L21" s="311">
        <v>2232</v>
      </c>
      <c r="M21" s="306">
        <v>2232</v>
      </c>
      <c r="N21" s="306">
        <v>2232</v>
      </c>
      <c r="O21" s="306">
        <v>2232</v>
      </c>
      <c r="P21" s="306">
        <v>2232</v>
      </c>
      <c r="Q21" s="306">
        <v>2232</v>
      </c>
      <c r="R21" s="306">
        <v>2232</v>
      </c>
      <c r="S21" s="306">
        <v>2232</v>
      </c>
      <c r="T21" s="306">
        <v>2232</v>
      </c>
      <c r="U21" s="306">
        <v>2232</v>
      </c>
      <c r="V21" s="306">
        <v>2232</v>
      </c>
      <c r="W21" s="306">
        <v>2232</v>
      </c>
      <c r="X21" s="306">
        <v>2232</v>
      </c>
      <c r="Y21" s="306">
        <v>2232</v>
      </c>
      <c r="Z21" s="306">
        <v>2232</v>
      </c>
      <c r="AA21" s="306">
        <v>2232</v>
      </c>
      <c r="AB21" s="306">
        <v>2232</v>
      </c>
      <c r="AC21" s="306">
        <v>2232</v>
      </c>
      <c r="AD21" s="306">
        <v>2232</v>
      </c>
      <c r="AE21" s="306">
        <v>2232</v>
      </c>
      <c r="AF21" s="306">
        <v>2239</v>
      </c>
      <c r="AG21" s="306">
        <v>2239</v>
      </c>
      <c r="AH21" s="306">
        <v>2240</v>
      </c>
      <c r="AI21" s="306">
        <v>2240</v>
      </c>
      <c r="AJ21" s="314">
        <f t="shared" si="0"/>
        <v>8</v>
      </c>
    </row>
    <row r="22" spans="1:36">
      <c r="A22" s="548"/>
      <c r="B22" s="495"/>
      <c r="C22" s="495"/>
      <c r="D22" s="495"/>
      <c r="E22" s="495"/>
      <c r="F22" s="495"/>
      <c r="G22" s="495"/>
      <c r="H22" s="495"/>
      <c r="I22" s="495"/>
      <c r="J22" s="495"/>
      <c r="K22" s="495"/>
      <c r="L22" s="495"/>
      <c r="M22" s="495"/>
      <c r="N22" s="495"/>
      <c r="O22" s="495"/>
      <c r="P22" s="495"/>
      <c r="Q22" s="495"/>
      <c r="R22" s="495"/>
      <c r="S22" s="495"/>
      <c r="T22" s="495"/>
      <c r="U22" s="495"/>
      <c r="V22" s="495"/>
      <c r="W22" s="495"/>
      <c r="X22" s="495"/>
      <c r="Y22" s="495"/>
      <c r="Z22" s="495"/>
      <c r="AA22" s="495"/>
      <c r="AB22" s="495"/>
      <c r="AC22" s="495"/>
      <c r="AD22" s="495"/>
      <c r="AE22" s="495"/>
      <c r="AF22" s="495"/>
      <c r="AG22" s="495"/>
      <c r="AH22" s="495"/>
      <c r="AI22" s="495"/>
    </row>
    <row r="23" spans="1:36">
      <c r="A23" s="306">
        <v>1</v>
      </c>
      <c r="B23" s="306" t="s">
        <v>129</v>
      </c>
      <c r="C23" s="322" t="s">
        <v>119</v>
      </c>
      <c r="D23" s="398">
        <v>59001</v>
      </c>
      <c r="E23" s="311">
        <v>59111</v>
      </c>
      <c r="F23" s="306">
        <v>59175</v>
      </c>
      <c r="G23" s="306">
        <v>59175</v>
      </c>
      <c r="H23" s="306">
        <v>59235</v>
      </c>
      <c r="I23" s="306">
        <v>59302</v>
      </c>
      <c r="J23" s="306">
        <v>59360</v>
      </c>
      <c r="K23" s="306">
        <v>59420</v>
      </c>
      <c r="L23" s="306">
        <v>59475</v>
      </c>
      <c r="M23" s="306">
        <v>59507</v>
      </c>
      <c r="N23" s="306">
        <v>59507</v>
      </c>
      <c r="O23" s="306">
        <v>59567</v>
      </c>
      <c r="P23" s="306">
        <v>59625</v>
      </c>
      <c r="Q23" s="306">
        <v>59680</v>
      </c>
      <c r="R23" s="306">
        <v>59744</v>
      </c>
      <c r="S23" s="306">
        <v>59806</v>
      </c>
      <c r="T23" s="306">
        <v>59820</v>
      </c>
      <c r="U23" s="306">
        <v>59821</v>
      </c>
      <c r="V23" s="306">
        <v>59890</v>
      </c>
      <c r="W23" s="306">
        <v>59980</v>
      </c>
      <c r="X23" s="306">
        <v>60061</v>
      </c>
      <c r="Y23" s="306">
        <v>60142</v>
      </c>
      <c r="Z23" s="306">
        <v>60227</v>
      </c>
      <c r="AA23" s="306">
        <v>60249</v>
      </c>
      <c r="AB23" s="306">
        <v>60249</v>
      </c>
      <c r="AC23" s="306">
        <v>60346</v>
      </c>
      <c r="AD23" s="309">
        <v>60441</v>
      </c>
      <c r="AE23" s="305">
        <v>60442</v>
      </c>
      <c r="AF23" s="305">
        <v>60523</v>
      </c>
      <c r="AG23" s="305">
        <v>60598</v>
      </c>
      <c r="AH23" s="305">
        <v>60601</v>
      </c>
      <c r="AI23" s="310">
        <v>60602</v>
      </c>
      <c r="AJ23" s="314">
        <f t="shared" ref="AJ23:AJ30" si="1">AI23-D23</f>
        <v>1601</v>
      </c>
    </row>
    <row r="24" spans="1:36">
      <c r="A24" s="306"/>
      <c r="B24" s="306"/>
      <c r="C24" s="338" t="s">
        <v>22</v>
      </c>
      <c r="D24" s="55">
        <v>1923</v>
      </c>
      <c r="E24" s="306">
        <v>1923</v>
      </c>
      <c r="F24" s="306">
        <v>1923</v>
      </c>
      <c r="G24" s="306">
        <v>1923</v>
      </c>
      <c r="H24" s="306">
        <v>1923</v>
      </c>
      <c r="I24" s="306">
        <v>1923</v>
      </c>
      <c r="J24" s="306">
        <v>1923</v>
      </c>
      <c r="K24" s="306">
        <v>1923</v>
      </c>
      <c r="L24" s="306">
        <v>1923</v>
      </c>
      <c r="M24" s="306">
        <v>1923</v>
      </c>
      <c r="N24" s="306">
        <v>1923</v>
      </c>
      <c r="O24" s="306">
        <v>1923</v>
      </c>
      <c r="P24" s="306">
        <v>1923</v>
      </c>
      <c r="Q24" s="306">
        <v>1923</v>
      </c>
      <c r="R24" s="306">
        <v>1923</v>
      </c>
      <c r="S24" s="306">
        <v>1923</v>
      </c>
      <c r="T24" s="306">
        <v>1923</v>
      </c>
      <c r="U24" s="306">
        <v>1923</v>
      </c>
      <c r="V24" s="306">
        <v>1923</v>
      </c>
      <c r="W24" s="306">
        <v>1923</v>
      </c>
      <c r="X24" s="306">
        <v>1923</v>
      </c>
      <c r="Y24" s="328">
        <v>1923</v>
      </c>
      <c r="Z24" s="328">
        <v>1923</v>
      </c>
      <c r="AA24" s="328">
        <v>1923</v>
      </c>
      <c r="AB24" s="328">
        <v>1923</v>
      </c>
      <c r="AC24" s="328">
        <v>1923</v>
      </c>
      <c r="AD24" s="328">
        <v>1923</v>
      </c>
      <c r="AE24" s="328">
        <v>1923</v>
      </c>
      <c r="AF24" s="328">
        <v>1923</v>
      </c>
      <c r="AG24" s="328">
        <v>1923</v>
      </c>
      <c r="AH24" s="305">
        <v>1923</v>
      </c>
      <c r="AI24" s="305">
        <v>1923</v>
      </c>
      <c r="AJ24" s="314">
        <f t="shared" si="1"/>
        <v>0</v>
      </c>
    </row>
    <row r="25" spans="1:36">
      <c r="A25" s="306">
        <v>2</v>
      </c>
      <c r="B25" s="306" t="s">
        <v>129</v>
      </c>
      <c r="C25" s="319" t="s">
        <v>120</v>
      </c>
      <c r="D25" s="398">
        <v>61050</v>
      </c>
      <c r="E25" s="306">
        <v>61184</v>
      </c>
      <c r="F25" s="306">
        <v>61261</v>
      </c>
      <c r="G25" s="306">
        <v>61261</v>
      </c>
      <c r="H25" s="306">
        <v>61349</v>
      </c>
      <c r="I25" s="306">
        <v>61442</v>
      </c>
      <c r="J25" s="306">
        <v>61511</v>
      </c>
      <c r="K25" s="306">
        <v>61576</v>
      </c>
      <c r="L25" s="306">
        <v>61641</v>
      </c>
      <c r="M25" s="306">
        <v>61674</v>
      </c>
      <c r="N25" s="306">
        <v>61674</v>
      </c>
      <c r="O25" s="306">
        <v>61733</v>
      </c>
      <c r="P25" s="306">
        <v>61790</v>
      </c>
      <c r="Q25" s="306">
        <v>61849</v>
      </c>
      <c r="R25" s="306">
        <v>61912</v>
      </c>
      <c r="S25" s="306">
        <v>61978</v>
      </c>
      <c r="T25" s="306">
        <v>61979</v>
      </c>
      <c r="U25" s="306">
        <v>61980</v>
      </c>
      <c r="V25" s="306">
        <v>62049</v>
      </c>
      <c r="W25" s="306">
        <v>62114</v>
      </c>
      <c r="X25" s="306">
        <v>62176</v>
      </c>
      <c r="Y25" s="306">
        <v>62238</v>
      </c>
      <c r="Z25" s="306">
        <v>62299</v>
      </c>
      <c r="AA25" s="306">
        <v>62299</v>
      </c>
      <c r="AB25" s="306">
        <v>62299</v>
      </c>
      <c r="AC25" s="306">
        <v>62369</v>
      </c>
      <c r="AD25" s="309">
        <v>62444</v>
      </c>
      <c r="AE25" s="305">
        <v>62445</v>
      </c>
      <c r="AF25" s="305">
        <v>62517</v>
      </c>
      <c r="AG25" s="390">
        <v>62583</v>
      </c>
      <c r="AH25" s="390">
        <v>62620</v>
      </c>
      <c r="AI25" s="310">
        <v>62620</v>
      </c>
      <c r="AJ25" s="314">
        <f t="shared" si="1"/>
        <v>1570</v>
      </c>
    </row>
    <row r="26" spans="1:36">
      <c r="A26" s="306"/>
      <c r="B26" s="306"/>
      <c r="C26" s="338" t="s">
        <v>22</v>
      </c>
      <c r="D26" s="210">
        <v>1911</v>
      </c>
      <c r="E26" s="306">
        <v>1911</v>
      </c>
      <c r="F26" s="306">
        <v>1911</v>
      </c>
      <c r="G26" s="306">
        <v>1911</v>
      </c>
      <c r="H26" s="306">
        <v>1911</v>
      </c>
      <c r="I26" s="306">
        <v>1911</v>
      </c>
      <c r="J26" s="306">
        <v>1911</v>
      </c>
      <c r="K26" s="306">
        <v>1911</v>
      </c>
      <c r="L26" s="306">
        <v>1911</v>
      </c>
      <c r="M26" s="306">
        <v>1911</v>
      </c>
      <c r="N26" s="306">
        <v>1911</v>
      </c>
      <c r="O26" s="306">
        <v>1911</v>
      </c>
      <c r="P26" s="306">
        <v>1911</v>
      </c>
      <c r="Q26" s="306">
        <v>1911</v>
      </c>
      <c r="R26" s="306">
        <v>1911</v>
      </c>
      <c r="S26" s="306">
        <v>1911</v>
      </c>
      <c r="T26" s="306">
        <v>1911</v>
      </c>
      <c r="U26" s="306">
        <v>1911</v>
      </c>
      <c r="V26" s="306">
        <v>1911</v>
      </c>
      <c r="W26" s="306">
        <v>1911</v>
      </c>
      <c r="X26" s="306">
        <v>1911</v>
      </c>
      <c r="Y26" s="306">
        <v>1911</v>
      </c>
      <c r="Z26" s="306">
        <v>1911</v>
      </c>
      <c r="AA26" s="306">
        <v>1911</v>
      </c>
      <c r="AB26" s="306">
        <v>1911</v>
      </c>
      <c r="AC26" s="306">
        <v>1945</v>
      </c>
      <c r="AD26" s="306">
        <v>1945</v>
      </c>
      <c r="AE26" s="306">
        <v>1945</v>
      </c>
      <c r="AF26" s="306">
        <v>1945</v>
      </c>
      <c r="AG26" s="306">
        <v>1945</v>
      </c>
      <c r="AH26" s="309">
        <v>1945</v>
      </c>
      <c r="AI26" s="309">
        <v>1945</v>
      </c>
      <c r="AJ26" s="314">
        <f t="shared" si="1"/>
        <v>34</v>
      </c>
    </row>
    <row r="27" spans="1:36">
      <c r="A27" s="306">
        <v>3</v>
      </c>
      <c r="B27" s="306" t="s">
        <v>129</v>
      </c>
      <c r="C27" s="319" t="s">
        <v>121</v>
      </c>
      <c r="D27" s="398">
        <v>73971</v>
      </c>
      <c r="E27" s="306">
        <v>74060</v>
      </c>
      <c r="F27" s="306">
        <v>74122</v>
      </c>
      <c r="G27" s="306">
        <v>74122</v>
      </c>
      <c r="H27" s="306">
        <v>74208</v>
      </c>
      <c r="I27" s="306">
        <v>74302</v>
      </c>
      <c r="J27" s="306">
        <v>74372</v>
      </c>
      <c r="K27" s="306">
        <v>74453</v>
      </c>
      <c r="L27" s="306">
        <v>74522</v>
      </c>
      <c r="M27" s="306">
        <v>74593</v>
      </c>
      <c r="N27" s="306">
        <v>74593</v>
      </c>
      <c r="O27" s="306">
        <v>74674</v>
      </c>
      <c r="P27" s="306">
        <v>74747</v>
      </c>
      <c r="Q27" s="306">
        <v>74813</v>
      </c>
      <c r="R27" s="306">
        <v>74874</v>
      </c>
      <c r="S27" s="306">
        <v>74940</v>
      </c>
      <c r="T27" s="306">
        <v>74941</v>
      </c>
      <c r="U27" s="306">
        <v>74941</v>
      </c>
      <c r="V27" s="306">
        <v>75006</v>
      </c>
      <c r="W27" s="306">
        <v>75064</v>
      </c>
      <c r="X27" s="306">
        <v>75125</v>
      </c>
      <c r="Y27" s="306">
        <v>75183</v>
      </c>
      <c r="Z27" s="306">
        <v>75249</v>
      </c>
      <c r="AA27" s="306">
        <v>75270</v>
      </c>
      <c r="AB27" s="306">
        <v>75270</v>
      </c>
      <c r="AC27" s="306">
        <v>75382</v>
      </c>
      <c r="AD27" s="309">
        <v>75478</v>
      </c>
      <c r="AE27" s="305">
        <v>75482</v>
      </c>
      <c r="AF27" s="324">
        <v>75569</v>
      </c>
      <c r="AG27" s="390">
        <v>75652</v>
      </c>
      <c r="AH27" s="390">
        <v>75704</v>
      </c>
      <c r="AI27" s="310">
        <v>75704</v>
      </c>
      <c r="AJ27" s="314">
        <f t="shared" si="1"/>
        <v>1733</v>
      </c>
    </row>
    <row r="28" spans="1:36">
      <c r="A28" s="306"/>
      <c r="B28" s="306"/>
      <c r="C28" s="338" t="s">
        <v>22</v>
      </c>
      <c r="D28" s="3">
        <v>2068</v>
      </c>
      <c r="E28" s="306">
        <v>2068</v>
      </c>
      <c r="F28" s="306">
        <v>2068</v>
      </c>
      <c r="G28" s="306">
        <v>2068</v>
      </c>
      <c r="H28" s="306">
        <v>2068</v>
      </c>
      <c r="I28" s="306">
        <v>2068</v>
      </c>
      <c r="J28" s="306">
        <v>2068</v>
      </c>
      <c r="K28" s="306">
        <v>2068</v>
      </c>
      <c r="L28" s="306">
        <v>2068</v>
      </c>
      <c r="M28" s="306">
        <v>2068</v>
      </c>
      <c r="N28" s="306">
        <v>2068</v>
      </c>
      <c r="O28" s="306">
        <v>2068</v>
      </c>
      <c r="P28" s="306">
        <v>2068</v>
      </c>
      <c r="Q28" s="306">
        <v>2068</v>
      </c>
      <c r="R28" s="306">
        <v>2068</v>
      </c>
      <c r="S28" s="306">
        <v>2068</v>
      </c>
      <c r="T28" s="306">
        <v>2068</v>
      </c>
      <c r="U28" s="306">
        <v>2068</v>
      </c>
      <c r="V28" s="306">
        <v>2068</v>
      </c>
      <c r="W28" s="306">
        <v>2068</v>
      </c>
      <c r="X28" s="306">
        <v>2068</v>
      </c>
      <c r="Y28" s="306">
        <v>2068</v>
      </c>
      <c r="Z28" s="306">
        <v>2068</v>
      </c>
      <c r="AA28" s="306">
        <v>2068</v>
      </c>
      <c r="AB28" s="306">
        <v>2068</v>
      </c>
      <c r="AC28" s="306">
        <v>2075</v>
      </c>
      <c r="AD28" s="306">
        <v>2075</v>
      </c>
      <c r="AE28" s="306">
        <v>2075</v>
      </c>
      <c r="AF28" s="306">
        <v>2075</v>
      </c>
      <c r="AG28" s="306">
        <v>2075</v>
      </c>
      <c r="AH28" s="306">
        <v>2075</v>
      </c>
      <c r="AI28" s="306">
        <v>2075</v>
      </c>
      <c r="AJ28" s="314">
        <f t="shared" si="1"/>
        <v>7</v>
      </c>
    </row>
    <row r="29" spans="1:36">
      <c r="A29" s="306">
        <v>4</v>
      </c>
      <c r="B29" s="306" t="s">
        <v>129</v>
      </c>
      <c r="C29" s="319" t="s">
        <v>122</v>
      </c>
      <c r="D29" s="398">
        <v>49701</v>
      </c>
      <c r="E29" s="306">
        <v>49769</v>
      </c>
      <c r="F29" s="306">
        <v>49815</v>
      </c>
      <c r="G29" s="306">
        <v>49815</v>
      </c>
      <c r="H29" s="306">
        <v>49881</v>
      </c>
      <c r="I29" s="306">
        <v>49949</v>
      </c>
      <c r="J29" s="306">
        <v>50004</v>
      </c>
      <c r="K29" s="306">
        <v>50066</v>
      </c>
      <c r="L29" s="306">
        <v>50120</v>
      </c>
      <c r="M29" s="306">
        <v>50151</v>
      </c>
      <c r="N29" s="306">
        <v>50152</v>
      </c>
      <c r="O29" s="306">
        <v>50212</v>
      </c>
      <c r="P29" s="306">
        <v>50262</v>
      </c>
      <c r="Q29" s="306">
        <v>50319</v>
      </c>
      <c r="R29" s="306">
        <v>50374</v>
      </c>
      <c r="S29" s="306">
        <v>50425</v>
      </c>
      <c r="T29" s="306">
        <v>50425</v>
      </c>
      <c r="U29" s="306">
        <v>50426</v>
      </c>
      <c r="V29" s="306">
        <v>50490</v>
      </c>
      <c r="W29" s="306">
        <v>50540</v>
      </c>
      <c r="X29" s="306">
        <v>50603</v>
      </c>
      <c r="Y29" s="306">
        <v>50662</v>
      </c>
      <c r="Z29" s="306">
        <v>50729</v>
      </c>
      <c r="AA29" s="306">
        <v>50731</v>
      </c>
      <c r="AB29" s="306">
        <v>50732</v>
      </c>
      <c r="AC29" s="306">
        <v>50814</v>
      </c>
      <c r="AD29" s="306">
        <v>50903</v>
      </c>
      <c r="AE29" s="318">
        <v>50907</v>
      </c>
      <c r="AF29" s="318">
        <v>50989</v>
      </c>
      <c r="AG29" s="318">
        <v>51058</v>
      </c>
      <c r="AH29" s="400">
        <v>51062</v>
      </c>
      <c r="AI29" s="310">
        <v>51063</v>
      </c>
      <c r="AJ29" s="314">
        <f t="shared" si="1"/>
        <v>1362</v>
      </c>
    </row>
    <row r="30" spans="1:36">
      <c r="A30" s="306"/>
      <c r="B30" s="306"/>
      <c r="C30" s="338" t="s">
        <v>22</v>
      </c>
      <c r="D30" s="3">
        <v>1788</v>
      </c>
      <c r="E30" s="306">
        <v>1788</v>
      </c>
      <c r="F30" s="306">
        <v>1788</v>
      </c>
      <c r="G30" s="306">
        <v>1788</v>
      </c>
      <c r="H30" s="306">
        <v>1788</v>
      </c>
      <c r="I30" s="306">
        <v>1788</v>
      </c>
      <c r="J30" s="306">
        <v>1788</v>
      </c>
      <c r="K30" s="306">
        <v>1788</v>
      </c>
      <c r="L30" s="306">
        <v>1788</v>
      </c>
      <c r="M30" s="306">
        <v>1788</v>
      </c>
      <c r="N30" s="306">
        <v>1788</v>
      </c>
      <c r="O30" s="306">
        <v>1788</v>
      </c>
      <c r="P30" s="306">
        <v>1788</v>
      </c>
      <c r="Q30" s="306">
        <v>1788</v>
      </c>
      <c r="R30" s="306">
        <v>1788</v>
      </c>
      <c r="S30" s="306">
        <v>1788</v>
      </c>
      <c r="T30" s="306">
        <v>1788</v>
      </c>
      <c r="U30" s="306">
        <v>1788</v>
      </c>
      <c r="V30" s="306">
        <v>1788</v>
      </c>
      <c r="W30" s="306">
        <v>1788</v>
      </c>
      <c r="X30" s="306">
        <v>1788</v>
      </c>
      <c r="Y30" s="306">
        <v>1788</v>
      </c>
      <c r="Z30" s="306">
        <v>1788</v>
      </c>
      <c r="AA30" s="306">
        <v>1788</v>
      </c>
      <c r="AB30" s="306">
        <v>1788</v>
      </c>
      <c r="AC30" s="306">
        <v>1793</v>
      </c>
      <c r="AD30" s="306">
        <v>1793</v>
      </c>
      <c r="AE30" s="306">
        <v>1793</v>
      </c>
      <c r="AF30" s="306">
        <v>1793</v>
      </c>
      <c r="AG30" s="306">
        <v>1793</v>
      </c>
      <c r="AH30" s="306">
        <v>1793</v>
      </c>
      <c r="AI30" s="306">
        <v>1793</v>
      </c>
      <c r="AJ30" s="314">
        <f t="shared" si="1"/>
        <v>5</v>
      </c>
    </row>
    <row r="31" spans="1:36">
      <c r="A31" s="548"/>
      <c r="B31" s="495"/>
      <c r="C31" s="495"/>
      <c r="D31" s="495"/>
      <c r="E31" s="495"/>
      <c r="F31" s="495"/>
      <c r="G31" s="495"/>
      <c r="H31" s="495"/>
      <c r="I31" s="495"/>
      <c r="J31" s="495"/>
      <c r="K31" s="495"/>
      <c r="L31" s="495"/>
      <c r="M31" s="495"/>
      <c r="N31" s="495"/>
      <c r="O31" s="495"/>
      <c r="P31" s="495"/>
      <c r="Q31" s="495"/>
      <c r="R31" s="495"/>
      <c r="S31" s="495"/>
      <c r="T31" s="495"/>
      <c r="U31" s="495"/>
      <c r="V31" s="495"/>
      <c r="W31" s="495"/>
      <c r="X31" s="495"/>
      <c r="Y31" s="495"/>
      <c r="Z31" s="495"/>
      <c r="AA31" s="495"/>
      <c r="AB31" s="495"/>
      <c r="AC31" s="495"/>
      <c r="AD31" s="495"/>
      <c r="AE31" s="495"/>
      <c r="AF31" s="495"/>
      <c r="AG31" s="495"/>
      <c r="AH31" s="495"/>
      <c r="AI31" s="495"/>
    </row>
    <row r="32" spans="1:36">
      <c r="A32" s="306">
        <v>1</v>
      </c>
      <c r="B32" s="306" t="s">
        <v>129</v>
      </c>
      <c r="C32" s="319" t="s">
        <v>123</v>
      </c>
      <c r="D32" s="393">
        <v>426274</v>
      </c>
      <c r="E32" s="382">
        <v>426951</v>
      </c>
      <c r="F32" s="383">
        <v>427390</v>
      </c>
      <c r="G32" s="383">
        <v>427390</v>
      </c>
      <c r="H32" s="383">
        <v>427816</v>
      </c>
      <c r="I32" s="383">
        <v>428265</v>
      </c>
      <c r="J32" s="383">
        <v>428679</v>
      </c>
      <c r="K32" s="383">
        <v>429011</v>
      </c>
      <c r="L32" s="383">
        <v>429385</v>
      </c>
      <c r="M32" s="382">
        <v>429560</v>
      </c>
      <c r="N32" s="383">
        <v>429560</v>
      </c>
      <c r="O32" s="383">
        <v>430130</v>
      </c>
      <c r="P32" s="383">
        <v>430629</v>
      </c>
      <c r="Q32" s="382">
        <v>431087</v>
      </c>
      <c r="R32" s="383">
        <v>431492</v>
      </c>
      <c r="S32" s="383">
        <v>431834</v>
      </c>
      <c r="T32" s="383">
        <v>431925</v>
      </c>
      <c r="U32" s="382">
        <v>431925</v>
      </c>
      <c r="V32" s="383">
        <v>432469</v>
      </c>
      <c r="W32" s="383">
        <v>432939</v>
      </c>
      <c r="X32" s="383">
        <v>433355</v>
      </c>
      <c r="Y32" s="382">
        <v>433865</v>
      </c>
      <c r="Z32" s="383">
        <v>434294</v>
      </c>
      <c r="AA32" s="383">
        <v>434427</v>
      </c>
      <c r="AB32" s="383">
        <v>434427</v>
      </c>
      <c r="AC32" s="383">
        <v>434926</v>
      </c>
      <c r="AD32" s="382">
        <v>435534</v>
      </c>
      <c r="AE32" s="383">
        <v>435585</v>
      </c>
      <c r="AF32" s="383">
        <v>436083</v>
      </c>
      <c r="AG32" s="383">
        <v>436485</v>
      </c>
      <c r="AH32" s="383">
        <v>436512</v>
      </c>
      <c r="AI32" s="310">
        <v>436512</v>
      </c>
      <c r="AJ32" s="314">
        <f>AI32-D32</f>
        <v>10238</v>
      </c>
    </row>
    <row r="33" spans="1:36">
      <c r="A33" s="306">
        <v>2</v>
      </c>
      <c r="B33" s="306" t="s">
        <v>129</v>
      </c>
      <c r="C33" s="319" t="s">
        <v>124</v>
      </c>
      <c r="D33" s="393">
        <v>400631</v>
      </c>
      <c r="E33" s="383">
        <v>401127</v>
      </c>
      <c r="F33" s="383">
        <v>401304</v>
      </c>
      <c r="G33" s="383">
        <v>401304</v>
      </c>
      <c r="H33" s="383">
        <v>401788</v>
      </c>
      <c r="I33" s="383">
        <v>402146</v>
      </c>
      <c r="J33" s="383">
        <v>402492</v>
      </c>
      <c r="K33" s="383">
        <v>402846</v>
      </c>
      <c r="L33" s="383">
        <v>403168</v>
      </c>
      <c r="M33" s="383">
        <v>403360</v>
      </c>
      <c r="N33" s="383">
        <v>403360</v>
      </c>
      <c r="O33" s="383">
        <v>403862</v>
      </c>
      <c r="P33" s="383">
        <v>404354</v>
      </c>
      <c r="Q33" s="383">
        <v>404809</v>
      </c>
      <c r="R33" s="383">
        <v>405157</v>
      </c>
      <c r="S33" s="383">
        <v>405515</v>
      </c>
      <c r="T33" s="383">
        <v>405515</v>
      </c>
      <c r="U33" s="383">
        <v>405515</v>
      </c>
      <c r="V33" s="383">
        <v>406104</v>
      </c>
      <c r="W33" s="383">
        <v>406574</v>
      </c>
      <c r="X33" s="383">
        <v>407006</v>
      </c>
      <c r="Y33" s="383">
        <v>407568</v>
      </c>
      <c r="Z33" s="383">
        <v>407946</v>
      </c>
      <c r="AA33" s="383">
        <v>407946</v>
      </c>
      <c r="AB33" s="383">
        <v>407946</v>
      </c>
      <c r="AC33" s="383">
        <v>408445</v>
      </c>
      <c r="AD33" s="383">
        <v>409000</v>
      </c>
      <c r="AE33" s="383">
        <v>409048</v>
      </c>
      <c r="AF33" s="383">
        <v>409539</v>
      </c>
      <c r="AG33" s="383">
        <v>409968</v>
      </c>
      <c r="AH33" s="383">
        <v>410185</v>
      </c>
      <c r="AI33" s="310">
        <v>410185</v>
      </c>
      <c r="AJ33" s="314">
        <f>AI33-D33</f>
        <v>9554</v>
      </c>
    </row>
    <row r="34" spans="1:36">
      <c r="A34" s="306">
        <v>3</v>
      </c>
      <c r="B34" s="306" t="s">
        <v>129</v>
      </c>
      <c r="C34" s="319" t="s">
        <v>125</v>
      </c>
      <c r="D34" s="393">
        <v>431431</v>
      </c>
      <c r="E34" s="383">
        <v>432150</v>
      </c>
      <c r="F34" s="383">
        <v>432559</v>
      </c>
      <c r="G34" s="383">
        <v>432559</v>
      </c>
      <c r="H34" s="383">
        <v>433223</v>
      </c>
      <c r="I34" s="383">
        <v>433761</v>
      </c>
      <c r="J34" s="383">
        <v>434231</v>
      </c>
      <c r="K34" s="383">
        <v>434563</v>
      </c>
      <c r="L34" s="383">
        <v>434927</v>
      </c>
      <c r="M34" s="383">
        <v>435320</v>
      </c>
      <c r="N34" s="383">
        <v>435320</v>
      </c>
      <c r="O34" s="383">
        <v>436210</v>
      </c>
      <c r="P34" s="383">
        <v>436755</v>
      </c>
      <c r="Q34" s="383">
        <v>437369</v>
      </c>
      <c r="R34" s="383">
        <v>437815</v>
      </c>
      <c r="S34" s="383">
        <v>438277</v>
      </c>
      <c r="T34" s="383">
        <v>438277</v>
      </c>
      <c r="U34" s="383">
        <v>438277</v>
      </c>
      <c r="V34" s="383">
        <v>439031</v>
      </c>
      <c r="W34" s="383">
        <v>439578</v>
      </c>
      <c r="X34" s="383">
        <v>440160</v>
      </c>
      <c r="Y34" s="383">
        <v>440750</v>
      </c>
      <c r="Z34" s="383">
        <v>441339</v>
      </c>
      <c r="AA34" s="383">
        <v>441603</v>
      </c>
      <c r="AB34" s="383">
        <v>441603</v>
      </c>
      <c r="AC34" s="383">
        <v>442314</v>
      </c>
      <c r="AD34" s="383">
        <v>443038</v>
      </c>
      <c r="AE34" s="383">
        <v>443121</v>
      </c>
      <c r="AF34" s="383">
        <v>443733</v>
      </c>
      <c r="AG34" s="383">
        <v>444194</v>
      </c>
      <c r="AH34" s="383">
        <v>444498</v>
      </c>
      <c r="AI34" s="310">
        <v>444498</v>
      </c>
      <c r="AJ34" s="314">
        <f>AI34-D34</f>
        <v>13067</v>
      </c>
    </row>
    <row r="35" spans="1:36">
      <c r="A35" s="306">
        <v>4</v>
      </c>
      <c r="B35" s="306" t="s">
        <v>129</v>
      </c>
      <c r="C35" s="319" t="s">
        <v>126</v>
      </c>
      <c r="D35" s="396">
        <v>473317</v>
      </c>
      <c r="E35" s="379">
        <v>474228</v>
      </c>
      <c r="F35" s="379">
        <v>474694</v>
      </c>
      <c r="G35" s="379">
        <v>474694</v>
      </c>
      <c r="H35" s="379">
        <v>475457</v>
      </c>
      <c r="I35" s="379">
        <v>476194</v>
      </c>
      <c r="J35" s="379">
        <v>476924</v>
      </c>
      <c r="K35" s="379">
        <v>477604</v>
      </c>
      <c r="L35" s="379">
        <v>478257</v>
      </c>
      <c r="M35" s="379">
        <v>478600</v>
      </c>
      <c r="N35" s="379">
        <v>478600</v>
      </c>
      <c r="O35" s="379">
        <v>479421</v>
      </c>
      <c r="P35" s="380">
        <v>480156</v>
      </c>
      <c r="Q35" s="379">
        <v>480854</v>
      </c>
      <c r="R35" s="379">
        <v>481509</v>
      </c>
      <c r="S35" s="379">
        <v>482114</v>
      </c>
      <c r="T35" s="379">
        <v>482185</v>
      </c>
      <c r="U35" s="379">
        <v>482185</v>
      </c>
      <c r="V35" s="379">
        <v>483059</v>
      </c>
      <c r="W35" s="379">
        <v>483697</v>
      </c>
      <c r="X35" s="379">
        <v>484366</v>
      </c>
      <c r="Y35" s="379">
        <v>485107</v>
      </c>
      <c r="Z35" s="379">
        <v>485795</v>
      </c>
      <c r="AA35" s="379">
        <v>485945</v>
      </c>
      <c r="AB35" s="379">
        <v>485945</v>
      </c>
      <c r="AC35" s="379">
        <v>486741</v>
      </c>
      <c r="AD35" s="379">
        <v>487814</v>
      </c>
      <c r="AE35" s="381">
        <v>487967</v>
      </c>
      <c r="AF35" s="381">
        <v>488800</v>
      </c>
      <c r="AG35" s="381">
        <v>489515</v>
      </c>
      <c r="AH35" s="383">
        <v>489616</v>
      </c>
      <c r="AI35" s="392">
        <v>489616</v>
      </c>
      <c r="AJ35" s="314">
        <f>AI35-D35</f>
        <v>16299</v>
      </c>
    </row>
    <row r="36" spans="1:36">
      <c r="A36" s="547"/>
      <c r="B36" s="495"/>
      <c r="C36" s="495"/>
      <c r="D36" s="495"/>
      <c r="E36" s="495"/>
      <c r="F36" s="495"/>
      <c r="G36" s="495"/>
      <c r="H36" s="495"/>
      <c r="I36" s="495"/>
      <c r="J36" s="495"/>
      <c r="K36" s="495"/>
      <c r="L36" s="495"/>
      <c r="M36" s="495"/>
      <c r="N36" s="495"/>
      <c r="O36" s="495"/>
      <c r="P36" s="495"/>
      <c r="Q36" s="495"/>
      <c r="R36" s="495"/>
      <c r="S36" s="495"/>
      <c r="T36" s="495"/>
      <c r="U36" s="495"/>
      <c r="V36" s="495"/>
      <c r="W36" s="495"/>
      <c r="X36" s="495"/>
      <c r="Y36" s="495"/>
      <c r="Z36" s="495"/>
      <c r="AA36" s="495"/>
      <c r="AB36" s="495"/>
      <c r="AC36" s="495"/>
      <c r="AD36" s="495"/>
      <c r="AE36" s="495"/>
      <c r="AF36" s="495"/>
      <c r="AG36" s="495"/>
      <c r="AH36" s="495"/>
      <c r="AI36" s="495"/>
    </row>
    <row r="37" spans="1:36">
      <c r="A37" s="495"/>
      <c r="B37" s="495"/>
      <c r="C37" s="495"/>
      <c r="D37" s="495"/>
      <c r="E37" s="495"/>
      <c r="F37" s="495"/>
      <c r="G37" s="495"/>
      <c r="H37" s="495"/>
      <c r="I37" s="495"/>
      <c r="J37" s="495"/>
      <c r="K37" s="495"/>
      <c r="L37" s="495"/>
      <c r="M37" s="495"/>
      <c r="N37" s="495"/>
      <c r="O37" s="495"/>
      <c r="P37" s="495"/>
      <c r="Q37" s="495"/>
      <c r="R37" s="495"/>
      <c r="S37" s="495"/>
      <c r="T37" s="495"/>
      <c r="U37" s="495"/>
      <c r="V37" s="495"/>
      <c r="W37" s="495"/>
      <c r="X37" s="495"/>
      <c r="Y37" s="495"/>
      <c r="Z37" s="495"/>
      <c r="AA37" s="495"/>
      <c r="AB37" s="495"/>
      <c r="AC37" s="495"/>
      <c r="AD37" s="495"/>
      <c r="AE37" s="495"/>
      <c r="AF37" s="495"/>
      <c r="AG37" s="495"/>
      <c r="AH37" s="495"/>
      <c r="AI37" s="495"/>
    </row>
    <row r="38" spans="1:36">
      <c r="A38" s="350"/>
      <c r="B38" s="551" t="s">
        <v>127</v>
      </c>
      <c r="C38" s="504"/>
      <c r="D38" s="501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350"/>
      <c r="AE38" s="350"/>
      <c r="AF38" s="350"/>
      <c r="AG38" s="350"/>
      <c r="AH38" s="350"/>
      <c r="AI38" s="350"/>
    </row>
    <row r="39" spans="1:36">
      <c r="A39" s="351"/>
      <c r="B39" s="558" t="s">
        <v>128</v>
      </c>
      <c r="C39" s="504"/>
      <c r="D39" s="50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  <c r="AA39" s="351"/>
      <c r="AB39" s="351"/>
      <c r="AC39" s="351"/>
      <c r="AD39" s="351"/>
      <c r="AE39" s="351"/>
      <c r="AF39" s="351"/>
      <c r="AG39" s="351"/>
      <c r="AH39" s="351"/>
      <c r="AI39" s="351"/>
    </row>
    <row r="40" spans="1:36" ht="15" customHeight="1">
      <c r="A40" s="541" t="s">
        <v>99</v>
      </c>
      <c r="B40" s="541" t="s">
        <v>100</v>
      </c>
      <c r="C40" s="541" t="s">
        <v>101</v>
      </c>
      <c r="D40" s="517"/>
      <c r="E40" s="301">
        <v>46143</v>
      </c>
      <c r="F40" s="301">
        <v>46144</v>
      </c>
      <c r="G40" s="301">
        <v>46145</v>
      </c>
      <c r="H40" s="301">
        <v>46146</v>
      </c>
      <c r="I40" s="301">
        <v>46147</v>
      </c>
      <c r="J40" s="301">
        <v>46148</v>
      </c>
      <c r="K40" s="301">
        <v>46149</v>
      </c>
      <c r="L40" s="301">
        <v>46150</v>
      </c>
      <c r="M40" s="301">
        <v>46151</v>
      </c>
      <c r="N40" s="301">
        <v>46152</v>
      </c>
      <c r="O40" s="301">
        <v>46153</v>
      </c>
      <c r="P40" s="301">
        <v>46154</v>
      </c>
      <c r="Q40" s="301">
        <v>46155</v>
      </c>
      <c r="R40" s="301">
        <v>46156</v>
      </c>
      <c r="S40" s="301">
        <v>46157</v>
      </c>
      <c r="T40" s="301">
        <v>46158</v>
      </c>
      <c r="U40" s="301">
        <v>46159</v>
      </c>
      <c r="V40" s="301">
        <v>46160</v>
      </c>
      <c r="W40" s="301">
        <v>46161</v>
      </c>
      <c r="X40" s="301">
        <v>46162</v>
      </c>
      <c r="Y40" s="301">
        <v>46163</v>
      </c>
      <c r="Z40" s="301">
        <v>46164</v>
      </c>
      <c r="AA40" s="301">
        <v>46165</v>
      </c>
      <c r="AB40" s="301">
        <v>46166</v>
      </c>
      <c r="AC40" s="301">
        <v>46167</v>
      </c>
      <c r="AD40" s="301">
        <v>46168</v>
      </c>
      <c r="AE40" s="301">
        <v>46169</v>
      </c>
      <c r="AF40" s="301">
        <v>46170</v>
      </c>
      <c r="AG40" s="301">
        <v>46171</v>
      </c>
      <c r="AH40" s="301">
        <v>46172</v>
      </c>
      <c r="AI40" s="301">
        <v>46173</v>
      </c>
      <c r="AJ40" s="541" t="s">
        <v>1</v>
      </c>
    </row>
    <row r="41" spans="1:36">
      <c r="A41" s="508"/>
      <c r="B41" s="508"/>
      <c r="C41" s="518"/>
      <c r="D41" s="519"/>
      <c r="E41" s="302" t="s">
        <v>103</v>
      </c>
      <c r="F41" s="302" t="s">
        <v>104</v>
      </c>
      <c r="G41" s="302" t="s">
        <v>105</v>
      </c>
      <c r="H41" s="302" t="s">
        <v>106</v>
      </c>
      <c r="I41" s="302" t="s">
        <v>107</v>
      </c>
      <c r="J41" s="302" t="s">
        <v>108</v>
      </c>
      <c r="K41" s="302" t="s">
        <v>109</v>
      </c>
      <c r="L41" s="302" t="s">
        <v>103</v>
      </c>
      <c r="M41" s="302" t="s">
        <v>104</v>
      </c>
      <c r="N41" s="302" t="s">
        <v>105</v>
      </c>
      <c r="O41" s="302" t="s">
        <v>106</v>
      </c>
      <c r="P41" s="302" t="s">
        <v>107</v>
      </c>
      <c r="Q41" s="302" t="s">
        <v>108</v>
      </c>
      <c r="R41" s="302" t="s">
        <v>109</v>
      </c>
      <c r="S41" s="302" t="s">
        <v>103</v>
      </c>
      <c r="T41" s="302" t="s">
        <v>104</v>
      </c>
      <c r="U41" s="302" t="s">
        <v>105</v>
      </c>
      <c r="V41" s="302" t="s">
        <v>106</v>
      </c>
      <c r="W41" s="302" t="s">
        <v>107</v>
      </c>
      <c r="X41" s="302" t="s">
        <v>108</v>
      </c>
      <c r="Y41" s="302" t="s">
        <v>109</v>
      </c>
      <c r="Z41" s="302" t="s">
        <v>103</v>
      </c>
      <c r="AA41" s="302" t="s">
        <v>104</v>
      </c>
      <c r="AB41" s="302" t="s">
        <v>105</v>
      </c>
      <c r="AC41" s="302" t="s">
        <v>106</v>
      </c>
      <c r="AD41" s="302" t="s">
        <v>107</v>
      </c>
      <c r="AE41" s="302" t="s">
        <v>108</v>
      </c>
      <c r="AF41" s="302" t="s">
        <v>109</v>
      </c>
      <c r="AG41" s="302" t="s">
        <v>103</v>
      </c>
      <c r="AH41" s="302" t="s">
        <v>104</v>
      </c>
      <c r="AI41" s="302" t="s">
        <v>105</v>
      </c>
      <c r="AJ41" s="508"/>
    </row>
    <row r="42" spans="1:36">
      <c r="A42" s="508"/>
      <c r="B42" s="508"/>
      <c r="C42" s="518"/>
      <c r="D42" s="519"/>
      <c r="E42" s="353" t="s">
        <v>110</v>
      </c>
      <c r="F42" s="353" t="s">
        <v>110</v>
      </c>
      <c r="G42" s="353" t="s">
        <v>110</v>
      </c>
      <c r="H42" s="353" t="s">
        <v>110</v>
      </c>
      <c r="I42" s="353" t="s">
        <v>110</v>
      </c>
      <c r="J42" s="353" t="s">
        <v>110</v>
      </c>
      <c r="K42" s="353" t="s">
        <v>110</v>
      </c>
      <c r="L42" s="353" t="s">
        <v>110</v>
      </c>
      <c r="M42" s="353" t="s">
        <v>110</v>
      </c>
      <c r="N42" s="353" t="s">
        <v>110</v>
      </c>
      <c r="O42" s="353" t="s">
        <v>110</v>
      </c>
      <c r="P42" s="353" t="s">
        <v>110</v>
      </c>
      <c r="Q42" s="353" t="s">
        <v>110</v>
      </c>
      <c r="R42" s="353" t="s">
        <v>110</v>
      </c>
      <c r="S42" s="353" t="s">
        <v>110</v>
      </c>
      <c r="T42" s="353" t="s">
        <v>110</v>
      </c>
      <c r="U42" s="353" t="s">
        <v>110</v>
      </c>
      <c r="V42" s="353" t="s">
        <v>110</v>
      </c>
      <c r="W42" s="353" t="s">
        <v>110</v>
      </c>
      <c r="X42" s="353" t="s">
        <v>110</v>
      </c>
      <c r="Y42" s="353" t="s">
        <v>110</v>
      </c>
      <c r="Z42" s="353" t="s">
        <v>110</v>
      </c>
      <c r="AA42" s="353" t="s">
        <v>110</v>
      </c>
      <c r="AB42" s="353" t="s">
        <v>110</v>
      </c>
      <c r="AC42" s="353" t="s">
        <v>110</v>
      </c>
      <c r="AD42" s="353" t="s">
        <v>110</v>
      </c>
      <c r="AE42" s="352" t="str">
        <f>AE4</f>
        <v>Time</v>
      </c>
      <c r="AF42" s="303" t="s">
        <v>110</v>
      </c>
      <c r="AG42" s="353" t="s">
        <v>110</v>
      </c>
      <c r="AH42" s="353" t="s">
        <v>110</v>
      </c>
      <c r="AI42" s="353" t="s">
        <v>110</v>
      </c>
      <c r="AJ42" s="508"/>
    </row>
    <row r="43" spans="1:36">
      <c r="A43" s="509"/>
      <c r="B43" s="509"/>
      <c r="C43" s="520"/>
      <c r="D43" s="521"/>
      <c r="E43" s="354">
        <v>0.33333333333333331</v>
      </c>
      <c r="F43" s="354">
        <v>0.33333333333333331</v>
      </c>
      <c r="G43" s="354">
        <v>0.33333333333333331</v>
      </c>
      <c r="H43" s="354">
        <v>0.33333333333333331</v>
      </c>
      <c r="I43" s="354">
        <v>0.33333333333333331</v>
      </c>
      <c r="J43" s="354">
        <v>0.33333333333333331</v>
      </c>
      <c r="K43" s="354">
        <v>0.33333333333333331</v>
      </c>
      <c r="L43" s="354">
        <v>0.33333333333333331</v>
      </c>
      <c r="M43" s="354">
        <v>0.33333333333333331</v>
      </c>
      <c r="N43" s="354">
        <v>0.33333333333333331</v>
      </c>
      <c r="O43" s="354">
        <v>0.33333333333333331</v>
      </c>
      <c r="P43" s="354">
        <v>0.33333333333333331</v>
      </c>
      <c r="Q43" s="354">
        <v>0.33333333333333331</v>
      </c>
      <c r="R43" s="354">
        <v>0.33333333333333331</v>
      </c>
      <c r="S43" s="354">
        <v>0.33333333333333331</v>
      </c>
      <c r="T43" s="354">
        <v>0.33333333333333331</v>
      </c>
      <c r="U43" s="354">
        <v>0.33333333333333331</v>
      </c>
      <c r="V43" s="354">
        <v>0.33333333333333331</v>
      </c>
      <c r="W43" s="354">
        <v>0.33333333333333331</v>
      </c>
      <c r="X43" s="354">
        <v>0.33333333333333331</v>
      </c>
      <c r="Y43" s="354">
        <v>0.33333333333333331</v>
      </c>
      <c r="Z43" s="354">
        <v>0.33333333333333331</v>
      </c>
      <c r="AA43" s="354">
        <v>0.33333333333333331</v>
      </c>
      <c r="AB43" s="354">
        <v>0.33333333333333331</v>
      </c>
      <c r="AC43" s="354">
        <v>0.33333333333333331</v>
      </c>
      <c r="AD43" s="354">
        <v>0.33333333333333331</v>
      </c>
      <c r="AE43" s="354">
        <v>0.33333333333333331</v>
      </c>
      <c r="AF43" s="304">
        <v>0.33333333333333331</v>
      </c>
      <c r="AG43" s="354">
        <v>0.33333333333333331</v>
      </c>
      <c r="AH43" s="354">
        <v>0.33333333333333331</v>
      </c>
      <c r="AI43" s="354">
        <v>0.33333333333333331</v>
      </c>
      <c r="AJ43" s="509"/>
    </row>
    <row r="44" spans="1:36">
      <c r="A44" s="306">
        <v>1</v>
      </c>
      <c r="B44" s="306" t="s">
        <v>129</v>
      </c>
      <c r="C44" s="544" t="s">
        <v>111</v>
      </c>
      <c r="D44" s="501"/>
      <c r="E44" s="355">
        <f t="shared" ref="E44:AI44" si="2">E6-D6</f>
        <v>251</v>
      </c>
      <c r="F44" s="355">
        <f t="shared" si="2"/>
        <v>216</v>
      </c>
      <c r="G44" s="355">
        <f t="shared" si="2"/>
        <v>199</v>
      </c>
      <c r="H44" s="355">
        <f t="shared" si="2"/>
        <v>244</v>
      </c>
      <c r="I44" s="355">
        <f t="shared" si="2"/>
        <v>255</v>
      </c>
      <c r="J44" s="355">
        <f t="shared" si="2"/>
        <v>244</v>
      </c>
      <c r="K44" s="355">
        <f t="shared" si="2"/>
        <v>245</v>
      </c>
      <c r="L44" s="355">
        <f t="shared" si="2"/>
        <v>240</v>
      </c>
      <c r="M44" s="355">
        <f t="shared" si="2"/>
        <v>217</v>
      </c>
      <c r="N44" s="355">
        <f t="shared" si="2"/>
        <v>211</v>
      </c>
      <c r="O44" s="355">
        <f t="shared" si="2"/>
        <v>252</v>
      </c>
      <c r="P44" s="355">
        <f t="shared" si="2"/>
        <v>252</v>
      </c>
      <c r="Q44" s="355">
        <f t="shared" si="2"/>
        <v>238</v>
      </c>
      <c r="R44" s="355">
        <f t="shared" si="2"/>
        <v>259</v>
      </c>
      <c r="S44" s="355">
        <f t="shared" si="2"/>
        <v>221</v>
      </c>
      <c r="T44" s="355">
        <f t="shared" si="2"/>
        <v>210</v>
      </c>
      <c r="U44" s="355">
        <f t="shared" si="2"/>
        <v>204</v>
      </c>
      <c r="V44" s="355">
        <f t="shared" si="2"/>
        <v>242</v>
      </c>
      <c r="W44" s="355">
        <f t="shared" si="2"/>
        <v>244</v>
      </c>
      <c r="X44" s="355">
        <f t="shared" si="2"/>
        <v>254</v>
      </c>
      <c r="Y44" s="355">
        <f t="shared" si="2"/>
        <v>243</v>
      </c>
      <c r="Z44" s="355">
        <f t="shared" si="2"/>
        <v>248</v>
      </c>
      <c r="AA44" s="355">
        <f t="shared" si="2"/>
        <v>219</v>
      </c>
      <c r="AB44" s="355">
        <f t="shared" si="2"/>
        <v>196</v>
      </c>
      <c r="AC44" s="355">
        <f t="shared" si="2"/>
        <v>236</v>
      </c>
      <c r="AD44" s="355">
        <f t="shared" si="2"/>
        <v>235</v>
      </c>
      <c r="AE44" s="355">
        <f t="shared" si="2"/>
        <v>209</v>
      </c>
      <c r="AF44" s="355">
        <f t="shared" si="2"/>
        <v>246</v>
      </c>
      <c r="AG44" s="355">
        <f t="shared" si="2"/>
        <v>233</v>
      </c>
      <c r="AH44" s="355">
        <f t="shared" si="2"/>
        <v>194</v>
      </c>
      <c r="AI44" s="355">
        <f t="shared" si="2"/>
        <v>211</v>
      </c>
      <c r="AJ44" s="356">
        <f t="shared" ref="AJ44:AJ61" si="3">SUM(E44:AI44)</f>
        <v>7168</v>
      </c>
    </row>
    <row r="45" spans="1:36">
      <c r="A45" s="306"/>
      <c r="B45" s="306"/>
      <c r="C45" s="543" t="s">
        <v>22</v>
      </c>
      <c r="D45" s="501"/>
      <c r="E45" s="355">
        <f t="shared" ref="E45:AI45" si="4">E7-D7</f>
        <v>0</v>
      </c>
      <c r="F45" s="355">
        <f t="shared" si="4"/>
        <v>0</v>
      </c>
      <c r="G45" s="355">
        <f t="shared" si="4"/>
        <v>0</v>
      </c>
      <c r="H45" s="355">
        <f t="shared" si="4"/>
        <v>0</v>
      </c>
      <c r="I45" s="355">
        <f t="shared" si="4"/>
        <v>0</v>
      </c>
      <c r="J45" s="355">
        <f t="shared" si="4"/>
        <v>0</v>
      </c>
      <c r="K45" s="355">
        <f t="shared" si="4"/>
        <v>0</v>
      </c>
      <c r="L45" s="355">
        <f t="shared" si="4"/>
        <v>0</v>
      </c>
      <c r="M45" s="355">
        <f t="shared" si="4"/>
        <v>0</v>
      </c>
      <c r="N45" s="355">
        <f t="shared" si="4"/>
        <v>0</v>
      </c>
      <c r="O45" s="355">
        <f t="shared" si="4"/>
        <v>0</v>
      </c>
      <c r="P45" s="355">
        <f t="shared" si="4"/>
        <v>0</v>
      </c>
      <c r="Q45" s="355">
        <f t="shared" si="4"/>
        <v>0</v>
      </c>
      <c r="R45" s="355">
        <f t="shared" si="4"/>
        <v>0</v>
      </c>
      <c r="S45" s="355">
        <f t="shared" si="4"/>
        <v>0</v>
      </c>
      <c r="T45" s="355">
        <f t="shared" si="4"/>
        <v>0</v>
      </c>
      <c r="U45" s="355">
        <f t="shared" si="4"/>
        <v>0</v>
      </c>
      <c r="V45" s="355">
        <f t="shared" si="4"/>
        <v>0</v>
      </c>
      <c r="W45" s="355">
        <f t="shared" si="4"/>
        <v>0</v>
      </c>
      <c r="X45" s="355">
        <f t="shared" si="4"/>
        <v>0</v>
      </c>
      <c r="Y45" s="355">
        <f t="shared" si="4"/>
        <v>0</v>
      </c>
      <c r="Z45" s="355">
        <f t="shared" si="4"/>
        <v>0</v>
      </c>
      <c r="AA45" s="355">
        <f t="shared" si="4"/>
        <v>0</v>
      </c>
      <c r="AB45" s="355">
        <f t="shared" si="4"/>
        <v>0</v>
      </c>
      <c r="AC45" s="355">
        <f t="shared" si="4"/>
        <v>10</v>
      </c>
      <c r="AD45" s="355">
        <f t="shared" si="4"/>
        <v>0</v>
      </c>
      <c r="AE45" s="355">
        <f t="shared" si="4"/>
        <v>0</v>
      </c>
      <c r="AF45" s="355">
        <f t="shared" si="4"/>
        <v>0</v>
      </c>
      <c r="AG45" s="355">
        <f t="shared" si="4"/>
        <v>0</v>
      </c>
      <c r="AH45" s="355">
        <f t="shared" si="4"/>
        <v>0</v>
      </c>
      <c r="AI45" s="355">
        <f t="shared" si="4"/>
        <v>4</v>
      </c>
      <c r="AJ45" s="356">
        <f t="shared" si="3"/>
        <v>14</v>
      </c>
    </row>
    <row r="46" spans="1:36">
      <c r="A46" s="306">
        <v>2</v>
      </c>
      <c r="B46" s="306" t="s">
        <v>129</v>
      </c>
      <c r="C46" s="544" t="s">
        <v>112</v>
      </c>
      <c r="D46" s="501"/>
      <c r="E46" s="355">
        <f t="shared" ref="E46:AI46" si="5">E8-D8</f>
        <v>0</v>
      </c>
      <c r="F46" s="355">
        <f t="shared" si="5"/>
        <v>0</v>
      </c>
      <c r="G46" s="355">
        <f t="shared" si="5"/>
        <v>0</v>
      </c>
      <c r="H46" s="355">
        <f t="shared" si="5"/>
        <v>0</v>
      </c>
      <c r="I46" s="355">
        <f t="shared" si="5"/>
        <v>0</v>
      </c>
      <c r="J46" s="355">
        <f t="shared" si="5"/>
        <v>0</v>
      </c>
      <c r="K46" s="355">
        <f t="shared" si="5"/>
        <v>0</v>
      </c>
      <c r="L46" s="355">
        <f t="shared" si="5"/>
        <v>0</v>
      </c>
      <c r="M46" s="355">
        <f t="shared" si="5"/>
        <v>0</v>
      </c>
      <c r="N46" s="355">
        <f t="shared" si="5"/>
        <v>0</v>
      </c>
      <c r="O46" s="355">
        <f t="shared" si="5"/>
        <v>0</v>
      </c>
      <c r="P46" s="355">
        <f t="shared" si="5"/>
        <v>0</v>
      </c>
      <c r="Q46" s="355">
        <f t="shared" si="5"/>
        <v>0</v>
      </c>
      <c r="R46" s="355">
        <f t="shared" si="5"/>
        <v>0</v>
      </c>
      <c r="S46" s="355">
        <f t="shared" si="5"/>
        <v>0</v>
      </c>
      <c r="T46" s="355">
        <f t="shared" si="5"/>
        <v>0</v>
      </c>
      <c r="U46" s="355">
        <f t="shared" si="5"/>
        <v>0</v>
      </c>
      <c r="V46" s="355">
        <f t="shared" si="5"/>
        <v>0</v>
      </c>
      <c r="W46" s="355">
        <f t="shared" si="5"/>
        <v>0</v>
      </c>
      <c r="X46" s="355">
        <f t="shared" si="5"/>
        <v>0</v>
      </c>
      <c r="Y46" s="355">
        <f t="shared" si="5"/>
        <v>0</v>
      </c>
      <c r="Z46" s="355">
        <f t="shared" si="5"/>
        <v>0</v>
      </c>
      <c r="AA46" s="355">
        <f t="shared" si="5"/>
        <v>0</v>
      </c>
      <c r="AB46" s="355">
        <f t="shared" si="5"/>
        <v>0</v>
      </c>
      <c r="AC46" s="355">
        <f t="shared" si="5"/>
        <v>0</v>
      </c>
      <c r="AD46" s="355">
        <f t="shared" si="5"/>
        <v>0</v>
      </c>
      <c r="AE46" s="355">
        <f t="shared" si="5"/>
        <v>0</v>
      </c>
      <c r="AF46" s="355">
        <f t="shared" si="5"/>
        <v>0</v>
      </c>
      <c r="AG46" s="355">
        <f t="shared" si="5"/>
        <v>0</v>
      </c>
      <c r="AH46" s="355">
        <f t="shared" si="5"/>
        <v>0</v>
      </c>
      <c r="AI46" s="355">
        <f t="shared" si="5"/>
        <v>0</v>
      </c>
      <c r="AJ46" s="356">
        <f t="shared" si="3"/>
        <v>0</v>
      </c>
    </row>
    <row r="47" spans="1:36">
      <c r="A47" s="306"/>
      <c r="B47" s="306"/>
      <c r="C47" s="543" t="s">
        <v>22</v>
      </c>
      <c r="D47" s="501"/>
      <c r="E47" s="355">
        <f t="shared" ref="E47:AI47" si="6">E9-D9</f>
        <v>0</v>
      </c>
      <c r="F47" s="355">
        <f t="shared" si="6"/>
        <v>0</v>
      </c>
      <c r="G47" s="355">
        <f t="shared" si="6"/>
        <v>0</v>
      </c>
      <c r="H47" s="355">
        <f t="shared" si="6"/>
        <v>0</v>
      </c>
      <c r="I47" s="355">
        <f t="shared" si="6"/>
        <v>0</v>
      </c>
      <c r="J47" s="355">
        <f t="shared" si="6"/>
        <v>0</v>
      </c>
      <c r="K47" s="355">
        <f t="shared" si="6"/>
        <v>0</v>
      </c>
      <c r="L47" s="355">
        <f t="shared" si="6"/>
        <v>0</v>
      </c>
      <c r="M47" s="355">
        <f t="shared" si="6"/>
        <v>0</v>
      </c>
      <c r="N47" s="355">
        <f t="shared" si="6"/>
        <v>0</v>
      </c>
      <c r="O47" s="355">
        <f t="shared" si="6"/>
        <v>0</v>
      </c>
      <c r="P47" s="355">
        <f t="shared" si="6"/>
        <v>0</v>
      </c>
      <c r="Q47" s="355">
        <f t="shared" si="6"/>
        <v>0</v>
      </c>
      <c r="R47" s="355">
        <f t="shared" si="6"/>
        <v>0</v>
      </c>
      <c r="S47" s="355">
        <f t="shared" si="6"/>
        <v>0</v>
      </c>
      <c r="T47" s="355">
        <f t="shared" si="6"/>
        <v>0</v>
      </c>
      <c r="U47" s="355">
        <f t="shared" si="6"/>
        <v>0</v>
      </c>
      <c r="V47" s="355">
        <f t="shared" si="6"/>
        <v>0</v>
      </c>
      <c r="W47" s="355">
        <f t="shared" si="6"/>
        <v>0</v>
      </c>
      <c r="X47" s="355">
        <f t="shared" si="6"/>
        <v>0</v>
      </c>
      <c r="Y47" s="355">
        <f t="shared" si="6"/>
        <v>0</v>
      </c>
      <c r="Z47" s="355">
        <f t="shared" si="6"/>
        <v>0</v>
      </c>
      <c r="AA47" s="355">
        <f t="shared" si="6"/>
        <v>0</v>
      </c>
      <c r="AB47" s="355">
        <f t="shared" si="6"/>
        <v>0</v>
      </c>
      <c r="AC47" s="355">
        <f t="shared" si="6"/>
        <v>0</v>
      </c>
      <c r="AD47" s="355">
        <f t="shared" si="6"/>
        <v>0</v>
      </c>
      <c r="AE47" s="355">
        <f t="shared" si="6"/>
        <v>0</v>
      </c>
      <c r="AF47" s="355">
        <f t="shared" si="6"/>
        <v>0</v>
      </c>
      <c r="AG47" s="355">
        <f t="shared" si="6"/>
        <v>0</v>
      </c>
      <c r="AH47" s="355">
        <f t="shared" si="6"/>
        <v>0</v>
      </c>
      <c r="AI47" s="355">
        <f t="shared" si="6"/>
        <v>0</v>
      </c>
      <c r="AJ47" s="356">
        <f t="shared" si="3"/>
        <v>0</v>
      </c>
    </row>
    <row r="48" spans="1:36">
      <c r="A48" s="306">
        <v>3</v>
      </c>
      <c r="B48" s="306" t="s">
        <v>129</v>
      </c>
      <c r="C48" s="544" t="s">
        <v>113</v>
      </c>
      <c r="D48" s="501"/>
      <c r="E48" s="355">
        <f t="shared" ref="E48:AI48" si="7">E10-D10</f>
        <v>398</v>
      </c>
      <c r="F48" s="355">
        <f t="shared" si="7"/>
        <v>289</v>
      </c>
      <c r="G48" s="355">
        <f t="shared" si="7"/>
        <v>263</v>
      </c>
      <c r="H48" s="355">
        <f t="shared" si="7"/>
        <v>345</v>
      </c>
      <c r="I48" s="355">
        <f t="shared" si="7"/>
        <v>363</v>
      </c>
      <c r="J48" s="355">
        <f t="shared" si="7"/>
        <v>347</v>
      </c>
      <c r="K48" s="355">
        <f t="shared" si="7"/>
        <v>348</v>
      </c>
      <c r="L48" s="355">
        <f t="shared" si="7"/>
        <v>339</v>
      </c>
      <c r="M48" s="355">
        <f t="shared" si="7"/>
        <v>292</v>
      </c>
      <c r="N48" s="355">
        <f t="shared" si="7"/>
        <v>281</v>
      </c>
      <c r="O48" s="355">
        <f t="shared" si="7"/>
        <v>361</v>
      </c>
      <c r="P48" s="355">
        <f t="shared" si="7"/>
        <v>-39</v>
      </c>
      <c r="Q48" s="355">
        <f t="shared" si="7"/>
        <v>624</v>
      </c>
      <c r="R48" s="355">
        <f t="shared" si="7"/>
        <v>483</v>
      </c>
      <c r="S48" s="355">
        <f t="shared" si="7"/>
        <v>315</v>
      </c>
      <c r="T48" s="355">
        <f t="shared" si="7"/>
        <v>279</v>
      </c>
      <c r="U48" s="355">
        <f t="shared" si="7"/>
        <v>265</v>
      </c>
      <c r="V48" s="355">
        <f t="shared" si="7"/>
        <v>345</v>
      </c>
      <c r="W48" s="355">
        <f t="shared" si="7"/>
        <v>347</v>
      </c>
      <c r="X48" s="355">
        <f t="shared" si="7"/>
        <v>361</v>
      </c>
      <c r="Y48" s="355">
        <f t="shared" si="7"/>
        <v>345</v>
      </c>
      <c r="Z48" s="355">
        <f t="shared" si="7"/>
        <v>356</v>
      </c>
      <c r="AA48" s="355">
        <f t="shared" si="7"/>
        <v>292</v>
      </c>
      <c r="AB48" s="355">
        <f t="shared" si="7"/>
        <v>256</v>
      </c>
      <c r="AC48" s="355">
        <f t="shared" si="7"/>
        <v>330</v>
      </c>
      <c r="AD48" s="355">
        <f t="shared" si="7"/>
        <v>333</v>
      </c>
      <c r="AE48" s="355">
        <f t="shared" si="7"/>
        <v>276</v>
      </c>
      <c r="AF48" s="355">
        <f t="shared" si="7"/>
        <v>348</v>
      </c>
      <c r="AG48" s="355">
        <f t="shared" si="7"/>
        <v>325</v>
      </c>
      <c r="AH48" s="355">
        <f t="shared" si="7"/>
        <v>255</v>
      </c>
      <c r="AI48" s="355">
        <f t="shared" si="7"/>
        <v>276</v>
      </c>
      <c r="AJ48" s="356">
        <f t="shared" si="3"/>
        <v>9998</v>
      </c>
    </row>
    <row r="49" spans="1:36">
      <c r="A49" s="306"/>
      <c r="B49" s="306"/>
      <c r="C49" s="543" t="s">
        <v>22</v>
      </c>
      <c r="D49" s="501"/>
      <c r="E49" s="355">
        <f t="shared" ref="E49:AI49" si="8">E11-D11</f>
        <v>0</v>
      </c>
      <c r="F49" s="355">
        <f t="shared" si="8"/>
        <v>0</v>
      </c>
      <c r="G49" s="355">
        <f t="shared" si="8"/>
        <v>0</v>
      </c>
      <c r="H49" s="355">
        <f t="shared" si="8"/>
        <v>0</v>
      </c>
      <c r="I49" s="355">
        <f t="shared" si="8"/>
        <v>0</v>
      </c>
      <c r="J49" s="355">
        <f t="shared" si="8"/>
        <v>0</v>
      </c>
      <c r="K49" s="355">
        <f t="shared" si="8"/>
        <v>0</v>
      </c>
      <c r="L49" s="355">
        <f t="shared" si="8"/>
        <v>0</v>
      </c>
      <c r="M49" s="355">
        <f t="shared" si="8"/>
        <v>0</v>
      </c>
      <c r="N49" s="355">
        <f t="shared" si="8"/>
        <v>0</v>
      </c>
      <c r="O49" s="355">
        <f t="shared" si="8"/>
        <v>0</v>
      </c>
      <c r="P49" s="355">
        <f t="shared" si="8"/>
        <v>0</v>
      </c>
      <c r="Q49" s="355">
        <f t="shared" si="8"/>
        <v>0</v>
      </c>
      <c r="R49" s="355">
        <f t="shared" si="8"/>
        <v>0</v>
      </c>
      <c r="S49" s="355">
        <f t="shared" si="8"/>
        <v>0</v>
      </c>
      <c r="T49" s="355">
        <f t="shared" si="8"/>
        <v>0</v>
      </c>
      <c r="U49" s="355">
        <f t="shared" si="8"/>
        <v>0</v>
      </c>
      <c r="V49" s="355">
        <f t="shared" si="8"/>
        <v>0</v>
      </c>
      <c r="W49" s="355">
        <f t="shared" si="8"/>
        <v>0</v>
      </c>
      <c r="X49" s="355">
        <f t="shared" si="8"/>
        <v>0</v>
      </c>
      <c r="Y49" s="355">
        <f t="shared" si="8"/>
        <v>0</v>
      </c>
      <c r="Z49" s="355">
        <f t="shared" si="8"/>
        <v>0</v>
      </c>
      <c r="AA49" s="355">
        <f t="shared" si="8"/>
        <v>0</v>
      </c>
      <c r="AB49" s="355">
        <f t="shared" si="8"/>
        <v>0</v>
      </c>
      <c r="AC49" s="355">
        <f t="shared" si="8"/>
        <v>15</v>
      </c>
      <c r="AD49" s="355">
        <f t="shared" si="8"/>
        <v>0</v>
      </c>
      <c r="AE49" s="355">
        <f t="shared" si="8"/>
        <v>0</v>
      </c>
      <c r="AF49" s="355">
        <f t="shared" si="8"/>
        <v>0</v>
      </c>
      <c r="AG49" s="355">
        <f t="shared" si="8"/>
        <v>0</v>
      </c>
      <c r="AH49" s="355">
        <f t="shared" si="8"/>
        <v>0</v>
      </c>
      <c r="AI49" s="355">
        <f t="shared" si="8"/>
        <v>5</v>
      </c>
      <c r="AJ49" s="356">
        <f t="shared" si="3"/>
        <v>20</v>
      </c>
    </row>
    <row r="50" spans="1:36">
      <c r="A50" s="306">
        <v>4</v>
      </c>
      <c r="B50" s="306" t="s">
        <v>129</v>
      </c>
      <c r="C50" s="544" t="s">
        <v>114</v>
      </c>
      <c r="D50" s="501"/>
      <c r="E50" s="355">
        <f t="shared" ref="E50:AI50" si="9">E12-D12</f>
        <v>0</v>
      </c>
      <c r="F50" s="355">
        <f t="shared" si="9"/>
        <v>0</v>
      </c>
      <c r="G50" s="355">
        <f t="shared" si="9"/>
        <v>0</v>
      </c>
      <c r="H50" s="355">
        <f t="shared" si="9"/>
        <v>0</v>
      </c>
      <c r="I50" s="355">
        <f t="shared" si="9"/>
        <v>0</v>
      </c>
      <c r="J50" s="355">
        <f t="shared" si="9"/>
        <v>0</v>
      </c>
      <c r="K50" s="355">
        <f t="shared" si="9"/>
        <v>0</v>
      </c>
      <c r="L50" s="355">
        <f t="shared" si="9"/>
        <v>0</v>
      </c>
      <c r="M50" s="355">
        <f t="shared" si="9"/>
        <v>0</v>
      </c>
      <c r="N50" s="355">
        <f t="shared" si="9"/>
        <v>0</v>
      </c>
      <c r="O50" s="355">
        <f t="shared" si="9"/>
        <v>0</v>
      </c>
      <c r="P50" s="355">
        <f t="shared" si="9"/>
        <v>0</v>
      </c>
      <c r="Q50" s="355">
        <f t="shared" si="9"/>
        <v>0</v>
      </c>
      <c r="R50" s="355">
        <f t="shared" si="9"/>
        <v>0</v>
      </c>
      <c r="S50" s="355">
        <f t="shared" si="9"/>
        <v>0</v>
      </c>
      <c r="T50" s="355">
        <f t="shared" si="9"/>
        <v>0</v>
      </c>
      <c r="U50" s="355">
        <f t="shared" si="9"/>
        <v>0</v>
      </c>
      <c r="V50" s="355">
        <f t="shared" si="9"/>
        <v>0</v>
      </c>
      <c r="W50" s="355">
        <f t="shared" si="9"/>
        <v>0</v>
      </c>
      <c r="X50" s="355">
        <f t="shared" si="9"/>
        <v>0</v>
      </c>
      <c r="Y50" s="355">
        <f t="shared" si="9"/>
        <v>0</v>
      </c>
      <c r="Z50" s="355">
        <f t="shared" si="9"/>
        <v>0</v>
      </c>
      <c r="AA50" s="355">
        <f t="shared" si="9"/>
        <v>0</v>
      </c>
      <c r="AB50" s="355">
        <f t="shared" si="9"/>
        <v>0</v>
      </c>
      <c r="AC50" s="355">
        <f t="shared" si="9"/>
        <v>0</v>
      </c>
      <c r="AD50" s="355">
        <f t="shared" si="9"/>
        <v>0</v>
      </c>
      <c r="AE50" s="355">
        <f t="shared" si="9"/>
        <v>0</v>
      </c>
      <c r="AF50" s="355">
        <f t="shared" si="9"/>
        <v>0</v>
      </c>
      <c r="AG50" s="355">
        <f t="shared" si="9"/>
        <v>0</v>
      </c>
      <c r="AH50" s="355">
        <f t="shared" si="9"/>
        <v>0</v>
      </c>
      <c r="AI50" s="355">
        <f t="shared" si="9"/>
        <v>0</v>
      </c>
      <c r="AJ50" s="356">
        <f t="shared" si="3"/>
        <v>0</v>
      </c>
    </row>
    <row r="51" spans="1:36">
      <c r="A51" s="306"/>
      <c r="B51" s="306"/>
      <c r="C51" s="543" t="s">
        <v>22</v>
      </c>
      <c r="D51" s="501"/>
      <c r="E51" s="355">
        <f t="shared" ref="E51:AI51" si="10">E13-D13</f>
        <v>0</v>
      </c>
      <c r="F51" s="355">
        <f t="shared" si="10"/>
        <v>0</v>
      </c>
      <c r="G51" s="355">
        <f t="shared" si="10"/>
        <v>0</v>
      </c>
      <c r="H51" s="355">
        <f t="shared" si="10"/>
        <v>0</v>
      </c>
      <c r="I51" s="355">
        <f t="shared" si="10"/>
        <v>0</v>
      </c>
      <c r="J51" s="355">
        <f t="shared" si="10"/>
        <v>0</v>
      </c>
      <c r="K51" s="355">
        <f t="shared" si="10"/>
        <v>0</v>
      </c>
      <c r="L51" s="355">
        <f t="shared" si="10"/>
        <v>0</v>
      </c>
      <c r="M51" s="355">
        <f t="shared" si="10"/>
        <v>0</v>
      </c>
      <c r="N51" s="355">
        <f t="shared" si="10"/>
        <v>0</v>
      </c>
      <c r="O51" s="355">
        <f t="shared" si="10"/>
        <v>0</v>
      </c>
      <c r="P51" s="355">
        <f t="shared" si="10"/>
        <v>0</v>
      </c>
      <c r="Q51" s="355">
        <f t="shared" si="10"/>
        <v>0</v>
      </c>
      <c r="R51" s="355">
        <f t="shared" si="10"/>
        <v>0</v>
      </c>
      <c r="S51" s="355">
        <f t="shared" si="10"/>
        <v>0</v>
      </c>
      <c r="T51" s="355">
        <f t="shared" si="10"/>
        <v>0</v>
      </c>
      <c r="U51" s="355">
        <f t="shared" si="10"/>
        <v>0</v>
      </c>
      <c r="V51" s="355">
        <f t="shared" si="10"/>
        <v>0</v>
      </c>
      <c r="W51" s="355">
        <f t="shared" si="10"/>
        <v>0</v>
      </c>
      <c r="X51" s="355">
        <f t="shared" si="10"/>
        <v>0</v>
      </c>
      <c r="Y51" s="355">
        <f t="shared" si="10"/>
        <v>0</v>
      </c>
      <c r="Z51" s="355">
        <f t="shared" si="10"/>
        <v>0</v>
      </c>
      <c r="AA51" s="355">
        <f t="shared" si="10"/>
        <v>0</v>
      </c>
      <c r="AB51" s="355">
        <f t="shared" si="10"/>
        <v>0</v>
      </c>
      <c r="AC51" s="355">
        <f t="shared" si="10"/>
        <v>0</v>
      </c>
      <c r="AD51" s="355">
        <f t="shared" si="10"/>
        <v>0</v>
      </c>
      <c r="AE51" s="355">
        <f t="shared" si="10"/>
        <v>0</v>
      </c>
      <c r="AF51" s="355">
        <f t="shared" si="10"/>
        <v>0</v>
      </c>
      <c r="AG51" s="355">
        <f t="shared" si="10"/>
        <v>0</v>
      </c>
      <c r="AH51" s="355">
        <f t="shared" si="10"/>
        <v>0</v>
      </c>
      <c r="AI51" s="355">
        <f t="shared" si="10"/>
        <v>0</v>
      </c>
      <c r="AJ51" s="356">
        <f t="shared" si="3"/>
        <v>0</v>
      </c>
    </row>
    <row r="52" spans="1:36">
      <c r="A52" s="306">
        <v>5</v>
      </c>
      <c r="B52" s="306" t="s">
        <v>129</v>
      </c>
      <c r="C52" s="544" t="s">
        <v>115</v>
      </c>
      <c r="D52" s="501"/>
      <c r="E52" s="355">
        <f t="shared" ref="E52:AI52" si="11">E14-D14</f>
        <v>273</v>
      </c>
      <c r="F52" s="355">
        <f t="shared" si="11"/>
        <v>106</v>
      </c>
      <c r="G52" s="355">
        <f t="shared" si="11"/>
        <v>126</v>
      </c>
      <c r="H52" s="355">
        <f t="shared" si="11"/>
        <v>212</v>
      </c>
      <c r="I52" s="355">
        <f t="shared" si="11"/>
        <v>211</v>
      </c>
      <c r="J52" s="355">
        <f t="shared" si="11"/>
        <v>213</v>
      </c>
      <c r="K52" s="355">
        <f t="shared" si="11"/>
        <v>207</v>
      </c>
      <c r="L52" s="355">
        <f t="shared" si="11"/>
        <v>194</v>
      </c>
      <c r="M52" s="355">
        <f t="shared" si="11"/>
        <v>137</v>
      </c>
      <c r="N52" s="355">
        <f t="shared" si="11"/>
        <v>136</v>
      </c>
      <c r="O52" s="355">
        <f t="shared" si="11"/>
        <v>200</v>
      </c>
      <c r="P52" s="355">
        <f t="shared" si="11"/>
        <v>204</v>
      </c>
      <c r="Q52" s="355">
        <f t="shared" si="11"/>
        <v>185</v>
      </c>
      <c r="R52" s="355">
        <f t="shared" si="11"/>
        <v>199</v>
      </c>
      <c r="S52" s="355">
        <f t="shared" si="11"/>
        <v>177</v>
      </c>
      <c r="T52" s="355">
        <f t="shared" si="11"/>
        <v>147</v>
      </c>
      <c r="U52" s="355">
        <f t="shared" si="11"/>
        <v>118</v>
      </c>
      <c r="V52" s="355">
        <f t="shared" si="11"/>
        <v>201</v>
      </c>
      <c r="W52" s="355">
        <f t="shared" si="11"/>
        <v>197</v>
      </c>
      <c r="X52" s="355">
        <f t="shared" si="11"/>
        <v>202</v>
      </c>
      <c r="Y52" s="355">
        <f t="shared" si="11"/>
        <v>201</v>
      </c>
      <c r="Z52" s="355">
        <f t="shared" si="11"/>
        <v>199</v>
      </c>
      <c r="AA52" s="355">
        <f t="shared" si="11"/>
        <v>134</v>
      </c>
      <c r="AB52" s="355">
        <f t="shared" si="11"/>
        <v>121</v>
      </c>
      <c r="AC52" s="355">
        <f t="shared" si="11"/>
        <v>196</v>
      </c>
      <c r="AD52" s="355">
        <f t="shared" si="11"/>
        <v>188</v>
      </c>
      <c r="AE52" s="355">
        <f t="shared" si="11"/>
        <v>128</v>
      </c>
      <c r="AF52" s="355">
        <f t="shared" si="11"/>
        <v>197</v>
      </c>
      <c r="AG52" s="355">
        <f t="shared" si="11"/>
        <v>185</v>
      </c>
      <c r="AH52" s="355">
        <f t="shared" si="11"/>
        <v>130</v>
      </c>
      <c r="AI52" s="355">
        <f t="shared" si="11"/>
        <v>140</v>
      </c>
      <c r="AJ52" s="356">
        <f t="shared" si="3"/>
        <v>5464</v>
      </c>
    </row>
    <row r="53" spans="1:36">
      <c r="A53" s="306"/>
      <c r="B53" s="306"/>
      <c r="C53" s="543" t="s">
        <v>22</v>
      </c>
      <c r="D53" s="501"/>
      <c r="E53" s="355">
        <f t="shared" ref="E53:AI53" si="12">E15-D15</f>
        <v>0</v>
      </c>
      <c r="F53" s="355">
        <f t="shared" si="12"/>
        <v>0</v>
      </c>
      <c r="G53" s="355">
        <f t="shared" si="12"/>
        <v>0</v>
      </c>
      <c r="H53" s="355">
        <f t="shared" si="12"/>
        <v>0</v>
      </c>
      <c r="I53" s="355">
        <f t="shared" si="12"/>
        <v>0</v>
      </c>
      <c r="J53" s="355">
        <f t="shared" si="12"/>
        <v>0</v>
      </c>
      <c r="K53" s="355">
        <f t="shared" si="12"/>
        <v>0</v>
      </c>
      <c r="L53" s="355">
        <f t="shared" si="12"/>
        <v>0</v>
      </c>
      <c r="M53" s="355">
        <f t="shared" si="12"/>
        <v>0</v>
      </c>
      <c r="N53" s="355">
        <f t="shared" si="12"/>
        <v>0</v>
      </c>
      <c r="O53" s="355">
        <f t="shared" si="12"/>
        <v>0</v>
      </c>
      <c r="P53" s="355">
        <f t="shared" si="12"/>
        <v>0</v>
      </c>
      <c r="Q53" s="355">
        <f t="shared" si="12"/>
        <v>0</v>
      </c>
      <c r="R53" s="355">
        <f t="shared" si="12"/>
        <v>0</v>
      </c>
      <c r="S53" s="355">
        <f t="shared" si="12"/>
        <v>0</v>
      </c>
      <c r="T53" s="355">
        <f t="shared" si="12"/>
        <v>0</v>
      </c>
      <c r="U53" s="355">
        <f t="shared" si="12"/>
        <v>0</v>
      </c>
      <c r="V53" s="355">
        <f t="shared" si="12"/>
        <v>0</v>
      </c>
      <c r="W53" s="355">
        <f t="shared" si="12"/>
        <v>0</v>
      </c>
      <c r="X53" s="355">
        <f t="shared" si="12"/>
        <v>0</v>
      </c>
      <c r="Y53" s="355">
        <f t="shared" si="12"/>
        <v>0</v>
      </c>
      <c r="Z53" s="355">
        <f t="shared" si="12"/>
        <v>0</v>
      </c>
      <c r="AA53" s="355">
        <f t="shared" si="12"/>
        <v>0</v>
      </c>
      <c r="AB53" s="355">
        <f t="shared" si="12"/>
        <v>0</v>
      </c>
      <c r="AC53" s="355">
        <f t="shared" si="12"/>
        <v>8</v>
      </c>
      <c r="AD53" s="355">
        <f t="shared" si="12"/>
        <v>0</v>
      </c>
      <c r="AE53" s="355">
        <f t="shared" si="12"/>
        <v>0</v>
      </c>
      <c r="AF53" s="355">
        <f t="shared" si="12"/>
        <v>0</v>
      </c>
      <c r="AG53" s="355">
        <f t="shared" si="12"/>
        <v>0</v>
      </c>
      <c r="AH53" s="355">
        <f t="shared" si="12"/>
        <v>3</v>
      </c>
      <c r="AI53" s="355">
        <f t="shared" si="12"/>
        <v>0</v>
      </c>
      <c r="AJ53" s="356">
        <f t="shared" si="3"/>
        <v>11</v>
      </c>
    </row>
    <row r="54" spans="1:36">
      <c r="A54" s="306">
        <v>6</v>
      </c>
      <c r="B54" s="306" t="s">
        <v>129</v>
      </c>
      <c r="C54" s="544" t="s">
        <v>116</v>
      </c>
      <c r="D54" s="501"/>
      <c r="E54" s="355">
        <f t="shared" ref="E54:AI54" si="13">E16-D16</f>
        <v>281</v>
      </c>
      <c r="F54" s="355">
        <f t="shared" si="13"/>
        <v>151</v>
      </c>
      <c r="G54" s="355">
        <f t="shared" si="13"/>
        <v>99</v>
      </c>
      <c r="H54" s="355">
        <f t="shared" si="13"/>
        <v>244</v>
      </c>
      <c r="I54" s="355">
        <f t="shared" si="13"/>
        <v>267</v>
      </c>
      <c r="J54" s="355">
        <f t="shared" si="13"/>
        <v>243</v>
      </c>
      <c r="K54" s="355">
        <f t="shared" si="13"/>
        <v>252</v>
      </c>
      <c r="L54" s="355">
        <f t="shared" si="13"/>
        <v>237</v>
      </c>
      <c r="M54" s="355">
        <f t="shared" si="13"/>
        <v>149</v>
      </c>
      <c r="N54" s="355">
        <f t="shared" si="13"/>
        <v>96</v>
      </c>
      <c r="O54" s="355">
        <f t="shared" si="13"/>
        <v>202</v>
      </c>
      <c r="P54" s="355">
        <f t="shared" si="13"/>
        <v>328</v>
      </c>
      <c r="Q54" s="355">
        <f t="shared" si="13"/>
        <v>240</v>
      </c>
      <c r="R54" s="355">
        <f t="shared" si="13"/>
        <v>259</v>
      </c>
      <c r="S54" s="355">
        <f t="shared" si="13"/>
        <v>242</v>
      </c>
      <c r="T54" s="355">
        <f t="shared" si="13"/>
        <v>120</v>
      </c>
      <c r="U54" s="355">
        <f t="shared" si="13"/>
        <v>124</v>
      </c>
      <c r="V54" s="355">
        <f t="shared" si="13"/>
        <v>272</v>
      </c>
      <c r="W54" s="355">
        <f t="shared" si="13"/>
        <v>276</v>
      </c>
      <c r="X54" s="355">
        <f t="shared" si="13"/>
        <v>288</v>
      </c>
      <c r="Y54" s="355">
        <f t="shared" si="13"/>
        <v>274</v>
      </c>
      <c r="Z54" s="355">
        <f t="shared" si="13"/>
        <v>259</v>
      </c>
      <c r="AA54" s="355">
        <f t="shared" si="13"/>
        <v>143</v>
      </c>
      <c r="AB54" s="355">
        <f t="shared" si="13"/>
        <v>134</v>
      </c>
      <c r="AC54" s="355">
        <f t="shared" si="13"/>
        <v>290</v>
      </c>
      <c r="AD54" s="355">
        <f t="shared" si="13"/>
        <v>255</v>
      </c>
      <c r="AE54" s="355">
        <f t="shared" si="13"/>
        <v>122</v>
      </c>
      <c r="AF54" s="355">
        <f t="shared" si="13"/>
        <v>252</v>
      </c>
      <c r="AG54" s="355">
        <f t="shared" si="13"/>
        <v>244</v>
      </c>
      <c r="AH54" s="355">
        <f t="shared" si="13"/>
        <v>106</v>
      </c>
      <c r="AI54" s="355">
        <f t="shared" si="13"/>
        <v>110</v>
      </c>
      <c r="AJ54" s="356">
        <f t="shared" si="3"/>
        <v>6559</v>
      </c>
    </row>
    <row r="55" spans="1:36">
      <c r="A55" s="306"/>
      <c r="B55" s="306"/>
      <c r="C55" s="543" t="s">
        <v>22</v>
      </c>
      <c r="D55" s="501"/>
      <c r="E55" s="355">
        <f t="shared" ref="E55:AI55" si="14">E17-D17</f>
        <v>0</v>
      </c>
      <c r="F55" s="355">
        <f t="shared" si="14"/>
        <v>0</v>
      </c>
      <c r="G55" s="355">
        <f t="shared" si="14"/>
        <v>0</v>
      </c>
      <c r="H55" s="355">
        <f t="shared" si="14"/>
        <v>0</v>
      </c>
      <c r="I55" s="355">
        <f t="shared" si="14"/>
        <v>0</v>
      </c>
      <c r="J55" s="355">
        <f t="shared" si="14"/>
        <v>0</v>
      </c>
      <c r="K55" s="355">
        <f t="shared" si="14"/>
        <v>0</v>
      </c>
      <c r="L55" s="355">
        <f t="shared" si="14"/>
        <v>0</v>
      </c>
      <c r="M55" s="355">
        <f t="shared" si="14"/>
        <v>0</v>
      </c>
      <c r="N55" s="355">
        <f t="shared" si="14"/>
        <v>0</v>
      </c>
      <c r="O55" s="355">
        <f t="shared" si="14"/>
        <v>0</v>
      </c>
      <c r="P55" s="355">
        <f t="shared" si="14"/>
        <v>0</v>
      </c>
      <c r="Q55" s="355">
        <f t="shared" si="14"/>
        <v>0</v>
      </c>
      <c r="R55" s="355">
        <f t="shared" si="14"/>
        <v>0</v>
      </c>
      <c r="S55" s="355">
        <f t="shared" si="14"/>
        <v>0</v>
      </c>
      <c r="T55" s="355">
        <f t="shared" si="14"/>
        <v>0</v>
      </c>
      <c r="U55" s="355">
        <f t="shared" si="14"/>
        <v>0</v>
      </c>
      <c r="V55" s="355">
        <f t="shared" si="14"/>
        <v>0</v>
      </c>
      <c r="W55" s="355">
        <f t="shared" si="14"/>
        <v>0</v>
      </c>
      <c r="X55" s="355">
        <f t="shared" si="14"/>
        <v>0</v>
      </c>
      <c r="Y55" s="355">
        <f t="shared" si="14"/>
        <v>0</v>
      </c>
      <c r="Z55" s="355">
        <f t="shared" si="14"/>
        <v>0</v>
      </c>
      <c r="AA55" s="355">
        <f t="shared" si="14"/>
        <v>0</v>
      </c>
      <c r="AB55" s="355">
        <f t="shared" si="14"/>
        <v>0</v>
      </c>
      <c r="AC55" s="355">
        <f t="shared" si="14"/>
        <v>11</v>
      </c>
      <c r="AD55" s="355">
        <f t="shared" si="14"/>
        <v>0</v>
      </c>
      <c r="AE55" s="355">
        <f t="shared" si="14"/>
        <v>0</v>
      </c>
      <c r="AF55" s="355">
        <f t="shared" si="14"/>
        <v>0</v>
      </c>
      <c r="AG55" s="355">
        <f t="shared" si="14"/>
        <v>0</v>
      </c>
      <c r="AH55" s="355">
        <f t="shared" si="14"/>
        <v>3</v>
      </c>
      <c r="AI55" s="355">
        <f t="shared" si="14"/>
        <v>0</v>
      </c>
      <c r="AJ55" s="356">
        <f t="shared" si="3"/>
        <v>14</v>
      </c>
    </row>
    <row r="56" spans="1:36">
      <c r="A56" s="306">
        <v>7</v>
      </c>
      <c r="B56" s="306" t="s">
        <v>129</v>
      </c>
      <c r="C56" s="544" t="s">
        <v>117</v>
      </c>
      <c r="D56" s="501"/>
      <c r="E56" s="355">
        <f t="shared" ref="E56:AI56" si="15">E18-D18</f>
        <v>744</v>
      </c>
      <c r="F56" s="355">
        <f t="shared" si="15"/>
        <v>404</v>
      </c>
      <c r="G56" s="355">
        <f t="shared" si="15"/>
        <v>381</v>
      </c>
      <c r="H56" s="355">
        <f t="shared" si="15"/>
        <v>729</v>
      </c>
      <c r="I56" s="355">
        <f t="shared" si="15"/>
        <v>713</v>
      </c>
      <c r="J56" s="355">
        <f t="shared" si="15"/>
        <v>647</v>
      </c>
      <c r="K56" s="355">
        <f t="shared" si="15"/>
        <v>681</v>
      </c>
      <c r="L56" s="355">
        <f t="shared" si="15"/>
        <v>624</v>
      </c>
      <c r="M56" s="355">
        <f t="shared" si="15"/>
        <v>419</v>
      </c>
      <c r="N56" s="355">
        <f t="shared" si="15"/>
        <v>355</v>
      </c>
      <c r="O56" s="355">
        <f t="shared" si="15"/>
        <v>704</v>
      </c>
      <c r="P56" s="355">
        <f t="shared" si="15"/>
        <v>697</v>
      </c>
      <c r="Q56" s="355">
        <f t="shared" si="15"/>
        <v>595</v>
      </c>
      <c r="R56" s="355">
        <f t="shared" si="15"/>
        <v>686</v>
      </c>
      <c r="S56" s="355">
        <f t="shared" si="15"/>
        <v>618</v>
      </c>
      <c r="T56" s="355">
        <f t="shared" si="15"/>
        <v>312</v>
      </c>
      <c r="U56" s="355">
        <f t="shared" si="15"/>
        <v>292</v>
      </c>
      <c r="V56" s="355">
        <f t="shared" si="15"/>
        <v>703</v>
      </c>
      <c r="W56" s="355">
        <f t="shared" si="15"/>
        <v>646</v>
      </c>
      <c r="X56" s="355">
        <f t="shared" si="15"/>
        <v>691</v>
      </c>
      <c r="Y56" s="355">
        <f t="shared" si="15"/>
        <v>676</v>
      </c>
      <c r="Z56" s="355">
        <f t="shared" si="15"/>
        <v>670</v>
      </c>
      <c r="AA56" s="355">
        <f t="shared" si="15"/>
        <v>271</v>
      </c>
      <c r="AB56" s="355">
        <f t="shared" si="15"/>
        <v>264</v>
      </c>
      <c r="AC56" s="355">
        <f t="shared" si="15"/>
        <v>635</v>
      </c>
      <c r="AD56" s="355">
        <f t="shared" si="15"/>
        <v>616</v>
      </c>
      <c r="AE56" s="355">
        <f t="shared" si="15"/>
        <v>249</v>
      </c>
      <c r="AF56" s="355">
        <f t="shared" si="15"/>
        <v>631</v>
      </c>
      <c r="AG56" s="355">
        <f t="shared" si="15"/>
        <v>641</v>
      </c>
      <c r="AH56" s="355">
        <f t="shared" si="15"/>
        <v>292</v>
      </c>
      <c r="AI56" s="355">
        <f t="shared" si="15"/>
        <v>323</v>
      </c>
      <c r="AJ56" s="356">
        <f t="shared" si="3"/>
        <v>16909</v>
      </c>
    </row>
    <row r="57" spans="1:36">
      <c r="A57" s="306"/>
      <c r="B57" s="306"/>
      <c r="C57" s="543" t="s">
        <v>22</v>
      </c>
      <c r="D57" s="501"/>
      <c r="E57" s="355">
        <f t="shared" ref="E57:AI57" si="16">E19-D19</f>
        <v>0</v>
      </c>
      <c r="F57" s="355">
        <f t="shared" si="16"/>
        <v>0</v>
      </c>
      <c r="G57" s="355">
        <f t="shared" si="16"/>
        <v>0</v>
      </c>
      <c r="H57" s="355">
        <f t="shared" si="16"/>
        <v>0</v>
      </c>
      <c r="I57" s="355">
        <f t="shared" si="16"/>
        <v>0</v>
      </c>
      <c r="J57" s="355">
        <f t="shared" si="16"/>
        <v>0</v>
      </c>
      <c r="K57" s="355">
        <f t="shared" si="16"/>
        <v>0</v>
      </c>
      <c r="L57" s="355">
        <f t="shared" si="16"/>
        <v>0</v>
      </c>
      <c r="M57" s="355">
        <f t="shared" si="16"/>
        <v>0</v>
      </c>
      <c r="N57" s="355">
        <f t="shared" si="16"/>
        <v>0</v>
      </c>
      <c r="O57" s="355">
        <f t="shared" si="16"/>
        <v>0</v>
      </c>
      <c r="P57" s="355">
        <f t="shared" si="16"/>
        <v>0</v>
      </c>
      <c r="Q57" s="355">
        <f t="shared" si="16"/>
        <v>0</v>
      </c>
      <c r="R57" s="355">
        <f t="shared" si="16"/>
        <v>0</v>
      </c>
      <c r="S57" s="355">
        <f t="shared" si="16"/>
        <v>0</v>
      </c>
      <c r="T57" s="355">
        <f t="shared" si="16"/>
        <v>0</v>
      </c>
      <c r="U57" s="355">
        <f t="shared" si="16"/>
        <v>0</v>
      </c>
      <c r="V57" s="355">
        <f t="shared" si="16"/>
        <v>0</v>
      </c>
      <c r="W57" s="355">
        <f t="shared" si="16"/>
        <v>0</v>
      </c>
      <c r="X57" s="355">
        <f t="shared" si="16"/>
        <v>0</v>
      </c>
      <c r="Y57" s="355">
        <f t="shared" si="16"/>
        <v>0</v>
      </c>
      <c r="Z57" s="355">
        <f t="shared" si="16"/>
        <v>0</v>
      </c>
      <c r="AA57" s="355">
        <f t="shared" si="16"/>
        <v>0</v>
      </c>
      <c r="AB57" s="355">
        <f t="shared" si="16"/>
        <v>0</v>
      </c>
      <c r="AC57" s="355">
        <f t="shared" si="16"/>
        <v>28</v>
      </c>
      <c r="AD57" s="355">
        <f t="shared" si="16"/>
        <v>0</v>
      </c>
      <c r="AE57" s="355">
        <f t="shared" si="16"/>
        <v>0</v>
      </c>
      <c r="AF57" s="355">
        <f t="shared" si="16"/>
        <v>0</v>
      </c>
      <c r="AG57" s="355">
        <f t="shared" si="16"/>
        <v>0</v>
      </c>
      <c r="AH57" s="355">
        <f t="shared" si="16"/>
        <v>0</v>
      </c>
      <c r="AI57" s="355">
        <f t="shared" si="16"/>
        <v>7</v>
      </c>
      <c r="AJ57" s="356">
        <f t="shared" si="3"/>
        <v>35</v>
      </c>
    </row>
    <row r="58" spans="1:36">
      <c r="A58" s="306">
        <v>8</v>
      </c>
      <c r="B58" s="306" t="s">
        <v>129</v>
      </c>
      <c r="C58" s="544" t="s">
        <v>118</v>
      </c>
      <c r="D58" s="501"/>
      <c r="E58" s="355">
        <f t="shared" ref="E58:AI58" si="17">E20-D20</f>
        <v>129</v>
      </c>
      <c r="F58" s="355">
        <f t="shared" si="17"/>
        <v>135</v>
      </c>
      <c r="G58" s="355">
        <f t="shared" si="17"/>
        <v>108</v>
      </c>
      <c r="H58" s="355">
        <f t="shared" si="17"/>
        <v>134</v>
      </c>
      <c r="I58" s="355">
        <f t="shared" si="17"/>
        <v>137</v>
      </c>
      <c r="J58" s="355">
        <f t="shared" si="17"/>
        <v>135</v>
      </c>
      <c r="K58" s="355">
        <f t="shared" si="17"/>
        <v>128</v>
      </c>
      <c r="L58" s="355">
        <f t="shared" si="17"/>
        <v>147</v>
      </c>
      <c r="M58" s="355">
        <f t="shared" si="17"/>
        <v>118</v>
      </c>
      <c r="N58" s="355">
        <f t="shared" si="17"/>
        <v>125</v>
      </c>
      <c r="O58" s="355">
        <f t="shared" si="17"/>
        <v>137</v>
      </c>
      <c r="P58" s="355">
        <f t="shared" si="17"/>
        <v>149</v>
      </c>
      <c r="Q58" s="355">
        <f t="shared" si="17"/>
        <v>130</v>
      </c>
      <c r="R58" s="355">
        <f t="shared" si="17"/>
        <v>133</v>
      </c>
      <c r="S58" s="355">
        <f t="shared" si="17"/>
        <v>132</v>
      </c>
      <c r="T58" s="355">
        <f t="shared" si="17"/>
        <v>133</v>
      </c>
      <c r="U58" s="355">
        <f t="shared" si="17"/>
        <v>131</v>
      </c>
      <c r="V58" s="355">
        <f t="shared" si="17"/>
        <v>160</v>
      </c>
      <c r="W58" s="355">
        <f t="shared" si="17"/>
        <v>153</v>
      </c>
      <c r="X58" s="355">
        <f t="shared" si="17"/>
        <v>149</v>
      </c>
      <c r="Y58" s="355">
        <f t="shared" si="17"/>
        <v>149</v>
      </c>
      <c r="Z58" s="355">
        <f t="shared" si="17"/>
        <v>162</v>
      </c>
      <c r="AA58" s="355">
        <f t="shared" si="17"/>
        <v>119</v>
      </c>
      <c r="AB58" s="355">
        <f t="shared" si="17"/>
        <v>112</v>
      </c>
      <c r="AC58" s="355">
        <f t="shared" si="17"/>
        <v>146</v>
      </c>
      <c r="AD58" s="355">
        <f t="shared" si="17"/>
        <v>159</v>
      </c>
      <c r="AE58" s="355">
        <f t="shared" si="17"/>
        <v>137</v>
      </c>
      <c r="AF58" s="355">
        <f t="shared" si="17"/>
        <v>151</v>
      </c>
      <c r="AG58" s="355">
        <f t="shared" si="17"/>
        <v>128</v>
      </c>
      <c r="AH58" s="355">
        <f t="shared" si="17"/>
        <v>105</v>
      </c>
      <c r="AI58" s="355">
        <f t="shared" si="17"/>
        <v>110</v>
      </c>
      <c r="AJ58" s="356">
        <f t="shared" si="3"/>
        <v>4181</v>
      </c>
    </row>
    <row r="59" spans="1:36">
      <c r="A59" s="306"/>
      <c r="B59" s="306"/>
      <c r="C59" s="543" t="s">
        <v>22</v>
      </c>
      <c r="D59" s="501"/>
      <c r="E59" s="355">
        <f t="shared" ref="E59:AI59" si="18">E21-D21</f>
        <v>0</v>
      </c>
      <c r="F59" s="355">
        <f t="shared" si="18"/>
        <v>0</v>
      </c>
      <c r="G59" s="355">
        <f t="shared" si="18"/>
        <v>0</v>
      </c>
      <c r="H59" s="355">
        <f t="shared" si="18"/>
        <v>0</v>
      </c>
      <c r="I59" s="355">
        <f t="shared" si="18"/>
        <v>0</v>
      </c>
      <c r="J59" s="355">
        <f t="shared" si="18"/>
        <v>0</v>
      </c>
      <c r="K59" s="355">
        <f t="shared" si="18"/>
        <v>0</v>
      </c>
      <c r="L59" s="355">
        <f t="shared" si="18"/>
        <v>0</v>
      </c>
      <c r="M59" s="355">
        <f t="shared" si="18"/>
        <v>0</v>
      </c>
      <c r="N59" s="355">
        <f t="shared" si="18"/>
        <v>0</v>
      </c>
      <c r="O59" s="355">
        <f t="shared" si="18"/>
        <v>0</v>
      </c>
      <c r="P59" s="355">
        <f t="shared" si="18"/>
        <v>0</v>
      </c>
      <c r="Q59" s="355">
        <f t="shared" si="18"/>
        <v>0</v>
      </c>
      <c r="R59" s="355">
        <f t="shared" si="18"/>
        <v>0</v>
      </c>
      <c r="S59" s="355">
        <f t="shared" si="18"/>
        <v>0</v>
      </c>
      <c r="T59" s="355">
        <f t="shared" si="18"/>
        <v>0</v>
      </c>
      <c r="U59" s="355">
        <f t="shared" si="18"/>
        <v>0</v>
      </c>
      <c r="V59" s="355">
        <f t="shared" si="18"/>
        <v>0</v>
      </c>
      <c r="W59" s="355">
        <f t="shared" si="18"/>
        <v>0</v>
      </c>
      <c r="X59" s="355">
        <f t="shared" si="18"/>
        <v>0</v>
      </c>
      <c r="Y59" s="355">
        <f t="shared" si="18"/>
        <v>0</v>
      </c>
      <c r="Z59" s="355">
        <f t="shared" si="18"/>
        <v>0</v>
      </c>
      <c r="AA59" s="355">
        <f t="shared" si="18"/>
        <v>0</v>
      </c>
      <c r="AB59" s="355">
        <f t="shared" si="18"/>
        <v>0</v>
      </c>
      <c r="AC59" s="355">
        <f t="shared" si="18"/>
        <v>0</v>
      </c>
      <c r="AD59" s="355">
        <f t="shared" si="18"/>
        <v>0</v>
      </c>
      <c r="AE59" s="355">
        <f t="shared" si="18"/>
        <v>0</v>
      </c>
      <c r="AF59" s="355">
        <f t="shared" si="18"/>
        <v>7</v>
      </c>
      <c r="AG59" s="355">
        <f t="shared" si="18"/>
        <v>0</v>
      </c>
      <c r="AH59" s="355">
        <f t="shared" si="18"/>
        <v>1</v>
      </c>
      <c r="AI59" s="355">
        <f t="shared" si="18"/>
        <v>0</v>
      </c>
      <c r="AJ59" s="356">
        <f t="shared" si="3"/>
        <v>8</v>
      </c>
    </row>
    <row r="60" spans="1:36">
      <c r="A60" s="357"/>
      <c r="B60" s="357"/>
      <c r="C60" s="553" t="s">
        <v>130</v>
      </c>
      <c r="D60" s="501"/>
      <c r="E60" s="358">
        <f t="shared" ref="E60:AI60" si="19">SUM(E58,E56,E54,E52,E50,E48,E46,E44)</f>
        <v>2076</v>
      </c>
      <c r="F60" s="358">
        <f t="shared" si="19"/>
        <v>1301</v>
      </c>
      <c r="G60" s="358">
        <f t="shared" si="19"/>
        <v>1176</v>
      </c>
      <c r="H60" s="358">
        <f t="shared" si="19"/>
        <v>1908</v>
      </c>
      <c r="I60" s="358">
        <f t="shared" si="19"/>
        <v>1946</v>
      </c>
      <c r="J60" s="358">
        <f t="shared" si="19"/>
        <v>1829</v>
      </c>
      <c r="K60" s="358">
        <f t="shared" si="19"/>
        <v>1861</v>
      </c>
      <c r="L60" s="358">
        <f t="shared" si="19"/>
        <v>1781</v>
      </c>
      <c r="M60" s="358">
        <f t="shared" si="19"/>
        <v>1332</v>
      </c>
      <c r="N60" s="358">
        <f t="shared" si="19"/>
        <v>1204</v>
      </c>
      <c r="O60" s="358">
        <f t="shared" si="19"/>
        <v>1856</v>
      </c>
      <c r="P60" s="358">
        <f t="shared" si="19"/>
        <v>1591</v>
      </c>
      <c r="Q60" s="358">
        <f t="shared" si="19"/>
        <v>2012</v>
      </c>
      <c r="R60" s="358">
        <f t="shared" si="19"/>
        <v>2019</v>
      </c>
      <c r="S60" s="358">
        <f t="shared" si="19"/>
        <v>1705</v>
      </c>
      <c r="T60" s="358">
        <f t="shared" si="19"/>
        <v>1201</v>
      </c>
      <c r="U60" s="358">
        <f t="shared" si="19"/>
        <v>1134</v>
      </c>
      <c r="V60" s="358">
        <f t="shared" si="19"/>
        <v>1923</v>
      </c>
      <c r="W60" s="358">
        <f t="shared" si="19"/>
        <v>1863</v>
      </c>
      <c r="X60" s="358">
        <f t="shared" si="19"/>
        <v>1945</v>
      </c>
      <c r="Y60" s="358">
        <f t="shared" si="19"/>
        <v>1888</v>
      </c>
      <c r="Z60" s="358">
        <f t="shared" si="19"/>
        <v>1894</v>
      </c>
      <c r="AA60" s="358">
        <f t="shared" si="19"/>
        <v>1178</v>
      </c>
      <c r="AB60" s="358">
        <f t="shared" si="19"/>
        <v>1083</v>
      </c>
      <c r="AC60" s="358">
        <f t="shared" si="19"/>
        <v>1833</v>
      </c>
      <c r="AD60" s="358">
        <f t="shared" si="19"/>
        <v>1786</v>
      </c>
      <c r="AE60" s="358">
        <f t="shared" si="19"/>
        <v>1121</v>
      </c>
      <c r="AF60" s="358">
        <f t="shared" si="19"/>
        <v>1825</v>
      </c>
      <c r="AG60" s="358">
        <f t="shared" si="19"/>
        <v>1756</v>
      </c>
      <c r="AH60" s="358">
        <f t="shared" si="19"/>
        <v>1082</v>
      </c>
      <c r="AI60" s="358">
        <f t="shared" si="19"/>
        <v>1170</v>
      </c>
      <c r="AJ60" s="359">
        <f t="shared" si="3"/>
        <v>50279</v>
      </c>
    </row>
    <row r="61" spans="1:36">
      <c r="A61" s="357"/>
      <c r="B61" s="357"/>
      <c r="C61" s="360" t="s">
        <v>131</v>
      </c>
      <c r="D61" s="361"/>
      <c r="E61" s="358">
        <f t="shared" ref="E61:AI61" si="20">SUM(E45,E47,E49,E51,E53,E55,E57,E59)</f>
        <v>0</v>
      </c>
      <c r="F61" s="358">
        <f t="shared" si="20"/>
        <v>0</v>
      </c>
      <c r="G61" s="358">
        <f t="shared" si="20"/>
        <v>0</v>
      </c>
      <c r="H61" s="358">
        <f t="shared" si="20"/>
        <v>0</v>
      </c>
      <c r="I61" s="358">
        <f t="shared" si="20"/>
        <v>0</v>
      </c>
      <c r="J61" s="358">
        <f t="shared" si="20"/>
        <v>0</v>
      </c>
      <c r="K61" s="358">
        <f t="shared" si="20"/>
        <v>0</v>
      </c>
      <c r="L61" s="358">
        <f t="shared" si="20"/>
        <v>0</v>
      </c>
      <c r="M61" s="358">
        <f t="shared" si="20"/>
        <v>0</v>
      </c>
      <c r="N61" s="358">
        <f t="shared" si="20"/>
        <v>0</v>
      </c>
      <c r="O61" s="358">
        <f t="shared" si="20"/>
        <v>0</v>
      </c>
      <c r="P61" s="358">
        <f t="shared" si="20"/>
        <v>0</v>
      </c>
      <c r="Q61" s="358">
        <f t="shared" si="20"/>
        <v>0</v>
      </c>
      <c r="R61" s="358">
        <f t="shared" si="20"/>
        <v>0</v>
      </c>
      <c r="S61" s="358">
        <f t="shared" si="20"/>
        <v>0</v>
      </c>
      <c r="T61" s="358">
        <f t="shared" si="20"/>
        <v>0</v>
      </c>
      <c r="U61" s="358">
        <f t="shared" si="20"/>
        <v>0</v>
      </c>
      <c r="V61" s="358">
        <f t="shared" si="20"/>
        <v>0</v>
      </c>
      <c r="W61" s="358">
        <f t="shared" si="20"/>
        <v>0</v>
      </c>
      <c r="X61" s="358">
        <f t="shared" si="20"/>
        <v>0</v>
      </c>
      <c r="Y61" s="358">
        <f t="shared" si="20"/>
        <v>0</v>
      </c>
      <c r="Z61" s="358">
        <f t="shared" si="20"/>
        <v>0</v>
      </c>
      <c r="AA61" s="358">
        <f t="shared" si="20"/>
        <v>0</v>
      </c>
      <c r="AB61" s="358">
        <f t="shared" si="20"/>
        <v>0</v>
      </c>
      <c r="AC61" s="358">
        <f t="shared" si="20"/>
        <v>72</v>
      </c>
      <c r="AD61" s="358">
        <f t="shared" si="20"/>
        <v>0</v>
      </c>
      <c r="AE61" s="358">
        <f t="shared" si="20"/>
        <v>0</v>
      </c>
      <c r="AF61" s="358">
        <f t="shared" si="20"/>
        <v>7</v>
      </c>
      <c r="AG61" s="358">
        <f t="shared" si="20"/>
        <v>0</v>
      </c>
      <c r="AH61" s="358">
        <f t="shared" si="20"/>
        <v>7</v>
      </c>
      <c r="AI61" s="358">
        <f t="shared" si="20"/>
        <v>16</v>
      </c>
      <c r="AJ61" s="359">
        <f t="shared" si="3"/>
        <v>102</v>
      </c>
    </row>
    <row r="62" spans="1:36">
      <c r="A62" s="362"/>
      <c r="B62" s="362"/>
      <c r="C62" s="560" t="s">
        <v>132</v>
      </c>
      <c r="D62" s="501"/>
      <c r="E62" s="363">
        <f t="shared" ref="E62:AJ62" si="21">E60</f>
        <v>2076</v>
      </c>
      <c r="F62" s="363">
        <f t="shared" si="21"/>
        <v>1301</v>
      </c>
      <c r="G62" s="363">
        <f t="shared" si="21"/>
        <v>1176</v>
      </c>
      <c r="H62" s="363">
        <f t="shared" si="21"/>
        <v>1908</v>
      </c>
      <c r="I62" s="363">
        <f t="shared" si="21"/>
        <v>1946</v>
      </c>
      <c r="J62" s="363">
        <f t="shared" si="21"/>
        <v>1829</v>
      </c>
      <c r="K62" s="363">
        <f t="shared" si="21"/>
        <v>1861</v>
      </c>
      <c r="L62" s="363">
        <f t="shared" si="21"/>
        <v>1781</v>
      </c>
      <c r="M62" s="363">
        <f t="shared" si="21"/>
        <v>1332</v>
      </c>
      <c r="N62" s="363">
        <f t="shared" si="21"/>
        <v>1204</v>
      </c>
      <c r="O62" s="363">
        <f t="shared" si="21"/>
        <v>1856</v>
      </c>
      <c r="P62" s="363">
        <f t="shared" si="21"/>
        <v>1591</v>
      </c>
      <c r="Q62" s="363">
        <f t="shared" si="21"/>
        <v>2012</v>
      </c>
      <c r="R62" s="363">
        <f t="shared" si="21"/>
        <v>2019</v>
      </c>
      <c r="S62" s="363">
        <f t="shared" si="21"/>
        <v>1705</v>
      </c>
      <c r="T62" s="363">
        <f t="shared" si="21"/>
        <v>1201</v>
      </c>
      <c r="U62" s="363">
        <f t="shared" si="21"/>
        <v>1134</v>
      </c>
      <c r="V62" s="363">
        <f t="shared" si="21"/>
        <v>1923</v>
      </c>
      <c r="W62" s="363">
        <f t="shared" si="21"/>
        <v>1863</v>
      </c>
      <c r="X62" s="363">
        <f t="shared" si="21"/>
        <v>1945</v>
      </c>
      <c r="Y62" s="363">
        <f t="shared" si="21"/>
        <v>1888</v>
      </c>
      <c r="Z62" s="363">
        <f t="shared" si="21"/>
        <v>1894</v>
      </c>
      <c r="AA62" s="363">
        <f t="shared" si="21"/>
        <v>1178</v>
      </c>
      <c r="AB62" s="363">
        <f t="shared" si="21"/>
        <v>1083</v>
      </c>
      <c r="AC62" s="363">
        <f t="shared" si="21"/>
        <v>1833</v>
      </c>
      <c r="AD62" s="363">
        <f t="shared" si="21"/>
        <v>1786</v>
      </c>
      <c r="AE62" s="363">
        <f t="shared" si="21"/>
        <v>1121</v>
      </c>
      <c r="AF62" s="363">
        <f t="shared" si="21"/>
        <v>1825</v>
      </c>
      <c r="AG62" s="363">
        <f t="shared" si="21"/>
        <v>1756</v>
      </c>
      <c r="AH62" s="363">
        <f t="shared" si="21"/>
        <v>1082</v>
      </c>
      <c r="AI62" s="363">
        <f t="shared" si="21"/>
        <v>1170</v>
      </c>
      <c r="AJ62" s="363">
        <f t="shared" si="21"/>
        <v>50279</v>
      </c>
    </row>
    <row r="63" spans="1:36">
      <c r="A63" s="351"/>
      <c r="B63" s="364"/>
      <c r="C63" s="365"/>
      <c r="D63" s="366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</row>
    <row r="64" spans="1:36">
      <c r="A64" s="367" t="s">
        <v>133</v>
      </c>
      <c r="B64" s="367" t="s">
        <v>100</v>
      </c>
      <c r="C64" s="557" t="s">
        <v>101</v>
      </c>
      <c r="D64" s="501"/>
      <c r="E64" s="367"/>
      <c r="F64" s="367"/>
      <c r="G64" s="367"/>
      <c r="H64" s="367"/>
      <c r="I64" s="367"/>
      <c r="J64" s="367"/>
      <c r="K64" s="367"/>
      <c r="L64" s="367"/>
      <c r="M64" s="367"/>
      <c r="N64" s="367"/>
      <c r="O64" s="367"/>
      <c r="P64" s="367"/>
      <c r="Q64" s="367"/>
      <c r="R64" s="367"/>
      <c r="S64" s="367"/>
      <c r="T64" s="367"/>
      <c r="U64" s="367"/>
      <c r="V64" s="367"/>
      <c r="W64" s="367"/>
      <c r="X64" s="367"/>
      <c r="Y64" s="367"/>
      <c r="Z64" s="367"/>
      <c r="AA64" s="367"/>
      <c r="AB64" s="367"/>
      <c r="AC64" s="367"/>
      <c r="AD64" s="367"/>
      <c r="AE64" s="367"/>
      <c r="AF64" s="367"/>
      <c r="AG64" s="367"/>
      <c r="AH64" s="367"/>
      <c r="AI64" s="367"/>
      <c r="AJ64" s="368"/>
    </row>
    <row r="65" spans="1:38">
      <c r="A65" s="306">
        <v>1</v>
      </c>
      <c r="B65" s="306" t="s">
        <v>129</v>
      </c>
      <c r="C65" s="546" t="s">
        <v>119</v>
      </c>
      <c r="D65" s="501"/>
      <c r="E65" s="363">
        <f t="shared" ref="E65:AI65" si="22">E23-D23</f>
        <v>110</v>
      </c>
      <c r="F65" s="363">
        <f t="shared" si="22"/>
        <v>64</v>
      </c>
      <c r="G65" s="363">
        <f t="shared" si="22"/>
        <v>0</v>
      </c>
      <c r="H65" s="363">
        <f t="shared" si="22"/>
        <v>60</v>
      </c>
      <c r="I65" s="363">
        <f t="shared" si="22"/>
        <v>67</v>
      </c>
      <c r="J65" s="363">
        <f t="shared" si="22"/>
        <v>58</v>
      </c>
      <c r="K65" s="363">
        <f t="shared" si="22"/>
        <v>60</v>
      </c>
      <c r="L65" s="363">
        <f t="shared" si="22"/>
        <v>55</v>
      </c>
      <c r="M65" s="363">
        <f t="shared" si="22"/>
        <v>32</v>
      </c>
      <c r="N65" s="363">
        <f t="shared" si="22"/>
        <v>0</v>
      </c>
      <c r="O65" s="363">
        <f t="shared" si="22"/>
        <v>60</v>
      </c>
      <c r="P65" s="363">
        <f t="shared" si="22"/>
        <v>58</v>
      </c>
      <c r="Q65" s="363">
        <f t="shared" si="22"/>
        <v>55</v>
      </c>
      <c r="R65" s="363">
        <f t="shared" si="22"/>
        <v>64</v>
      </c>
      <c r="S65" s="363">
        <f t="shared" si="22"/>
        <v>62</v>
      </c>
      <c r="T65" s="363">
        <f t="shared" si="22"/>
        <v>14</v>
      </c>
      <c r="U65" s="363">
        <f t="shared" si="22"/>
        <v>1</v>
      </c>
      <c r="V65" s="363">
        <f t="shared" si="22"/>
        <v>69</v>
      </c>
      <c r="W65" s="363">
        <f t="shared" si="22"/>
        <v>90</v>
      </c>
      <c r="X65" s="363">
        <f t="shared" si="22"/>
        <v>81</v>
      </c>
      <c r="Y65" s="363">
        <f t="shared" si="22"/>
        <v>81</v>
      </c>
      <c r="Z65" s="363">
        <f t="shared" si="22"/>
        <v>85</v>
      </c>
      <c r="AA65" s="363">
        <f t="shared" si="22"/>
        <v>22</v>
      </c>
      <c r="AB65" s="363">
        <f t="shared" si="22"/>
        <v>0</v>
      </c>
      <c r="AC65" s="363">
        <f t="shared" si="22"/>
        <v>97</v>
      </c>
      <c r="AD65" s="363">
        <f t="shared" si="22"/>
        <v>95</v>
      </c>
      <c r="AE65" s="363">
        <f t="shared" si="22"/>
        <v>1</v>
      </c>
      <c r="AF65" s="363">
        <f t="shared" si="22"/>
        <v>81</v>
      </c>
      <c r="AG65" s="363">
        <f t="shared" si="22"/>
        <v>75</v>
      </c>
      <c r="AH65" s="363">
        <f t="shared" si="22"/>
        <v>3</v>
      </c>
      <c r="AI65" s="363">
        <f t="shared" si="22"/>
        <v>1</v>
      </c>
      <c r="AJ65" s="363">
        <f t="shared" ref="AJ65:AJ79" si="23">SUM(E65:AI65)</f>
        <v>1601</v>
      </c>
    </row>
    <row r="66" spans="1:38">
      <c r="A66" s="306"/>
      <c r="B66" s="306"/>
      <c r="C66" s="554" t="s">
        <v>22</v>
      </c>
      <c r="D66" s="501"/>
      <c r="E66" s="363">
        <f t="shared" ref="E66:AI66" si="24">E24-D24</f>
        <v>0</v>
      </c>
      <c r="F66" s="363">
        <f t="shared" si="24"/>
        <v>0</v>
      </c>
      <c r="G66" s="363">
        <f t="shared" si="24"/>
        <v>0</v>
      </c>
      <c r="H66" s="363">
        <f t="shared" si="24"/>
        <v>0</v>
      </c>
      <c r="I66" s="363">
        <f t="shared" si="24"/>
        <v>0</v>
      </c>
      <c r="J66" s="363">
        <f t="shared" si="24"/>
        <v>0</v>
      </c>
      <c r="K66" s="363">
        <f t="shared" si="24"/>
        <v>0</v>
      </c>
      <c r="L66" s="363">
        <f t="shared" si="24"/>
        <v>0</v>
      </c>
      <c r="M66" s="363">
        <f t="shared" si="24"/>
        <v>0</v>
      </c>
      <c r="N66" s="363">
        <f t="shared" si="24"/>
        <v>0</v>
      </c>
      <c r="O66" s="363">
        <f t="shared" si="24"/>
        <v>0</v>
      </c>
      <c r="P66" s="363">
        <f t="shared" si="24"/>
        <v>0</v>
      </c>
      <c r="Q66" s="363">
        <f t="shared" si="24"/>
        <v>0</v>
      </c>
      <c r="R66" s="363">
        <f t="shared" si="24"/>
        <v>0</v>
      </c>
      <c r="S66" s="363">
        <f t="shared" si="24"/>
        <v>0</v>
      </c>
      <c r="T66" s="363">
        <f t="shared" si="24"/>
        <v>0</v>
      </c>
      <c r="U66" s="363">
        <f t="shared" si="24"/>
        <v>0</v>
      </c>
      <c r="V66" s="363">
        <f t="shared" si="24"/>
        <v>0</v>
      </c>
      <c r="W66" s="363">
        <f t="shared" si="24"/>
        <v>0</v>
      </c>
      <c r="X66" s="363">
        <f t="shared" si="24"/>
        <v>0</v>
      </c>
      <c r="Y66" s="363">
        <f t="shared" si="24"/>
        <v>0</v>
      </c>
      <c r="Z66" s="363">
        <f t="shared" si="24"/>
        <v>0</v>
      </c>
      <c r="AA66" s="363">
        <f t="shared" si="24"/>
        <v>0</v>
      </c>
      <c r="AB66" s="363">
        <f t="shared" si="24"/>
        <v>0</v>
      </c>
      <c r="AC66" s="363">
        <f t="shared" si="24"/>
        <v>0</v>
      </c>
      <c r="AD66" s="363">
        <f t="shared" si="24"/>
        <v>0</v>
      </c>
      <c r="AE66" s="363">
        <f t="shared" si="24"/>
        <v>0</v>
      </c>
      <c r="AF66" s="363">
        <f t="shared" si="24"/>
        <v>0</v>
      </c>
      <c r="AG66" s="363">
        <f t="shared" si="24"/>
        <v>0</v>
      </c>
      <c r="AH66" s="363">
        <f t="shared" si="24"/>
        <v>0</v>
      </c>
      <c r="AI66" s="363">
        <f t="shared" si="24"/>
        <v>0</v>
      </c>
      <c r="AJ66" s="363">
        <f t="shared" si="23"/>
        <v>0</v>
      </c>
    </row>
    <row r="67" spans="1:38">
      <c r="A67" s="306">
        <v>2</v>
      </c>
      <c r="B67" s="306" t="s">
        <v>129</v>
      </c>
      <c r="C67" s="546" t="s">
        <v>120</v>
      </c>
      <c r="D67" s="501"/>
      <c r="E67" s="363">
        <f t="shared" ref="E67:AI67" si="25">E25-D25</f>
        <v>134</v>
      </c>
      <c r="F67" s="363">
        <f t="shared" si="25"/>
        <v>77</v>
      </c>
      <c r="G67" s="363">
        <f t="shared" si="25"/>
        <v>0</v>
      </c>
      <c r="H67" s="363">
        <f t="shared" si="25"/>
        <v>88</v>
      </c>
      <c r="I67" s="363">
        <f t="shared" si="25"/>
        <v>93</v>
      </c>
      <c r="J67" s="363">
        <f t="shared" si="25"/>
        <v>69</v>
      </c>
      <c r="K67" s="363">
        <f t="shared" si="25"/>
        <v>65</v>
      </c>
      <c r="L67" s="363">
        <f t="shared" si="25"/>
        <v>65</v>
      </c>
      <c r="M67" s="363">
        <f t="shared" si="25"/>
        <v>33</v>
      </c>
      <c r="N67" s="363">
        <f t="shared" si="25"/>
        <v>0</v>
      </c>
      <c r="O67" s="363">
        <f t="shared" si="25"/>
        <v>59</v>
      </c>
      <c r="P67" s="363">
        <f t="shared" si="25"/>
        <v>57</v>
      </c>
      <c r="Q67" s="363">
        <f t="shared" si="25"/>
        <v>59</v>
      </c>
      <c r="R67" s="363">
        <f t="shared" si="25"/>
        <v>63</v>
      </c>
      <c r="S67" s="363">
        <f t="shared" si="25"/>
        <v>66</v>
      </c>
      <c r="T67" s="363">
        <f t="shared" si="25"/>
        <v>1</v>
      </c>
      <c r="U67" s="363">
        <f t="shared" si="25"/>
        <v>1</v>
      </c>
      <c r="V67" s="363">
        <f t="shared" si="25"/>
        <v>69</v>
      </c>
      <c r="W67" s="363">
        <f t="shared" si="25"/>
        <v>65</v>
      </c>
      <c r="X67" s="363">
        <f t="shared" si="25"/>
        <v>62</v>
      </c>
      <c r="Y67" s="363">
        <f t="shared" si="25"/>
        <v>62</v>
      </c>
      <c r="Z67" s="363">
        <f t="shared" si="25"/>
        <v>61</v>
      </c>
      <c r="AA67" s="363">
        <f t="shared" si="25"/>
        <v>0</v>
      </c>
      <c r="AB67" s="363">
        <f t="shared" si="25"/>
        <v>0</v>
      </c>
      <c r="AC67" s="363">
        <f t="shared" si="25"/>
        <v>70</v>
      </c>
      <c r="AD67" s="363">
        <f t="shared" si="25"/>
        <v>75</v>
      </c>
      <c r="AE67" s="363">
        <f t="shared" si="25"/>
        <v>1</v>
      </c>
      <c r="AF67" s="363">
        <f t="shared" si="25"/>
        <v>72</v>
      </c>
      <c r="AG67" s="363">
        <f t="shared" si="25"/>
        <v>66</v>
      </c>
      <c r="AH67" s="363">
        <f t="shared" si="25"/>
        <v>37</v>
      </c>
      <c r="AI67" s="363">
        <f t="shared" si="25"/>
        <v>0</v>
      </c>
      <c r="AJ67" s="363">
        <f t="shared" si="23"/>
        <v>1570</v>
      </c>
    </row>
    <row r="68" spans="1:38">
      <c r="A68" s="306"/>
      <c r="B68" s="306"/>
      <c r="C68" s="554" t="s">
        <v>22</v>
      </c>
      <c r="D68" s="501"/>
      <c r="E68" s="363">
        <f t="shared" ref="E68:AI68" si="26">E26-D26</f>
        <v>0</v>
      </c>
      <c r="F68" s="363">
        <f t="shared" si="26"/>
        <v>0</v>
      </c>
      <c r="G68" s="363">
        <f t="shared" si="26"/>
        <v>0</v>
      </c>
      <c r="H68" s="363">
        <f t="shared" si="26"/>
        <v>0</v>
      </c>
      <c r="I68" s="363">
        <f t="shared" si="26"/>
        <v>0</v>
      </c>
      <c r="J68" s="363">
        <f t="shared" si="26"/>
        <v>0</v>
      </c>
      <c r="K68" s="363">
        <f t="shared" si="26"/>
        <v>0</v>
      </c>
      <c r="L68" s="363">
        <f t="shared" si="26"/>
        <v>0</v>
      </c>
      <c r="M68" s="363">
        <f t="shared" si="26"/>
        <v>0</v>
      </c>
      <c r="N68" s="363">
        <f t="shared" si="26"/>
        <v>0</v>
      </c>
      <c r="O68" s="363">
        <f t="shared" si="26"/>
        <v>0</v>
      </c>
      <c r="P68" s="363">
        <f t="shared" si="26"/>
        <v>0</v>
      </c>
      <c r="Q68" s="363">
        <f t="shared" si="26"/>
        <v>0</v>
      </c>
      <c r="R68" s="363">
        <f t="shared" si="26"/>
        <v>0</v>
      </c>
      <c r="S68" s="363">
        <f t="shared" si="26"/>
        <v>0</v>
      </c>
      <c r="T68" s="363">
        <f t="shared" si="26"/>
        <v>0</v>
      </c>
      <c r="U68" s="363">
        <f t="shared" si="26"/>
        <v>0</v>
      </c>
      <c r="V68" s="363">
        <f t="shared" si="26"/>
        <v>0</v>
      </c>
      <c r="W68" s="363">
        <f t="shared" si="26"/>
        <v>0</v>
      </c>
      <c r="X68" s="363">
        <f t="shared" si="26"/>
        <v>0</v>
      </c>
      <c r="Y68" s="363">
        <f t="shared" si="26"/>
        <v>0</v>
      </c>
      <c r="Z68" s="363">
        <f t="shared" si="26"/>
        <v>0</v>
      </c>
      <c r="AA68" s="363">
        <f t="shared" si="26"/>
        <v>0</v>
      </c>
      <c r="AB68" s="363">
        <f t="shared" si="26"/>
        <v>0</v>
      </c>
      <c r="AC68" s="363">
        <f t="shared" si="26"/>
        <v>34</v>
      </c>
      <c r="AD68" s="363">
        <f t="shared" si="26"/>
        <v>0</v>
      </c>
      <c r="AE68" s="363">
        <f t="shared" si="26"/>
        <v>0</v>
      </c>
      <c r="AF68" s="363">
        <f t="shared" si="26"/>
        <v>0</v>
      </c>
      <c r="AG68" s="363">
        <f t="shared" si="26"/>
        <v>0</v>
      </c>
      <c r="AH68" s="363">
        <f t="shared" si="26"/>
        <v>0</v>
      </c>
      <c r="AI68" s="363">
        <f t="shared" si="26"/>
        <v>0</v>
      </c>
      <c r="AJ68" s="363">
        <f t="shared" si="23"/>
        <v>34</v>
      </c>
      <c r="AK68" s="115" t="s">
        <v>20</v>
      </c>
      <c r="AL68" s="116">
        <f>AJ60</f>
        <v>50279</v>
      </c>
    </row>
    <row r="69" spans="1:38">
      <c r="A69" s="306">
        <v>3</v>
      </c>
      <c r="B69" s="306" t="s">
        <v>129</v>
      </c>
      <c r="C69" s="546" t="s">
        <v>121</v>
      </c>
      <c r="D69" s="501"/>
      <c r="E69" s="363">
        <f t="shared" ref="E69:AI69" si="27">E27-D27</f>
        <v>89</v>
      </c>
      <c r="F69" s="363">
        <f t="shared" si="27"/>
        <v>62</v>
      </c>
      <c r="G69" s="363">
        <f t="shared" si="27"/>
        <v>0</v>
      </c>
      <c r="H69" s="363">
        <f t="shared" si="27"/>
        <v>86</v>
      </c>
      <c r="I69" s="363">
        <f t="shared" si="27"/>
        <v>94</v>
      </c>
      <c r="J69" s="363">
        <f t="shared" si="27"/>
        <v>70</v>
      </c>
      <c r="K69" s="363">
        <f t="shared" si="27"/>
        <v>81</v>
      </c>
      <c r="L69" s="363">
        <f t="shared" si="27"/>
        <v>69</v>
      </c>
      <c r="M69" s="363">
        <f t="shared" si="27"/>
        <v>71</v>
      </c>
      <c r="N69" s="363">
        <f t="shared" si="27"/>
        <v>0</v>
      </c>
      <c r="O69" s="363">
        <f t="shared" si="27"/>
        <v>81</v>
      </c>
      <c r="P69" s="363">
        <f t="shared" si="27"/>
        <v>73</v>
      </c>
      <c r="Q69" s="363">
        <f t="shared" si="27"/>
        <v>66</v>
      </c>
      <c r="R69" s="363">
        <f t="shared" si="27"/>
        <v>61</v>
      </c>
      <c r="S69" s="363">
        <f t="shared" si="27"/>
        <v>66</v>
      </c>
      <c r="T69" s="363">
        <f t="shared" si="27"/>
        <v>1</v>
      </c>
      <c r="U69" s="363">
        <f t="shared" si="27"/>
        <v>0</v>
      </c>
      <c r="V69" s="363">
        <f t="shared" si="27"/>
        <v>65</v>
      </c>
      <c r="W69" s="363">
        <f t="shared" si="27"/>
        <v>58</v>
      </c>
      <c r="X69" s="363">
        <f t="shared" si="27"/>
        <v>61</v>
      </c>
      <c r="Y69" s="363">
        <f t="shared" si="27"/>
        <v>58</v>
      </c>
      <c r="Z69" s="363">
        <f t="shared" si="27"/>
        <v>66</v>
      </c>
      <c r="AA69" s="363">
        <f t="shared" si="27"/>
        <v>21</v>
      </c>
      <c r="AB69" s="363">
        <f t="shared" si="27"/>
        <v>0</v>
      </c>
      <c r="AC69" s="363">
        <f t="shared" si="27"/>
        <v>112</v>
      </c>
      <c r="AD69" s="363">
        <f t="shared" si="27"/>
        <v>96</v>
      </c>
      <c r="AE69" s="363">
        <f t="shared" si="27"/>
        <v>4</v>
      </c>
      <c r="AF69" s="363">
        <f t="shared" si="27"/>
        <v>87</v>
      </c>
      <c r="AG69" s="363">
        <f t="shared" si="27"/>
        <v>83</v>
      </c>
      <c r="AH69" s="363">
        <f t="shared" si="27"/>
        <v>52</v>
      </c>
      <c r="AI69" s="363">
        <f t="shared" si="27"/>
        <v>0</v>
      </c>
      <c r="AJ69" s="363">
        <f t="shared" si="23"/>
        <v>1733</v>
      </c>
      <c r="AK69" s="115" t="s">
        <v>21</v>
      </c>
      <c r="AL69" s="116">
        <f>AJ73</f>
        <v>6266</v>
      </c>
    </row>
    <row r="70" spans="1:38">
      <c r="A70" s="306"/>
      <c r="B70" s="306"/>
      <c r="C70" s="554" t="s">
        <v>22</v>
      </c>
      <c r="D70" s="501"/>
      <c r="E70" s="363">
        <f t="shared" ref="E70:AI70" si="28">E28-D28</f>
        <v>0</v>
      </c>
      <c r="F70" s="363">
        <f t="shared" si="28"/>
        <v>0</v>
      </c>
      <c r="G70" s="363">
        <f t="shared" si="28"/>
        <v>0</v>
      </c>
      <c r="H70" s="363">
        <f t="shared" si="28"/>
        <v>0</v>
      </c>
      <c r="I70" s="363">
        <f t="shared" si="28"/>
        <v>0</v>
      </c>
      <c r="J70" s="363">
        <f t="shared" si="28"/>
        <v>0</v>
      </c>
      <c r="K70" s="363">
        <f t="shared" si="28"/>
        <v>0</v>
      </c>
      <c r="L70" s="363">
        <f t="shared" si="28"/>
        <v>0</v>
      </c>
      <c r="M70" s="363">
        <f t="shared" si="28"/>
        <v>0</v>
      </c>
      <c r="N70" s="363">
        <f t="shared" si="28"/>
        <v>0</v>
      </c>
      <c r="O70" s="363">
        <f t="shared" si="28"/>
        <v>0</v>
      </c>
      <c r="P70" s="363">
        <f t="shared" si="28"/>
        <v>0</v>
      </c>
      <c r="Q70" s="363">
        <f t="shared" si="28"/>
        <v>0</v>
      </c>
      <c r="R70" s="363">
        <f t="shared" si="28"/>
        <v>0</v>
      </c>
      <c r="S70" s="363">
        <f t="shared" si="28"/>
        <v>0</v>
      </c>
      <c r="T70" s="363">
        <f t="shared" si="28"/>
        <v>0</v>
      </c>
      <c r="U70" s="363">
        <f t="shared" si="28"/>
        <v>0</v>
      </c>
      <c r="V70" s="363">
        <f t="shared" si="28"/>
        <v>0</v>
      </c>
      <c r="W70" s="363">
        <f t="shared" si="28"/>
        <v>0</v>
      </c>
      <c r="X70" s="363">
        <f t="shared" si="28"/>
        <v>0</v>
      </c>
      <c r="Y70" s="363">
        <f t="shared" si="28"/>
        <v>0</v>
      </c>
      <c r="Z70" s="363">
        <f t="shared" si="28"/>
        <v>0</v>
      </c>
      <c r="AA70" s="363">
        <f t="shared" si="28"/>
        <v>0</v>
      </c>
      <c r="AB70" s="363">
        <f t="shared" si="28"/>
        <v>0</v>
      </c>
      <c r="AC70" s="363">
        <f t="shared" si="28"/>
        <v>7</v>
      </c>
      <c r="AD70" s="363">
        <f t="shared" si="28"/>
        <v>0</v>
      </c>
      <c r="AE70" s="363">
        <f t="shared" si="28"/>
        <v>0</v>
      </c>
      <c r="AF70" s="363">
        <f t="shared" si="28"/>
        <v>0</v>
      </c>
      <c r="AG70" s="363">
        <f t="shared" si="28"/>
        <v>0</v>
      </c>
      <c r="AH70" s="363">
        <f t="shared" si="28"/>
        <v>0</v>
      </c>
      <c r="AI70" s="363">
        <f t="shared" si="28"/>
        <v>0</v>
      </c>
      <c r="AJ70" s="363">
        <f t="shared" si="23"/>
        <v>7</v>
      </c>
      <c r="AK70" s="115" t="s">
        <v>23</v>
      </c>
      <c r="AL70" s="116">
        <f>AJ79*40%</f>
        <v>19663.2</v>
      </c>
    </row>
    <row r="71" spans="1:38">
      <c r="A71" s="306">
        <v>4</v>
      </c>
      <c r="B71" s="306" t="s">
        <v>129</v>
      </c>
      <c r="C71" s="546" t="s">
        <v>122</v>
      </c>
      <c r="D71" s="501"/>
      <c r="E71" s="363">
        <f t="shared" ref="E71:AI71" si="29">E29-D29</f>
        <v>68</v>
      </c>
      <c r="F71" s="363">
        <f t="shared" si="29"/>
        <v>46</v>
      </c>
      <c r="G71" s="363">
        <f t="shared" si="29"/>
        <v>0</v>
      </c>
      <c r="H71" s="363">
        <f t="shared" si="29"/>
        <v>66</v>
      </c>
      <c r="I71" s="363">
        <f t="shared" si="29"/>
        <v>68</v>
      </c>
      <c r="J71" s="363">
        <f t="shared" si="29"/>
        <v>55</v>
      </c>
      <c r="K71" s="363">
        <f t="shared" si="29"/>
        <v>62</v>
      </c>
      <c r="L71" s="363">
        <f t="shared" si="29"/>
        <v>54</v>
      </c>
      <c r="M71" s="363">
        <f t="shared" si="29"/>
        <v>31</v>
      </c>
      <c r="N71" s="363">
        <f t="shared" si="29"/>
        <v>1</v>
      </c>
      <c r="O71" s="363">
        <f t="shared" si="29"/>
        <v>60</v>
      </c>
      <c r="P71" s="363">
        <f t="shared" si="29"/>
        <v>50</v>
      </c>
      <c r="Q71" s="363">
        <f t="shared" si="29"/>
        <v>57</v>
      </c>
      <c r="R71" s="363">
        <f t="shared" si="29"/>
        <v>55</v>
      </c>
      <c r="S71" s="363">
        <f t="shared" si="29"/>
        <v>51</v>
      </c>
      <c r="T71" s="363">
        <f t="shared" si="29"/>
        <v>0</v>
      </c>
      <c r="U71" s="363">
        <f t="shared" si="29"/>
        <v>1</v>
      </c>
      <c r="V71" s="363">
        <f t="shared" si="29"/>
        <v>64</v>
      </c>
      <c r="W71" s="363">
        <f t="shared" si="29"/>
        <v>50</v>
      </c>
      <c r="X71" s="363">
        <f t="shared" si="29"/>
        <v>63</v>
      </c>
      <c r="Y71" s="363">
        <f t="shared" si="29"/>
        <v>59</v>
      </c>
      <c r="Z71" s="363">
        <f t="shared" si="29"/>
        <v>67</v>
      </c>
      <c r="AA71" s="363">
        <f t="shared" si="29"/>
        <v>2</v>
      </c>
      <c r="AB71" s="363">
        <f t="shared" si="29"/>
        <v>1</v>
      </c>
      <c r="AC71" s="363">
        <f t="shared" si="29"/>
        <v>82</v>
      </c>
      <c r="AD71" s="363">
        <f t="shared" si="29"/>
        <v>89</v>
      </c>
      <c r="AE71" s="363">
        <f t="shared" si="29"/>
        <v>4</v>
      </c>
      <c r="AF71" s="363">
        <f t="shared" si="29"/>
        <v>82</v>
      </c>
      <c r="AG71" s="363">
        <f t="shared" si="29"/>
        <v>69</v>
      </c>
      <c r="AH71" s="363">
        <f t="shared" si="29"/>
        <v>4</v>
      </c>
      <c r="AI71" s="363">
        <f t="shared" si="29"/>
        <v>1</v>
      </c>
      <c r="AJ71" s="363">
        <f t="shared" si="23"/>
        <v>1362</v>
      </c>
      <c r="AK71" s="117" t="s">
        <v>22</v>
      </c>
      <c r="AL71" s="118">
        <f>AJ74+AJ61</f>
        <v>148</v>
      </c>
    </row>
    <row r="72" spans="1:38">
      <c r="A72" s="306"/>
      <c r="B72" s="306"/>
      <c r="C72" s="554" t="s">
        <v>22</v>
      </c>
      <c r="D72" s="501"/>
      <c r="E72" s="363">
        <f t="shared" ref="E72:AI72" si="30">E30-D30</f>
        <v>0</v>
      </c>
      <c r="F72" s="363">
        <f t="shared" si="30"/>
        <v>0</v>
      </c>
      <c r="G72" s="363">
        <f t="shared" si="30"/>
        <v>0</v>
      </c>
      <c r="H72" s="363">
        <f t="shared" si="30"/>
        <v>0</v>
      </c>
      <c r="I72" s="363">
        <f t="shared" si="30"/>
        <v>0</v>
      </c>
      <c r="J72" s="363">
        <f t="shared" si="30"/>
        <v>0</v>
      </c>
      <c r="K72" s="363">
        <f t="shared" si="30"/>
        <v>0</v>
      </c>
      <c r="L72" s="363">
        <f t="shared" si="30"/>
        <v>0</v>
      </c>
      <c r="M72" s="363">
        <f t="shared" si="30"/>
        <v>0</v>
      </c>
      <c r="N72" s="363">
        <f t="shared" si="30"/>
        <v>0</v>
      </c>
      <c r="O72" s="363">
        <f t="shared" si="30"/>
        <v>0</v>
      </c>
      <c r="P72" s="363">
        <f t="shared" si="30"/>
        <v>0</v>
      </c>
      <c r="Q72" s="363">
        <f t="shared" si="30"/>
        <v>0</v>
      </c>
      <c r="R72" s="363">
        <f t="shared" si="30"/>
        <v>0</v>
      </c>
      <c r="S72" s="363">
        <f t="shared" si="30"/>
        <v>0</v>
      </c>
      <c r="T72" s="363">
        <f t="shared" si="30"/>
        <v>0</v>
      </c>
      <c r="U72" s="363">
        <f t="shared" si="30"/>
        <v>0</v>
      </c>
      <c r="V72" s="363">
        <f t="shared" si="30"/>
        <v>0</v>
      </c>
      <c r="W72" s="363">
        <f t="shared" si="30"/>
        <v>0</v>
      </c>
      <c r="X72" s="363">
        <f t="shared" si="30"/>
        <v>0</v>
      </c>
      <c r="Y72" s="363">
        <f t="shared" si="30"/>
        <v>0</v>
      </c>
      <c r="Z72" s="363">
        <f t="shared" si="30"/>
        <v>0</v>
      </c>
      <c r="AA72" s="363">
        <f t="shared" si="30"/>
        <v>0</v>
      </c>
      <c r="AB72" s="363">
        <f t="shared" si="30"/>
        <v>0</v>
      </c>
      <c r="AC72" s="363">
        <f t="shared" si="30"/>
        <v>5</v>
      </c>
      <c r="AD72" s="363">
        <f t="shared" si="30"/>
        <v>0</v>
      </c>
      <c r="AE72" s="363">
        <f t="shared" si="30"/>
        <v>0</v>
      </c>
      <c r="AF72" s="363">
        <f t="shared" si="30"/>
        <v>0</v>
      </c>
      <c r="AG72" s="363">
        <f t="shared" si="30"/>
        <v>0</v>
      </c>
      <c r="AH72" s="363">
        <f t="shared" si="30"/>
        <v>0</v>
      </c>
      <c r="AI72" s="363">
        <f t="shared" si="30"/>
        <v>0</v>
      </c>
      <c r="AJ72" s="363">
        <f t="shared" si="23"/>
        <v>5</v>
      </c>
    </row>
    <row r="73" spans="1:38">
      <c r="A73" s="357"/>
      <c r="B73" s="357"/>
      <c r="C73" s="553" t="s">
        <v>134</v>
      </c>
      <c r="D73" s="501"/>
      <c r="E73" s="358">
        <f t="shared" ref="E73:AI73" si="31">SUM(E65,E67,E69,E71)</f>
        <v>401</v>
      </c>
      <c r="F73" s="358">
        <f t="shared" si="31"/>
        <v>249</v>
      </c>
      <c r="G73" s="358">
        <f t="shared" si="31"/>
        <v>0</v>
      </c>
      <c r="H73" s="358">
        <f t="shared" si="31"/>
        <v>300</v>
      </c>
      <c r="I73" s="358">
        <f t="shared" si="31"/>
        <v>322</v>
      </c>
      <c r="J73" s="358">
        <f t="shared" si="31"/>
        <v>252</v>
      </c>
      <c r="K73" s="358">
        <f t="shared" si="31"/>
        <v>268</v>
      </c>
      <c r="L73" s="358">
        <f t="shared" si="31"/>
        <v>243</v>
      </c>
      <c r="M73" s="358">
        <f t="shared" si="31"/>
        <v>167</v>
      </c>
      <c r="N73" s="358">
        <f t="shared" si="31"/>
        <v>1</v>
      </c>
      <c r="O73" s="358">
        <f t="shared" si="31"/>
        <v>260</v>
      </c>
      <c r="P73" s="358">
        <f t="shared" si="31"/>
        <v>238</v>
      </c>
      <c r="Q73" s="358">
        <f t="shared" si="31"/>
        <v>237</v>
      </c>
      <c r="R73" s="358">
        <f t="shared" si="31"/>
        <v>243</v>
      </c>
      <c r="S73" s="358">
        <f t="shared" si="31"/>
        <v>245</v>
      </c>
      <c r="T73" s="358">
        <f t="shared" si="31"/>
        <v>16</v>
      </c>
      <c r="U73" s="358">
        <f t="shared" si="31"/>
        <v>3</v>
      </c>
      <c r="V73" s="358">
        <f t="shared" si="31"/>
        <v>267</v>
      </c>
      <c r="W73" s="358">
        <f t="shared" si="31"/>
        <v>263</v>
      </c>
      <c r="X73" s="358">
        <f t="shared" si="31"/>
        <v>267</v>
      </c>
      <c r="Y73" s="358">
        <f t="shared" si="31"/>
        <v>260</v>
      </c>
      <c r="Z73" s="358">
        <f t="shared" si="31"/>
        <v>279</v>
      </c>
      <c r="AA73" s="358">
        <f t="shared" si="31"/>
        <v>45</v>
      </c>
      <c r="AB73" s="358">
        <f t="shared" si="31"/>
        <v>1</v>
      </c>
      <c r="AC73" s="358">
        <f t="shared" si="31"/>
        <v>361</v>
      </c>
      <c r="AD73" s="358">
        <f t="shared" si="31"/>
        <v>355</v>
      </c>
      <c r="AE73" s="358">
        <f t="shared" si="31"/>
        <v>10</v>
      </c>
      <c r="AF73" s="358">
        <f t="shared" si="31"/>
        <v>322</v>
      </c>
      <c r="AG73" s="358">
        <f t="shared" si="31"/>
        <v>293</v>
      </c>
      <c r="AH73" s="358">
        <f t="shared" si="31"/>
        <v>96</v>
      </c>
      <c r="AI73" s="358">
        <f t="shared" si="31"/>
        <v>2</v>
      </c>
      <c r="AJ73" s="359">
        <f t="shared" si="23"/>
        <v>6266</v>
      </c>
    </row>
    <row r="74" spans="1:38">
      <c r="A74" s="357"/>
      <c r="B74" s="357"/>
      <c r="C74" s="556" t="s">
        <v>135</v>
      </c>
      <c r="D74" s="501"/>
      <c r="E74" s="358">
        <f t="shared" ref="E74:AI74" si="32">SUM(E66,E68,E70,E72)</f>
        <v>0</v>
      </c>
      <c r="F74" s="358">
        <f t="shared" si="32"/>
        <v>0</v>
      </c>
      <c r="G74" s="358">
        <f t="shared" si="32"/>
        <v>0</v>
      </c>
      <c r="H74" s="358">
        <f t="shared" si="32"/>
        <v>0</v>
      </c>
      <c r="I74" s="358">
        <f t="shared" si="32"/>
        <v>0</v>
      </c>
      <c r="J74" s="358">
        <f t="shared" si="32"/>
        <v>0</v>
      </c>
      <c r="K74" s="358">
        <f t="shared" si="32"/>
        <v>0</v>
      </c>
      <c r="L74" s="358">
        <f t="shared" si="32"/>
        <v>0</v>
      </c>
      <c r="M74" s="358">
        <f t="shared" si="32"/>
        <v>0</v>
      </c>
      <c r="N74" s="358">
        <f t="shared" si="32"/>
        <v>0</v>
      </c>
      <c r="O74" s="358">
        <f t="shared" si="32"/>
        <v>0</v>
      </c>
      <c r="P74" s="358">
        <f t="shared" si="32"/>
        <v>0</v>
      </c>
      <c r="Q74" s="358">
        <f t="shared" si="32"/>
        <v>0</v>
      </c>
      <c r="R74" s="358">
        <f t="shared" si="32"/>
        <v>0</v>
      </c>
      <c r="S74" s="358">
        <f t="shared" si="32"/>
        <v>0</v>
      </c>
      <c r="T74" s="358">
        <f t="shared" si="32"/>
        <v>0</v>
      </c>
      <c r="U74" s="358">
        <f t="shared" si="32"/>
        <v>0</v>
      </c>
      <c r="V74" s="358">
        <f t="shared" si="32"/>
        <v>0</v>
      </c>
      <c r="W74" s="358">
        <f t="shared" si="32"/>
        <v>0</v>
      </c>
      <c r="X74" s="358">
        <f t="shared" si="32"/>
        <v>0</v>
      </c>
      <c r="Y74" s="358">
        <f t="shared" si="32"/>
        <v>0</v>
      </c>
      <c r="Z74" s="358">
        <f t="shared" si="32"/>
        <v>0</v>
      </c>
      <c r="AA74" s="358">
        <f t="shared" si="32"/>
        <v>0</v>
      </c>
      <c r="AB74" s="358">
        <f t="shared" si="32"/>
        <v>0</v>
      </c>
      <c r="AC74" s="358">
        <f t="shared" si="32"/>
        <v>46</v>
      </c>
      <c r="AD74" s="358">
        <f t="shared" si="32"/>
        <v>0</v>
      </c>
      <c r="AE74" s="358">
        <f t="shared" si="32"/>
        <v>0</v>
      </c>
      <c r="AF74" s="358">
        <f t="shared" si="32"/>
        <v>0</v>
      </c>
      <c r="AG74" s="358">
        <f t="shared" si="32"/>
        <v>0</v>
      </c>
      <c r="AH74" s="358">
        <f t="shared" si="32"/>
        <v>0</v>
      </c>
      <c r="AI74" s="358">
        <f t="shared" si="32"/>
        <v>0</v>
      </c>
      <c r="AJ74" s="359">
        <f t="shared" si="23"/>
        <v>46</v>
      </c>
    </row>
    <row r="75" spans="1:38">
      <c r="A75" s="306">
        <v>1</v>
      </c>
      <c r="B75" s="306" t="s">
        <v>129</v>
      </c>
      <c r="C75" s="544" t="s">
        <v>123</v>
      </c>
      <c r="D75" s="501"/>
      <c r="E75" s="363">
        <f t="shared" ref="E75:AI75" si="33">E32-D32</f>
        <v>677</v>
      </c>
      <c r="F75" s="363">
        <f t="shared" si="33"/>
        <v>439</v>
      </c>
      <c r="G75" s="363">
        <f t="shared" si="33"/>
        <v>0</v>
      </c>
      <c r="H75" s="363">
        <f t="shared" si="33"/>
        <v>426</v>
      </c>
      <c r="I75" s="363">
        <f t="shared" si="33"/>
        <v>449</v>
      </c>
      <c r="J75" s="363">
        <f t="shared" si="33"/>
        <v>414</v>
      </c>
      <c r="K75" s="363">
        <f t="shared" si="33"/>
        <v>332</v>
      </c>
      <c r="L75" s="363">
        <f t="shared" si="33"/>
        <v>374</v>
      </c>
      <c r="M75" s="363">
        <f t="shared" si="33"/>
        <v>175</v>
      </c>
      <c r="N75" s="363">
        <f t="shared" si="33"/>
        <v>0</v>
      </c>
      <c r="O75" s="363">
        <f t="shared" si="33"/>
        <v>570</v>
      </c>
      <c r="P75" s="363">
        <f t="shared" si="33"/>
        <v>499</v>
      </c>
      <c r="Q75" s="363">
        <f t="shared" si="33"/>
        <v>458</v>
      </c>
      <c r="R75" s="363">
        <f t="shared" si="33"/>
        <v>405</v>
      </c>
      <c r="S75" s="363">
        <f t="shared" si="33"/>
        <v>342</v>
      </c>
      <c r="T75" s="363">
        <f t="shared" si="33"/>
        <v>91</v>
      </c>
      <c r="U75" s="363">
        <f t="shared" si="33"/>
        <v>0</v>
      </c>
      <c r="V75" s="363">
        <f t="shared" si="33"/>
        <v>544</v>
      </c>
      <c r="W75" s="363">
        <f t="shared" si="33"/>
        <v>470</v>
      </c>
      <c r="X75" s="363">
        <f t="shared" si="33"/>
        <v>416</v>
      </c>
      <c r="Y75" s="363">
        <f t="shared" si="33"/>
        <v>510</v>
      </c>
      <c r="Z75" s="363">
        <f t="shared" si="33"/>
        <v>429</v>
      </c>
      <c r="AA75" s="363">
        <f t="shared" si="33"/>
        <v>133</v>
      </c>
      <c r="AB75" s="363">
        <f t="shared" si="33"/>
        <v>0</v>
      </c>
      <c r="AC75" s="363">
        <f t="shared" si="33"/>
        <v>499</v>
      </c>
      <c r="AD75" s="363">
        <f t="shared" si="33"/>
        <v>608</v>
      </c>
      <c r="AE75" s="363">
        <f t="shared" si="33"/>
        <v>51</v>
      </c>
      <c r="AF75" s="363">
        <f t="shared" si="33"/>
        <v>498</v>
      </c>
      <c r="AG75" s="363">
        <f t="shared" si="33"/>
        <v>402</v>
      </c>
      <c r="AH75" s="363">
        <f t="shared" si="33"/>
        <v>27</v>
      </c>
      <c r="AI75" s="363">
        <f t="shared" si="33"/>
        <v>0</v>
      </c>
      <c r="AJ75" s="363">
        <f t="shared" si="23"/>
        <v>10238</v>
      </c>
    </row>
    <row r="76" spans="1:38">
      <c r="A76" s="306">
        <v>2</v>
      </c>
      <c r="B76" s="306" t="s">
        <v>129</v>
      </c>
      <c r="C76" s="544" t="s">
        <v>124</v>
      </c>
      <c r="D76" s="501"/>
      <c r="E76" s="363">
        <f t="shared" ref="E76:AI76" si="34">E33-D33</f>
        <v>496</v>
      </c>
      <c r="F76" s="363">
        <f t="shared" si="34"/>
        <v>177</v>
      </c>
      <c r="G76" s="363">
        <f t="shared" si="34"/>
        <v>0</v>
      </c>
      <c r="H76" s="363">
        <f t="shared" si="34"/>
        <v>484</v>
      </c>
      <c r="I76" s="363">
        <f t="shared" si="34"/>
        <v>358</v>
      </c>
      <c r="J76" s="363">
        <f t="shared" si="34"/>
        <v>346</v>
      </c>
      <c r="K76" s="363">
        <f t="shared" si="34"/>
        <v>354</v>
      </c>
      <c r="L76" s="363">
        <f t="shared" si="34"/>
        <v>322</v>
      </c>
      <c r="M76" s="363">
        <f t="shared" si="34"/>
        <v>192</v>
      </c>
      <c r="N76" s="363">
        <f t="shared" si="34"/>
        <v>0</v>
      </c>
      <c r="O76" s="363">
        <f t="shared" si="34"/>
        <v>502</v>
      </c>
      <c r="P76" s="363">
        <f t="shared" si="34"/>
        <v>492</v>
      </c>
      <c r="Q76" s="363">
        <f t="shared" si="34"/>
        <v>455</v>
      </c>
      <c r="R76" s="363">
        <f t="shared" si="34"/>
        <v>348</v>
      </c>
      <c r="S76" s="363">
        <f t="shared" si="34"/>
        <v>358</v>
      </c>
      <c r="T76" s="363">
        <f t="shared" si="34"/>
        <v>0</v>
      </c>
      <c r="U76" s="363">
        <f t="shared" si="34"/>
        <v>0</v>
      </c>
      <c r="V76" s="363">
        <f t="shared" si="34"/>
        <v>589</v>
      </c>
      <c r="W76" s="363">
        <f t="shared" si="34"/>
        <v>470</v>
      </c>
      <c r="X76" s="363">
        <f t="shared" si="34"/>
        <v>432</v>
      </c>
      <c r="Y76" s="363">
        <f t="shared" si="34"/>
        <v>562</v>
      </c>
      <c r="Z76" s="363">
        <f t="shared" si="34"/>
        <v>378</v>
      </c>
      <c r="AA76" s="363">
        <f t="shared" si="34"/>
        <v>0</v>
      </c>
      <c r="AB76" s="363">
        <f t="shared" si="34"/>
        <v>0</v>
      </c>
      <c r="AC76" s="363">
        <f t="shared" si="34"/>
        <v>499</v>
      </c>
      <c r="AD76" s="363">
        <f t="shared" si="34"/>
        <v>555</v>
      </c>
      <c r="AE76" s="363">
        <f t="shared" si="34"/>
        <v>48</v>
      </c>
      <c r="AF76" s="363">
        <f t="shared" si="34"/>
        <v>491</v>
      </c>
      <c r="AG76" s="363">
        <f t="shared" si="34"/>
        <v>429</v>
      </c>
      <c r="AH76" s="363">
        <f t="shared" si="34"/>
        <v>217</v>
      </c>
      <c r="AI76" s="363">
        <f t="shared" si="34"/>
        <v>0</v>
      </c>
      <c r="AJ76" s="363">
        <f t="shared" si="23"/>
        <v>9554</v>
      </c>
    </row>
    <row r="77" spans="1:38">
      <c r="A77" s="306">
        <v>3</v>
      </c>
      <c r="B77" s="306" t="s">
        <v>129</v>
      </c>
      <c r="C77" s="544" t="s">
        <v>125</v>
      </c>
      <c r="D77" s="501"/>
      <c r="E77" s="363">
        <f t="shared" ref="E77:AI77" si="35">E34-D34</f>
        <v>719</v>
      </c>
      <c r="F77" s="363">
        <f t="shared" si="35"/>
        <v>409</v>
      </c>
      <c r="G77" s="363">
        <f t="shared" si="35"/>
        <v>0</v>
      </c>
      <c r="H77" s="363">
        <f t="shared" si="35"/>
        <v>664</v>
      </c>
      <c r="I77" s="363">
        <f t="shared" si="35"/>
        <v>538</v>
      </c>
      <c r="J77" s="363">
        <f t="shared" si="35"/>
        <v>470</v>
      </c>
      <c r="K77" s="363">
        <f t="shared" si="35"/>
        <v>332</v>
      </c>
      <c r="L77" s="363">
        <f t="shared" si="35"/>
        <v>364</v>
      </c>
      <c r="M77" s="363">
        <f t="shared" si="35"/>
        <v>393</v>
      </c>
      <c r="N77" s="363">
        <f t="shared" si="35"/>
        <v>0</v>
      </c>
      <c r="O77" s="363">
        <f t="shared" si="35"/>
        <v>890</v>
      </c>
      <c r="P77" s="363">
        <f t="shared" si="35"/>
        <v>545</v>
      </c>
      <c r="Q77" s="363">
        <f t="shared" si="35"/>
        <v>614</v>
      </c>
      <c r="R77" s="363">
        <f t="shared" si="35"/>
        <v>446</v>
      </c>
      <c r="S77" s="363">
        <f t="shared" si="35"/>
        <v>462</v>
      </c>
      <c r="T77" s="363">
        <f t="shared" si="35"/>
        <v>0</v>
      </c>
      <c r="U77" s="363">
        <f t="shared" si="35"/>
        <v>0</v>
      </c>
      <c r="V77" s="363">
        <f t="shared" si="35"/>
        <v>754</v>
      </c>
      <c r="W77" s="363">
        <f t="shared" si="35"/>
        <v>547</v>
      </c>
      <c r="X77" s="363">
        <f t="shared" si="35"/>
        <v>582</v>
      </c>
      <c r="Y77" s="363">
        <f t="shared" si="35"/>
        <v>590</v>
      </c>
      <c r="Z77" s="363">
        <f t="shared" si="35"/>
        <v>589</v>
      </c>
      <c r="AA77" s="363">
        <f t="shared" si="35"/>
        <v>264</v>
      </c>
      <c r="AB77" s="363">
        <f t="shared" si="35"/>
        <v>0</v>
      </c>
      <c r="AC77" s="363">
        <f t="shared" si="35"/>
        <v>711</v>
      </c>
      <c r="AD77" s="363">
        <f t="shared" si="35"/>
        <v>724</v>
      </c>
      <c r="AE77" s="363">
        <f t="shared" si="35"/>
        <v>83</v>
      </c>
      <c r="AF77" s="363">
        <f t="shared" si="35"/>
        <v>612</v>
      </c>
      <c r="AG77" s="363">
        <f t="shared" si="35"/>
        <v>461</v>
      </c>
      <c r="AH77" s="363">
        <f t="shared" si="35"/>
        <v>304</v>
      </c>
      <c r="AI77" s="363">
        <f t="shared" si="35"/>
        <v>0</v>
      </c>
      <c r="AJ77" s="363">
        <f t="shared" si="23"/>
        <v>13067</v>
      </c>
    </row>
    <row r="78" spans="1:38">
      <c r="A78" s="306">
        <v>4</v>
      </c>
      <c r="B78" s="306" t="s">
        <v>129</v>
      </c>
      <c r="C78" s="544" t="s">
        <v>126</v>
      </c>
      <c r="D78" s="501"/>
      <c r="E78" s="363">
        <f t="shared" ref="E78:AI78" si="36">E35-D35</f>
        <v>911</v>
      </c>
      <c r="F78" s="363">
        <f t="shared" si="36"/>
        <v>466</v>
      </c>
      <c r="G78" s="363">
        <f t="shared" si="36"/>
        <v>0</v>
      </c>
      <c r="H78" s="363">
        <f t="shared" si="36"/>
        <v>763</v>
      </c>
      <c r="I78" s="363">
        <f t="shared" si="36"/>
        <v>737</v>
      </c>
      <c r="J78" s="363">
        <f t="shared" si="36"/>
        <v>730</v>
      </c>
      <c r="K78" s="363">
        <f t="shared" si="36"/>
        <v>680</v>
      </c>
      <c r="L78" s="363">
        <f t="shared" si="36"/>
        <v>653</v>
      </c>
      <c r="M78" s="363">
        <f t="shared" si="36"/>
        <v>343</v>
      </c>
      <c r="N78" s="363">
        <f t="shared" si="36"/>
        <v>0</v>
      </c>
      <c r="O78" s="363">
        <f t="shared" si="36"/>
        <v>821</v>
      </c>
      <c r="P78" s="363">
        <f t="shared" si="36"/>
        <v>735</v>
      </c>
      <c r="Q78" s="363">
        <f t="shared" si="36"/>
        <v>698</v>
      </c>
      <c r="R78" s="363">
        <f t="shared" si="36"/>
        <v>655</v>
      </c>
      <c r="S78" s="363">
        <f t="shared" si="36"/>
        <v>605</v>
      </c>
      <c r="T78" s="363">
        <f t="shared" si="36"/>
        <v>71</v>
      </c>
      <c r="U78" s="363">
        <f t="shared" si="36"/>
        <v>0</v>
      </c>
      <c r="V78" s="363">
        <f t="shared" si="36"/>
        <v>874</v>
      </c>
      <c r="W78" s="363">
        <f t="shared" si="36"/>
        <v>638</v>
      </c>
      <c r="X78" s="363">
        <f t="shared" si="36"/>
        <v>669</v>
      </c>
      <c r="Y78" s="363">
        <f t="shared" si="36"/>
        <v>741</v>
      </c>
      <c r="Z78" s="363">
        <f t="shared" si="36"/>
        <v>688</v>
      </c>
      <c r="AA78" s="363">
        <f t="shared" si="36"/>
        <v>150</v>
      </c>
      <c r="AB78" s="363">
        <f t="shared" si="36"/>
        <v>0</v>
      </c>
      <c r="AC78" s="363">
        <f t="shared" si="36"/>
        <v>796</v>
      </c>
      <c r="AD78" s="363">
        <f t="shared" si="36"/>
        <v>1073</v>
      </c>
      <c r="AE78" s="363">
        <f t="shared" si="36"/>
        <v>153</v>
      </c>
      <c r="AF78" s="363">
        <f t="shared" si="36"/>
        <v>833</v>
      </c>
      <c r="AG78" s="363">
        <f t="shared" si="36"/>
        <v>715</v>
      </c>
      <c r="AH78" s="363">
        <f t="shared" si="36"/>
        <v>101</v>
      </c>
      <c r="AI78" s="363">
        <f t="shared" si="36"/>
        <v>0</v>
      </c>
      <c r="AJ78" s="363">
        <f t="shared" si="23"/>
        <v>16299</v>
      </c>
    </row>
    <row r="79" spans="1:38">
      <c r="A79" s="357"/>
      <c r="B79" s="357"/>
      <c r="C79" s="553" t="s">
        <v>136</v>
      </c>
      <c r="D79" s="501"/>
      <c r="E79" s="358">
        <f t="shared" ref="E79:AI79" si="37">SUM(E75:E78)</f>
        <v>2803</v>
      </c>
      <c r="F79" s="358">
        <f t="shared" si="37"/>
        <v>1491</v>
      </c>
      <c r="G79" s="358">
        <f t="shared" si="37"/>
        <v>0</v>
      </c>
      <c r="H79" s="358">
        <f t="shared" si="37"/>
        <v>2337</v>
      </c>
      <c r="I79" s="358">
        <f t="shared" si="37"/>
        <v>2082</v>
      </c>
      <c r="J79" s="358">
        <f t="shared" si="37"/>
        <v>1960</v>
      </c>
      <c r="K79" s="358">
        <f t="shared" si="37"/>
        <v>1698</v>
      </c>
      <c r="L79" s="358">
        <f t="shared" si="37"/>
        <v>1713</v>
      </c>
      <c r="M79" s="358">
        <f t="shared" si="37"/>
        <v>1103</v>
      </c>
      <c r="N79" s="358">
        <f t="shared" si="37"/>
        <v>0</v>
      </c>
      <c r="O79" s="358">
        <f t="shared" si="37"/>
        <v>2783</v>
      </c>
      <c r="P79" s="358">
        <f t="shared" si="37"/>
        <v>2271</v>
      </c>
      <c r="Q79" s="358">
        <f t="shared" si="37"/>
        <v>2225</v>
      </c>
      <c r="R79" s="358">
        <f t="shared" si="37"/>
        <v>1854</v>
      </c>
      <c r="S79" s="358">
        <f t="shared" si="37"/>
        <v>1767</v>
      </c>
      <c r="T79" s="358">
        <f t="shared" si="37"/>
        <v>162</v>
      </c>
      <c r="U79" s="358">
        <f t="shared" si="37"/>
        <v>0</v>
      </c>
      <c r="V79" s="358">
        <f t="shared" si="37"/>
        <v>2761</v>
      </c>
      <c r="W79" s="358">
        <f t="shared" si="37"/>
        <v>2125</v>
      </c>
      <c r="X79" s="358">
        <f t="shared" si="37"/>
        <v>2099</v>
      </c>
      <c r="Y79" s="358">
        <f t="shared" si="37"/>
        <v>2403</v>
      </c>
      <c r="Z79" s="358">
        <f t="shared" si="37"/>
        <v>2084</v>
      </c>
      <c r="AA79" s="358">
        <f t="shared" si="37"/>
        <v>547</v>
      </c>
      <c r="AB79" s="358">
        <f t="shared" si="37"/>
        <v>0</v>
      </c>
      <c r="AC79" s="358">
        <f t="shared" si="37"/>
        <v>2505</v>
      </c>
      <c r="AD79" s="358">
        <f t="shared" si="37"/>
        <v>2960</v>
      </c>
      <c r="AE79" s="358">
        <f t="shared" si="37"/>
        <v>335</v>
      </c>
      <c r="AF79" s="358">
        <f t="shared" si="37"/>
        <v>2434</v>
      </c>
      <c r="AG79" s="358">
        <f t="shared" si="37"/>
        <v>2007</v>
      </c>
      <c r="AH79" s="358">
        <f t="shared" si="37"/>
        <v>649</v>
      </c>
      <c r="AI79" s="358">
        <f t="shared" si="37"/>
        <v>0</v>
      </c>
      <c r="AJ79" s="359">
        <f t="shared" si="23"/>
        <v>49158</v>
      </c>
    </row>
    <row r="80" spans="1:38">
      <c r="A80" s="300"/>
      <c r="B80" s="300"/>
      <c r="C80" s="300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300"/>
      <c r="AA80" s="300"/>
      <c r="AB80" s="300"/>
      <c r="AC80" s="300"/>
      <c r="AD80" s="300"/>
      <c r="AE80" s="300"/>
      <c r="AF80" s="300"/>
      <c r="AG80" s="300"/>
      <c r="AH80" s="300"/>
    </row>
    <row r="81" spans="1:36">
      <c r="A81" s="300"/>
      <c r="B81" s="300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300"/>
      <c r="AE81" s="300"/>
      <c r="AF81" s="300"/>
      <c r="AG81" s="300"/>
      <c r="AH81" s="300"/>
    </row>
    <row r="82" spans="1:36">
      <c r="A82" s="300"/>
      <c r="B82" s="300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  <c r="AA82" s="300"/>
      <c r="AB82" s="300"/>
      <c r="AC82" s="300"/>
      <c r="AD82" s="300"/>
      <c r="AE82" s="300"/>
      <c r="AF82" s="300"/>
      <c r="AG82" s="300"/>
      <c r="AH82" s="300"/>
    </row>
    <row r="83" spans="1:36" ht="15" customHeight="1">
      <c r="A83" s="545"/>
      <c r="B83" s="526"/>
      <c r="C83" s="526"/>
      <c r="D83" s="527"/>
      <c r="E83" s="559" t="s">
        <v>154</v>
      </c>
      <c r="F83" s="526"/>
      <c r="G83" s="526"/>
      <c r="H83" s="526"/>
      <c r="I83" s="526"/>
      <c r="J83" s="526"/>
      <c r="K83" s="526"/>
      <c r="L83" s="526"/>
      <c r="M83" s="526"/>
      <c r="N83" s="526"/>
      <c r="O83" s="526"/>
      <c r="P83" s="526"/>
      <c r="Q83" s="526"/>
      <c r="R83" s="526"/>
      <c r="S83" s="526"/>
      <c r="T83" s="526"/>
      <c r="U83" s="526"/>
      <c r="V83" s="526"/>
      <c r="W83" s="526"/>
      <c r="X83" s="526"/>
      <c r="Y83" s="526"/>
      <c r="Z83" s="526"/>
      <c r="AA83" s="526"/>
      <c r="AB83" s="526"/>
      <c r="AC83" s="526"/>
      <c r="AD83" s="526"/>
      <c r="AE83" s="526"/>
      <c r="AF83" s="526"/>
      <c r="AG83" s="526"/>
      <c r="AH83" s="526"/>
      <c r="AI83" s="527"/>
    </row>
    <row r="84" spans="1:36">
      <c r="A84" s="549" t="s">
        <v>99</v>
      </c>
      <c r="B84" s="549" t="s">
        <v>100</v>
      </c>
      <c r="C84" s="550" t="s">
        <v>101</v>
      </c>
      <c r="D84" s="552" t="s">
        <v>102</v>
      </c>
      <c r="E84" s="301">
        <v>46143</v>
      </c>
      <c r="F84" s="301">
        <v>46144</v>
      </c>
      <c r="G84" s="301">
        <v>46145</v>
      </c>
      <c r="H84" s="301">
        <v>46146</v>
      </c>
      <c r="I84" s="301">
        <v>46147</v>
      </c>
      <c r="J84" s="301">
        <v>46148</v>
      </c>
      <c r="K84" s="301">
        <v>46149</v>
      </c>
      <c r="L84" s="301">
        <v>46150</v>
      </c>
      <c r="M84" s="301">
        <v>46151</v>
      </c>
      <c r="N84" s="301">
        <v>46152</v>
      </c>
      <c r="O84" s="301">
        <v>46153</v>
      </c>
      <c r="P84" s="301">
        <v>46154</v>
      </c>
      <c r="Q84" s="301">
        <v>46155</v>
      </c>
      <c r="R84" s="301">
        <v>46156</v>
      </c>
      <c r="S84" s="301">
        <v>46157</v>
      </c>
      <c r="T84" s="301">
        <v>46158</v>
      </c>
      <c r="U84" s="301">
        <v>46159</v>
      </c>
      <c r="V84" s="301">
        <v>46160</v>
      </c>
      <c r="W84" s="301">
        <v>46161</v>
      </c>
      <c r="X84" s="301">
        <v>46162</v>
      </c>
      <c r="Y84" s="301">
        <v>46163</v>
      </c>
      <c r="Z84" s="301">
        <v>46164</v>
      </c>
      <c r="AA84" s="301">
        <v>46165</v>
      </c>
      <c r="AB84" s="301">
        <v>46166</v>
      </c>
      <c r="AC84" s="301">
        <v>46167</v>
      </c>
      <c r="AD84" s="301">
        <v>46168</v>
      </c>
      <c r="AE84" s="301">
        <v>46169</v>
      </c>
      <c r="AF84" s="301">
        <v>46170</v>
      </c>
      <c r="AG84" s="301">
        <v>46171</v>
      </c>
      <c r="AH84" s="301">
        <v>46172</v>
      </c>
      <c r="AI84" s="301">
        <v>46173</v>
      </c>
      <c r="AJ84" s="541" t="s">
        <v>1</v>
      </c>
    </row>
    <row r="85" spans="1:36">
      <c r="A85" s="511"/>
      <c r="B85" s="511"/>
      <c r="C85" s="511"/>
      <c r="D85" s="511"/>
      <c r="E85" s="302" t="s">
        <v>103</v>
      </c>
      <c r="F85" s="302" t="s">
        <v>104</v>
      </c>
      <c r="G85" s="302" t="s">
        <v>105</v>
      </c>
      <c r="H85" s="302" t="s">
        <v>106</v>
      </c>
      <c r="I85" s="302" t="s">
        <v>107</v>
      </c>
      <c r="J85" s="302" t="s">
        <v>108</v>
      </c>
      <c r="K85" s="302" t="s">
        <v>109</v>
      </c>
      <c r="L85" s="302" t="s">
        <v>103</v>
      </c>
      <c r="M85" s="302" t="s">
        <v>104</v>
      </c>
      <c r="N85" s="302" t="s">
        <v>105</v>
      </c>
      <c r="O85" s="302" t="s">
        <v>106</v>
      </c>
      <c r="P85" s="302" t="s">
        <v>107</v>
      </c>
      <c r="Q85" s="302" t="s">
        <v>108</v>
      </c>
      <c r="R85" s="302" t="s">
        <v>109</v>
      </c>
      <c r="S85" s="302" t="s">
        <v>103</v>
      </c>
      <c r="T85" s="302" t="s">
        <v>104</v>
      </c>
      <c r="U85" s="302" t="s">
        <v>105</v>
      </c>
      <c r="V85" s="302" t="s">
        <v>106</v>
      </c>
      <c r="W85" s="302" t="s">
        <v>107</v>
      </c>
      <c r="X85" s="302" t="s">
        <v>108</v>
      </c>
      <c r="Y85" s="302" t="s">
        <v>109</v>
      </c>
      <c r="Z85" s="302" t="s">
        <v>103</v>
      </c>
      <c r="AA85" s="302" t="s">
        <v>104</v>
      </c>
      <c r="AB85" s="302" t="s">
        <v>105</v>
      </c>
      <c r="AC85" s="302" t="s">
        <v>106</v>
      </c>
      <c r="AD85" s="302" t="s">
        <v>107</v>
      </c>
      <c r="AE85" s="302" t="s">
        <v>108</v>
      </c>
      <c r="AF85" s="302" t="s">
        <v>109</v>
      </c>
      <c r="AG85" s="302" t="s">
        <v>103</v>
      </c>
      <c r="AH85" s="302" t="s">
        <v>104</v>
      </c>
      <c r="AI85" s="302" t="s">
        <v>105</v>
      </c>
      <c r="AJ85" s="508"/>
    </row>
    <row r="86" spans="1:36">
      <c r="A86" s="511"/>
      <c r="B86" s="511"/>
      <c r="C86" s="511"/>
      <c r="D86" s="511"/>
      <c r="E86" s="303" t="s">
        <v>110</v>
      </c>
      <c r="F86" s="303" t="s">
        <v>110</v>
      </c>
      <c r="G86" s="303" t="s">
        <v>110</v>
      </c>
      <c r="H86" s="303" t="s">
        <v>110</v>
      </c>
      <c r="I86" s="303" t="s">
        <v>110</v>
      </c>
      <c r="J86" s="303" t="s">
        <v>110</v>
      </c>
      <c r="K86" s="303" t="s">
        <v>110</v>
      </c>
      <c r="L86" s="303" t="s">
        <v>110</v>
      </c>
      <c r="M86" s="303" t="s">
        <v>110</v>
      </c>
      <c r="N86" s="303" t="s">
        <v>110</v>
      </c>
      <c r="O86" s="303" t="s">
        <v>110</v>
      </c>
      <c r="P86" s="303" t="s">
        <v>110</v>
      </c>
      <c r="Q86" s="303" t="s">
        <v>110</v>
      </c>
      <c r="R86" s="303" t="s">
        <v>110</v>
      </c>
      <c r="S86" s="303" t="s">
        <v>110</v>
      </c>
      <c r="T86" s="303" t="s">
        <v>110</v>
      </c>
      <c r="U86" s="303" t="s">
        <v>110</v>
      </c>
      <c r="V86" s="303" t="s">
        <v>110</v>
      </c>
      <c r="W86" s="303" t="s">
        <v>110</v>
      </c>
      <c r="X86" s="303" t="s">
        <v>110</v>
      </c>
      <c r="Y86" s="303" t="s">
        <v>110</v>
      </c>
      <c r="Z86" s="303" t="s">
        <v>110</v>
      </c>
      <c r="AA86" s="303" t="s">
        <v>110</v>
      </c>
      <c r="AB86" s="303" t="s">
        <v>110</v>
      </c>
      <c r="AC86" s="303" t="s">
        <v>110</v>
      </c>
      <c r="AD86" s="303" t="s">
        <v>110</v>
      </c>
      <c r="AE86" s="303" t="s">
        <v>110</v>
      </c>
      <c r="AF86" s="303" t="s">
        <v>110</v>
      </c>
      <c r="AG86" s="303" t="s">
        <v>110</v>
      </c>
      <c r="AH86" s="303" t="s">
        <v>110</v>
      </c>
      <c r="AI86" s="303" t="s">
        <v>110</v>
      </c>
      <c r="AJ86" s="508"/>
    </row>
    <row r="87" spans="1:36">
      <c r="A87" s="512"/>
      <c r="B87" s="512"/>
      <c r="C87" s="512"/>
      <c r="D87" s="512"/>
      <c r="E87" s="369">
        <v>0.33333333333333331</v>
      </c>
      <c r="F87" s="369">
        <v>0.33333333333333331</v>
      </c>
      <c r="G87" s="369">
        <v>0.33333333333333331</v>
      </c>
      <c r="H87" s="369">
        <v>0.33333333333333331</v>
      </c>
      <c r="I87" s="369">
        <v>0.33333333333333331</v>
      </c>
      <c r="J87" s="369">
        <v>0.33333333333333331</v>
      </c>
      <c r="K87" s="369">
        <v>0.33333333333333331</v>
      </c>
      <c r="L87" s="369">
        <v>0.33333333333333331</v>
      </c>
      <c r="M87" s="369">
        <v>0.33333333333333331</v>
      </c>
      <c r="N87" s="369">
        <v>0.33333333333333331</v>
      </c>
      <c r="O87" s="369">
        <v>0.33333333333333331</v>
      </c>
      <c r="P87" s="369">
        <v>0.33333333333333331</v>
      </c>
      <c r="Q87" s="369">
        <v>0.33333333333333331</v>
      </c>
      <c r="R87" s="369">
        <v>0.33333333333333331</v>
      </c>
      <c r="S87" s="369">
        <v>0.33333333333333331</v>
      </c>
      <c r="T87" s="369">
        <v>0.33333333333333331</v>
      </c>
      <c r="U87" s="369">
        <v>0.33333333333333331</v>
      </c>
      <c r="V87" s="369">
        <v>0.33333333333333331</v>
      </c>
      <c r="W87" s="369">
        <v>0.33333333333333331</v>
      </c>
      <c r="X87" s="369">
        <v>0.33333333333333331</v>
      </c>
      <c r="Y87" s="369">
        <v>0.33333333333333331</v>
      </c>
      <c r="Z87" s="369">
        <v>0.33333333333333331</v>
      </c>
      <c r="AA87" s="369">
        <v>0.33333333333333331</v>
      </c>
      <c r="AB87" s="369">
        <v>0.33333333333333331</v>
      </c>
      <c r="AC87" s="369">
        <v>0.33333333333333331</v>
      </c>
      <c r="AD87" s="369">
        <v>0.33333333333333331</v>
      </c>
      <c r="AE87" s="369">
        <v>0.33333333333333331</v>
      </c>
      <c r="AF87" s="369">
        <v>0.33333333333333331</v>
      </c>
      <c r="AG87" s="369">
        <v>0.33333333333333331</v>
      </c>
      <c r="AH87" s="369">
        <v>0.33333333333333331</v>
      </c>
      <c r="AI87" s="369">
        <v>0.33333333333333331</v>
      </c>
      <c r="AJ87" s="509"/>
    </row>
    <row r="88" spans="1:36">
      <c r="A88" s="310">
        <v>1</v>
      </c>
      <c r="B88" s="370" t="s">
        <v>150</v>
      </c>
      <c r="C88" s="370" t="s">
        <v>151</v>
      </c>
      <c r="D88" s="370">
        <v>2870</v>
      </c>
      <c r="E88" s="370">
        <v>2877</v>
      </c>
      <c r="F88" s="370">
        <v>2877</v>
      </c>
      <c r="G88" s="370">
        <v>2877</v>
      </c>
      <c r="H88" s="370">
        <v>2877</v>
      </c>
      <c r="I88" s="370">
        <v>2886</v>
      </c>
      <c r="J88" s="370">
        <v>2893</v>
      </c>
      <c r="K88" s="370">
        <v>2893</v>
      </c>
      <c r="L88" s="370">
        <v>2900</v>
      </c>
      <c r="M88" s="370">
        <v>2900</v>
      </c>
      <c r="N88" s="370">
        <v>2900</v>
      </c>
      <c r="O88" s="370">
        <v>2900</v>
      </c>
      <c r="P88" s="370">
        <v>2914</v>
      </c>
      <c r="Q88" s="370">
        <v>2942</v>
      </c>
      <c r="R88" s="370">
        <v>2955</v>
      </c>
      <c r="S88" s="370">
        <v>2972</v>
      </c>
      <c r="T88" s="370">
        <v>2972</v>
      </c>
      <c r="U88" s="370">
        <v>2972</v>
      </c>
      <c r="V88" s="370">
        <v>2997</v>
      </c>
      <c r="W88" s="370">
        <v>3022</v>
      </c>
      <c r="X88" s="370">
        <v>3032</v>
      </c>
      <c r="Y88" s="370">
        <v>3059</v>
      </c>
      <c r="Z88" s="370">
        <v>3076</v>
      </c>
      <c r="AA88" s="370">
        <v>3076</v>
      </c>
      <c r="AB88" s="370">
        <v>3076</v>
      </c>
      <c r="AC88" s="370">
        <v>3076</v>
      </c>
      <c r="AD88" s="370">
        <v>3099</v>
      </c>
      <c r="AE88" s="370">
        <v>3099</v>
      </c>
      <c r="AF88" s="370">
        <v>3124</v>
      </c>
      <c r="AG88" s="370">
        <v>3124</v>
      </c>
      <c r="AH88" s="370">
        <v>3124</v>
      </c>
      <c r="AI88" s="39">
        <v>3124</v>
      </c>
      <c r="AJ88" s="399"/>
    </row>
    <row r="89" spans="1:36">
      <c r="A89" s="300"/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  <c r="Y89" s="300"/>
      <c r="Z89" s="300"/>
      <c r="AA89" s="300"/>
      <c r="AB89" s="300"/>
      <c r="AC89" s="300"/>
      <c r="AD89" s="300"/>
      <c r="AE89" s="300"/>
      <c r="AF89" s="300"/>
      <c r="AG89" s="300"/>
      <c r="AH89" s="300"/>
    </row>
    <row r="90" spans="1:36">
      <c r="A90" s="541" t="s">
        <v>99</v>
      </c>
      <c r="B90" s="541" t="s">
        <v>100</v>
      </c>
      <c r="C90" s="541" t="s">
        <v>101</v>
      </c>
      <c r="D90" s="517"/>
      <c r="E90" s="352">
        <f t="shared" ref="E90:AI90" si="38">E84</f>
        <v>46143</v>
      </c>
      <c r="F90" s="352">
        <f t="shared" si="38"/>
        <v>46144</v>
      </c>
      <c r="G90" s="352">
        <f t="shared" si="38"/>
        <v>46145</v>
      </c>
      <c r="H90" s="352">
        <f t="shared" si="38"/>
        <v>46146</v>
      </c>
      <c r="I90" s="352">
        <f t="shared" si="38"/>
        <v>46147</v>
      </c>
      <c r="J90" s="352">
        <f t="shared" si="38"/>
        <v>46148</v>
      </c>
      <c r="K90" s="352">
        <f t="shared" si="38"/>
        <v>46149</v>
      </c>
      <c r="L90" s="352">
        <f t="shared" si="38"/>
        <v>46150</v>
      </c>
      <c r="M90" s="352">
        <f t="shared" si="38"/>
        <v>46151</v>
      </c>
      <c r="N90" s="352">
        <f t="shared" si="38"/>
        <v>46152</v>
      </c>
      <c r="O90" s="352">
        <f t="shared" si="38"/>
        <v>46153</v>
      </c>
      <c r="P90" s="352">
        <f t="shared" si="38"/>
        <v>46154</v>
      </c>
      <c r="Q90" s="352">
        <f t="shared" si="38"/>
        <v>46155</v>
      </c>
      <c r="R90" s="352">
        <f t="shared" si="38"/>
        <v>46156</v>
      </c>
      <c r="S90" s="352">
        <f t="shared" si="38"/>
        <v>46157</v>
      </c>
      <c r="T90" s="352">
        <f t="shared" si="38"/>
        <v>46158</v>
      </c>
      <c r="U90" s="352">
        <f t="shared" si="38"/>
        <v>46159</v>
      </c>
      <c r="V90" s="352">
        <f t="shared" si="38"/>
        <v>46160</v>
      </c>
      <c r="W90" s="352">
        <f t="shared" si="38"/>
        <v>46161</v>
      </c>
      <c r="X90" s="352">
        <f t="shared" si="38"/>
        <v>46162</v>
      </c>
      <c r="Y90" s="352">
        <f t="shared" si="38"/>
        <v>46163</v>
      </c>
      <c r="Z90" s="352">
        <f t="shared" si="38"/>
        <v>46164</v>
      </c>
      <c r="AA90" s="352">
        <f t="shared" si="38"/>
        <v>46165</v>
      </c>
      <c r="AB90" s="352">
        <f t="shared" si="38"/>
        <v>46166</v>
      </c>
      <c r="AC90" s="352">
        <f t="shared" si="38"/>
        <v>46167</v>
      </c>
      <c r="AD90" s="352">
        <f t="shared" si="38"/>
        <v>46168</v>
      </c>
      <c r="AE90" s="352">
        <f t="shared" si="38"/>
        <v>46169</v>
      </c>
      <c r="AF90" s="352">
        <f t="shared" si="38"/>
        <v>46170</v>
      </c>
      <c r="AG90" s="352">
        <f t="shared" si="38"/>
        <v>46171</v>
      </c>
      <c r="AH90" s="352">
        <f t="shared" si="38"/>
        <v>46172</v>
      </c>
      <c r="AI90" s="352">
        <f t="shared" si="38"/>
        <v>46173</v>
      </c>
      <c r="AJ90" s="541" t="s">
        <v>1</v>
      </c>
    </row>
    <row r="91" spans="1:36">
      <c r="A91" s="508"/>
      <c r="B91" s="508"/>
      <c r="C91" s="518"/>
      <c r="D91" s="519"/>
      <c r="E91" s="302" t="s">
        <v>103</v>
      </c>
      <c r="F91" s="302" t="s">
        <v>104</v>
      </c>
      <c r="G91" s="302" t="s">
        <v>105</v>
      </c>
      <c r="H91" s="302" t="s">
        <v>106</v>
      </c>
      <c r="I91" s="302" t="s">
        <v>107</v>
      </c>
      <c r="J91" s="302" t="s">
        <v>108</v>
      </c>
      <c r="K91" s="302" t="s">
        <v>109</v>
      </c>
      <c r="L91" s="302" t="s">
        <v>103</v>
      </c>
      <c r="M91" s="302" t="s">
        <v>104</v>
      </c>
      <c r="N91" s="302" t="s">
        <v>105</v>
      </c>
      <c r="O91" s="302" t="s">
        <v>106</v>
      </c>
      <c r="P91" s="302" t="s">
        <v>107</v>
      </c>
      <c r="Q91" s="302" t="s">
        <v>108</v>
      </c>
      <c r="R91" s="302" t="s">
        <v>109</v>
      </c>
      <c r="S91" s="302" t="s">
        <v>103</v>
      </c>
      <c r="T91" s="302" t="s">
        <v>104</v>
      </c>
      <c r="U91" s="302" t="s">
        <v>105</v>
      </c>
      <c r="V91" s="302" t="s">
        <v>106</v>
      </c>
      <c r="W91" s="302" t="s">
        <v>107</v>
      </c>
      <c r="X91" s="302" t="s">
        <v>108</v>
      </c>
      <c r="Y91" s="302" t="s">
        <v>109</v>
      </c>
      <c r="Z91" s="302" t="s">
        <v>103</v>
      </c>
      <c r="AA91" s="302" t="s">
        <v>104</v>
      </c>
      <c r="AB91" s="302" t="s">
        <v>105</v>
      </c>
      <c r="AC91" s="302" t="s">
        <v>106</v>
      </c>
      <c r="AD91" s="302" t="s">
        <v>107</v>
      </c>
      <c r="AE91" s="302" t="s">
        <v>108</v>
      </c>
      <c r="AF91" s="302" t="s">
        <v>109</v>
      </c>
      <c r="AG91" s="302" t="s">
        <v>103</v>
      </c>
      <c r="AH91" s="302" t="s">
        <v>104</v>
      </c>
      <c r="AI91" s="302" t="s">
        <v>105</v>
      </c>
      <c r="AJ91" s="508"/>
    </row>
    <row r="92" spans="1:36">
      <c r="A92" s="508"/>
      <c r="B92" s="508"/>
      <c r="C92" s="518"/>
      <c r="D92" s="519"/>
      <c r="E92" s="353" t="s">
        <v>110</v>
      </c>
      <c r="F92" s="353" t="s">
        <v>110</v>
      </c>
      <c r="G92" s="353" t="s">
        <v>110</v>
      </c>
      <c r="H92" s="353" t="s">
        <v>110</v>
      </c>
      <c r="I92" s="353" t="s">
        <v>110</v>
      </c>
      <c r="J92" s="353" t="s">
        <v>110</v>
      </c>
      <c r="K92" s="353" t="s">
        <v>110</v>
      </c>
      <c r="L92" s="353" t="s">
        <v>110</v>
      </c>
      <c r="M92" s="353" t="s">
        <v>110</v>
      </c>
      <c r="N92" s="353" t="s">
        <v>110</v>
      </c>
      <c r="O92" s="353" t="s">
        <v>110</v>
      </c>
      <c r="P92" s="353" t="s">
        <v>110</v>
      </c>
      <c r="Q92" s="353" t="s">
        <v>110</v>
      </c>
      <c r="R92" s="353" t="s">
        <v>110</v>
      </c>
      <c r="S92" s="353" t="s">
        <v>110</v>
      </c>
      <c r="T92" s="353" t="s">
        <v>110</v>
      </c>
      <c r="U92" s="353" t="s">
        <v>110</v>
      </c>
      <c r="V92" s="353" t="s">
        <v>110</v>
      </c>
      <c r="W92" s="353" t="s">
        <v>110</v>
      </c>
      <c r="X92" s="353" t="s">
        <v>110</v>
      </c>
      <c r="Y92" s="353" t="s">
        <v>110</v>
      </c>
      <c r="Z92" s="353" t="s">
        <v>110</v>
      </c>
      <c r="AA92" s="353" t="s">
        <v>110</v>
      </c>
      <c r="AB92" s="353" t="s">
        <v>110</v>
      </c>
      <c r="AC92" s="353" t="s">
        <v>110</v>
      </c>
      <c r="AD92" s="353" t="s">
        <v>110</v>
      </c>
      <c r="AE92" s="353" t="s">
        <v>110</v>
      </c>
      <c r="AF92" s="353" t="s">
        <v>110</v>
      </c>
      <c r="AG92" s="353" t="s">
        <v>110</v>
      </c>
      <c r="AH92" s="353" t="s">
        <v>110</v>
      </c>
      <c r="AI92" s="353" t="s">
        <v>110</v>
      </c>
      <c r="AJ92" s="508"/>
    </row>
    <row r="93" spans="1:36">
      <c r="A93" s="509"/>
      <c r="B93" s="509"/>
      <c r="C93" s="520"/>
      <c r="D93" s="521"/>
      <c r="E93" s="354">
        <v>0.33333333333333331</v>
      </c>
      <c r="F93" s="354">
        <v>0.33333333333333331</v>
      </c>
      <c r="G93" s="354">
        <v>0.33333333333333331</v>
      </c>
      <c r="H93" s="354">
        <v>0.33333333333333331</v>
      </c>
      <c r="I93" s="354">
        <v>0.33333333333333331</v>
      </c>
      <c r="J93" s="354">
        <v>0.33333333333333331</v>
      </c>
      <c r="K93" s="354">
        <v>0.33333333333333331</v>
      </c>
      <c r="L93" s="354">
        <v>0.33333333333333331</v>
      </c>
      <c r="M93" s="354">
        <v>0.33333333333333331</v>
      </c>
      <c r="N93" s="354">
        <v>0.33333333333333331</v>
      </c>
      <c r="O93" s="354">
        <v>0.33333333333333331</v>
      </c>
      <c r="P93" s="354">
        <v>0.33333333333333331</v>
      </c>
      <c r="Q93" s="354">
        <v>0.33333333333333331</v>
      </c>
      <c r="R93" s="354">
        <v>0.33333333333333331</v>
      </c>
      <c r="S93" s="354">
        <v>0.33333333333333331</v>
      </c>
      <c r="T93" s="354">
        <v>0.33333333333333331</v>
      </c>
      <c r="U93" s="354">
        <v>0.33333333333333331</v>
      </c>
      <c r="V93" s="354">
        <v>0.33333333333333331</v>
      </c>
      <c r="W93" s="354">
        <v>0.33333333333333331</v>
      </c>
      <c r="X93" s="354">
        <v>0.33333333333333331</v>
      </c>
      <c r="Y93" s="354">
        <v>0.33333333333333331</v>
      </c>
      <c r="Z93" s="354">
        <v>0.33333333333333331</v>
      </c>
      <c r="AA93" s="354">
        <v>0.33333333333333331</v>
      </c>
      <c r="AB93" s="354">
        <v>0.33333333333333331</v>
      </c>
      <c r="AC93" s="354">
        <v>0.33333333333333331</v>
      </c>
      <c r="AD93" s="354">
        <v>0.33333333333333331</v>
      </c>
      <c r="AE93" s="354">
        <v>0.33333333333333331</v>
      </c>
      <c r="AF93" s="354">
        <v>0.33333333333333331</v>
      </c>
      <c r="AG93" s="354">
        <v>0.33333333333333331</v>
      </c>
      <c r="AH93" s="354">
        <v>0.33333333333333331</v>
      </c>
      <c r="AI93" s="354">
        <v>0.33333333333333331</v>
      </c>
      <c r="AJ93" s="509"/>
    </row>
    <row r="94" spans="1:36">
      <c r="A94" s="372">
        <v>1</v>
      </c>
      <c r="B94" s="373" t="s">
        <v>150</v>
      </c>
      <c r="C94" s="546" t="s">
        <v>151</v>
      </c>
      <c r="D94" s="501"/>
      <c r="E94" s="355">
        <f t="shared" ref="E94:AI94" si="39">E88-D88</f>
        <v>7</v>
      </c>
      <c r="F94" s="355">
        <f t="shared" si="39"/>
        <v>0</v>
      </c>
      <c r="G94" s="355">
        <f t="shared" si="39"/>
        <v>0</v>
      </c>
      <c r="H94" s="355">
        <f t="shared" si="39"/>
        <v>0</v>
      </c>
      <c r="I94" s="355">
        <f t="shared" si="39"/>
        <v>9</v>
      </c>
      <c r="J94" s="355">
        <f t="shared" si="39"/>
        <v>7</v>
      </c>
      <c r="K94" s="355">
        <f t="shared" si="39"/>
        <v>0</v>
      </c>
      <c r="L94" s="355">
        <f t="shared" si="39"/>
        <v>7</v>
      </c>
      <c r="M94" s="355">
        <f t="shared" si="39"/>
        <v>0</v>
      </c>
      <c r="N94" s="355">
        <f t="shared" si="39"/>
        <v>0</v>
      </c>
      <c r="O94" s="355">
        <f t="shared" si="39"/>
        <v>0</v>
      </c>
      <c r="P94" s="355">
        <f t="shared" si="39"/>
        <v>14</v>
      </c>
      <c r="Q94" s="355">
        <f t="shared" si="39"/>
        <v>28</v>
      </c>
      <c r="R94" s="355">
        <f t="shared" si="39"/>
        <v>13</v>
      </c>
      <c r="S94" s="355">
        <f t="shared" si="39"/>
        <v>17</v>
      </c>
      <c r="T94" s="355">
        <f t="shared" si="39"/>
        <v>0</v>
      </c>
      <c r="U94" s="355">
        <f t="shared" si="39"/>
        <v>0</v>
      </c>
      <c r="V94" s="355">
        <f t="shared" si="39"/>
        <v>25</v>
      </c>
      <c r="W94" s="355">
        <f t="shared" si="39"/>
        <v>25</v>
      </c>
      <c r="X94" s="355">
        <f t="shared" si="39"/>
        <v>10</v>
      </c>
      <c r="Y94" s="355">
        <f t="shared" si="39"/>
        <v>27</v>
      </c>
      <c r="Z94" s="355">
        <f t="shared" si="39"/>
        <v>17</v>
      </c>
      <c r="AA94" s="355">
        <f t="shared" si="39"/>
        <v>0</v>
      </c>
      <c r="AB94" s="355">
        <f t="shared" si="39"/>
        <v>0</v>
      </c>
      <c r="AC94" s="355">
        <f t="shared" si="39"/>
        <v>0</v>
      </c>
      <c r="AD94" s="355">
        <f t="shared" si="39"/>
        <v>23</v>
      </c>
      <c r="AE94" s="355">
        <f t="shared" si="39"/>
        <v>0</v>
      </c>
      <c r="AF94" s="355">
        <f t="shared" si="39"/>
        <v>25</v>
      </c>
      <c r="AG94" s="355">
        <f t="shared" si="39"/>
        <v>0</v>
      </c>
      <c r="AH94" s="355">
        <f t="shared" si="39"/>
        <v>0</v>
      </c>
      <c r="AI94" s="355">
        <f t="shared" si="39"/>
        <v>0</v>
      </c>
      <c r="AJ94" s="355">
        <f>SUM(H94:AI94)</f>
        <v>247</v>
      </c>
    </row>
  </sheetData>
  <mergeCells count="61">
    <mergeCell ref="AJ90:AJ93"/>
    <mergeCell ref="C58:D58"/>
    <mergeCell ref="C40:D43"/>
    <mergeCell ref="A31:AI31"/>
    <mergeCell ref="C45:D45"/>
    <mergeCell ref="C90:D93"/>
    <mergeCell ref="A90:A93"/>
    <mergeCell ref="A84:A87"/>
    <mergeCell ref="C84:C87"/>
    <mergeCell ref="B84:B87"/>
    <mergeCell ref="AJ84:AJ87"/>
    <mergeCell ref="B90:B93"/>
    <mergeCell ref="C77:D77"/>
    <mergeCell ref="AJ40:AJ43"/>
    <mergeCell ref="D84:D87"/>
    <mergeCell ref="C62:D62"/>
    <mergeCell ref="AJ2:AJ5"/>
    <mergeCell ref="C74:D74"/>
    <mergeCell ref="B2:B5"/>
    <mergeCell ref="C64:D64"/>
    <mergeCell ref="C79:D79"/>
    <mergeCell ref="D2:D5"/>
    <mergeCell ref="B38:D38"/>
    <mergeCell ref="C73:D73"/>
    <mergeCell ref="B39:D39"/>
    <mergeCell ref="C78:D78"/>
    <mergeCell ref="A36:AI37"/>
    <mergeCell ref="A40:A43"/>
    <mergeCell ref="C68:D68"/>
    <mergeCell ref="A1:AJ1"/>
    <mergeCell ref="C69:D69"/>
    <mergeCell ref="C47:D47"/>
    <mergeCell ref="C54:D54"/>
    <mergeCell ref="A83:D83"/>
    <mergeCell ref="C44:D44"/>
    <mergeCell ref="C49:D49"/>
    <mergeCell ref="C46:D46"/>
    <mergeCell ref="B40:B43"/>
    <mergeCell ref="A2:A5"/>
    <mergeCell ref="C2:C5"/>
    <mergeCell ref="E83:AI83"/>
    <mergeCell ref="C48:D48"/>
    <mergeCell ref="C66:D66"/>
    <mergeCell ref="A22:AI22"/>
    <mergeCell ref="C53:D53"/>
    <mergeCell ref="C94:D94"/>
    <mergeCell ref="C65:D65"/>
    <mergeCell ref="C55:D55"/>
    <mergeCell ref="C50:D50"/>
    <mergeCell ref="C75:D75"/>
    <mergeCell ref="C56:D56"/>
    <mergeCell ref="C59:D59"/>
    <mergeCell ref="C60:D60"/>
    <mergeCell ref="C51:D51"/>
    <mergeCell ref="C76:D76"/>
    <mergeCell ref="C71:D71"/>
    <mergeCell ref="C52:D52"/>
    <mergeCell ref="C70:D70"/>
    <mergeCell ref="C72:D72"/>
    <mergeCell ref="C67:D67"/>
    <mergeCell ref="C57:D5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94"/>
  <sheetViews>
    <sheetView topLeftCell="AA55" zoomScale="70" zoomScaleNormal="70" workbookViewId="0">
      <selection activeCell="T1" sqref="A1:XFD1048576"/>
    </sheetView>
  </sheetViews>
  <sheetFormatPr defaultRowHeight="14.5"/>
  <cols>
    <col min="1" max="1" width="17" customWidth="1"/>
    <col min="2" max="2" width="27" customWidth="1"/>
    <col min="3" max="3" width="32" customWidth="1"/>
    <col min="4" max="4" width="20" bestFit="1" customWidth="1"/>
    <col min="5" max="5" width="36" customWidth="1"/>
    <col min="6" max="34" width="23" customWidth="1"/>
    <col min="35" max="35" width="18" customWidth="1"/>
    <col min="36" max="36" width="14" customWidth="1"/>
    <col min="37" max="37" width="18" customWidth="1"/>
  </cols>
  <sheetData>
    <row r="1" spans="1:35" ht="21" customHeight="1">
      <c r="A1" s="542" t="s">
        <v>155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</row>
    <row r="2" spans="1:35" s="401" customFormat="1" ht="17.25" customHeight="1">
      <c r="A2" s="510" t="s">
        <v>99</v>
      </c>
      <c r="B2" s="510" t="s">
        <v>100</v>
      </c>
      <c r="C2" s="565" t="s">
        <v>101</v>
      </c>
      <c r="D2" s="572" t="s">
        <v>102</v>
      </c>
      <c r="E2" s="51">
        <v>46113</v>
      </c>
      <c r="F2" s="51">
        <v>46114</v>
      </c>
      <c r="G2" s="51">
        <v>46115</v>
      </c>
      <c r="H2" s="51">
        <v>46116</v>
      </c>
      <c r="I2" s="51">
        <v>46117</v>
      </c>
      <c r="J2" s="51">
        <v>46118</v>
      </c>
      <c r="K2" s="51">
        <v>46119</v>
      </c>
      <c r="L2" s="51">
        <v>46120</v>
      </c>
      <c r="M2" s="51">
        <v>46121</v>
      </c>
      <c r="N2" s="51">
        <v>46122</v>
      </c>
      <c r="O2" s="51">
        <v>46123</v>
      </c>
      <c r="P2" s="51">
        <v>46124</v>
      </c>
      <c r="Q2" s="51">
        <v>46125</v>
      </c>
      <c r="R2" s="51">
        <v>46126</v>
      </c>
      <c r="S2" s="51">
        <v>46127</v>
      </c>
      <c r="T2" s="51">
        <v>46128</v>
      </c>
      <c r="U2" s="51">
        <v>46129</v>
      </c>
      <c r="V2" s="51">
        <v>46130</v>
      </c>
      <c r="W2" s="51">
        <v>46131</v>
      </c>
      <c r="X2" s="51">
        <v>46132</v>
      </c>
      <c r="Y2" s="51">
        <v>46133</v>
      </c>
      <c r="Z2" s="51">
        <v>46134</v>
      </c>
      <c r="AA2" s="51">
        <v>46135</v>
      </c>
      <c r="AB2" s="51">
        <v>46136</v>
      </c>
      <c r="AC2" s="51">
        <v>46137</v>
      </c>
      <c r="AD2" s="51">
        <v>46138</v>
      </c>
      <c r="AE2" s="51">
        <v>46139</v>
      </c>
      <c r="AF2" s="51">
        <v>46140</v>
      </c>
      <c r="AG2" s="51">
        <v>46141</v>
      </c>
      <c r="AH2" s="51">
        <v>46142</v>
      </c>
      <c r="AI2" s="514" t="s">
        <v>1</v>
      </c>
    </row>
    <row r="3" spans="1:35" s="401" customFormat="1" ht="17.25" customHeight="1">
      <c r="A3" s="511"/>
      <c r="B3" s="511"/>
      <c r="C3" s="511"/>
      <c r="D3" s="511"/>
      <c r="E3" s="1" t="s">
        <v>108</v>
      </c>
      <c r="F3" s="1" t="s">
        <v>109</v>
      </c>
      <c r="G3" s="1" t="s">
        <v>103</v>
      </c>
      <c r="H3" s="1" t="s">
        <v>104</v>
      </c>
      <c r="I3" s="1" t="s">
        <v>105</v>
      </c>
      <c r="J3" s="1" t="s">
        <v>106</v>
      </c>
      <c r="K3" s="1" t="s">
        <v>107</v>
      </c>
      <c r="L3" s="1" t="s">
        <v>108</v>
      </c>
      <c r="M3" s="1" t="s">
        <v>109</v>
      </c>
      <c r="N3" s="1" t="s">
        <v>103</v>
      </c>
      <c r="O3" s="1" t="s">
        <v>104</v>
      </c>
      <c r="P3" s="1" t="s">
        <v>105</v>
      </c>
      <c r="Q3" s="1" t="s">
        <v>106</v>
      </c>
      <c r="R3" s="1" t="s">
        <v>107</v>
      </c>
      <c r="S3" s="1" t="s">
        <v>108</v>
      </c>
      <c r="T3" s="1" t="s">
        <v>109</v>
      </c>
      <c r="U3" s="1" t="s">
        <v>103</v>
      </c>
      <c r="V3" s="1" t="s">
        <v>104</v>
      </c>
      <c r="W3" s="1" t="s">
        <v>105</v>
      </c>
      <c r="X3" s="1" t="s">
        <v>106</v>
      </c>
      <c r="Y3" s="1" t="s">
        <v>107</v>
      </c>
      <c r="Z3" s="1" t="s">
        <v>108</v>
      </c>
      <c r="AA3" s="1" t="s">
        <v>109</v>
      </c>
      <c r="AB3" s="1" t="s">
        <v>103</v>
      </c>
      <c r="AC3" s="1" t="s">
        <v>104</v>
      </c>
      <c r="AD3" s="1" t="s">
        <v>105</v>
      </c>
      <c r="AE3" s="1" t="s">
        <v>106</v>
      </c>
      <c r="AF3" s="1" t="s">
        <v>107</v>
      </c>
      <c r="AG3" s="1" t="s">
        <v>108</v>
      </c>
      <c r="AH3" s="1" t="s">
        <v>109</v>
      </c>
      <c r="AI3" s="511"/>
    </row>
    <row r="4" spans="1:35" s="401" customFormat="1" ht="17.25" customHeight="1">
      <c r="A4" s="511"/>
      <c r="B4" s="511"/>
      <c r="C4" s="511"/>
      <c r="D4" s="511"/>
      <c r="E4" s="52" t="s">
        <v>110</v>
      </c>
      <c r="F4" s="52" t="s">
        <v>110</v>
      </c>
      <c r="G4" s="52" t="s">
        <v>110</v>
      </c>
      <c r="H4" s="52" t="s">
        <v>110</v>
      </c>
      <c r="I4" s="52" t="s">
        <v>110</v>
      </c>
      <c r="J4" s="52" t="s">
        <v>110</v>
      </c>
      <c r="K4" s="52" t="s">
        <v>110</v>
      </c>
      <c r="L4" s="52" t="s">
        <v>110</v>
      </c>
      <c r="M4" s="52" t="s">
        <v>110</v>
      </c>
      <c r="N4" s="52" t="s">
        <v>110</v>
      </c>
      <c r="O4" s="52" t="s">
        <v>110</v>
      </c>
      <c r="P4" s="52" t="s">
        <v>110</v>
      </c>
      <c r="Q4" s="52" t="s">
        <v>110</v>
      </c>
      <c r="R4" s="52" t="s">
        <v>110</v>
      </c>
      <c r="S4" s="52" t="s">
        <v>110</v>
      </c>
      <c r="T4" s="52" t="s">
        <v>110</v>
      </c>
      <c r="U4" s="52" t="s">
        <v>110</v>
      </c>
      <c r="V4" s="52" t="s">
        <v>110</v>
      </c>
      <c r="W4" s="52" t="s">
        <v>110</v>
      </c>
      <c r="X4" s="52" t="s">
        <v>110</v>
      </c>
      <c r="Y4" s="52" t="s">
        <v>110</v>
      </c>
      <c r="Z4" s="52" t="s">
        <v>110</v>
      </c>
      <c r="AA4" s="52" t="s">
        <v>110</v>
      </c>
      <c r="AB4" s="52" t="s">
        <v>110</v>
      </c>
      <c r="AC4" s="52" t="s">
        <v>110</v>
      </c>
      <c r="AD4" s="52" t="s">
        <v>110</v>
      </c>
      <c r="AE4" s="52" t="s">
        <v>110</v>
      </c>
      <c r="AF4" s="52" t="s">
        <v>110</v>
      </c>
      <c r="AG4" s="52" t="s">
        <v>110</v>
      </c>
      <c r="AH4" s="52" t="s">
        <v>110</v>
      </c>
      <c r="AI4" s="511"/>
    </row>
    <row r="5" spans="1:35" s="401" customFormat="1" ht="17.25" customHeight="1">
      <c r="A5" s="512"/>
      <c r="B5" s="512"/>
      <c r="C5" s="512"/>
      <c r="D5" s="512"/>
      <c r="E5" s="53">
        <v>0.33333333333333331</v>
      </c>
      <c r="F5" s="53">
        <v>0.33333333333333331</v>
      </c>
      <c r="G5" s="53">
        <v>0.33333333333333331</v>
      </c>
      <c r="H5" s="53">
        <v>0.33333333333333331</v>
      </c>
      <c r="I5" s="53">
        <v>0.33333333333333331</v>
      </c>
      <c r="J5" s="53">
        <v>0.33333333333333331</v>
      </c>
      <c r="K5" s="53">
        <v>0.33333333333333331</v>
      </c>
      <c r="L5" s="53">
        <v>0.33333333333333331</v>
      </c>
      <c r="M5" s="53">
        <v>0.33333333333333331</v>
      </c>
      <c r="N5" s="53">
        <v>0.33333333333333331</v>
      </c>
      <c r="O5" s="53">
        <v>0.33333333333333331</v>
      </c>
      <c r="P5" s="53">
        <v>0.33333333333333331</v>
      </c>
      <c r="Q5" s="53">
        <v>0.33333333333333331</v>
      </c>
      <c r="R5" s="53">
        <v>0.33333333333333331</v>
      </c>
      <c r="S5" s="53">
        <v>0.33333333333333331</v>
      </c>
      <c r="T5" s="53">
        <v>0.33333333333333331</v>
      </c>
      <c r="U5" s="53">
        <v>0.33333333333333331</v>
      </c>
      <c r="V5" s="53">
        <v>0.33333333333333331</v>
      </c>
      <c r="W5" s="53">
        <v>0.33333333333333331</v>
      </c>
      <c r="X5" s="53">
        <v>0.33333333333333331</v>
      </c>
      <c r="Y5" s="53">
        <v>0.33333333333333331</v>
      </c>
      <c r="Z5" s="53">
        <v>0.33333333333333331</v>
      </c>
      <c r="AA5" s="53">
        <v>0.33333333333333331</v>
      </c>
      <c r="AB5" s="53">
        <v>0.33333333333333331</v>
      </c>
      <c r="AC5" s="53">
        <v>0.33333333333333331</v>
      </c>
      <c r="AD5" s="53">
        <v>0.33333333333333331</v>
      </c>
      <c r="AE5" s="53">
        <v>0.33333333333333331</v>
      </c>
      <c r="AF5" s="53">
        <v>0.33333333333333331</v>
      </c>
      <c r="AG5" s="53">
        <v>0.33333333333333331</v>
      </c>
      <c r="AH5" s="53">
        <v>0.33333333333333331</v>
      </c>
      <c r="AI5" s="512"/>
    </row>
    <row r="6" spans="1:35" s="401" customFormat="1" ht="24" customHeight="1">
      <c r="A6" s="48">
        <v>1</v>
      </c>
      <c r="B6" s="4" t="s">
        <v>129</v>
      </c>
      <c r="C6" s="402" t="s">
        <v>111</v>
      </c>
      <c r="D6" s="398">
        <v>188707</v>
      </c>
      <c r="E6" s="403">
        <v>189123</v>
      </c>
      <c r="F6" s="403">
        <v>189320</v>
      </c>
      <c r="G6" s="403">
        <v>189538</v>
      </c>
      <c r="H6" s="403">
        <v>189741</v>
      </c>
      <c r="I6" s="403">
        <v>189949</v>
      </c>
      <c r="J6" s="403">
        <v>190161</v>
      </c>
      <c r="K6" s="403">
        <v>190419</v>
      </c>
      <c r="L6" s="403">
        <v>190690</v>
      </c>
      <c r="M6" s="403">
        <v>190946</v>
      </c>
      <c r="N6" s="403">
        <v>191202</v>
      </c>
      <c r="O6" s="403">
        <v>191403</v>
      </c>
      <c r="P6" s="403">
        <v>191603</v>
      </c>
      <c r="Q6" s="403">
        <v>191870</v>
      </c>
      <c r="R6" s="403">
        <v>192127</v>
      </c>
      <c r="S6" s="403">
        <v>192390</v>
      </c>
      <c r="T6" s="403">
        <v>192641</v>
      </c>
      <c r="U6" s="403">
        <v>192912</v>
      </c>
      <c r="V6" s="403">
        <v>193129</v>
      </c>
      <c r="W6" s="403">
        <v>193328</v>
      </c>
      <c r="X6" s="403">
        <v>193592</v>
      </c>
      <c r="Y6" s="403">
        <v>193854</v>
      </c>
      <c r="Z6" s="403">
        <v>194112</v>
      </c>
      <c r="AA6" s="403">
        <v>194369</v>
      </c>
      <c r="AB6" s="403">
        <v>194620</v>
      </c>
      <c r="AC6" s="403">
        <v>194833</v>
      </c>
      <c r="AD6" s="403">
        <v>195041</v>
      </c>
      <c r="AE6" s="403">
        <v>195292</v>
      </c>
      <c r="AF6" s="403">
        <v>195556</v>
      </c>
      <c r="AG6" s="403">
        <v>195813</v>
      </c>
      <c r="AH6" s="403">
        <v>196078</v>
      </c>
      <c r="AI6" s="57">
        <f t="shared" ref="AI6:AI21" si="0">AH6-D6</f>
        <v>7371</v>
      </c>
    </row>
    <row r="7" spans="1:35" s="401" customFormat="1" ht="24" customHeight="1">
      <c r="A7" s="8"/>
      <c r="B7" s="8"/>
      <c r="C7" s="404" t="s">
        <v>22</v>
      </c>
      <c r="D7" s="45">
        <v>4329</v>
      </c>
      <c r="E7" s="48">
        <v>4329</v>
      </c>
      <c r="F7" s="48">
        <v>4329</v>
      </c>
      <c r="G7" s="48">
        <v>4329</v>
      </c>
      <c r="H7" s="48">
        <v>4329</v>
      </c>
      <c r="I7" s="48">
        <v>4329</v>
      </c>
      <c r="J7" s="48">
        <v>4329</v>
      </c>
      <c r="K7" s="48">
        <v>4329</v>
      </c>
      <c r="L7" s="48">
        <v>4329</v>
      </c>
      <c r="M7" s="128">
        <v>4329</v>
      </c>
      <c r="N7" s="128">
        <v>4329</v>
      </c>
      <c r="O7" s="128">
        <v>4329</v>
      </c>
      <c r="P7" s="128">
        <v>4329</v>
      </c>
      <c r="Q7" s="128">
        <v>4329</v>
      </c>
      <c r="R7" s="128">
        <v>4329</v>
      </c>
      <c r="S7" s="128">
        <v>4329</v>
      </c>
      <c r="T7" s="128">
        <v>4329</v>
      </c>
      <c r="U7" s="8">
        <v>4329</v>
      </c>
      <c r="V7" s="8">
        <v>4329</v>
      </c>
      <c r="W7" s="8">
        <v>4329</v>
      </c>
      <c r="X7" s="8">
        <v>4329</v>
      </c>
      <c r="Y7" s="8">
        <v>4329</v>
      </c>
      <c r="Z7" s="8">
        <v>4329</v>
      </c>
      <c r="AA7" s="8">
        <v>4329</v>
      </c>
      <c r="AB7" s="8">
        <v>4329</v>
      </c>
      <c r="AC7" s="8">
        <v>4329</v>
      </c>
      <c r="AD7" s="8">
        <v>4329</v>
      </c>
      <c r="AE7" s="8">
        <v>4329</v>
      </c>
      <c r="AF7" s="8">
        <v>4329</v>
      </c>
      <c r="AG7" s="8">
        <v>4329</v>
      </c>
      <c r="AH7" s="8">
        <v>4329</v>
      </c>
      <c r="AI7" s="57">
        <f t="shared" si="0"/>
        <v>0</v>
      </c>
    </row>
    <row r="8" spans="1:35" s="401" customFormat="1" ht="24" customHeight="1">
      <c r="A8" s="4">
        <v>2</v>
      </c>
      <c r="B8" s="4" t="s">
        <v>129</v>
      </c>
      <c r="C8" s="405" t="s">
        <v>112</v>
      </c>
      <c r="D8" s="3">
        <v>1956</v>
      </c>
      <c r="E8" s="48">
        <v>1956</v>
      </c>
      <c r="F8" s="48">
        <v>1956</v>
      </c>
      <c r="G8" s="48">
        <v>1956</v>
      </c>
      <c r="H8" s="48">
        <v>1956</v>
      </c>
      <c r="I8" s="48">
        <v>1956</v>
      </c>
      <c r="J8" s="48">
        <v>1956</v>
      </c>
      <c r="K8" s="48">
        <v>1956</v>
      </c>
      <c r="L8" s="48">
        <v>1956</v>
      </c>
      <c r="M8" s="4">
        <v>1956</v>
      </c>
      <c r="N8" s="4">
        <v>1956</v>
      </c>
      <c r="O8" s="4">
        <v>1956</v>
      </c>
      <c r="P8" s="4">
        <v>1956</v>
      </c>
      <c r="Q8" s="4">
        <v>1956</v>
      </c>
      <c r="R8" s="4">
        <v>1956</v>
      </c>
      <c r="S8" s="4">
        <v>1956</v>
      </c>
      <c r="T8" s="4">
        <v>1956</v>
      </c>
      <c r="U8" s="4">
        <v>1956</v>
      </c>
      <c r="V8" s="4">
        <v>1956</v>
      </c>
      <c r="W8" s="4">
        <v>1956</v>
      </c>
      <c r="X8" s="4">
        <v>1956</v>
      </c>
      <c r="Y8" s="4">
        <v>1956</v>
      </c>
      <c r="Z8" s="4">
        <v>1956</v>
      </c>
      <c r="AA8" s="4">
        <v>1956</v>
      </c>
      <c r="AB8" s="4">
        <v>1956</v>
      </c>
      <c r="AC8" s="4">
        <v>1956</v>
      </c>
      <c r="AD8" s="4">
        <v>1956</v>
      </c>
      <c r="AE8" s="4">
        <v>1956</v>
      </c>
      <c r="AF8" s="4">
        <v>1956</v>
      </c>
      <c r="AG8" s="4">
        <v>1956</v>
      </c>
      <c r="AH8" s="4">
        <v>1956</v>
      </c>
      <c r="AI8" s="57">
        <f t="shared" si="0"/>
        <v>0</v>
      </c>
    </row>
    <row r="9" spans="1:35" s="401" customFormat="1" ht="24" customHeight="1">
      <c r="A9" s="4"/>
      <c r="B9" s="4"/>
      <c r="C9" s="404" t="s">
        <v>22</v>
      </c>
      <c r="D9" s="3">
        <v>28.6</v>
      </c>
      <c r="E9" s="48">
        <v>28.3</v>
      </c>
      <c r="F9" s="48">
        <v>28.6</v>
      </c>
      <c r="G9" s="48">
        <v>28.6</v>
      </c>
      <c r="H9" s="48">
        <v>28.6</v>
      </c>
      <c r="I9" s="48">
        <v>28.6</v>
      </c>
      <c r="J9" s="48">
        <v>28.6</v>
      </c>
      <c r="K9" s="48">
        <v>28.6</v>
      </c>
      <c r="L9" s="48">
        <v>28.6</v>
      </c>
      <c r="M9" s="58">
        <v>28.6</v>
      </c>
      <c r="N9" s="58">
        <v>28.6</v>
      </c>
      <c r="O9" s="58">
        <v>28.6</v>
      </c>
      <c r="P9" s="58">
        <v>28.6</v>
      </c>
      <c r="Q9" s="58">
        <v>28.6</v>
      </c>
      <c r="R9" s="58">
        <v>28.6</v>
      </c>
      <c r="S9" s="58">
        <v>28.6</v>
      </c>
      <c r="T9" s="58">
        <v>28.6</v>
      </c>
      <c r="U9" s="4">
        <v>28.6</v>
      </c>
      <c r="V9" s="4">
        <v>28.6</v>
      </c>
      <c r="W9" s="4">
        <v>28.6</v>
      </c>
      <c r="X9" s="4">
        <v>28.6</v>
      </c>
      <c r="Y9" s="4">
        <v>28.6</v>
      </c>
      <c r="Z9" s="4">
        <v>28.6</v>
      </c>
      <c r="AA9" s="4">
        <v>28.6</v>
      </c>
      <c r="AB9" s="4">
        <v>28.6</v>
      </c>
      <c r="AC9" s="4">
        <v>28.6</v>
      </c>
      <c r="AD9" s="4">
        <v>28.6</v>
      </c>
      <c r="AE9" s="4">
        <v>28.6</v>
      </c>
      <c r="AF9" s="4">
        <v>28.6</v>
      </c>
      <c r="AG9" s="4">
        <v>28.6</v>
      </c>
      <c r="AH9" s="4">
        <v>28.6</v>
      </c>
      <c r="AI9" s="57">
        <f t="shared" si="0"/>
        <v>0</v>
      </c>
    </row>
    <row r="10" spans="1:35" s="401" customFormat="1" ht="24" customHeight="1">
      <c r="A10" s="4">
        <v>3</v>
      </c>
      <c r="B10" s="4" t="s">
        <v>129</v>
      </c>
      <c r="C10" s="405" t="s">
        <v>113</v>
      </c>
      <c r="D10" s="398">
        <v>273490</v>
      </c>
      <c r="E10" s="215">
        <v>274089</v>
      </c>
      <c r="F10" s="60">
        <v>274381</v>
      </c>
      <c r="G10" s="60">
        <v>274673</v>
      </c>
      <c r="H10" s="60">
        <v>274947</v>
      </c>
      <c r="I10" s="60">
        <v>275222</v>
      </c>
      <c r="J10" s="4">
        <v>275511</v>
      </c>
      <c r="K10" s="4">
        <v>275886</v>
      </c>
      <c r="L10" s="4">
        <v>276282</v>
      </c>
      <c r="M10" s="4">
        <v>276656</v>
      </c>
      <c r="N10" s="4">
        <v>277020</v>
      </c>
      <c r="O10" s="4">
        <v>277292</v>
      </c>
      <c r="P10" s="4">
        <v>277559</v>
      </c>
      <c r="Q10" s="4">
        <v>277944</v>
      </c>
      <c r="R10" s="4">
        <v>278324</v>
      </c>
      <c r="S10" s="4">
        <v>278709</v>
      </c>
      <c r="T10" s="4">
        <v>279075</v>
      </c>
      <c r="U10" s="4">
        <v>279465</v>
      </c>
      <c r="V10" s="4">
        <v>279746</v>
      </c>
      <c r="W10" s="4">
        <v>280016</v>
      </c>
      <c r="X10" s="4">
        <v>280397</v>
      </c>
      <c r="Y10" s="4">
        <v>280781</v>
      </c>
      <c r="Z10" s="4">
        <v>281152</v>
      </c>
      <c r="AA10" s="58">
        <v>281529</v>
      </c>
      <c r="AB10" s="8">
        <v>281886</v>
      </c>
      <c r="AC10" s="8">
        <v>282171</v>
      </c>
      <c r="AD10" s="8">
        <v>282447</v>
      </c>
      <c r="AE10" s="128">
        <v>282812</v>
      </c>
      <c r="AF10" s="128">
        <v>283201</v>
      </c>
      <c r="AG10" s="406">
        <v>283566</v>
      </c>
      <c r="AH10" s="407">
        <v>283914</v>
      </c>
      <c r="AI10" s="57">
        <f t="shared" si="0"/>
        <v>10424</v>
      </c>
    </row>
    <row r="11" spans="1:35" s="401" customFormat="1" ht="24" customHeight="1">
      <c r="A11" s="4"/>
      <c r="B11" s="4"/>
      <c r="C11" s="404" t="s">
        <v>22</v>
      </c>
      <c r="D11" s="3">
        <v>6472</v>
      </c>
      <c r="E11" s="48">
        <v>6472</v>
      </c>
      <c r="F11" s="48">
        <v>6472</v>
      </c>
      <c r="G11" s="48">
        <v>6472</v>
      </c>
      <c r="H11" s="48">
        <v>6472</v>
      </c>
      <c r="I11" s="48">
        <v>6472</v>
      </c>
      <c r="J11" s="48">
        <v>6472</v>
      </c>
      <c r="K11" s="48">
        <v>6472</v>
      </c>
      <c r="L11" s="48">
        <v>6472</v>
      </c>
      <c r="M11" s="58">
        <v>6472</v>
      </c>
      <c r="N11" s="58">
        <v>6472</v>
      </c>
      <c r="O11" s="58">
        <v>6472</v>
      </c>
      <c r="P11" s="58">
        <v>6472</v>
      </c>
      <c r="Q11" s="58">
        <v>6472</v>
      </c>
      <c r="R11" s="58">
        <v>6472</v>
      </c>
      <c r="S11" s="58">
        <v>6472</v>
      </c>
      <c r="T11" s="58">
        <v>6472</v>
      </c>
      <c r="U11" s="4">
        <v>6472</v>
      </c>
      <c r="V11" s="4">
        <v>6472</v>
      </c>
      <c r="W11" s="4">
        <v>6472</v>
      </c>
      <c r="X11" s="4">
        <v>6472</v>
      </c>
      <c r="Y11" s="4">
        <v>6472</v>
      </c>
      <c r="Z11" s="4">
        <v>6472</v>
      </c>
      <c r="AA11" s="4">
        <v>6472</v>
      </c>
      <c r="AB11" s="4">
        <v>6472</v>
      </c>
      <c r="AC11" s="4">
        <v>6472</v>
      </c>
      <c r="AD11" s="4">
        <v>6472</v>
      </c>
      <c r="AE11" s="4">
        <v>6472</v>
      </c>
      <c r="AF11" s="4">
        <v>6472</v>
      </c>
      <c r="AG11" s="4">
        <v>6472</v>
      </c>
      <c r="AH11" s="4">
        <v>6472</v>
      </c>
      <c r="AI11" s="57">
        <f t="shared" si="0"/>
        <v>0</v>
      </c>
    </row>
    <row r="12" spans="1:35" s="401" customFormat="1" ht="24" customHeight="1">
      <c r="A12" s="4">
        <v>4</v>
      </c>
      <c r="B12" s="4" t="s">
        <v>129</v>
      </c>
      <c r="C12" s="405" t="s">
        <v>114</v>
      </c>
      <c r="D12" s="3">
        <v>0</v>
      </c>
      <c r="E12" s="48">
        <v>0</v>
      </c>
      <c r="F12" s="48">
        <v>0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48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57">
        <f t="shared" si="0"/>
        <v>0</v>
      </c>
    </row>
    <row r="13" spans="1:35" s="401" customFormat="1" ht="24" customHeight="1">
      <c r="A13" s="4"/>
      <c r="B13" s="4"/>
      <c r="C13" s="404" t="s">
        <v>22</v>
      </c>
      <c r="D13" s="3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57">
        <f t="shared" si="0"/>
        <v>0</v>
      </c>
    </row>
    <row r="14" spans="1:35" s="401" customFormat="1" ht="24" customHeight="1">
      <c r="A14" s="4">
        <v>5</v>
      </c>
      <c r="B14" s="4" t="s">
        <v>129</v>
      </c>
      <c r="C14" s="405" t="s">
        <v>115</v>
      </c>
      <c r="D14" s="398">
        <v>143732</v>
      </c>
      <c r="E14" s="129">
        <v>144105</v>
      </c>
      <c r="F14" s="8">
        <v>144275</v>
      </c>
      <c r="G14" s="8">
        <v>144415</v>
      </c>
      <c r="H14" s="8">
        <v>144547</v>
      </c>
      <c r="I14" s="8">
        <v>144696</v>
      </c>
      <c r="J14" s="4">
        <v>144865</v>
      </c>
      <c r="K14" s="4">
        <v>145101</v>
      </c>
      <c r="L14" s="4">
        <v>145346</v>
      </c>
      <c r="M14" s="4">
        <v>145503</v>
      </c>
      <c r="N14" s="4">
        <v>145806</v>
      </c>
      <c r="O14" s="4">
        <v>145945</v>
      </c>
      <c r="P14" s="4">
        <v>146078</v>
      </c>
      <c r="Q14" s="4">
        <v>146322</v>
      </c>
      <c r="R14" s="4">
        <v>146563</v>
      </c>
      <c r="S14" s="4">
        <v>146772</v>
      </c>
      <c r="T14" s="4">
        <v>147037</v>
      </c>
      <c r="U14" s="33">
        <v>147286</v>
      </c>
      <c r="V14" s="4">
        <v>147413</v>
      </c>
      <c r="W14" s="4">
        <v>147529</v>
      </c>
      <c r="X14" s="4">
        <v>147769</v>
      </c>
      <c r="Y14" s="4">
        <v>148006</v>
      </c>
      <c r="Z14" s="4">
        <v>148246</v>
      </c>
      <c r="AA14" s="58">
        <v>148476</v>
      </c>
      <c r="AB14" s="33">
        <v>148699</v>
      </c>
      <c r="AC14" s="33">
        <v>148853</v>
      </c>
      <c r="AD14" s="33">
        <v>148985</v>
      </c>
      <c r="AE14" s="200">
        <v>149200</v>
      </c>
      <c r="AF14" s="200">
        <v>149433</v>
      </c>
      <c r="AG14" s="406">
        <v>149662</v>
      </c>
      <c r="AH14" s="407">
        <v>149904</v>
      </c>
      <c r="AI14" s="57">
        <f t="shared" si="0"/>
        <v>6172</v>
      </c>
    </row>
    <row r="15" spans="1:35" s="401" customFormat="1" ht="24" customHeight="1">
      <c r="A15" s="4"/>
      <c r="B15" s="4"/>
      <c r="C15" s="404" t="s">
        <v>22</v>
      </c>
      <c r="D15" s="408">
        <v>3316</v>
      </c>
      <c r="E15" s="215">
        <v>3316</v>
      </c>
      <c r="F15" s="215">
        <v>3316</v>
      </c>
      <c r="G15" s="215">
        <v>3316</v>
      </c>
      <c r="H15" s="215">
        <v>3316</v>
      </c>
      <c r="I15" s="215">
        <v>3316</v>
      </c>
      <c r="J15" s="215">
        <v>3316</v>
      </c>
      <c r="K15" s="215">
        <v>3316</v>
      </c>
      <c r="L15" s="215">
        <v>3316</v>
      </c>
      <c r="M15" s="215">
        <v>3316</v>
      </c>
      <c r="N15" s="215">
        <v>3316</v>
      </c>
      <c r="O15" s="215">
        <v>3316</v>
      </c>
      <c r="P15" s="215">
        <v>3316</v>
      </c>
      <c r="Q15" s="215">
        <v>3316</v>
      </c>
      <c r="R15" s="215">
        <v>3316</v>
      </c>
      <c r="S15" s="215">
        <v>3316</v>
      </c>
      <c r="T15" s="215">
        <v>3316</v>
      </c>
      <c r="U15" s="60">
        <v>3316</v>
      </c>
      <c r="V15" s="60">
        <v>3316</v>
      </c>
      <c r="W15" s="60">
        <v>3316</v>
      </c>
      <c r="X15" s="60">
        <v>3316</v>
      </c>
      <c r="Y15" s="60">
        <v>3316</v>
      </c>
      <c r="Z15" s="60">
        <v>3316</v>
      </c>
      <c r="AA15" s="60">
        <v>3316</v>
      </c>
      <c r="AB15" s="60">
        <v>3316</v>
      </c>
      <c r="AC15" s="60">
        <v>3316</v>
      </c>
      <c r="AD15" s="60">
        <v>3316</v>
      </c>
      <c r="AE15" s="60">
        <v>3316</v>
      </c>
      <c r="AF15" s="60">
        <v>3316</v>
      </c>
      <c r="AG15" s="60">
        <v>3316</v>
      </c>
      <c r="AH15" s="60">
        <v>3316</v>
      </c>
      <c r="AI15" s="57">
        <f t="shared" si="0"/>
        <v>0</v>
      </c>
    </row>
    <row r="16" spans="1:35" s="401" customFormat="1" ht="24" customHeight="1">
      <c r="A16" s="4">
        <v>6</v>
      </c>
      <c r="B16" s="4" t="s">
        <v>129</v>
      </c>
      <c r="C16" s="405" t="s">
        <v>142</v>
      </c>
      <c r="D16" s="398">
        <v>160213</v>
      </c>
      <c r="E16" s="409">
        <v>160642</v>
      </c>
      <c r="F16" s="58">
        <v>160877</v>
      </c>
      <c r="G16" s="48">
        <v>160988</v>
      </c>
      <c r="H16" s="59">
        <v>161082</v>
      </c>
      <c r="I16" s="4">
        <v>161173</v>
      </c>
      <c r="J16" s="4">
        <v>161261</v>
      </c>
      <c r="K16" s="58">
        <v>161530</v>
      </c>
      <c r="L16" s="127">
        <v>161795</v>
      </c>
      <c r="M16" s="407">
        <v>162059</v>
      </c>
      <c r="N16" s="407">
        <v>162320</v>
      </c>
      <c r="O16" s="407">
        <v>162434</v>
      </c>
      <c r="P16" s="407">
        <v>162516</v>
      </c>
      <c r="Q16" s="410">
        <v>162803</v>
      </c>
      <c r="R16" s="407">
        <v>163074</v>
      </c>
      <c r="S16" s="59">
        <v>163354</v>
      </c>
      <c r="T16" s="4">
        <v>163619</v>
      </c>
      <c r="U16" s="4">
        <v>163924</v>
      </c>
      <c r="V16" s="4">
        <v>164045</v>
      </c>
      <c r="W16" s="4">
        <v>164136</v>
      </c>
      <c r="X16" s="4">
        <v>164396</v>
      </c>
      <c r="Y16" s="4">
        <v>164687</v>
      </c>
      <c r="Z16" s="4">
        <v>164971</v>
      </c>
      <c r="AA16" s="58">
        <v>165253</v>
      </c>
      <c r="AB16" s="58">
        <v>165535</v>
      </c>
      <c r="AC16" s="48">
        <v>165683</v>
      </c>
      <c r="AD16" s="48">
        <v>165800</v>
      </c>
      <c r="AE16" s="169">
        <v>166065</v>
      </c>
      <c r="AF16" s="169">
        <v>166337</v>
      </c>
      <c r="AG16" s="406">
        <v>166611</v>
      </c>
      <c r="AH16" s="407">
        <v>166898</v>
      </c>
      <c r="AI16" s="57">
        <f t="shared" si="0"/>
        <v>6685</v>
      </c>
    </row>
    <row r="17" spans="1:35" s="401" customFormat="1" ht="24" customHeight="1">
      <c r="A17" s="4"/>
      <c r="B17" s="4"/>
      <c r="C17" s="404" t="s">
        <v>22</v>
      </c>
      <c r="D17" s="156">
        <v>4297</v>
      </c>
      <c r="E17" s="129">
        <v>4297</v>
      </c>
      <c r="F17" s="129">
        <v>4297</v>
      </c>
      <c r="G17" s="129">
        <v>4297</v>
      </c>
      <c r="H17" s="129">
        <v>4297</v>
      </c>
      <c r="I17" s="129">
        <v>4297</v>
      </c>
      <c r="J17" s="129">
        <v>4297</v>
      </c>
      <c r="K17" s="129">
        <v>4297</v>
      </c>
      <c r="L17" s="129">
        <v>4297</v>
      </c>
      <c r="M17" s="129">
        <v>4297</v>
      </c>
      <c r="N17" s="129">
        <v>4297</v>
      </c>
      <c r="O17" s="129">
        <v>4297</v>
      </c>
      <c r="P17" s="129">
        <v>4297</v>
      </c>
      <c r="Q17" s="129">
        <v>4297</v>
      </c>
      <c r="R17" s="129">
        <v>4297</v>
      </c>
      <c r="S17" s="129">
        <v>4297</v>
      </c>
      <c r="T17" s="129">
        <v>4297</v>
      </c>
      <c r="U17" s="129">
        <v>4297</v>
      </c>
      <c r="V17" s="129">
        <v>4297</v>
      </c>
      <c r="W17" s="129">
        <v>4297</v>
      </c>
      <c r="X17" s="129">
        <v>4297</v>
      </c>
      <c r="Y17" s="129">
        <v>4297</v>
      </c>
      <c r="Z17" s="129">
        <v>4297</v>
      </c>
      <c r="AA17" s="129">
        <v>4297</v>
      </c>
      <c r="AB17" s="129">
        <v>4297</v>
      </c>
      <c r="AC17" s="129">
        <v>4297</v>
      </c>
      <c r="AD17" s="129">
        <v>4297</v>
      </c>
      <c r="AE17" s="129">
        <v>4297</v>
      </c>
      <c r="AF17" s="129">
        <v>4297</v>
      </c>
      <c r="AG17" s="129">
        <v>4297</v>
      </c>
      <c r="AH17" s="129">
        <v>4297</v>
      </c>
      <c r="AI17" s="57">
        <f t="shared" si="0"/>
        <v>0</v>
      </c>
    </row>
    <row r="18" spans="1:35" s="401" customFormat="1" ht="24" customHeight="1">
      <c r="A18" s="4">
        <v>7</v>
      </c>
      <c r="B18" s="4" t="s">
        <v>129</v>
      </c>
      <c r="C18" s="405" t="s">
        <v>117</v>
      </c>
      <c r="D18" s="398">
        <v>528403</v>
      </c>
      <c r="E18" s="59">
        <v>529732</v>
      </c>
      <c r="F18" s="4">
        <v>530347</v>
      </c>
      <c r="G18" s="4">
        <v>530777</v>
      </c>
      <c r="H18" s="4">
        <v>531162</v>
      </c>
      <c r="I18" s="4">
        <v>531674</v>
      </c>
      <c r="J18" s="4">
        <v>532109</v>
      </c>
      <c r="K18" s="4">
        <v>532851</v>
      </c>
      <c r="L18" s="4">
        <v>533672</v>
      </c>
      <c r="M18" s="4">
        <v>534410</v>
      </c>
      <c r="N18" s="5">
        <v>535246</v>
      </c>
      <c r="O18" s="4">
        <v>535602</v>
      </c>
      <c r="P18" s="4">
        <v>536003</v>
      </c>
      <c r="Q18" s="4">
        <v>536803</v>
      </c>
      <c r="R18" s="8">
        <v>537574</v>
      </c>
      <c r="S18" s="5">
        <v>538394</v>
      </c>
      <c r="T18" s="4">
        <v>539168</v>
      </c>
      <c r="U18" s="4">
        <v>539950</v>
      </c>
      <c r="V18" s="4">
        <v>540353</v>
      </c>
      <c r="W18" s="4">
        <v>540688</v>
      </c>
      <c r="X18" s="33">
        <v>541492</v>
      </c>
      <c r="Y18" s="4">
        <v>542247</v>
      </c>
      <c r="Z18" s="4">
        <v>543018</v>
      </c>
      <c r="AA18" s="58">
        <v>543788</v>
      </c>
      <c r="AB18" s="48">
        <v>544541</v>
      </c>
      <c r="AC18" s="201">
        <v>545059</v>
      </c>
      <c r="AD18" s="8">
        <v>545464</v>
      </c>
      <c r="AE18" s="128">
        <v>546206</v>
      </c>
      <c r="AF18" s="128">
        <v>547009</v>
      </c>
      <c r="AG18" s="406">
        <v>547765</v>
      </c>
      <c r="AH18" s="407">
        <v>548563</v>
      </c>
      <c r="AI18" s="57">
        <f t="shared" si="0"/>
        <v>20160</v>
      </c>
    </row>
    <row r="19" spans="1:35" s="401" customFormat="1" ht="24" customHeight="1">
      <c r="A19" s="4"/>
      <c r="B19" s="4"/>
      <c r="C19" s="404" t="s">
        <v>22</v>
      </c>
      <c r="D19" s="3">
        <v>11747</v>
      </c>
      <c r="E19" s="59">
        <v>11747</v>
      </c>
      <c r="F19" s="59">
        <v>11747</v>
      </c>
      <c r="G19" s="59">
        <v>11747</v>
      </c>
      <c r="H19" s="59">
        <v>11747</v>
      </c>
      <c r="I19" s="59">
        <v>11747</v>
      </c>
      <c r="J19" s="59">
        <v>11747</v>
      </c>
      <c r="K19" s="59">
        <v>11747</v>
      </c>
      <c r="L19" s="59">
        <v>11747</v>
      </c>
      <c r="M19" s="4">
        <v>11747</v>
      </c>
      <c r="N19" s="4">
        <v>11747</v>
      </c>
      <c r="O19" s="4">
        <v>11747</v>
      </c>
      <c r="P19" s="4">
        <v>11747</v>
      </c>
      <c r="Q19" s="4">
        <v>11747</v>
      </c>
      <c r="R19" s="4">
        <v>11747</v>
      </c>
      <c r="S19" s="4">
        <v>11747</v>
      </c>
      <c r="T19" s="4">
        <v>11747</v>
      </c>
      <c r="U19" s="4">
        <v>11747</v>
      </c>
      <c r="V19" s="4">
        <v>11747</v>
      </c>
      <c r="W19" s="4">
        <v>11747</v>
      </c>
      <c r="X19" s="4">
        <v>11747</v>
      </c>
      <c r="Y19" s="4">
        <v>11747</v>
      </c>
      <c r="Z19" s="4">
        <v>11747</v>
      </c>
      <c r="AA19" s="4">
        <v>11747</v>
      </c>
      <c r="AB19" s="4">
        <v>11747</v>
      </c>
      <c r="AC19" s="4">
        <v>11747</v>
      </c>
      <c r="AD19" s="4">
        <v>11747</v>
      </c>
      <c r="AE19" s="4">
        <v>11747</v>
      </c>
      <c r="AF19" s="4">
        <v>11747</v>
      </c>
      <c r="AG19" s="4">
        <v>11747</v>
      </c>
      <c r="AH19" s="4">
        <v>11747</v>
      </c>
      <c r="AI19" s="57">
        <f t="shared" si="0"/>
        <v>0</v>
      </c>
    </row>
    <row r="20" spans="1:35" s="401" customFormat="1" ht="24" customHeight="1">
      <c r="A20" s="4">
        <v>8</v>
      </c>
      <c r="B20" s="4" t="s">
        <v>129</v>
      </c>
      <c r="C20" s="405" t="s">
        <v>118</v>
      </c>
      <c r="D20" s="398">
        <v>101290</v>
      </c>
      <c r="E20" s="59">
        <v>101483</v>
      </c>
      <c r="F20" s="4">
        <v>101577</v>
      </c>
      <c r="G20" s="4">
        <v>101694</v>
      </c>
      <c r="H20" s="4">
        <v>101810</v>
      </c>
      <c r="I20" s="4">
        <v>101928</v>
      </c>
      <c r="J20" s="4">
        <v>102051</v>
      </c>
      <c r="K20" s="4">
        <v>102170</v>
      </c>
      <c r="L20" s="4">
        <v>102297</v>
      </c>
      <c r="M20" s="4">
        <v>102413</v>
      </c>
      <c r="N20" s="4">
        <v>102536</v>
      </c>
      <c r="O20" s="4">
        <v>102638</v>
      </c>
      <c r="P20" s="4">
        <v>102748</v>
      </c>
      <c r="Q20" s="4">
        <v>102877</v>
      </c>
      <c r="R20" s="4">
        <v>103011</v>
      </c>
      <c r="S20" s="4">
        <v>103150</v>
      </c>
      <c r="T20" s="4">
        <v>103298</v>
      </c>
      <c r="U20" s="4">
        <v>103444</v>
      </c>
      <c r="V20" s="4">
        <v>103565</v>
      </c>
      <c r="W20" s="4">
        <v>103682</v>
      </c>
      <c r="X20" s="4">
        <v>103830</v>
      </c>
      <c r="Y20" s="4">
        <v>103953</v>
      </c>
      <c r="Z20" s="4">
        <v>104115</v>
      </c>
      <c r="AA20" s="8">
        <v>104246</v>
      </c>
      <c r="AB20" s="8">
        <v>104395</v>
      </c>
      <c r="AC20" s="8">
        <v>104535</v>
      </c>
      <c r="AD20" s="8">
        <v>104669</v>
      </c>
      <c r="AE20" s="128">
        <v>104819</v>
      </c>
      <c r="AF20" s="128">
        <v>104982</v>
      </c>
      <c r="AG20" s="406">
        <v>105143</v>
      </c>
      <c r="AH20" s="407">
        <v>105288</v>
      </c>
      <c r="AI20" s="57">
        <f t="shared" si="0"/>
        <v>3998</v>
      </c>
    </row>
    <row r="21" spans="1:35" s="401" customFormat="1" ht="24" customHeight="1">
      <c r="A21" s="4"/>
      <c r="B21" s="4"/>
      <c r="C21" s="404" t="s">
        <v>22</v>
      </c>
      <c r="D21" s="3">
        <v>2232</v>
      </c>
      <c r="E21" s="59">
        <v>2232</v>
      </c>
      <c r="F21" s="59">
        <v>2232</v>
      </c>
      <c r="G21" s="59">
        <v>2232</v>
      </c>
      <c r="H21" s="59">
        <v>2232</v>
      </c>
      <c r="I21" s="59">
        <v>2232</v>
      </c>
      <c r="J21" s="59">
        <v>2232</v>
      </c>
      <c r="K21" s="59">
        <v>2232</v>
      </c>
      <c r="L21" s="59">
        <v>2232</v>
      </c>
      <c r="M21" s="4">
        <v>2232</v>
      </c>
      <c r="N21" s="4">
        <v>2232</v>
      </c>
      <c r="O21" s="4">
        <v>2232</v>
      </c>
      <c r="P21" s="4">
        <v>2232</v>
      </c>
      <c r="Q21" s="4">
        <v>2232</v>
      </c>
      <c r="R21" s="4">
        <v>2232</v>
      </c>
      <c r="S21" s="4">
        <v>2232</v>
      </c>
      <c r="T21" s="4">
        <v>2232</v>
      </c>
      <c r="U21" s="4">
        <v>2232</v>
      </c>
      <c r="V21" s="4">
        <v>2232</v>
      </c>
      <c r="W21" s="4">
        <v>2232</v>
      </c>
      <c r="X21" s="4">
        <v>2232</v>
      </c>
      <c r="Y21" s="4">
        <v>2232</v>
      </c>
      <c r="Z21" s="4">
        <v>2232</v>
      </c>
      <c r="AA21" s="4">
        <v>2232</v>
      </c>
      <c r="AB21" s="4">
        <v>2232</v>
      </c>
      <c r="AC21" s="4">
        <v>2232</v>
      </c>
      <c r="AD21" s="4">
        <v>2232</v>
      </c>
      <c r="AE21" s="4">
        <v>2232</v>
      </c>
      <c r="AF21" s="4">
        <v>2232</v>
      </c>
      <c r="AG21" s="4">
        <v>2232</v>
      </c>
      <c r="AH21" s="4">
        <v>2232</v>
      </c>
      <c r="AI21" s="57">
        <f t="shared" si="0"/>
        <v>0</v>
      </c>
    </row>
    <row r="22" spans="1:35" s="401" customFormat="1" ht="24" customHeight="1">
      <c r="A22" s="568"/>
      <c r="B22" s="567"/>
      <c r="C22" s="567"/>
      <c r="D22" s="567"/>
      <c r="E22" s="567"/>
      <c r="F22" s="567"/>
      <c r="G22" s="567"/>
      <c r="H22" s="567"/>
      <c r="I22" s="567"/>
      <c r="J22" s="567"/>
      <c r="K22" s="567"/>
      <c r="L22" s="567"/>
      <c r="M22" s="567"/>
      <c r="N22" s="567"/>
      <c r="O22" s="567"/>
      <c r="P22" s="567"/>
      <c r="Q22" s="567"/>
      <c r="R22" s="567"/>
      <c r="S22" s="567"/>
      <c r="T22" s="567"/>
      <c r="U22" s="567"/>
      <c r="V22" s="567"/>
      <c r="W22" s="567"/>
      <c r="X22" s="567"/>
      <c r="Y22" s="567"/>
      <c r="Z22" s="567"/>
      <c r="AA22" s="567"/>
      <c r="AB22" s="567"/>
      <c r="AC22" s="567"/>
      <c r="AD22" s="567"/>
      <c r="AE22" s="567"/>
      <c r="AF22" s="567"/>
      <c r="AG22" s="567"/>
      <c r="AH22" s="567"/>
    </row>
    <row r="23" spans="1:35" s="401" customFormat="1" ht="24" customHeight="1">
      <c r="A23" s="4">
        <v>1</v>
      </c>
      <c r="B23" s="4" t="s">
        <v>129</v>
      </c>
      <c r="C23" s="405" t="s">
        <v>119</v>
      </c>
      <c r="D23" s="398">
        <v>56137</v>
      </c>
      <c r="E23" s="59">
        <v>56320</v>
      </c>
      <c r="F23" s="4">
        <v>56448</v>
      </c>
      <c r="G23" s="4">
        <v>56468</v>
      </c>
      <c r="H23" s="4">
        <v>56468</v>
      </c>
      <c r="I23" s="4">
        <v>56468</v>
      </c>
      <c r="J23" s="4">
        <v>56493</v>
      </c>
      <c r="K23" s="4">
        <v>56657</v>
      </c>
      <c r="L23" s="4">
        <v>56836</v>
      </c>
      <c r="M23" s="4">
        <v>57014</v>
      </c>
      <c r="N23" s="4">
        <v>57199</v>
      </c>
      <c r="O23" s="4">
        <v>57240</v>
      </c>
      <c r="P23" s="4">
        <v>57241</v>
      </c>
      <c r="Q23" s="4">
        <v>57378</v>
      </c>
      <c r="R23" s="4">
        <v>57536</v>
      </c>
      <c r="S23" s="4">
        <v>57667</v>
      </c>
      <c r="T23" s="4">
        <v>57812</v>
      </c>
      <c r="U23" s="4">
        <v>57930</v>
      </c>
      <c r="V23" s="4">
        <v>57951</v>
      </c>
      <c r="W23" s="4">
        <v>57951</v>
      </c>
      <c r="X23" s="4">
        <v>58060</v>
      </c>
      <c r="Y23" s="4">
        <v>58181</v>
      </c>
      <c r="Z23" s="4">
        <v>58295</v>
      </c>
      <c r="AA23" s="4">
        <v>58389</v>
      </c>
      <c r="AB23" s="4">
        <v>58487</v>
      </c>
      <c r="AC23" s="4">
        <v>58537</v>
      </c>
      <c r="AD23" s="58">
        <v>58537</v>
      </c>
      <c r="AE23" s="48">
        <v>58692</v>
      </c>
      <c r="AF23" s="48">
        <v>58760</v>
      </c>
      <c r="AG23" s="48">
        <v>58879</v>
      </c>
      <c r="AH23" s="407">
        <v>59001</v>
      </c>
      <c r="AI23" s="411">
        <f t="shared" ref="AI23:AI30" si="1">AH23-D23</f>
        <v>2864</v>
      </c>
    </row>
    <row r="24" spans="1:35" s="401" customFormat="1" ht="24" customHeight="1">
      <c r="A24" s="4"/>
      <c r="B24" s="4"/>
      <c r="C24" s="412" t="s">
        <v>22</v>
      </c>
      <c r="D24" s="55">
        <v>1923</v>
      </c>
      <c r="E24" s="4">
        <v>1923</v>
      </c>
      <c r="F24" s="4">
        <v>1923</v>
      </c>
      <c r="G24" s="4">
        <v>1923</v>
      </c>
      <c r="H24" s="4">
        <v>1923</v>
      </c>
      <c r="I24" s="4">
        <v>1923</v>
      </c>
      <c r="J24" s="4">
        <v>1923</v>
      </c>
      <c r="K24" s="4">
        <v>1923</v>
      </c>
      <c r="L24" s="4">
        <v>1923</v>
      </c>
      <c r="M24" s="4">
        <v>1923</v>
      </c>
      <c r="N24" s="4">
        <v>1923</v>
      </c>
      <c r="O24" s="4">
        <v>1923</v>
      </c>
      <c r="P24" s="4">
        <v>1923</v>
      </c>
      <c r="Q24" s="4">
        <v>1923</v>
      </c>
      <c r="R24" s="4">
        <v>1923</v>
      </c>
      <c r="S24" s="4">
        <v>1923</v>
      </c>
      <c r="T24" s="4">
        <v>1923</v>
      </c>
      <c r="U24" s="4">
        <v>1923</v>
      </c>
      <c r="V24" s="4">
        <v>1923</v>
      </c>
      <c r="W24" s="4">
        <v>1923</v>
      </c>
      <c r="X24" s="33">
        <v>1923</v>
      </c>
      <c r="Y24" s="33">
        <v>1923</v>
      </c>
      <c r="Z24" s="33">
        <v>1923</v>
      </c>
      <c r="AA24" s="33">
        <v>1923</v>
      </c>
      <c r="AB24" s="33">
        <v>1923</v>
      </c>
      <c r="AC24" s="33">
        <v>1923</v>
      </c>
      <c r="AD24" s="33">
        <v>1923</v>
      </c>
      <c r="AE24" s="33">
        <v>1923</v>
      </c>
      <c r="AF24" s="33">
        <v>1923</v>
      </c>
      <c r="AG24" s="48">
        <v>1923</v>
      </c>
      <c r="AH24" s="48">
        <v>1923</v>
      </c>
      <c r="AI24" s="411">
        <f t="shared" si="1"/>
        <v>0</v>
      </c>
    </row>
    <row r="25" spans="1:35" s="401" customFormat="1" ht="24" customHeight="1">
      <c r="A25" s="4">
        <v>2</v>
      </c>
      <c r="B25" s="4" t="s">
        <v>129</v>
      </c>
      <c r="C25" s="413" t="s">
        <v>120</v>
      </c>
      <c r="D25" s="398">
        <v>58488</v>
      </c>
      <c r="E25" s="4">
        <v>58617</v>
      </c>
      <c r="F25" s="4">
        <v>58695</v>
      </c>
      <c r="G25" s="4">
        <v>58695</v>
      </c>
      <c r="H25" s="4">
        <v>58695</v>
      </c>
      <c r="I25" s="4">
        <v>58695</v>
      </c>
      <c r="J25" s="4">
        <v>58743</v>
      </c>
      <c r="K25" s="4">
        <v>58842</v>
      </c>
      <c r="L25" s="4">
        <v>58910</v>
      </c>
      <c r="M25" s="4">
        <v>58972</v>
      </c>
      <c r="N25" s="4">
        <v>59064</v>
      </c>
      <c r="O25" s="4">
        <v>59064</v>
      </c>
      <c r="P25" s="4">
        <v>59065</v>
      </c>
      <c r="Q25" s="4">
        <v>59191</v>
      </c>
      <c r="R25" s="4">
        <v>59343</v>
      </c>
      <c r="S25" s="4">
        <v>59468</v>
      </c>
      <c r="T25" s="4">
        <v>59594</v>
      </c>
      <c r="U25" s="4">
        <v>59718</v>
      </c>
      <c r="V25" s="4">
        <v>59731</v>
      </c>
      <c r="W25" s="4">
        <v>59731</v>
      </c>
      <c r="X25" s="4">
        <v>59859</v>
      </c>
      <c r="Y25" s="4">
        <v>59994</v>
      </c>
      <c r="Z25" s="4">
        <v>60131</v>
      </c>
      <c r="AA25" s="4">
        <v>60302</v>
      </c>
      <c r="AB25" s="4">
        <v>60431</v>
      </c>
      <c r="AC25" s="4">
        <v>60502</v>
      </c>
      <c r="AD25" s="58">
        <v>60502</v>
      </c>
      <c r="AE25" s="48">
        <v>60638</v>
      </c>
      <c r="AF25" s="48">
        <v>60787</v>
      </c>
      <c r="AG25" s="406">
        <v>60934</v>
      </c>
      <c r="AH25" s="407">
        <v>61050</v>
      </c>
      <c r="AI25" s="411">
        <f t="shared" si="1"/>
        <v>2562</v>
      </c>
    </row>
    <row r="26" spans="1:35" s="401" customFormat="1" ht="24" customHeight="1">
      <c r="A26" s="4"/>
      <c r="B26" s="4"/>
      <c r="C26" s="412" t="s">
        <v>22</v>
      </c>
      <c r="D26" s="210">
        <v>1911</v>
      </c>
      <c r="E26" s="4">
        <v>1911</v>
      </c>
      <c r="F26" s="4">
        <v>1911</v>
      </c>
      <c r="G26" s="4">
        <v>1911</v>
      </c>
      <c r="H26" s="4">
        <v>1911</v>
      </c>
      <c r="I26" s="4">
        <v>1911</v>
      </c>
      <c r="J26" s="4">
        <v>1911</v>
      </c>
      <c r="K26" s="4">
        <v>1911</v>
      </c>
      <c r="L26" s="4">
        <v>1911</v>
      </c>
      <c r="M26" s="4">
        <v>1911</v>
      </c>
      <c r="N26" s="4">
        <v>1911</v>
      </c>
      <c r="O26" s="4">
        <v>1911</v>
      </c>
      <c r="P26" s="4">
        <v>1911</v>
      </c>
      <c r="Q26" s="4">
        <v>1911</v>
      </c>
      <c r="R26" s="4">
        <v>1911</v>
      </c>
      <c r="S26" s="4">
        <v>1911</v>
      </c>
      <c r="T26" s="4">
        <v>1911</v>
      </c>
      <c r="U26" s="4">
        <v>1911</v>
      </c>
      <c r="V26" s="4">
        <v>1911</v>
      </c>
      <c r="W26" s="4">
        <v>1911</v>
      </c>
      <c r="X26" s="4">
        <v>1911</v>
      </c>
      <c r="Y26" s="4">
        <v>1911</v>
      </c>
      <c r="Z26" s="4">
        <v>1911</v>
      </c>
      <c r="AA26" s="4">
        <v>1911</v>
      </c>
      <c r="AB26" s="4">
        <v>1911</v>
      </c>
      <c r="AC26" s="4">
        <v>1911</v>
      </c>
      <c r="AD26" s="4">
        <v>1911</v>
      </c>
      <c r="AE26" s="4">
        <v>1940</v>
      </c>
      <c r="AF26" s="4">
        <v>1940</v>
      </c>
      <c r="AG26" s="58">
        <v>1940</v>
      </c>
      <c r="AH26" s="58">
        <v>1940</v>
      </c>
      <c r="AI26" s="411">
        <f t="shared" si="1"/>
        <v>29</v>
      </c>
    </row>
    <row r="27" spans="1:35" s="401" customFormat="1" ht="24" customHeight="1">
      <c r="A27" s="4">
        <v>3</v>
      </c>
      <c r="B27" s="4" t="s">
        <v>129</v>
      </c>
      <c r="C27" s="413" t="s">
        <v>121</v>
      </c>
      <c r="D27" s="398">
        <v>71032</v>
      </c>
      <c r="E27" s="4">
        <v>71196</v>
      </c>
      <c r="F27" s="4">
        <v>71310</v>
      </c>
      <c r="G27" s="4">
        <v>71310</v>
      </c>
      <c r="H27" s="4">
        <v>71364</v>
      </c>
      <c r="I27" s="4">
        <v>71486</v>
      </c>
      <c r="J27" s="4">
        <v>71534</v>
      </c>
      <c r="K27" s="4">
        <v>71636</v>
      </c>
      <c r="L27" s="4">
        <v>71741</v>
      </c>
      <c r="M27" s="4">
        <v>71846</v>
      </c>
      <c r="N27" s="4">
        <v>71972</v>
      </c>
      <c r="O27" s="4">
        <v>71972</v>
      </c>
      <c r="P27" s="4">
        <v>71972</v>
      </c>
      <c r="Q27" s="4">
        <v>72100</v>
      </c>
      <c r="R27" s="4">
        <v>72180</v>
      </c>
      <c r="S27" s="4">
        <v>72260</v>
      </c>
      <c r="T27" s="4">
        <v>72330</v>
      </c>
      <c r="U27" s="4">
        <v>72424</v>
      </c>
      <c r="V27" s="4">
        <v>72505</v>
      </c>
      <c r="W27" s="4">
        <v>72659</v>
      </c>
      <c r="X27" s="4">
        <v>72854</v>
      </c>
      <c r="Y27" s="4">
        <v>72938</v>
      </c>
      <c r="Z27" s="4">
        <v>73026</v>
      </c>
      <c r="AA27" s="4">
        <v>73152</v>
      </c>
      <c r="AB27" s="4">
        <v>73275</v>
      </c>
      <c r="AC27" s="4">
        <v>73353</v>
      </c>
      <c r="AD27" s="58">
        <v>73432</v>
      </c>
      <c r="AE27" s="48">
        <v>73594</v>
      </c>
      <c r="AF27" s="414">
        <v>73721</v>
      </c>
      <c r="AG27" s="406">
        <v>73852</v>
      </c>
      <c r="AH27" s="407">
        <v>73971</v>
      </c>
      <c r="AI27" s="411">
        <f t="shared" si="1"/>
        <v>2939</v>
      </c>
    </row>
    <row r="28" spans="1:35" s="401" customFormat="1" ht="24" customHeight="1">
      <c r="A28" s="4"/>
      <c r="B28" s="4"/>
      <c r="C28" s="412" t="s">
        <v>22</v>
      </c>
      <c r="D28" s="3">
        <v>2068</v>
      </c>
      <c r="E28" s="4">
        <v>2068</v>
      </c>
      <c r="F28" s="4">
        <v>2068</v>
      </c>
      <c r="G28" s="4">
        <v>2068</v>
      </c>
      <c r="H28" s="4">
        <v>2068</v>
      </c>
      <c r="I28" s="4">
        <v>2068</v>
      </c>
      <c r="J28" s="4">
        <v>2068</v>
      </c>
      <c r="K28" s="4">
        <v>2068</v>
      </c>
      <c r="L28" s="4">
        <v>2068</v>
      </c>
      <c r="M28" s="4">
        <v>2068</v>
      </c>
      <c r="N28" s="4">
        <v>2068</v>
      </c>
      <c r="O28" s="4">
        <v>2068</v>
      </c>
      <c r="P28" s="4">
        <v>2068</v>
      </c>
      <c r="Q28" s="4">
        <v>2068</v>
      </c>
      <c r="R28" s="4">
        <v>2068</v>
      </c>
      <c r="S28" s="4">
        <v>2068</v>
      </c>
      <c r="T28" s="4">
        <v>2068</v>
      </c>
      <c r="U28" s="4">
        <v>2068</v>
      </c>
      <c r="V28" s="4">
        <v>2068</v>
      </c>
      <c r="W28" s="4">
        <v>2068</v>
      </c>
      <c r="X28" s="4">
        <v>2068</v>
      </c>
      <c r="Y28" s="4">
        <v>2068</v>
      </c>
      <c r="Z28" s="4">
        <v>2068</v>
      </c>
      <c r="AA28" s="4">
        <v>2068</v>
      </c>
      <c r="AB28" s="4">
        <v>2068</v>
      </c>
      <c r="AC28" s="4">
        <v>2068</v>
      </c>
      <c r="AD28" s="4">
        <v>2068</v>
      </c>
      <c r="AE28" s="4">
        <v>2068</v>
      </c>
      <c r="AF28" s="4">
        <v>2068</v>
      </c>
      <c r="AG28" s="4">
        <v>2068</v>
      </c>
      <c r="AH28" s="4">
        <v>2068</v>
      </c>
      <c r="AI28" s="411">
        <f t="shared" si="1"/>
        <v>0</v>
      </c>
    </row>
    <row r="29" spans="1:35" s="401" customFormat="1" ht="24" customHeight="1">
      <c r="A29" s="4">
        <v>4</v>
      </c>
      <c r="B29" s="4" t="s">
        <v>129</v>
      </c>
      <c r="C29" s="413" t="s">
        <v>122</v>
      </c>
      <c r="D29" s="398">
        <v>47765</v>
      </c>
      <c r="E29" s="4">
        <v>47906</v>
      </c>
      <c r="F29" s="4">
        <v>48032</v>
      </c>
      <c r="G29" s="4">
        <v>48032</v>
      </c>
      <c r="H29" s="4">
        <v>48032</v>
      </c>
      <c r="I29" s="4">
        <v>48032</v>
      </c>
      <c r="J29" s="4">
        <v>48033</v>
      </c>
      <c r="K29" s="4">
        <v>48136</v>
      </c>
      <c r="L29" s="4">
        <v>48201</v>
      </c>
      <c r="M29" s="4">
        <v>48267</v>
      </c>
      <c r="N29" s="4">
        <v>48337</v>
      </c>
      <c r="O29" s="4">
        <v>48337</v>
      </c>
      <c r="P29" s="4">
        <v>48369</v>
      </c>
      <c r="Q29" s="4">
        <v>48527</v>
      </c>
      <c r="R29" s="4">
        <v>48620</v>
      </c>
      <c r="S29" s="4">
        <v>48701</v>
      </c>
      <c r="T29" s="4">
        <v>48769</v>
      </c>
      <c r="U29" s="4">
        <v>48839</v>
      </c>
      <c r="V29" s="4">
        <v>48851</v>
      </c>
      <c r="W29" s="4">
        <v>48851</v>
      </c>
      <c r="X29" s="4">
        <v>48936</v>
      </c>
      <c r="Y29" s="4">
        <v>49009</v>
      </c>
      <c r="Z29" s="4">
        <v>49092</v>
      </c>
      <c r="AA29" s="4">
        <v>49162</v>
      </c>
      <c r="AB29" s="4">
        <v>49234</v>
      </c>
      <c r="AC29" s="4">
        <v>49279</v>
      </c>
      <c r="AD29" s="4">
        <v>49332</v>
      </c>
      <c r="AE29" s="128">
        <v>49462</v>
      </c>
      <c r="AF29" s="128">
        <v>49547</v>
      </c>
      <c r="AG29" s="128">
        <v>49629</v>
      </c>
      <c r="AH29" s="407">
        <v>49701</v>
      </c>
      <c r="AI29" s="411">
        <f t="shared" si="1"/>
        <v>1936</v>
      </c>
    </row>
    <row r="30" spans="1:35" s="401" customFormat="1" ht="24" customHeight="1">
      <c r="A30" s="4"/>
      <c r="B30" s="4"/>
      <c r="C30" s="412" t="s">
        <v>22</v>
      </c>
      <c r="D30" s="3">
        <v>1788</v>
      </c>
      <c r="E30" s="4">
        <v>1788</v>
      </c>
      <c r="F30" s="4">
        <v>1788</v>
      </c>
      <c r="G30" s="4">
        <v>1788</v>
      </c>
      <c r="H30" s="4">
        <v>1788</v>
      </c>
      <c r="I30" s="4">
        <v>1788</v>
      </c>
      <c r="J30" s="4">
        <v>1788</v>
      </c>
      <c r="K30" s="4">
        <v>1788</v>
      </c>
      <c r="L30" s="4">
        <v>1788</v>
      </c>
      <c r="M30" s="4">
        <v>1788</v>
      </c>
      <c r="N30" s="4">
        <v>1788</v>
      </c>
      <c r="O30" s="4">
        <v>1788</v>
      </c>
      <c r="P30" s="4">
        <v>1788</v>
      </c>
      <c r="Q30" s="4">
        <v>1788</v>
      </c>
      <c r="R30" s="4">
        <v>1788</v>
      </c>
      <c r="S30" s="4">
        <v>1788</v>
      </c>
      <c r="T30" s="4">
        <v>1788</v>
      </c>
      <c r="U30" s="4">
        <v>1788</v>
      </c>
      <c r="V30" s="4">
        <v>1788</v>
      </c>
      <c r="W30" s="4">
        <v>1788</v>
      </c>
      <c r="X30" s="4">
        <v>1788</v>
      </c>
      <c r="Y30" s="4">
        <v>1788</v>
      </c>
      <c r="Z30" s="4">
        <v>1788</v>
      </c>
      <c r="AA30" s="4">
        <v>1788</v>
      </c>
      <c r="AB30" s="4">
        <v>1788</v>
      </c>
      <c r="AC30" s="4">
        <v>1788</v>
      </c>
      <c r="AD30" s="4">
        <v>1788</v>
      </c>
      <c r="AE30" s="4">
        <v>1788</v>
      </c>
      <c r="AF30" s="4">
        <v>1788</v>
      </c>
      <c r="AG30" s="4">
        <v>1788</v>
      </c>
      <c r="AH30" s="4">
        <v>1788</v>
      </c>
      <c r="AI30" s="411">
        <f t="shared" si="1"/>
        <v>0</v>
      </c>
    </row>
    <row r="31" spans="1:35" s="401" customFormat="1" ht="24" customHeight="1">
      <c r="A31" s="568"/>
      <c r="B31" s="567"/>
      <c r="C31" s="567"/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7"/>
      <c r="O31" s="567"/>
      <c r="P31" s="567"/>
      <c r="Q31" s="567"/>
      <c r="R31" s="567"/>
      <c r="S31" s="567"/>
      <c r="T31" s="567"/>
      <c r="U31" s="567"/>
      <c r="V31" s="567"/>
      <c r="W31" s="567"/>
      <c r="X31" s="567"/>
      <c r="Y31" s="567"/>
      <c r="Z31" s="567"/>
      <c r="AA31" s="567"/>
      <c r="AB31" s="567"/>
      <c r="AC31" s="567"/>
      <c r="AD31" s="567"/>
      <c r="AE31" s="567"/>
      <c r="AF31" s="567"/>
      <c r="AG31" s="567"/>
      <c r="AH31" s="567"/>
    </row>
    <row r="32" spans="1:35" s="401" customFormat="1" ht="24" customHeight="1">
      <c r="A32" s="4">
        <v>1</v>
      </c>
      <c r="B32" s="4" t="s">
        <v>129</v>
      </c>
      <c r="C32" s="413" t="s">
        <v>123</v>
      </c>
      <c r="D32" s="398">
        <v>414628</v>
      </c>
      <c r="E32" s="415">
        <v>415189</v>
      </c>
      <c r="F32" s="208">
        <v>415568</v>
      </c>
      <c r="G32" s="208">
        <v>415659</v>
      </c>
      <c r="H32" s="208">
        <v>415659</v>
      </c>
      <c r="I32" s="208">
        <v>415659</v>
      </c>
      <c r="J32" s="208">
        <v>415659</v>
      </c>
      <c r="K32" s="208">
        <v>416210</v>
      </c>
      <c r="L32" s="208">
        <v>416607</v>
      </c>
      <c r="M32" s="415">
        <v>417121</v>
      </c>
      <c r="N32" s="208">
        <v>417535</v>
      </c>
      <c r="O32" s="208">
        <v>417620</v>
      </c>
      <c r="P32" s="208">
        <v>417620</v>
      </c>
      <c r="Q32" s="415">
        <v>418192</v>
      </c>
      <c r="R32" s="208">
        <v>418717</v>
      </c>
      <c r="S32" s="208">
        <v>419243</v>
      </c>
      <c r="T32" s="208">
        <v>419741</v>
      </c>
      <c r="U32" s="415">
        <v>420357</v>
      </c>
      <c r="V32" s="208">
        <v>420429</v>
      </c>
      <c r="W32" s="208">
        <v>420429</v>
      </c>
      <c r="X32" s="208">
        <v>421020</v>
      </c>
      <c r="Y32" s="415">
        <v>421633</v>
      </c>
      <c r="Z32" s="208">
        <v>422282</v>
      </c>
      <c r="AA32" s="208">
        <v>422853</v>
      </c>
      <c r="AB32" s="208">
        <v>423297</v>
      </c>
      <c r="AC32" s="208">
        <v>423735</v>
      </c>
      <c r="AD32" s="415">
        <v>423735</v>
      </c>
      <c r="AE32" s="208">
        <v>424357</v>
      </c>
      <c r="AF32" s="208">
        <v>425049</v>
      </c>
      <c r="AG32" s="208">
        <v>425782</v>
      </c>
      <c r="AH32" s="407">
        <v>426274</v>
      </c>
      <c r="AI32" s="57">
        <f>AH32-D32</f>
        <v>11646</v>
      </c>
    </row>
    <row r="33" spans="1:35" s="401" customFormat="1" ht="24" customHeight="1">
      <c r="A33" s="4">
        <v>2</v>
      </c>
      <c r="B33" s="4" t="s">
        <v>129</v>
      </c>
      <c r="C33" s="413" t="s">
        <v>124</v>
      </c>
      <c r="D33" s="398">
        <v>390121</v>
      </c>
      <c r="E33" s="208">
        <v>390737</v>
      </c>
      <c r="F33" s="208">
        <v>391182</v>
      </c>
      <c r="G33" s="208">
        <v>391218</v>
      </c>
      <c r="H33" s="208">
        <v>391218</v>
      </c>
      <c r="I33" s="208">
        <v>391218</v>
      </c>
      <c r="J33" s="208">
        <v>391325</v>
      </c>
      <c r="K33" s="208">
        <v>391834</v>
      </c>
      <c r="L33" s="208">
        <v>392223</v>
      </c>
      <c r="M33" s="208">
        <v>392604</v>
      </c>
      <c r="N33" s="208">
        <v>392963</v>
      </c>
      <c r="O33" s="208">
        <v>392963</v>
      </c>
      <c r="P33" s="208">
        <v>392963</v>
      </c>
      <c r="Q33" s="208">
        <v>393469</v>
      </c>
      <c r="R33" s="208">
        <v>393973</v>
      </c>
      <c r="S33" s="208">
        <v>394494</v>
      </c>
      <c r="T33" s="208">
        <v>394956</v>
      </c>
      <c r="U33" s="208">
        <v>395469</v>
      </c>
      <c r="V33" s="208">
        <v>395578</v>
      </c>
      <c r="W33" s="208">
        <v>395578</v>
      </c>
      <c r="X33" s="208">
        <v>396141</v>
      </c>
      <c r="Y33" s="208">
        <v>396609</v>
      </c>
      <c r="Z33" s="208">
        <v>397117</v>
      </c>
      <c r="AA33" s="208">
        <v>397759</v>
      </c>
      <c r="AB33" s="208">
        <v>398184</v>
      </c>
      <c r="AC33" s="208">
        <v>398557</v>
      </c>
      <c r="AD33" s="208">
        <v>398557</v>
      </c>
      <c r="AE33" s="208">
        <v>399178</v>
      </c>
      <c r="AF33" s="208">
        <v>399731</v>
      </c>
      <c r="AG33" s="208">
        <v>400245</v>
      </c>
      <c r="AH33" s="407">
        <v>400631</v>
      </c>
      <c r="AI33" s="57">
        <f>AH33-D33</f>
        <v>10510</v>
      </c>
    </row>
    <row r="34" spans="1:35" s="401" customFormat="1" ht="24" customHeight="1">
      <c r="A34" s="4">
        <v>3</v>
      </c>
      <c r="B34" s="4" t="s">
        <v>129</v>
      </c>
      <c r="C34" s="413" t="s">
        <v>125</v>
      </c>
      <c r="D34" s="398">
        <v>417583</v>
      </c>
      <c r="E34" s="208">
        <v>418236</v>
      </c>
      <c r="F34" s="208">
        <v>418594</v>
      </c>
      <c r="G34" s="208">
        <v>418612</v>
      </c>
      <c r="H34" s="208">
        <v>418787</v>
      </c>
      <c r="I34" s="208">
        <v>419257</v>
      </c>
      <c r="J34" s="208">
        <v>419582</v>
      </c>
      <c r="K34" s="208">
        <v>419998</v>
      </c>
      <c r="L34" s="208">
        <v>420397</v>
      </c>
      <c r="M34" s="208">
        <v>420848</v>
      </c>
      <c r="N34" s="208">
        <v>421274</v>
      </c>
      <c r="O34" s="208">
        <v>421305</v>
      </c>
      <c r="P34" s="208">
        <v>421305</v>
      </c>
      <c r="Q34" s="208">
        <v>421850</v>
      </c>
      <c r="R34" s="208">
        <v>422329</v>
      </c>
      <c r="S34" s="208">
        <v>422870</v>
      </c>
      <c r="T34" s="208">
        <v>423362</v>
      </c>
      <c r="U34" s="208">
        <v>423693</v>
      </c>
      <c r="V34" s="208">
        <v>423987</v>
      </c>
      <c r="W34" s="208">
        <v>424672</v>
      </c>
      <c r="X34" s="208">
        <v>425784</v>
      </c>
      <c r="Y34" s="208">
        <v>426382</v>
      </c>
      <c r="Z34" s="208">
        <v>426897</v>
      </c>
      <c r="AA34" s="208">
        <v>427552</v>
      </c>
      <c r="AB34" s="208">
        <v>428062</v>
      </c>
      <c r="AC34" s="208">
        <v>428525</v>
      </c>
      <c r="AD34" s="208">
        <v>428896</v>
      </c>
      <c r="AE34" s="208">
        <v>430019</v>
      </c>
      <c r="AF34" s="208">
        <v>430582</v>
      </c>
      <c r="AG34" s="208">
        <v>431030</v>
      </c>
      <c r="AH34" s="407">
        <v>431431</v>
      </c>
      <c r="AI34" s="57">
        <f>AH34-D34</f>
        <v>13848</v>
      </c>
    </row>
    <row r="35" spans="1:35" s="401" customFormat="1" ht="24" customHeight="1">
      <c r="A35" s="4">
        <v>4</v>
      </c>
      <c r="B35" s="4" t="s">
        <v>129</v>
      </c>
      <c r="C35" s="413" t="s">
        <v>126</v>
      </c>
      <c r="D35" s="416">
        <v>456076</v>
      </c>
      <c r="E35" s="161">
        <v>457006</v>
      </c>
      <c r="F35" s="161">
        <v>457713</v>
      </c>
      <c r="G35" s="161">
        <v>457812</v>
      </c>
      <c r="H35" s="161">
        <v>457812</v>
      </c>
      <c r="I35" s="161">
        <v>457812</v>
      </c>
      <c r="J35" s="161">
        <v>457947</v>
      </c>
      <c r="K35" s="161">
        <v>458733</v>
      </c>
      <c r="L35" s="161">
        <v>459480</v>
      </c>
      <c r="M35" s="161">
        <v>460167</v>
      </c>
      <c r="N35" s="161">
        <v>460786</v>
      </c>
      <c r="O35" s="161">
        <v>460858</v>
      </c>
      <c r="P35" s="417">
        <v>460958</v>
      </c>
      <c r="Q35" s="161">
        <v>462079</v>
      </c>
      <c r="R35" s="161">
        <v>462829</v>
      </c>
      <c r="S35" s="161">
        <v>463651</v>
      </c>
      <c r="T35" s="161">
        <v>464390</v>
      </c>
      <c r="U35" s="161">
        <v>465069</v>
      </c>
      <c r="V35" s="161">
        <v>465248</v>
      </c>
      <c r="W35" s="161">
        <v>465248</v>
      </c>
      <c r="X35" s="161">
        <v>466114</v>
      </c>
      <c r="Y35" s="161">
        <v>466872</v>
      </c>
      <c r="Z35" s="161">
        <v>467647</v>
      </c>
      <c r="AA35" s="161">
        <v>468395</v>
      </c>
      <c r="AB35" s="161">
        <v>468985</v>
      </c>
      <c r="AC35" s="161">
        <v>469490</v>
      </c>
      <c r="AD35" s="161">
        <v>469749</v>
      </c>
      <c r="AE35" s="418">
        <v>470843</v>
      </c>
      <c r="AF35" s="418">
        <v>471730</v>
      </c>
      <c r="AG35" s="418">
        <v>472605</v>
      </c>
      <c r="AH35" s="419">
        <v>473317</v>
      </c>
      <c r="AI35" s="57">
        <f>AH35-D35</f>
        <v>17241</v>
      </c>
    </row>
    <row r="36" spans="1:35" s="401" customFormat="1" ht="17.25" customHeight="1">
      <c r="A36" s="566"/>
      <c r="B36" s="567"/>
      <c r="C36" s="567"/>
      <c r="D36" s="567"/>
      <c r="E36" s="567"/>
      <c r="F36" s="567"/>
      <c r="G36" s="567"/>
      <c r="H36" s="567"/>
      <c r="I36" s="567"/>
      <c r="J36" s="567"/>
      <c r="K36" s="567"/>
      <c r="L36" s="567"/>
      <c r="M36" s="567"/>
      <c r="N36" s="567"/>
      <c r="O36" s="567"/>
      <c r="P36" s="567"/>
      <c r="Q36" s="567"/>
      <c r="R36" s="567"/>
      <c r="S36" s="567"/>
      <c r="T36" s="567"/>
      <c r="U36" s="567"/>
      <c r="V36" s="567"/>
      <c r="W36" s="567"/>
      <c r="X36" s="567"/>
      <c r="Y36" s="567"/>
      <c r="Z36" s="567"/>
      <c r="AA36" s="567"/>
      <c r="AB36" s="567"/>
      <c r="AC36" s="567"/>
      <c r="AD36" s="567"/>
      <c r="AE36" s="567"/>
      <c r="AF36" s="567"/>
      <c r="AG36" s="567"/>
      <c r="AH36" s="567"/>
    </row>
    <row r="37" spans="1:35" s="401" customFormat="1" ht="17.25" customHeight="1">
      <c r="A37" s="567"/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567"/>
      <c r="AB37" s="567"/>
      <c r="AC37" s="567"/>
      <c r="AD37" s="567"/>
      <c r="AE37" s="567"/>
      <c r="AF37" s="567"/>
      <c r="AG37" s="567"/>
      <c r="AH37" s="567"/>
    </row>
    <row r="38" spans="1:35" s="401" customFormat="1" ht="17.25" customHeight="1">
      <c r="A38" s="16"/>
      <c r="B38" s="571" t="s">
        <v>127</v>
      </c>
      <c r="C38" s="504"/>
      <c r="D38" s="501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</row>
    <row r="39" spans="1:35" s="401" customFormat="1" ht="17.25" customHeight="1">
      <c r="A39" s="17"/>
      <c r="B39" s="515" t="s">
        <v>128</v>
      </c>
      <c r="C39" s="504"/>
      <c r="D39" s="501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</row>
    <row r="40" spans="1:35" s="401" customFormat="1" ht="17.25" customHeight="1">
      <c r="A40" s="507" t="s">
        <v>99</v>
      </c>
      <c r="B40" s="507" t="s">
        <v>100</v>
      </c>
      <c r="C40" s="507" t="s">
        <v>101</v>
      </c>
      <c r="D40" s="517"/>
      <c r="E40" s="51">
        <v>46113</v>
      </c>
      <c r="F40" s="51">
        <v>46114</v>
      </c>
      <c r="G40" s="51">
        <v>46115</v>
      </c>
      <c r="H40" s="51">
        <v>46116</v>
      </c>
      <c r="I40" s="51">
        <v>46117</v>
      </c>
      <c r="J40" s="51">
        <v>46118</v>
      </c>
      <c r="K40" s="51">
        <v>46119</v>
      </c>
      <c r="L40" s="51">
        <v>46120</v>
      </c>
      <c r="M40" s="51">
        <v>46121</v>
      </c>
      <c r="N40" s="51">
        <v>46122</v>
      </c>
      <c r="O40" s="51">
        <v>46123</v>
      </c>
      <c r="P40" s="51">
        <v>46124</v>
      </c>
      <c r="Q40" s="51">
        <v>46125</v>
      </c>
      <c r="R40" s="51">
        <v>46126</v>
      </c>
      <c r="S40" s="51">
        <v>46127</v>
      </c>
      <c r="T40" s="51">
        <v>46128</v>
      </c>
      <c r="U40" s="51">
        <v>46129</v>
      </c>
      <c r="V40" s="51">
        <v>46130</v>
      </c>
      <c r="W40" s="51">
        <v>46131</v>
      </c>
      <c r="X40" s="51">
        <v>46132</v>
      </c>
      <c r="Y40" s="51">
        <v>46133</v>
      </c>
      <c r="Z40" s="51">
        <v>46134</v>
      </c>
      <c r="AA40" s="51">
        <v>46135</v>
      </c>
      <c r="AB40" s="51">
        <v>46136</v>
      </c>
      <c r="AC40" s="51">
        <v>46137</v>
      </c>
      <c r="AD40" s="51">
        <v>46138</v>
      </c>
      <c r="AE40" s="51">
        <v>46139</v>
      </c>
      <c r="AF40" s="51">
        <v>46140</v>
      </c>
      <c r="AG40" s="51">
        <v>46141</v>
      </c>
      <c r="AH40" s="51">
        <v>46142</v>
      </c>
      <c r="AI40" s="507" t="s">
        <v>1</v>
      </c>
    </row>
    <row r="41" spans="1:35" s="401" customFormat="1" ht="17.25" customHeight="1">
      <c r="A41" s="508"/>
      <c r="B41" s="508"/>
      <c r="C41" s="518"/>
      <c r="D41" s="519"/>
      <c r="E41" s="1" t="s">
        <v>108</v>
      </c>
      <c r="F41" s="1" t="s">
        <v>109</v>
      </c>
      <c r="G41" s="1" t="s">
        <v>103</v>
      </c>
      <c r="H41" s="1" t="s">
        <v>104</v>
      </c>
      <c r="I41" s="1" t="s">
        <v>105</v>
      </c>
      <c r="J41" s="1" t="s">
        <v>106</v>
      </c>
      <c r="K41" s="1" t="s">
        <v>107</v>
      </c>
      <c r="L41" s="1" t="s">
        <v>108</v>
      </c>
      <c r="M41" s="1" t="s">
        <v>109</v>
      </c>
      <c r="N41" s="1" t="s">
        <v>103</v>
      </c>
      <c r="O41" s="1" t="s">
        <v>104</v>
      </c>
      <c r="P41" s="1" t="s">
        <v>105</v>
      </c>
      <c r="Q41" s="1" t="s">
        <v>106</v>
      </c>
      <c r="R41" s="1" t="s">
        <v>107</v>
      </c>
      <c r="S41" s="1" t="s">
        <v>108</v>
      </c>
      <c r="T41" s="1" t="s">
        <v>109</v>
      </c>
      <c r="U41" s="1" t="s">
        <v>103</v>
      </c>
      <c r="V41" s="1" t="s">
        <v>104</v>
      </c>
      <c r="W41" s="1" t="s">
        <v>105</v>
      </c>
      <c r="X41" s="1" t="s">
        <v>106</v>
      </c>
      <c r="Y41" s="1" t="s">
        <v>107</v>
      </c>
      <c r="Z41" s="1" t="s">
        <v>108</v>
      </c>
      <c r="AA41" s="1" t="s">
        <v>109</v>
      </c>
      <c r="AB41" s="1" t="s">
        <v>103</v>
      </c>
      <c r="AC41" s="1" t="s">
        <v>104</v>
      </c>
      <c r="AD41" s="1" t="s">
        <v>105</v>
      </c>
      <c r="AE41" s="1" t="s">
        <v>106</v>
      </c>
      <c r="AF41" s="1" t="s">
        <v>107</v>
      </c>
      <c r="AG41" s="1" t="s">
        <v>108</v>
      </c>
      <c r="AH41" s="1" t="s">
        <v>109</v>
      </c>
      <c r="AI41" s="508"/>
    </row>
    <row r="42" spans="1:35" s="401" customFormat="1" ht="17.25" customHeight="1">
      <c r="A42" s="508"/>
      <c r="B42" s="508"/>
      <c r="C42" s="518"/>
      <c r="D42" s="519"/>
      <c r="E42" s="18" t="s">
        <v>110</v>
      </c>
      <c r="F42" s="18" t="s">
        <v>110</v>
      </c>
      <c r="G42" s="18" t="s">
        <v>110</v>
      </c>
      <c r="H42" s="18" t="s">
        <v>110</v>
      </c>
      <c r="I42" s="18" t="s">
        <v>110</v>
      </c>
      <c r="J42" s="18" t="s">
        <v>110</v>
      </c>
      <c r="K42" s="18" t="s">
        <v>110</v>
      </c>
      <c r="L42" s="18" t="s">
        <v>110</v>
      </c>
      <c r="M42" s="18" t="s">
        <v>110</v>
      </c>
      <c r="N42" s="18" t="s">
        <v>110</v>
      </c>
      <c r="O42" s="18" t="s">
        <v>110</v>
      </c>
      <c r="P42" s="18" t="s">
        <v>110</v>
      </c>
      <c r="Q42" s="18" t="s">
        <v>110</v>
      </c>
      <c r="R42" s="18" t="s">
        <v>110</v>
      </c>
      <c r="S42" s="18" t="s">
        <v>110</v>
      </c>
      <c r="T42" s="18" t="s">
        <v>110</v>
      </c>
      <c r="U42" s="18" t="s">
        <v>110</v>
      </c>
      <c r="V42" s="18" t="s">
        <v>110</v>
      </c>
      <c r="W42" s="18" t="s">
        <v>110</v>
      </c>
      <c r="X42" s="18" t="s">
        <v>110</v>
      </c>
      <c r="Y42" s="18" t="s">
        <v>110</v>
      </c>
      <c r="Z42" s="18" t="s">
        <v>110</v>
      </c>
      <c r="AA42" s="18" t="s">
        <v>110</v>
      </c>
      <c r="AB42" s="18" t="s">
        <v>110</v>
      </c>
      <c r="AC42" s="18" t="s">
        <v>110</v>
      </c>
      <c r="AD42" s="18" t="s">
        <v>110</v>
      </c>
      <c r="AE42" s="42" t="str">
        <f>AE4</f>
        <v>Time</v>
      </c>
      <c r="AF42" s="52" t="s">
        <v>110</v>
      </c>
      <c r="AG42" s="18" t="s">
        <v>110</v>
      </c>
      <c r="AH42" s="18" t="s">
        <v>110</v>
      </c>
      <c r="AI42" s="508"/>
    </row>
    <row r="43" spans="1:35" s="401" customFormat="1" ht="17.25" customHeight="1">
      <c r="A43" s="509"/>
      <c r="B43" s="509"/>
      <c r="C43" s="520"/>
      <c r="D43" s="521"/>
      <c r="E43" s="19">
        <v>0.33333333333333331</v>
      </c>
      <c r="F43" s="19">
        <v>0.33333333333333331</v>
      </c>
      <c r="G43" s="19">
        <v>0.33333333333333331</v>
      </c>
      <c r="H43" s="19">
        <v>0.33333333333333331</v>
      </c>
      <c r="I43" s="19">
        <v>0.33333333333333331</v>
      </c>
      <c r="J43" s="19">
        <v>0.33333333333333331</v>
      </c>
      <c r="K43" s="19">
        <v>0.33333333333333331</v>
      </c>
      <c r="L43" s="19">
        <v>0.33333333333333331</v>
      </c>
      <c r="M43" s="19">
        <v>0.33333333333333331</v>
      </c>
      <c r="N43" s="19">
        <v>0.33333333333333331</v>
      </c>
      <c r="O43" s="19">
        <v>0.33333333333333331</v>
      </c>
      <c r="P43" s="19">
        <v>0.33333333333333331</v>
      </c>
      <c r="Q43" s="19">
        <v>0.33333333333333331</v>
      </c>
      <c r="R43" s="19">
        <v>0.33333333333333331</v>
      </c>
      <c r="S43" s="19">
        <v>0.33333333333333331</v>
      </c>
      <c r="T43" s="19">
        <v>0.33333333333333331</v>
      </c>
      <c r="U43" s="19">
        <v>0.33333333333333331</v>
      </c>
      <c r="V43" s="19">
        <v>0.33333333333333331</v>
      </c>
      <c r="W43" s="19">
        <v>0.33333333333333331</v>
      </c>
      <c r="X43" s="19">
        <v>0.33333333333333331</v>
      </c>
      <c r="Y43" s="19">
        <v>0.33333333333333331</v>
      </c>
      <c r="Z43" s="19">
        <v>0.33333333333333331</v>
      </c>
      <c r="AA43" s="19">
        <v>0.33333333333333331</v>
      </c>
      <c r="AB43" s="19">
        <v>0.33333333333333331</v>
      </c>
      <c r="AC43" s="19">
        <v>0.33333333333333331</v>
      </c>
      <c r="AD43" s="19">
        <v>0.33333333333333331</v>
      </c>
      <c r="AE43" s="19">
        <v>0.33333333333333331</v>
      </c>
      <c r="AF43" s="53">
        <v>0.33333333333333331</v>
      </c>
      <c r="AG43" s="19">
        <v>0.33333333333333331</v>
      </c>
      <c r="AH43" s="19">
        <v>0.33333333333333331</v>
      </c>
      <c r="AI43" s="509"/>
    </row>
    <row r="44" spans="1:35" s="401" customFormat="1" ht="17.25" customHeight="1">
      <c r="A44" s="4">
        <v>1</v>
      </c>
      <c r="B44" s="4" t="s">
        <v>129</v>
      </c>
      <c r="C44" s="564" t="s">
        <v>111</v>
      </c>
      <c r="D44" s="501"/>
      <c r="E44" s="420">
        <f t="shared" ref="E44:AH44" si="2">E6-D6</f>
        <v>416</v>
      </c>
      <c r="F44" s="420">
        <f t="shared" si="2"/>
        <v>197</v>
      </c>
      <c r="G44" s="420">
        <f t="shared" si="2"/>
        <v>218</v>
      </c>
      <c r="H44" s="420">
        <f t="shared" si="2"/>
        <v>203</v>
      </c>
      <c r="I44" s="420">
        <f t="shared" si="2"/>
        <v>208</v>
      </c>
      <c r="J44" s="420">
        <f t="shared" si="2"/>
        <v>212</v>
      </c>
      <c r="K44" s="420">
        <f t="shared" si="2"/>
        <v>258</v>
      </c>
      <c r="L44" s="420">
        <f t="shared" si="2"/>
        <v>271</v>
      </c>
      <c r="M44" s="420">
        <f t="shared" si="2"/>
        <v>256</v>
      </c>
      <c r="N44" s="420">
        <f t="shared" si="2"/>
        <v>256</v>
      </c>
      <c r="O44" s="420">
        <f t="shared" si="2"/>
        <v>201</v>
      </c>
      <c r="P44" s="420">
        <f t="shared" si="2"/>
        <v>200</v>
      </c>
      <c r="Q44" s="420">
        <f t="shared" si="2"/>
        <v>267</v>
      </c>
      <c r="R44" s="420">
        <f t="shared" si="2"/>
        <v>257</v>
      </c>
      <c r="S44" s="420">
        <f t="shared" si="2"/>
        <v>263</v>
      </c>
      <c r="T44" s="420">
        <f t="shared" si="2"/>
        <v>251</v>
      </c>
      <c r="U44" s="420">
        <f t="shared" si="2"/>
        <v>271</v>
      </c>
      <c r="V44" s="420">
        <f t="shared" si="2"/>
        <v>217</v>
      </c>
      <c r="W44" s="420">
        <f t="shared" si="2"/>
        <v>199</v>
      </c>
      <c r="X44" s="420">
        <f t="shared" si="2"/>
        <v>264</v>
      </c>
      <c r="Y44" s="420">
        <f t="shared" si="2"/>
        <v>262</v>
      </c>
      <c r="Z44" s="420">
        <f t="shared" si="2"/>
        <v>258</v>
      </c>
      <c r="AA44" s="420">
        <f t="shared" si="2"/>
        <v>257</v>
      </c>
      <c r="AB44" s="420">
        <f t="shared" si="2"/>
        <v>251</v>
      </c>
      <c r="AC44" s="420">
        <f t="shared" si="2"/>
        <v>213</v>
      </c>
      <c r="AD44" s="420">
        <f t="shared" si="2"/>
        <v>208</v>
      </c>
      <c r="AE44" s="420">
        <f t="shared" si="2"/>
        <v>251</v>
      </c>
      <c r="AF44" s="420">
        <f t="shared" si="2"/>
        <v>264</v>
      </c>
      <c r="AG44" s="420">
        <f t="shared" si="2"/>
        <v>257</v>
      </c>
      <c r="AH44" s="420">
        <f t="shared" si="2"/>
        <v>265</v>
      </c>
      <c r="AI44" s="421">
        <f t="shared" ref="AI44:AI61" si="3">SUM(H44:AH44)</f>
        <v>6540</v>
      </c>
    </row>
    <row r="45" spans="1:35" s="401" customFormat="1" ht="17.25" customHeight="1">
      <c r="A45" s="4"/>
      <c r="B45" s="4"/>
      <c r="C45" s="563" t="s">
        <v>22</v>
      </c>
      <c r="D45" s="501"/>
      <c r="E45" s="420">
        <f t="shared" ref="E45:AH45" si="4">E7-D7</f>
        <v>0</v>
      </c>
      <c r="F45" s="420">
        <f t="shared" si="4"/>
        <v>0</v>
      </c>
      <c r="G45" s="420">
        <f t="shared" si="4"/>
        <v>0</v>
      </c>
      <c r="H45" s="420">
        <f t="shared" si="4"/>
        <v>0</v>
      </c>
      <c r="I45" s="420">
        <f t="shared" si="4"/>
        <v>0</v>
      </c>
      <c r="J45" s="420">
        <f t="shared" si="4"/>
        <v>0</v>
      </c>
      <c r="K45" s="420">
        <f t="shared" si="4"/>
        <v>0</v>
      </c>
      <c r="L45" s="420">
        <f t="shared" si="4"/>
        <v>0</v>
      </c>
      <c r="M45" s="420">
        <f t="shared" si="4"/>
        <v>0</v>
      </c>
      <c r="N45" s="420">
        <f t="shared" si="4"/>
        <v>0</v>
      </c>
      <c r="O45" s="420">
        <f t="shared" si="4"/>
        <v>0</v>
      </c>
      <c r="P45" s="420">
        <f t="shared" si="4"/>
        <v>0</v>
      </c>
      <c r="Q45" s="420">
        <f t="shared" si="4"/>
        <v>0</v>
      </c>
      <c r="R45" s="420">
        <f t="shared" si="4"/>
        <v>0</v>
      </c>
      <c r="S45" s="420">
        <f t="shared" si="4"/>
        <v>0</v>
      </c>
      <c r="T45" s="420">
        <f t="shared" si="4"/>
        <v>0</v>
      </c>
      <c r="U45" s="420">
        <f t="shared" si="4"/>
        <v>0</v>
      </c>
      <c r="V45" s="420">
        <f t="shared" si="4"/>
        <v>0</v>
      </c>
      <c r="W45" s="420">
        <f t="shared" si="4"/>
        <v>0</v>
      </c>
      <c r="X45" s="420">
        <f t="shared" si="4"/>
        <v>0</v>
      </c>
      <c r="Y45" s="420">
        <f t="shared" si="4"/>
        <v>0</v>
      </c>
      <c r="Z45" s="420">
        <f t="shared" si="4"/>
        <v>0</v>
      </c>
      <c r="AA45" s="420">
        <f t="shared" si="4"/>
        <v>0</v>
      </c>
      <c r="AB45" s="420">
        <f t="shared" si="4"/>
        <v>0</v>
      </c>
      <c r="AC45" s="420">
        <f t="shared" si="4"/>
        <v>0</v>
      </c>
      <c r="AD45" s="420">
        <f t="shared" si="4"/>
        <v>0</v>
      </c>
      <c r="AE45" s="420">
        <f t="shared" si="4"/>
        <v>0</v>
      </c>
      <c r="AF45" s="420">
        <f t="shared" si="4"/>
        <v>0</v>
      </c>
      <c r="AG45" s="420">
        <f t="shared" si="4"/>
        <v>0</v>
      </c>
      <c r="AH45" s="420">
        <f t="shared" si="4"/>
        <v>0</v>
      </c>
      <c r="AI45" s="421">
        <f t="shared" si="3"/>
        <v>0</v>
      </c>
    </row>
    <row r="46" spans="1:35" s="401" customFormat="1" ht="17.25" customHeight="1">
      <c r="A46" s="4">
        <v>2</v>
      </c>
      <c r="B46" s="4" t="s">
        <v>129</v>
      </c>
      <c r="C46" s="564" t="s">
        <v>112</v>
      </c>
      <c r="D46" s="501"/>
      <c r="E46" s="420">
        <f t="shared" ref="E46:AH46" si="5">E8-D8</f>
        <v>0</v>
      </c>
      <c r="F46" s="420">
        <f t="shared" si="5"/>
        <v>0</v>
      </c>
      <c r="G46" s="420">
        <f t="shared" si="5"/>
        <v>0</v>
      </c>
      <c r="H46" s="420">
        <f t="shared" si="5"/>
        <v>0</v>
      </c>
      <c r="I46" s="420">
        <f t="shared" si="5"/>
        <v>0</v>
      </c>
      <c r="J46" s="420">
        <f t="shared" si="5"/>
        <v>0</v>
      </c>
      <c r="K46" s="420">
        <f t="shared" si="5"/>
        <v>0</v>
      </c>
      <c r="L46" s="420">
        <f t="shared" si="5"/>
        <v>0</v>
      </c>
      <c r="M46" s="420">
        <f t="shared" si="5"/>
        <v>0</v>
      </c>
      <c r="N46" s="420">
        <f t="shared" si="5"/>
        <v>0</v>
      </c>
      <c r="O46" s="420">
        <f t="shared" si="5"/>
        <v>0</v>
      </c>
      <c r="P46" s="420">
        <f t="shared" si="5"/>
        <v>0</v>
      </c>
      <c r="Q46" s="420">
        <f t="shared" si="5"/>
        <v>0</v>
      </c>
      <c r="R46" s="420">
        <f t="shared" si="5"/>
        <v>0</v>
      </c>
      <c r="S46" s="420">
        <f t="shared" si="5"/>
        <v>0</v>
      </c>
      <c r="T46" s="420">
        <f t="shared" si="5"/>
        <v>0</v>
      </c>
      <c r="U46" s="420">
        <f t="shared" si="5"/>
        <v>0</v>
      </c>
      <c r="V46" s="420">
        <f t="shared" si="5"/>
        <v>0</v>
      </c>
      <c r="W46" s="420">
        <f t="shared" si="5"/>
        <v>0</v>
      </c>
      <c r="X46" s="420">
        <f t="shared" si="5"/>
        <v>0</v>
      </c>
      <c r="Y46" s="420">
        <f t="shared" si="5"/>
        <v>0</v>
      </c>
      <c r="Z46" s="420">
        <f t="shared" si="5"/>
        <v>0</v>
      </c>
      <c r="AA46" s="420">
        <f t="shared" si="5"/>
        <v>0</v>
      </c>
      <c r="AB46" s="420">
        <f t="shared" si="5"/>
        <v>0</v>
      </c>
      <c r="AC46" s="420">
        <f t="shared" si="5"/>
        <v>0</v>
      </c>
      <c r="AD46" s="420">
        <f t="shared" si="5"/>
        <v>0</v>
      </c>
      <c r="AE46" s="420">
        <f t="shared" si="5"/>
        <v>0</v>
      </c>
      <c r="AF46" s="420">
        <f t="shared" si="5"/>
        <v>0</v>
      </c>
      <c r="AG46" s="420">
        <f t="shared" si="5"/>
        <v>0</v>
      </c>
      <c r="AH46" s="420">
        <f t="shared" si="5"/>
        <v>0</v>
      </c>
      <c r="AI46" s="421">
        <f t="shared" si="3"/>
        <v>0</v>
      </c>
    </row>
    <row r="47" spans="1:35" s="401" customFormat="1" ht="17.25" customHeight="1">
      <c r="A47" s="4"/>
      <c r="B47" s="4"/>
      <c r="C47" s="563" t="s">
        <v>22</v>
      </c>
      <c r="D47" s="501"/>
      <c r="E47" s="420">
        <f t="shared" ref="E47:AH47" si="6">E9-D9</f>
        <v>-0.30000000000000071</v>
      </c>
      <c r="F47" s="420">
        <f t="shared" si="6"/>
        <v>0.30000000000000071</v>
      </c>
      <c r="G47" s="420">
        <f t="shared" si="6"/>
        <v>0</v>
      </c>
      <c r="H47" s="420">
        <f t="shared" si="6"/>
        <v>0</v>
      </c>
      <c r="I47" s="420">
        <f t="shared" si="6"/>
        <v>0</v>
      </c>
      <c r="J47" s="420">
        <f t="shared" si="6"/>
        <v>0</v>
      </c>
      <c r="K47" s="420">
        <f t="shared" si="6"/>
        <v>0</v>
      </c>
      <c r="L47" s="420">
        <f t="shared" si="6"/>
        <v>0</v>
      </c>
      <c r="M47" s="420">
        <f t="shared" si="6"/>
        <v>0</v>
      </c>
      <c r="N47" s="420">
        <f t="shared" si="6"/>
        <v>0</v>
      </c>
      <c r="O47" s="420">
        <f t="shared" si="6"/>
        <v>0</v>
      </c>
      <c r="P47" s="420">
        <f t="shared" si="6"/>
        <v>0</v>
      </c>
      <c r="Q47" s="420">
        <f t="shared" si="6"/>
        <v>0</v>
      </c>
      <c r="R47" s="420">
        <f t="shared" si="6"/>
        <v>0</v>
      </c>
      <c r="S47" s="420">
        <f t="shared" si="6"/>
        <v>0</v>
      </c>
      <c r="T47" s="420">
        <f t="shared" si="6"/>
        <v>0</v>
      </c>
      <c r="U47" s="420">
        <f t="shared" si="6"/>
        <v>0</v>
      </c>
      <c r="V47" s="420">
        <f t="shared" si="6"/>
        <v>0</v>
      </c>
      <c r="W47" s="420">
        <f t="shared" si="6"/>
        <v>0</v>
      </c>
      <c r="X47" s="420">
        <f t="shared" si="6"/>
        <v>0</v>
      </c>
      <c r="Y47" s="420">
        <f t="shared" si="6"/>
        <v>0</v>
      </c>
      <c r="Z47" s="420">
        <f t="shared" si="6"/>
        <v>0</v>
      </c>
      <c r="AA47" s="420">
        <f t="shared" si="6"/>
        <v>0</v>
      </c>
      <c r="AB47" s="420">
        <f t="shared" si="6"/>
        <v>0</v>
      </c>
      <c r="AC47" s="420">
        <f t="shared" si="6"/>
        <v>0</v>
      </c>
      <c r="AD47" s="420">
        <f t="shared" si="6"/>
        <v>0</v>
      </c>
      <c r="AE47" s="420">
        <f t="shared" si="6"/>
        <v>0</v>
      </c>
      <c r="AF47" s="420">
        <f t="shared" si="6"/>
        <v>0</v>
      </c>
      <c r="AG47" s="420">
        <f t="shared" si="6"/>
        <v>0</v>
      </c>
      <c r="AH47" s="420">
        <f t="shared" si="6"/>
        <v>0</v>
      </c>
      <c r="AI47" s="421">
        <f t="shared" si="3"/>
        <v>0</v>
      </c>
    </row>
    <row r="48" spans="1:35" s="401" customFormat="1" ht="17.25" customHeight="1">
      <c r="A48" s="4">
        <v>3</v>
      </c>
      <c r="B48" s="4" t="s">
        <v>129</v>
      </c>
      <c r="C48" s="564" t="s">
        <v>113</v>
      </c>
      <c r="D48" s="501"/>
      <c r="E48" s="420">
        <f t="shared" ref="E48:AH48" si="7">E10-D10</f>
        <v>599</v>
      </c>
      <c r="F48" s="420">
        <f t="shared" si="7"/>
        <v>292</v>
      </c>
      <c r="G48" s="420">
        <f t="shared" si="7"/>
        <v>292</v>
      </c>
      <c r="H48" s="420">
        <f t="shared" si="7"/>
        <v>274</v>
      </c>
      <c r="I48" s="420">
        <f t="shared" si="7"/>
        <v>275</v>
      </c>
      <c r="J48" s="420">
        <f t="shared" si="7"/>
        <v>289</v>
      </c>
      <c r="K48" s="420">
        <f t="shared" si="7"/>
        <v>375</v>
      </c>
      <c r="L48" s="420">
        <f t="shared" si="7"/>
        <v>396</v>
      </c>
      <c r="M48" s="420">
        <f t="shared" si="7"/>
        <v>374</v>
      </c>
      <c r="N48" s="420">
        <f t="shared" si="7"/>
        <v>364</v>
      </c>
      <c r="O48" s="420">
        <f t="shared" si="7"/>
        <v>272</v>
      </c>
      <c r="P48" s="420">
        <f t="shared" si="7"/>
        <v>267</v>
      </c>
      <c r="Q48" s="420">
        <f t="shared" si="7"/>
        <v>385</v>
      </c>
      <c r="R48" s="420">
        <f t="shared" si="7"/>
        <v>380</v>
      </c>
      <c r="S48" s="420">
        <f t="shared" si="7"/>
        <v>385</v>
      </c>
      <c r="T48" s="420">
        <f t="shared" si="7"/>
        <v>366</v>
      </c>
      <c r="U48" s="420">
        <f t="shared" si="7"/>
        <v>390</v>
      </c>
      <c r="V48" s="420">
        <f t="shared" si="7"/>
        <v>281</v>
      </c>
      <c r="W48" s="420">
        <f t="shared" si="7"/>
        <v>270</v>
      </c>
      <c r="X48" s="420">
        <f t="shared" si="7"/>
        <v>381</v>
      </c>
      <c r="Y48" s="420">
        <f t="shared" si="7"/>
        <v>384</v>
      </c>
      <c r="Z48" s="420">
        <f t="shared" si="7"/>
        <v>371</v>
      </c>
      <c r="AA48" s="420">
        <f t="shared" si="7"/>
        <v>377</v>
      </c>
      <c r="AB48" s="420">
        <f t="shared" si="7"/>
        <v>357</v>
      </c>
      <c r="AC48" s="420">
        <f t="shared" si="7"/>
        <v>285</v>
      </c>
      <c r="AD48" s="420">
        <f t="shared" si="7"/>
        <v>276</v>
      </c>
      <c r="AE48" s="420">
        <f t="shared" si="7"/>
        <v>365</v>
      </c>
      <c r="AF48" s="420">
        <f t="shared" si="7"/>
        <v>389</v>
      </c>
      <c r="AG48" s="420">
        <f t="shared" si="7"/>
        <v>365</v>
      </c>
      <c r="AH48" s="420">
        <f t="shared" si="7"/>
        <v>348</v>
      </c>
      <c r="AI48" s="421">
        <f t="shared" si="3"/>
        <v>9241</v>
      </c>
    </row>
    <row r="49" spans="1:35" s="401" customFormat="1" ht="17.25" customHeight="1">
      <c r="A49" s="4"/>
      <c r="B49" s="4"/>
      <c r="C49" s="563" t="s">
        <v>22</v>
      </c>
      <c r="D49" s="501"/>
      <c r="E49" s="420">
        <f t="shared" ref="E49:AH49" si="8">E11-D11</f>
        <v>0</v>
      </c>
      <c r="F49" s="420">
        <f t="shared" si="8"/>
        <v>0</v>
      </c>
      <c r="G49" s="420">
        <f t="shared" si="8"/>
        <v>0</v>
      </c>
      <c r="H49" s="420">
        <f t="shared" si="8"/>
        <v>0</v>
      </c>
      <c r="I49" s="420">
        <f t="shared" si="8"/>
        <v>0</v>
      </c>
      <c r="J49" s="420">
        <f t="shared" si="8"/>
        <v>0</v>
      </c>
      <c r="K49" s="420">
        <f t="shared" si="8"/>
        <v>0</v>
      </c>
      <c r="L49" s="420">
        <f t="shared" si="8"/>
        <v>0</v>
      </c>
      <c r="M49" s="420">
        <f t="shared" si="8"/>
        <v>0</v>
      </c>
      <c r="N49" s="420">
        <f t="shared" si="8"/>
        <v>0</v>
      </c>
      <c r="O49" s="420">
        <f t="shared" si="8"/>
        <v>0</v>
      </c>
      <c r="P49" s="420">
        <f t="shared" si="8"/>
        <v>0</v>
      </c>
      <c r="Q49" s="420">
        <f t="shared" si="8"/>
        <v>0</v>
      </c>
      <c r="R49" s="420">
        <f t="shared" si="8"/>
        <v>0</v>
      </c>
      <c r="S49" s="420">
        <f t="shared" si="8"/>
        <v>0</v>
      </c>
      <c r="T49" s="420">
        <f t="shared" si="8"/>
        <v>0</v>
      </c>
      <c r="U49" s="420">
        <f t="shared" si="8"/>
        <v>0</v>
      </c>
      <c r="V49" s="420">
        <f t="shared" si="8"/>
        <v>0</v>
      </c>
      <c r="W49" s="420">
        <f t="shared" si="8"/>
        <v>0</v>
      </c>
      <c r="X49" s="420">
        <f t="shared" si="8"/>
        <v>0</v>
      </c>
      <c r="Y49" s="420">
        <f t="shared" si="8"/>
        <v>0</v>
      </c>
      <c r="Z49" s="420">
        <f t="shared" si="8"/>
        <v>0</v>
      </c>
      <c r="AA49" s="420">
        <f t="shared" si="8"/>
        <v>0</v>
      </c>
      <c r="AB49" s="420">
        <f t="shared" si="8"/>
        <v>0</v>
      </c>
      <c r="AC49" s="420">
        <f t="shared" si="8"/>
        <v>0</v>
      </c>
      <c r="AD49" s="420">
        <f t="shared" si="8"/>
        <v>0</v>
      </c>
      <c r="AE49" s="420">
        <f t="shared" si="8"/>
        <v>0</v>
      </c>
      <c r="AF49" s="420">
        <f t="shared" si="8"/>
        <v>0</v>
      </c>
      <c r="AG49" s="420">
        <f t="shared" si="8"/>
        <v>0</v>
      </c>
      <c r="AH49" s="420">
        <f t="shared" si="8"/>
        <v>0</v>
      </c>
      <c r="AI49" s="421">
        <f t="shared" si="3"/>
        <v>0</v>
      </c>
    </row>
    <row r="50" spans="1:35" s="401" customFormat="1" ht="17.25" customHeight="1">
      <c r="A50" s="4">
        <v>4</v>
      </c>
      <c r="B50" s="4" t="s">
        <v>129</v>
      </c>
      <c r="C50" s="564" t="s">
        <v>114</v>
      </c>
      <c r="D50" s="501"/>
      <c r="E50" s="420">
        <f t="shared" ref="E50:AH50" si="9">E12-D12</f>
        <v>0</v>
      </c>
      <c r="F50" s="420">
        <f t="shared" si="9"/>
        <v>0</v>
      </c>
      <c r="G50" s="420">
        <f t="shared" si="9"/>
        <v>0</v>
      </c>
      <c r="H50" s="420">
        <f t="shared" si="9"/>
        <v>0</v>
      </c>
      <c r="I50" s="420">
        <f t="shared" si="9"/>
        <v>0</v>
      </c>
      <c r="J50" s="420">
        <f t="shared" si="9"/>
        <v>0</v>
      </c>
      <c r="K50" s="420">
        <f t="shared" si="9"/>
        <v>0</v>
      </c>
      <c r="L50" s="420">
        <f t="shared" si="9"/>
        <v>0</v>
      </c>
      <c r="M50" s="420">
        <f t="shared" si="9"/>
        <v>0</v>
      </c>
      <c r="N50" s="420">
        <f t="shared" si="9"/>
        <v>0</v>
      </c>
      <c r="O50" s="420">
        <f t="shared" si="9"/>
        <v>0</v>
      </c>
      <c r="P50" s="420">
        <f t="shared" si="9"/>
        <v>0</v>
      </c>
      <c r="Q50" s="420">
        <f t="shared" si="9"/>
        <v>0</v>
      </c>
      <c r="R50" s="420">
        <f t="shared" si="9"/>
        <v>0</v>
      </c>
      <c r="S50" s="420">
        <f t="shared" si="9"/>
        <v>0</v>
      </c>
      <c r="T50" s="420">
        <f t="shared" si="9"/>
        <v>0</v>
      </c>
      <c r="U50" s="420">
        <f t="shared" si="9"/>
        <v>0</v>
      </c>
      <c r="V50" s="420">
        <f t="shared" si="9"/>
        <v>0</v>
      </c>
      <c r="W50" s="420">
        <f t="shared" si="9"/>
        <v>0</v>
      </c>
      <c r="X50" s="420">
        <f t="shared" si="9"/>
        <v>0</v>
      </c>
      <c r="Y50" s="420">
        <f t="shared" si="9"/>
        <v>0</v>
      </c>
      <c r="Z50" s="420">
        <f t="shared" si="9"/>
        <v>0</v>
      </c>
      <c r="AA50" s="420">
        <f t="shared" si="9"/>
        <v>0</v>
      </c>
      <c r="AB50" s="420">
        <f t="shared" si="9"/>
        <v>0</v>
      </c>
      <c r="AC50" s="420">
        <f t="shared" si="9"/>
        <v>0</v>
      </c>
      <c r="AD50" s="420">
        <f t="shared" si="9"/>
        <v>0</v>
      </c>
      <c r="AE50" s="420">
        <f t="shared" si="9"/>
        <v>0</v>
      </c>
      <c r="AF50" s="420">
        <f t="shared" si="9"/>
        <v>0</v>
      </c>
      <c r="AG50" s="420">
        <f t="shared" si="9"/>
        <v>0</v>
      </c>
      <c r="AH50" s="420">
        <f t="shared" si="9"/>
        <v>0</v>
      </c>
      <c r="AI50" s="421">
        <f t="shared" si="3"/>
        <v>0</v>
      </c>
    </row>
    <row r="51" spans="1:35" s="401" customFormat="1" ht="17.25" customHeight="1">
      <c r="A51" s="4"/>
      <c r="B51" s="4"/>
      <c r="C51" s="563" t="s">
        <v>22</v>
      </c>
      <c r="D51" s="501"/>
      <c r="E51" s="420">
        <f t="shared" ref="E51:AH51" si="10">E13-D13</f>
        <v>0</v>
      </c>
      <c r="F51" s="420">
        <f t="shared" si="10"/>
        <v>0</v>
      </c>
      <c r="G51" s="420">
        <f t="shared" si="10"/>
        <v>0</v>
      </c>
      <c r="H51" s="420">
        <f t="shared" si="10"/>
        <v>0</v>
      </c>
      <c r="I51" s="420">
        <f t="shared" si="10"/>
        <v>0</v>
      </c>
      <c r="J51" s="420">
        <f t="shared" si="10"/>
        <v>0</v>
      </c>
      <c r="K51" s="420">
        <f t="shared" si="10"/>
        <v>0</v>
      </c>
      <c r="L51" s="420">
        <f t="shared" si="10"/>
        <v>0</v>
      </c>
      <c r="M51" s="420">
        <f t="shared" si="10"/>
        <v>0</v>
      </c>
      <c r="N51" s="420">
        <f t="shared" si="10"/>
        <v>0</v>
      </c>
      <c r="O51" s="420">
        <f t="shared" si="10"/>
        <v>0</v>
      </c>
      <c r="P51" s="420">
        <f t="shared" si="10"/>
        <v>0</v>
      </c>
      <c r="Q51" s="420">
        <f t="shared" si="10"/>
        <v>0</v>
      </c>
      <c r="R51" s="420">
        <f t="shared" si="10"/>
        <v>0</v>
      </c>
      <c r="S51" s="420">
        <f t="shared" si="10"/>
        <v>0</v>
      </c>
      <c r="T51" s="420">
        <f t="shared" si="10"/>
        <v>0</v>
      </c>
      <c r="U51" s="420">
        <f t="shared" si="10"/>
        <v>0</v>
      </c>
      <c r="V51" s="420">
        <f t="shared" si="10"/>
        <v>0</v>
      </c>
      <c r="W51" s="420">
        <f t="shared" si="10"/>
        <v>0</v>
      </c>
      <c r="X51" s="420">
        <f t="shared" si="10"/>
        <v>0</v>
      </c>
      <c r="Y51" s="420">
        <f t="shared" si="10"/>
        <v>0</v>
      </c>
      <c r="Z51" s="420">
        <f t="shared" si="10"/>
        <v>0</v>
      </c>
      <c r="AA51" s="420">
        <f t="shared" si="10"/>
        <v>0</v>
      </c>
      <c r="AB51" s="420">
        <f t="shared" si="10"/>
        <v>0</v>
      </c>
      <c r="AC51" s="420">
        <f t="shared" si="10"/>
        <v>0</v>
      </c>
      <c r="AD51" s="420">
        <f t="shared" si="10"/>
        <v>0</v>
      </c>
      <c r="AE51" s="420">
        <f t="shared" si="10"/>
        <v>0</v>
      </c>
      <c r="AF51" s="420">
        <f t="shared" si="10"/>
        <v>0</v>
      </c>
      <c r="AG51" s="420">
        <f t="shared" si="10"/>
        <v>0</v>
      </c>
      <c r="AH51" s="420">
        <f t="shared" si="10"/>
        <v>0</v>
      </c>
      <c r="AI51" s="421">
        <f t="shared" si="3"/>
        <v>0</v>
      </c>
    </row>
    <row r="52" spans="1:35" s="401" customFormat="1" ht="17.25" customHeight="1">
      <c r="A52" s="4">
        <v>5</v>
      </c>
      <c r="B52" s="4" t="s">
        <v>129</v>
      </c>
      <c r="C52" s="564" t="s">
        <v>115</v>
      </c>
      <c r="D52" s="501"/>
      <c r="E52" s="420">
        <f t="shared" ref="E52:AH52" si="11">E14-D14</f>
        <v>373</v>
      </c>
      <c r="F52" s="420">
        <f t="shared" si="11"/>
        <v>170</v>
      </c>
      <c r="G52" s="420">
        <f t="shared" si="11"/>
        <v>140</v>
      </c>
      <c r="H52" s="420">
        <f t="shared" si="11"/>
        <v>132</v>
      </c>
      <c r="I52" s="420">
        <f t="shared" si="11"/>
        <v>149</v>
      </c>
      <c r="J52" s="420">
        <f t="shared" si="11"/>
        <v>169</v>
      </c>
      <c r="K52" s="420">
        <f t="shared" si="11"/>
        <v>236</v>
      </c>
      <c r="L52" s="420">
        <f t="shared" si="11"/>
        <v>245</v>
      </c>
      <c r="M52" s="420">
        <f t="shared" si="11"/>
        <v>157</v>
      </c>
      <c r="N52" s="420">
        <f t="shared" si="11"/>
        <v>303</v>
      </c>
      <c r="O52" s="420">
        <f t="shared" si="11"/>
        <v>139</v>
      </c>
      <c r="P52" s="420">
        <f t="shared" si="11"/>
        <v>133</v>
      </c>
      <c r="Q52" s="420">
        <f t="shared" si="11"/>
        <v>244</v>
      </c>
      <c r="R52" s="420">
        <f t="shared" si="11"/>
        <v>241</v>
      </c>
      <c r="S52" s="420">
        <f t="shared" si="11"/>
        <v>209</v>
      </c>
      <c r="T52" s="420">
        <f t="shared" si="11"/>
        <v>265</v>
      </c>
      <c r="U52" s="420">
        <f t="shared" si="11"/>
        <v>249</v>
      </c>
      <c r="V52" s="420">
        <f t="shared" si="11"/>
        <v>127</v>
      </c>
      <c r="W52" s="420">
        <f t="shared" si="11"/>
        <v>116</v>
      </c>
      <c r="X52" s="420">
        <f t="shared" si="11"/>
        <v>240</v>
      </c>
      <c r="Y52" s="420">
        <f t="shared" si="11"/>
        <v>237</v>
      </c>
      <c r="Z52" s="420">
        <f t="shared" si="11"/>
        <v>240</v>
      </c>
      <c r="AA52" s="420">
        <f t="shared" si="11"/>
        <v>230</v>
      </c>
      <c r="AB52" s="420">
        <f t="shared" si="11"/>
        <v>223</v>
      </c>
      <c r="AC52" s="420">
        <f t="shared" si="11"/>
        <v>154</v>
      </c>
      <c r="AD52" s="420">
        <f t="shared" si="11"/>
        <v>132</v>
      </c>
      <c r="AE52" s="420">
        <f t="shared" si="11"/>
        <v>215</v>
      </c>
      <c r="AF52" s="420">
        <f t="shared" si="11"/>
        <v>233</v>
      </c>
      <c r="AG52" s="420">
        <f t="shared" si="11"/>
        <v>229</v>
      </c>
      <c r="AH52" s="420">
        <f t="shared" si="11"/>
        <v>242</v>
      </c>
      <c r="AI52" s="421">
        <f t="shared" si="3"/>
        <v>5489</v>
      </c>
    </row>
    <row r="53" spans="1:35" s="401" customFormat="1" ht="17.25" customHeight="1">
      <c r="A53" s="4"/>
      <c r="B53" s="4"/>
      <c r="C53" s="563" t="s">
        <v>22</v>
      </c>
      <c r="D53" s="501"/>
      <c r="E53" s="420">
        <f t="shared" ref="E53:AH53" si="12">E15-D15</f>
        <v>0</v>
      </c>
      <c r="F53" s="420">
        <f t="shared" si="12"/>
        <v>0</v>
      </c>
      <c r="G53" s="420">
        <f t="shared" si="12"/>
        <v>0</v>
      </c>
      <c r="H53" s="420">
        <f t="shared" si="12"/>
        <v>0</v>
      </c>
      <c r="I53" s="420">
        <f t="shared" si="12"/>
        <v>0</v>
      </c>
      <c r="J53" s="420">
        <f t="shared" si="12"/>
        <v>0</v>
      </c>
      <c r="K53" s="420">
        <f t="shared" si="12"/>
        <v>0</v>
      </c>
      <c r="L53" s="420">
        <f t="shared" si="12"/>
        <v>0</v>
      </c>
      <c r="M53" s="420">
        <f t="shared" si="12"/>
        <v>0</v>
      </c>
      <c r="N53" s="420">
        <f t="shared" si="12"/>
        <v>0</v>
      </c>
      <c r="O53" s="420">
        <f t="shared" si="12"/>
        <v>0</v>
      </c>
      <c r="P53" s="420">
        <f t="shared" si="12"/>
        <v>0</v>
      </c>
      <c r="Q53" s="420">
        <f t="shared" si="12"/>
        <v>0</v>
      </c>
      <c r="R53" s="420">
        <f t="shared" si="12"/>
        <v>0</v>
      </c>
      <c r="S53" s="420">
        <f t="shared" si="12"/>
        <v>0</v>
      </c>
      <c r="T53" s="420">
        <f t="shared" si="12"/>
        <v>0</v>
      </c>
      <c r="U53" s="420">
        <f t="shared" si="12"/>
        <v>0</v>
      </c>
      <c r="V53" s="420">
        <f t="shared" si="12"/>
        <v>0</v>
      </c>
      <c r="W53" s="420">
        <f t="shared" si="12"/>
        <v>0</v>
      </c>
      <c r="X53" s="420">
        <f t="shared" si="12"/>
        <v>0</v>
      </c>
      <c r="Y53" s="420">
        <f t="shared" si="12"/>
        <v>0</v>
      </c>
      <c r="Z53" s="420">
        <f t="shared" si="12"/>
        <v>0</v>
      </c>
      <c r="AA53" s="420">
        <f t="shared" si="12"/>
        <v>0</v>
      </c>
      <c r="AB53" s="420">
        <f t="shared" si="12"/>
        <v>0</v>
      </c>
      <c r="AC53" s="420">
        <f t="shared" si="12"/>
        <v>0</v>
      </c>
      <c r="AD53" s="420">
        <f t="shared" si="12"/>
        <v>0</v>
      </c>
      <c r="AE53" s="420">
        <f t="shared" si="12"/>
        <v>0</v>
      </c>
      <c r="AF53" s="420">
        <f t="shared" si="12"/>
        <v>0</v>
      </c>
      <c r="AG53" s="420">
        <f t="shared" si="12"/>
        <v>0</v>
      </c>
      <c r="AH53" s="420">
        <f t="shared" si="12"/>
        <v>0</v>
      </c>
      <c r="AI53" s="421">
        <f t="shared" si="3"/>
        <v>0</v>
      </c>
    </row>
    <row r="54" spans="1:35" s="401" customFormat="1" ht="17.25" customHeight="1">
      <c r="A54" s="4">
        <v>6</v>
      </c>
      <c r="B54" s="4" t="s">
        <v>129</v>
      </c>
      <c r="C54" s="564" t="s">
        <v>116</v>
      </c>
      <c r="D54" s="501"/>
      <c r="E54" s="420">
        <f t="shared" ref="E54:AH54" si="13">E16-D16</f>
        <v>429</v>
      </c>
      <c r="F54" s="420">
        <f t="shared" si="13"/>
        <v>235</v>
      </c>
      <c r="G54" s="420">
        <f t="shared" si="13"/>
        <v>111</v>
      </c>
      <c r="H54" s="420">
        <f t="shared" si="13"/>
        <v>94</v>
      </c>
      <c r="I54" s="420">
        <f t="shared" si="13"/>
        <v>91</v>
      </c>
      <c r="J54" s="420">
        <f t="shared" si="13"/>
        <v>88</v>
      </c>
      <c r="K54" s="420">
        <f t="shared" si="13"/>
        <v>269</v>
      </c>
      <c r="L54" s="420">
        <f t="shared" si="13"/>
        <v>265</v>
      </c>
      <c r="M54" s="420">
        <f t="shared" si="13"/>
        <v>264</v>
      </c>
      <c r="N54" s="420">
        <f t="shared" si="13"/>
        <v>261</v>
      </c>
      <c r="O54" s="420">
        <f t="shared" si="13"/>
        <v>114</v>
      </c>
      <c r="P54" s="420">
        <f t="shared" si="13"/>
        <v>82</v>
      </c>
      <c r="Q54" s="420">
        <f t="shared" si="13"/>
        <v>287</v>
      </c>
      <c r="R54" s="420">
        <f t="shared" si="13"/>
        <v>271</v>
      </c>
      <c r="S54" s="420">
        <f t="shared" si="13"/>
        <v>280</v>
      </c>
      <c r="T54" s="420">
        <f t="shared" si="13"/>
        <v>265</v>
      </c>
      <c r="U54" s="420">
        <f t="shared" si="13"/>
        <v>305</v>
      </c>
      <c r="V54" s="420">
        <f t="shared" si="13"/>
        <v>121</v>
      </c>
      <c r="W54" s="420">
        <f t="shared" si="13"/>
        <v>91</v>
      </c>
      <c r="X54" s="420">
        <f t="shared" si="13"/>
        <v>260</v>
      </c>
      <c r="Y54" s="420">
        <f t="shared" si="13"/>
        <v>291</v>
      </c>
      <c r="Z54" s="420">
        <f t="shared" si="13"/>
        <v>284</v>
      </c>
      <c r="AA54" s="420">
        <f t="shared" si="13"/>
        <v>282</v>
      </c>
      <c r="AB54" s="420">
        <f t="shared" si="13"/>
        <v>282</v>
      </c>
      <c r="AC54" s="420">
        <f t="shared" si="13"/>
        <v>148</v>
      </c>
      <c r="AD54" s="420">
        <f t="shared" si="13"/>
        <v>117</v>
      </c>
      <c r="AE54" s="420">
        <f t="shared" si="13"/>
        <v>265</v>
      </c>
      <c r="AF54" s="420">
        <f t="shared" si="13"/>
        <v>272</v>
      </c>
      <c r="AG54" s="420">
        <f t="shared" si="13"/>
        <v>274</v>
      </c>
      <c r="AH54" s="420">
        <f t="shared" si="13"/>
        <v>287</v>
      </c>
      <c r="AI54" s="421">
        <f t="shared" si="3"/>
        <v>5910</v>
      </c>
    </row>
    <row r="55" spans="1:35" s="401" customFormat="1" ht="17.25" customHeight="1">
      <c r="A55" s="4"/>
      <c r="B55" s="4"/>
      <c r="C55" s="563" t="s">
        <v>22</v>
      </c>
      <c r="D55" s="501"/>
      <c r="E55" s="420">
        <f t="shared" ref="E55:AH55" si="14">E17-D17</f>
        <v>0</v>
      </c>
      <c r="F55" s="420">
        <f t="shared" si="14"/>
        <v>0</v>
      </c>
      <c r="G55" s="420">
        <f t="shared" si="14"/>
        <v>0</v>
      </c>
      <c r="H55" s="420">
        <f t="shared" si="14"/>
        <v>0</v>
      </c>
      <c r="I55" s="420">
        <f t="shared" si="14"/>
        <v>0</v>
      </c>
      <c r="J55" s="420">
        <f t="shared" si="14"/>
        <v>0</v>
      </c>
      <c r="K55" s="420">
        <f t="shared" si="14"/>
        <v>0</v>
      </c>
      <c r="L55" s="420">
        <f t="shared" si="14"/>
        <v>0</v>
      </c>
      <c r="M55" s="420">
        <f t="shared" si="14"/>
        <v>0</v>
      </c>
      <c r="N55" s="420">
        <f t="shared" si="14"/>
        <v>0</v>
      </c>
      <c r="O55" s="420">
        <f t="shared" si="14"/>
        <v>0</v>
      </c>
      <c r="P55" s="420">
        <f t="shared" si="14"/>
        <v>0</v>
      </c>
      <c r="Q55" s="420">
        <f t="shared" si="14"/>
        <v>0</v>
      </c>
      <c r="R55" s="420">
        <f t="shared" si="14"/>
        <v>0</v>
      </c>
      <c r="S55" s="420">
        <f t="shared" si="14"/>
        <v>0</v>
      </c>
      <c r="T55" s="420">
        <f t="shared" si="14"/>
        <v>0</v>
      </c>
      <c r="U55" s="420">
        <f t="shared" si="14"/>
        <v>0</v>
      </c>
      <c r="V55" s="420">
        <f t="shared" si="14"/>
        <v>0</v>
      </c>
      <c r="W55" s="420">
        <f t="shared" si="14"/>
        <v>0</v>
      </c>
      <c r="X55" s="420">
        <f t="shared" si="14"/>
        <v>0</v>
      </c>
      <c r="Y55" s="420">
        <f t="shared" si="14"/>
        <v>0</v>
      </c>
      <c r="Z55" s="420">
        <f t="shared" si="14"/>
        <v>0</v>
      </c>
      <c r="AA55" s="420">
        <f t="shared" si="14"/>
        <v>0</v>
      </c>
      <c r="AB55" s="420">
        <f t="shared" si="14"/>
        <v>0</v>
      </c>
      <c r="AC55" s="420">
        <f t="shared" si="14"/>
        <v>0</v>
      </c>
      <c r="AD55" s="420">
        <f t="shared" si="14"/>
        <v>0</v>
      </c>
      <c r="AE55" s="420">
        <f t="shared" si="14"/>
        <v>0</v>
      </c>
      <c r="AF55" s="420">
        <f t="shared" si="14"/>
        <v>0</v>
      </c>
      <c r="AG55" s="420">
        <f t="shared" si="14"/>
        <v>0</v>
      </c>
      <c r="AH55" s="420">
        <f t="shared" si="14"/>
        <v>0</v>
      </c>
      <c r="AI55" s="421">
        <f t="shared" si="3"/>
        <v>0</v>
      </c>
    </row>
    <row r="56" spans="1:35" s="401" customFormat="1" ht="17.25" customHeight="1">
      <c r="A56" s="4">
        <v>7</v>
      </c>
      <c r="B56" s="4" t="s">
        <v>129</v>
      </c>
      <c r="C56" s="564" t="s">
        <v>117</v>
      </c>
      <c r="D56" s="501"/>
      <c r="E56" s="420">
        <f t="shared" ref="E56:AH56" si="15">E18-D18</f>
        <v>1329</v>
      </c>
      <c r="F56" s="420">
        <f t="shared" si="15"/>
        <v>615</v>
      </c>
      <c r="G56" s="420">
        <f t="shared" si="15"/>
        <v>430</v>
      </c>
      <c r="H56" s="420">
        <f t="shared" si="15"/>
        <v>385</v>
      </c>
      <c r="I56" s="420">
        <f t="shared" si="15"/>
        <v>512</v>
      </c>
      <c r="J56" s="420">
        <f t="shared" si="15"/>
        <v>435</v>
      </c>
      <c r="K56" s="420">
        <f t="shared" si="15"/>
        <v>742</v>
      </c>
      <c r="L56" s="420">
        <f t="shared" si="15"/>
        <v>821</v>
      </c>
      <c r="M56" s="420">
        <f t="shared" si="15"/>
        <v>738</v>
      </c>
      <c r="N56" s="420">
        <f t="shared" si="15"/>
        <v>836</v>
      </c>
      <c r="O56" s="420">
        <f t="shared" si="15"/>
        <v>356</v>
      </c>
      <c r="P56" s="420">
        <f t="shared" si="15"/>
        <v>401</v>
      </c>
      <c r="Q56" s="420">
        <f t="shared" si="15"/>
        <v>800</v>
      </c>
      <c r="R56" s="420">
        <f t="shared" si="15"/>
        <v>771</v>
      </c>
      <c r="S56" s="420">
        <f t="shared" si="15"/>
        <v>820</v>
      </c>
      <c r="T56" s="420">
        <f t="shared" si="15"/>
        <v>774</v>
      </c>
      <c r="U56" s="420">
        <f t="shared" si="15"/>
        <v>782</v>
      </c>
      <c r="V56" s="420">
        <f t="shared" si="15"/>
        <v>403</v>
      </c>
      <c r="W56" s="420">
        <f t="shared" si="15"/>
        <v>335</v>
      </c>
      <c r="X56" s="420">
        <f t="shared" si="15"/>
        <v>804</v>
      </c>
      <c r="Y56" s="420">
        <f t="shared" si="15"/>
        <v>755</v>
      </c>
      <c r="Z56" s="420">
        <f t="shared" si="15"/>
        <v>771</v>
      </c>
      <c r="AA56" s="420">
        <f t="shared" si="15"/>
        <v>770</v>
      </c>
      <c r="AB56" s="420">
        <f t="shared" si="15"/>
        <v>753</v>
      </c>
      <c r="AC56" s="420">
        <f t="shared" si="15"/>
        <v>518</v>
      </c>
      <c r="AD56" s="420">
        <f t="shared" si="15"/>
        <v>405</v>
      </c>
      <c r="AE56" s="420">
        <f t="shared" si="15"/>
        <v>742</v>
      </c>
      <c r="AF56" s="420">
        <f t="shared" si="15"/>
        <v>803</v>
      </c>
      <c r="AG56" s="420">
        <f t="shared" si="15"/>
        <v>756</v>
      </c>
      <c r="AH56" s="420">
        <f t="shared" si="15"/>
        <v>798</v>
      </c>
      <c r="AI56" s="421">
        <f t="shared" si="3"/>
        <v>17786</v>
      </c>
    </row>
    <row r="57" spans="1:35" s="401" customFormat="1" ht="17.25" customHeight="1">
      <c r="A57" s="4"/>
      <c r="B57" s="4"/>
      <c r="C57" s="563" t="s">
        <v>22</v>
      </c>
      <c r="D57" s="501"/>
      <c r="E57" s="420">
        <f t="shared" ref="E57:AH57" si="16">E19-D19</f>
        <v>0</v>
      </c>
      <c r="F57" s="420">
        <f t="shared" si="16"/>
        <v>0</v>
      </c>
      <c r="G57" s="420">
        <f t="shared" si="16"/>
        <v>0</v>
      </c>
      <c r="H57" s="420">
        <f t="shared" si="16"/>
        <v>0</v>
      </c>
      <c r="I57" s="420">
        <f t="shared" si="16"/>
        <v>0</v>
      </c>
      <c r="J57" s="420">
        <f t="shared" si="16"/>
        <v>0</v>
      </c>
      <c r="K57" s="420">
        <f t="shared" si="16"/>
        <v>0</v>
      </c>
      <c r="L57" s="420">
        <f t="shared" si="16"/>
        <v>0</v>
      </c>
      <c r="M57" s="420">
        <f t="shared" si="16"/>
        <v>0</v>
      </c>
      <c r="N57" s="420">
        <f t="shared" si="16"/>
        <v>0</v>
      </c>
      <c r="O57" s="420">
        <f t="shared" si="16"/>
        <v>0</v>
      </c>
      <c r="P57" s="420">
        <f t="shared" si="16"/>
        <v>0</v>
      </c>
      <c r="Q57" s="420">
        <f t="shared" si="16"/>
        <v>0</v>
      </c>
      <c r="R57" s="420">
        <f t="shared" si="16"/>
        <v>0</v>
      </c>
      <c r="S57" s="420">
        <f t="shared" si="16"/>
        <v>0</v>
      </c>
      <c r="T57" s="420">
        <f t="shared" si="16"/>
        <v>0</v>
      </c>
      <c r="U57" s="420">
        <f t="shared" si="16"/>
        <v>0</v>
      </c>
      <c r="V57" s="420">
        <f t="shared" si="16"/>
        <v>0</v>
      </c>
      <c r="W57" s="420">
        <f t="shared" si="16"/>
        <v>0</v>
      </c>
      <c r="X57" s="420">
        <f t="shared" si="16"/>
        <v>0</v>
      </c>
      <c r="Y57" s="420">
        <f t="shared" si="16"/>
        <v>0</v>
      </c>
      <c r="Z57" s="420">
        <f t="shared" si="16"/>
        <v>0</v>
      </c>
      <c r="AA57" s="420">
        <f t="shared" si="16"/>
        <v>0</v>
      </c>
      <c r="AB57" s="420">
        <f t="shared" si="16"/>
        <v>0</v>
      </c>
      <c r="AC57" s="420">
        <f t="shared" si="16"/>
        <v>0</v>
      </c>
      <c r="AD57" s="420">
        <f t="shared" si="16"/>
        <v>0</v>
      </c>
      <c r="AE57" s="420">
        <f t="shared" si="16"/>
        <v>0</v>
      </c>
      <c r="AF57" s="420">
        <f t="shared" si="16"/>
        <v>0</v>
      </c>
      <c r="AG57" s="420">
        <f t="shared" si="16"/>
        <v>0</v>
      </c>
      <c r="AH57" s="420">
        <f t="shared" si="16"/>
        <v>0</v>
      </c>
      <c r="AI57" s="421">
        <f t="shared" si="3"/>
        <v>0</v>
      </c>
    </row>
    <row r="58" spans="1:35" s="401" customFormat="1" ht="17.25" customHeight="1">
      <c r="A58" s="4">
        <v>8</v>
      </c>
      <c r="B58" s="4" t="s">
        <v>129</v>
      </c>
      <c r="C58" s="564" t="s">
        <v>118</v>
      </c>
      <c r="D58" s="501"/>
      <c r="E58" s="420">
        <f t="shared" ref="E58:AH58" si="17">E20-D20</f>
        <v>193</v>
      </c>
      <c r="F58" s="420">
        <f t="shared" si="17"/>
        <v>94</v>
      </c>
      <c r="G58" s="420">
        <f t="shared" si="17"/>
        <v>117</v>
      </c>
      <c r="H58" s="420">
        <f t="shared" si="17"/>
        <v>116</v>
      </c>
      <c r="I58" s="420">
        <f t="shared" si="17"/>
        <v>118</v>
      </c>
      <c r="J58" s="420">
        <f t="shared" si="17"/>
        <v>123</v>
      </c>
      <c r="K58" s="420">
        <f t="shared" si="17"/>
        <v>119</v>
      </c>
      <c r="L58" s="420">
        <f t="shared" si="17"/>
        <v>127</v>
      </c>
      <c r="M58" s="420">
        <f t="shared" si="17"/>
        <v>116</v>
      </c>
      <c r="N58" s="420">
        <f t="shared" si="17"/>
        <v>123</v>
      </c>
      <c r="O58" s="420">
        <f t="shared" si="17"/>
        <v>102</v>
      </c>
      <c r="P58" s="420">
        <f t="shared" si="17"/>
        <v>110</v>
      </c>
      <c r="Q58" s="420">
        <f t="shared" si="17"/>
        <v>129</v>
      </c>
      <c r="R58" s="420">
        <f t="shared" si="17"/>
        <v>134</v>
      </c>
      <c r="S58" s="420">
        <f t="shared" si="17"/>
        <v>139</v>
      </c>
      <c r="T58" s="420">
        <f t="shared" si="17"/>
        <v>148</v>
      </c>
      <c r="U58" s="420">
        <f t="shared" si="17"/>
        <v>146</v>
      </c>
      <c r="V58" s="420">
        <f t="shared" si="17"/>
        <v>121</v>
      </c>
      <c r="W58" s="420">
        <f t="shared" si="17"/>
        <v>117</v>
      </c>
      <c r="X58" s="420">
        <f t="shared" si="17"/>
        <v>148</v>
      </c>
      <c r="Y58" s="420">
        <f t="shared" si="17"/>
        <v>123</v>
      </c>
      <c r="Z58" s="420">
        <f t="shared" si="17"/>
        <v>162</v>
      </c>
      <c r="AA58" s="420">
        <f t="shared" si="17"/>
        <v>131</v>
      </c>
      <c r="AB58" s="420">
        <f t="shared" si="17"/>
        <v>149</v>
      </c>
      <c r="AC58" s="420">
        <f t="shared" si="17"/>
        <v>140</v>
      </c>
      <c r="AD58" s="420">
        <f t="shared" si="17"/>
        <v>134</v>
      </c>
      <c r="AE58" s="420">
        <f t="shared" si="17"/>
        <v>150</v>
      </c>
      <c r="AF58" s="420">
        <f t="shared" si="17"/>
        <v>163</v>
      </c>
      <c r="AG58" s="420">
        <f t="shared" si="17"/>
        <v>161</v>
      </c>
      <c r="AH58" s="420">
        <f t="shared" si="17"/>
        <v>145</v>
      </c>
      <c r="AI58" s="421">
        <f t="shared" si="3"/>
        <v>3594</v>
      </c>
    </row>
    <row r="59" spans="1:35" s="401" customFormat="1" ht="17.25" customHeight="1">
      <c r="A59" s="4"/>
      <c r="B59" s="4"/>
      <c r="C59" s="563" t="s">
        <v>22</v>
      </c>
      <c r="D59" s="501"/>
      <c r="E59" s="420">
        <f t="shared" ref="E59:AH59" si="18">E21-D21</f>
        <v>0</v>
      </c>
      <c r="F59" s="420">
        <f t="shared" si="18"/>
        <v>0</v>
      </c>
      <c r="G59" s="420">
        <f t="shared" si="18"/>
        <v>0</v>
      </c>
      <c r="H59" s="420">
        <f t="shared" si="18"/>
        <v>0</v>
      </c>
      <c r="I59" s="420">
        <f t="shared" si="18"/>
        <v>0</v>
      </c>
      <c r="J59" s="420">
        <f t="shared" si="18"/>
        <v>0</v>
      </c>
      <c r="K59" s="420">
        <f t="shared" si="18"/>
        <v>0</v>
      </c>
      <c r="L59" s="420">
        <f t="shared" si="18"/>
        <v>0</v>
      </c>
      <c r="M59" s="420">
        <f t="shared" si="18"/>
        <v>0</v>
      </c>
      <c r="N59" s="420">
        <f t="shared" si="18"/>
        <v>0</v>
      </c>
      <c r="O59" s="420">
        <f t="shared" si="18"/>
        <v>0</v>
      </c>
      <c r="P59" s="420">
        <f t="shared" si="18"/>
        <v>0</v>
      </c>
      <c r="Q59" s="420">
        <f t="shared" si="18"/>
        <v>0</v>
      </c>
      <c r="R59" s="420">
        <f t="shared" si="18"/>
        <v>0</v>
      </c>
      <c r="S59" s="420">
        <f t="shared" si="18"/>
        <v>0</v>
      </c>
      <c r="T59" s="420">
        <f t="shared" si="18"/>
        <v>0</v>
      </c>
      <c r="U59" s="420">
        <f t="shared" si="18"/>
        <v>0</v>
      </c>
      <c r="V59" s="420">
        <f t="shared" si="18"/>
        <v>0</v>
      </c>
      <c r="W59" s="420">
        <f t="shared" si="18"/>
        <v>0</v>
      </c>
      <c r="X59" s="420">
        <f t="shared" si="18"/>
        <v>0</v>
      </c>
      <c r="Y59" s="420">
        <f t="shared" si="18"/>
        <v>0</v>
      </c>
      <c r="Z59" s="420">
        <f t="shared" si="18"/>
        <v>0</v>
      </c>
      <c r="AA59" s="420">
        <f t="shared" si="18"/>
        <v>0</v>
      </c>
      <c r="AB59" s="420">
        <f t="shared" si="18"/>
        <v>0</v>
      </c>
      <c r="AC59" s="420">
        <f t="shared" si="18"/>
        <v>0</v>
      </c>
      <c r="AD59" s="420">
        <f t="shared" si="18"/>
        <v>0</v>
      </c>
      <c r="AE59" s="420">
        <f t="shared" si="18"/>
        <v>0</v>
      </c>
      <c r="AF59" s="420">
        <f t="shared" si="18"/>
        <v>0</v>
      </c>
      <c r="AG59" s="420">
        <f t="shared" si="18"/>
        <v>0</v>
      </c>
      <c r="AH59" s="420">
        <f t="shared" si="18"/>
        <v>0</v>
      </c>
      <c r="AI59" s="421">
        <f t="shared" si="3"/>
        <v>0</v>
      </c>
    </row>
    <row r="60" spans="1:35" s="401" customFormat="1" ht="17.25" customHeight="1">
      <c r="A60" s="22"/>
      <c r="B60" s="22"/>
      <c r="C60" s="569" t="s">
        <v>130</v>
      </c>
      <c r="D60" s="501"/>
      <c r="E60" s="422">
        <f t="shared" ref="E60:AH60" si="19">SUM(E58,E56,E54,E52,E50,E48,E46,E44)</f>
        <v>3339</v>
      </c>
      <c r="F60" s="422">
        <f t="shared" si="19"/>
        <v>1603</v>
      </c>
      <c r="G60" s="422">
        <f t="shared" si="19"/>
        <v>1308</v>
      </c>
      <c r="H60" s="422">
        <f t="shared" si="19"/>
        <v>1204</v>
      </c>
      <c r="I60" s="422">
        <f t="shared" si="19"/>
        <v>1353</v>
      </c>
      <c r="J60" s="422">
        <f t="shared" si="19"/>
        <v>1316</v>
      </c>
      <c r="K60" s="422">
        <f t="shared" si="19"/>
        <v>1999</v>
      </c>
      <c r="L60" s="422">
        <f t="shared" si="19"/>
        <v>2125</v>
      </c>
      <c r="M60" s="422">
        <f t="shared" si="19"/>
        <v>1905</v>
      </c>
      <c r="N60" s="422">
        <f t="shared" si="19"/>
        <v>2143</v>
      </c>
      <c r="O60" s="422">
        <f t="shared" si="19"/>
        <v>1184</v>
      </c>
      <c r="P60" s="422">
        <f t="shared" si="19"/>
        <v>1193</v>
      </c>
      <c r="Q60" s="422">
        <f t="shared" si="19"/>
        <v>2112</v>
      </c>
      <c r="R60" s="422">
        <f t="shared" si="19"/>
        <v>2054</v>
      </c>
      <c r="S60" s="422">
        <f t="shared" si="19"/>
        <v>2096</v>
      </c>
      <c r="T60" s="422">
        <f t="shared" si="19"/>
        <v>2069</v>
      </c>
      <c r="U60" s="422">
        <f t="shared" si="19"/>
        <v>2143</v>
      </c>
      <c r="V60" s="422">
        <f t="shared" si="19"/>
        <v>1270</v>
      </c>
      <c r="W60" s="422">
        <f t="shared" si="19"/>
        <v>1128</v>
      </c>
      <c r="X60" s="422">
        <f t="shared" si="19"/>
        <v>2097</v>
      </c>
      <c r="Y60" s="422">
        <f t="shared" si="19"/>
        <v>2052</v>
      </c>
      <c r="Z60" s="422">
        <f t="shared" si="19"/>
        <v>2086</v>
      </c>
      <c r="AA60" s="422">
        <f t="shared" si="19"/>
        <v>2047</v>
      </c>
      <c r="AB60" s="422">
        <f t="shared" si="19"/>
        <v>2015</v>
      </c>
      <c r="AC60" s="422">
        <f t="shared" si="19"/>
        <v>1458</v>
      </c>
      <c r="AD60" s="422">
        <f t="shared" si="19"/>
        <v>1272</v>
      </c>
      <c r="AE60" s="422">
        <f t="shared" si="19"/>
        <v>1988</v>
      </c>
      <c r="AF60" s="422">
        <f t="shared" si="19"/>
        <v>2124</v>
      </c>
      <c r="AG60" s="422">
        <f t="shared" si="19"/>
        <v>2042</v>
      </c>
      <c r="AH60" s="422">
        <f t="shared" si="19"/>
        <v>2085</v>
      </c>
      <c r="AI60" s="423">
        <f t="shared" si="3"/>
        <v>48560</v>
      </c>
    </row>
    <row r="61" spans="1:35" s="401" customFormat="1" ht="17.25" customHeight="1">
      <c r="A61" s="22"/>
      <c r="B61" s="22"/>
      <c r="C61" s="424" t="s">
        <v>131</v>
      </c>
      <c r="D61" s="425"/>
      <c r="E61" s="422">
        <f t="shared" ref="E61:AH61" si="20">SUM(E45,E47,E49,E51,E53,E55,E57,E59)</f>
        <v>-0.30000000000000071</v>
      </c>
      <c r="F61" s="422">
        <f t="shared" si="20"/>
        <v>0.30000000000000071</v>
      </c>
      <c r="G61" s="422">
        <f t="shared" si="20"/>
        <v>0</v>
      </c>
      <c r="H61" s="422">
        <f t="shared" si="20"/>
        <v>0</v>
      </c>
      <c r="I61" s="422">
        <f t="shared" si="20"/>
        <v>0</v>
      </c>
      <c r="J61" s="422">
        <f t="shared" si="20"/>
        <v>0</v>
      </c>
      <c r="K61" s="422">
        <f t="shared" si="20"/>
        <v>0</v>
      </c>
      <c r="L61" s="422">
        <f t="shared" si="20"/>
        <v>0</v>
      </c>
      <c r="M61" s="422">
        <f t="shared" si="20"/>
        <v>0</v>
      </c>
      <c r="N61" s="422">
        <f t="shared" si="20"/>
        <v>0</v>
      </c>
      <c r="O61" s="422">
        <f t="shared" si="20"/>
        <v>0</v>
      </c>
      <c r="P61" s="422">
        <f t="shared" si="20"/>
        <v>0</v>
      </c>
      <c r="Q61" s="422">
        <f t="shared" si="20"/>
        <v>0</v>
      </c>
      <c r="R61" s="422">
        <f t="shared" si="20"/>
        <v>0</v>
      </c>
      <c r="S61" s="422">
        <f t="shared" si="20"/>
        <v>0</v>
      </c>
      <c r="T61" s="422">
        <f t="shared" si="20"/>
        <v>0</v>
      </c>
      <c r="U61" s="422">
        <f t="shared" si="20"/>
        <v>0</v>
      </c>
      <c r="V61" s="422">
        <f t="shared" si="20"/>
        <v>0</v>
      </c>
      <c r="W61" s="422">
        <f t="shared" si="20"/>
        <v>0</v>
      </c>
      <c r="X61" s="422">
        <f t="shared" si="20"/>
        <v>0</v>
      </c>
      <c r="Y61" s="422">
        <f t="shared" si="20"/>
        <v>0</v>
      </c>
      <c r="Z61" s="422">
        <f t="shared" si="20"/>
        <v>0</v>
      </c>
      <c r="AA61" s="422">
        <f t="shared" si="20"/>
        <v>0</v>
      </c>
      <c r="AB61" s="422">
        <f t="shared" si="20"/>
        <v>0</v>
      </c>
      <c r="AC61" s="422">
        <f t="shared" si="20"/>
        <v>0</v>
      </c>
      <c r="AD61" s="422">
        <f t="shared" si="20"/>
        <v>0</v>
      </c>
      <c r="AE61" s="422">
        <f t="shared" si="20"/>
        <v>0</v>
      </c>
      <c r="AF61" s="422">
        <f t="shared" si="20"/>
        <v>0</v>
      </c>
      <c r="AG61" s="422">
        <f t="shared" si="20"/>
        <v>0</v>
      </c>
      <c r="AH61" s="422">
        <f t="shared" si="20"/>
        <v>0</v>
      </c>
      <c r="AI61" s="423">
        <f t="shared" si="3"/>
        <v>0</v>
      </c>
    </row>
    <row r="62" spans="1:35" s="401" customFormat="1" ht="17.25" customHeight="1">
      <c r="A62" s="25"/>
      <c r="B62" s="25"/>
      <c r="C62" s="524" t="s">
        <v>132</v>
      </c>
      <c r="D62" s="501"/>
      <c r="E62" s="26">
        <f t="shared" ref="E62:AI62" si="21">E60</f>
        <v>3339</v>
      </c>
      <c r="F62" s="26">
        <f t="shared" si="21"/>
        <v>1603</v>
      </c>
      <c r="G62" s="26">
        <f t="shared" si="21"/>
        <v>1308</v>
      </c>
      <c r="H62" s="26">
        <f t="shared" si="21"/>
        <v>1204</v>
      </c>
      <c r="I62" s="26">
        <f t="shared" si="21"/>
        <v>1353</v>
      </c>
      <c r="J62" s="26">
        <f t="shared" si="21"/>
        <v>1316</v>
      </c>
      <c r="K62" s="26">
        <f t="shared" si="21"/>
        <v>1999</v>
      </c>
      <c r="L62" s="26">
        <f t="shared" si="21"/>
        <v>2125</v>
      </c>
      <c r="M62" s="26">
        <f t="shared" si="21"/>
        <v>1905</v>
      </c>
      <c r="N62" s="26">
        <f t="shared" si="21"/>
        <v>2143</v>
      </c>
      <c r="O62" s="26">
        <f t="shared" si="21"/>
        <v>1184</v>
      </c>
      <c r="P62" s="26">
        <f t="shared" si="21"/>
        <v>1193</v>
      </c>
      <c r="Q62" s="26">
        <f t="shared" si="21"/>
        <v>2112</v>
      </c>
      <c r="R62" s="26">
        <f t="shared" si="21"/>
        <v>2054</v>
      </c>
      <c r="S62" s="26">
        <f t="shared" si="21"/>
        <v>2096</v>
      </c>
      <c r="T62" s="26">
        <f t="shared" si="21"/>
        <v>2069</v>
      </c>
      <c r="U62" s="26">
        <f t="shared" si="21"/>
        <v>2143</v>
      </c>
      <c r="V62" s="26">
        <f t="shared" si="21"/>
        <v>1270</v>
      </c>
      <c r="W62" s="26">
        <f t="shared" si="21"/>
        <v>1128</v>
      </c>
      <c r="X62" s="26">
        <f t="shared" si="21"/>
        <v>2097</v>
      </c>
      <c r="Y62" s="26">
        <f t="shared" si="21"/>
        <v>2052</v>
      </c>
      <c r="Z62" s="26">
        <f t="shared" si="21"/>
        <v>2086</v>
      </c>
      <c r="AA62" s="26">
        <f t="shared" si="21"/>
        <v>2047</v>
      </c>
      <c r="AB62" s="26">
        <f t="shared" si="21"/>
        <v>2015</v>
      </c>
      <c r="AC62" s="26">
        <f t="shared" si="21"/>
        <v>1458</v>
      </c>
      <c r="AD62" s="26">
        <f t="shared" si="21"/>
        <v>1272</v>
      </c>
      <c r="AE62" s="26">
        <f t="shared" si="21"/>
        <v>1988</v>
      </c>
      <c r="AF62" s="26">
        <f t="shared" si="21"/>
        <v>2124</v>
      </c>
      <c r="AG62" s="26">
        <f t="shared" si="21"/>
        <v>2042</v>
      </c>
      <c r="AH62" s="26">
        <f t="shared" si="21"/>
        <v>2085</v>
      </c>
      <c r="AI62" s="26">
        <f t="shared" si="21"/>
        <v>48560</v>
      </c>
    </row>
    <row r="63" spans="1:35" s="401" customFormat="1" ht="17.25" customHeight="1">
      <c r="A63" s="17"/>
      <c r="B63" s="426"/>
      <c r="C63" s="427"/>
      <c r="D63" s="428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</row>
    <row r="64" spans="1:35" s="401" customFormat="1" ht="17.25" customHeight="1">
      <c r="A64" s="429" t="s">
        <v>133</v>
      </c>
      <c r="B64" s="429" t="s">
        <v>100</v>
      </c>
      <c r="C64" s="570" t="s">
        <v>101</v>
      </c>
      <c r="D64" s="501"/>
      <c r="E64" s="429"/>
      <c r="F64" s="429"/>
      <c r="G64" s="429"/>
      <c r="H64" s="429"/>
      <c r="I64" s="429"/>
      <c r="J64" s="429"/>
      <c r="K64" s="429"/>
      <c r="L64" s="429"/>
      <c r="M64" s="429"/>
      <c r="N64" s="429"/>
      <c r="O64" s="429"/>
      <c r="P64" s="429"/>
      <c r="Q64" s="429"/>
      <c r="R64" s="429"/>
      <c r="S64" s="429"/>
      <c r="T64" s="429"/>
      <c r="U64" s="429"/>
      <c r="V64" s="429"/>
      <c r="W64" s="429"/>
      <c r="X64" s="429"/>
      <c r="Y64" s="429"/>
      <c r="Z64" s="429"/>
      <c r="AA64" s="429"/>
      <c r="AB64" s="429"/>
      <c r="AC64" s="429"/>
      <c r="AD64" s="429"/>
      <c r="AE64" s="429"/>
      <c r="AF64" s="429"/>
      <c r="AG64" s="429"/>
      <c r="AH64" s="429"/>
      <c r="AI64" s="29"/>
    </row>
    <row r="65" spans="1:37" s="401" customFormat="1" ht="17.25" customHeight="1">
      <c r="A65" s="4">
        <v>1</v>
      </c>
      <c r="B65" s="4" t="s">
        <v>129</v>
      </c>
      <c r="C65" s="562" t="s">
        <v>119</v>
      </c>
      <c r="D65" s="501"/>
      <c r="E65" s="26">
        <f t="shared" ref="E65:AH65" si="22">E23-D23</f>
        <v>183</v>
      </c>
      <c r="F65" s="26">
        <f t="shared" si="22"/>
        <v>128</v>
      </c>
      <c r="G65" s="26">
        <f t="shared" si="22"/>
        <v>20</v>
      </c>
      <c r="H65" s="26">
        <f t="shared" si="22"/>
        <v>0</v>
      </c>
      <c r="I65" s="26">
        <f t="shared" si="22"/>
        <v>0</v>
      </c>
      <c r="J65" s="26">
        <f t="shared" si="22"/>
        <v>25</v>
      </c>
      <c r="K65" s="26">
        <f t="shared" si="22"/>
        <v>164</v>
      </c>
      <c r="L65" s="26">
        <f t="shared" si="22"/>
        <v>179</v>
      </c>
      <c r="M65" s="26">
        <f t="shared" si="22"/>
        <v>178</v>
      </c>
      <c r="N65" s="26">
        <f t="shared" si="22"/>
        <v>185</v>
      </c>
      <c r="O65" s="26">
        <f t="shared" si="22"/>
        <v>41</v>
      </c>
      <c r="P65" s="26">
        <f t="shared" si="22"/>
        <v>1</v>
      </c>
      <c r="Q65" s="26">
        <f t="shared" si="22"/>
        <v>137</v>
      </c>
      <c r="R65" s="26">
        <f t="shared" si="22"/>
        <v>158</v>
      </c>
      <c r="S65" s="26">
        <f t="shared" si="22"/>
        <v>131</v>
      </c>
      <c r="T65" s="26">
        <f t="shared" si="22"/>
        <v>145</v>
      </c>
      <c r="U65" s="26">
        <f t="shared" si="22"/>
        <v>118</v>
      </c>
      <c r="V65" s="26">
        <f t="shared" si="22"/>
        <v>21</v>
      </c>
      <c r="W65" s="26">
        <f t="shared" si="22"/>
        <v>0</v>
      </c>
      <c r="X65" s="26">
        <f t="shared" si="22"/>
        <v>109</v>
      </c>
      <c r="Y65" s="26">
        <f t="shared" si="22"/>
        <v>121</v>
      </c>
      <c r="Z65" s="26">
        <f t="shared" si="22"/>
        <v>114</v>
      </c>
      <c r="AA65" s="26">
        <f t="shared" si="22"/>
        <v>94</v>
      </c>
      <c r="AB65" s="26">
        <f t="shared" si="22"/>
        <v>98</v>
      </c>
      <c r="AC65" s="26">
        <f t="shared" si="22"/>
        <v>50</v>
      </c>
      <c r="AD65" s="26">
        <f t="shared" si="22"/>
        <v>0</v>
      </c>
      <c r="AE65" s="26">
        <f t="shared" si="22"/>
        <v>155</v>
      </c>
      <c r="AF65" s="26">
        <f t="shared" si="22"/>
        <v>68</v>
      </c>
      <c r="AG65" s="26">
        <f t="shared" si="22"/>
        <v>119</v>
      </c>
      <c r="AH65" s="26">
        <f t="shared" si="22"/>
        <v>122</v>
      </c>
      <c r="AI65" s="26">
        <f t="shared" ref="AI65:AI78" si="23">SUM(E65:AH65)</f>
        <v>2864</v>
      </c>
    </row>
    <row r="66" spans="1:37" s="401" customFormat="1" ht="17.25" customHeight="1">
      <c r="A66" s="4"/>
      <c r="B66" s="4"/>
      <c r="C66" s="561" t="s">
        <v>22</v>
      </c>
      <c r="D66" s="501"/>
      <c r="E66" s="26">
        <f t="shared" ref="E66:AH66" si="24">E24-D24</f>
        <v>0</v>
      </c>
      <c r="F66" s="26">
        <f t="shared" si="24"/>
        <v>0</v>
      </c>
      <c r="G66" s="26">
        <f t="shared" si="24"/>
        <v>0</v>
      </c>
      <c r="H66" s="26">
        <f t="shared" si="24"/>
        <v>0</v>
      </c>
      <c r="I66" s="26">
        <f t="shared" si="24"/>
        <v>0</v>
      </c>
      <c r="J66" s="26">
        <f t="shared" si="24"/>
        <v>0</v>
      </c>
      <c r="K66" s="26">
        <f t="shared" si="24"/>
        <v>0</v>
      </c>
      <c r="L66" s="26">
        <f t="shared" si="24"/>
        <v>0</v>
      </c>
      <c r="M66" s="26">
        <f t="shared" si="24"/>
        <v>0</v>
      </c>
      <c r="N66" s="26">
        <f t="shared" si="24"/>
        <v>0</v>
      </c>
      <c r="O66" s="26">
        <f t="shared" si="24"/>
        <v>0</v>
      </c>
      <c r="P66" s="26">
        <f t="shared" si="24"/>
        <v>0</v>
      </c>
      <c r="Q66" s="26">
        <f t="shared" si="24"/>
        <v>0</v>
      </c>
      <c r="R66" s="26">
        <f t="shared" si="24"/>
        <v>0</v>
      </c>
      <c r="S66" s="26">
        <f t="shared" si="24"/>
        <v>0</v>
      </c>
      <c r="T66" s="26">
        <f t="shared" si="24"/>
        <v>0</v>
      </c>
      <c r="U66" s="26">
        <f t="shared" si="24"/>
        <v>0</v>
      </c>
      <c r="V66" s="26">
        <f t="shared" si="24"/>
        <v>0</v>
      </c>
      <c r="W66" s="26">
        <f t="shared" si="24"/>
        <v>0</v>
      </c>
      <c r="X66" s="26">
        <f t="shared" si="24"/>
        <v>0</v>
      </c>
      <c r="Y66" s="26">
        <f t="shared" si="24"/>
        <v>0</v>
      </c>
      <c r="Z66" s="26">
        <f t="shared" si="24"/>
        <v>0</v>
      </c>
      <c r="AA66" s="26">
        <f t="shared" si="24"/>
        <v>0</v>
      </c>
      <c r="AB66" s="26">
        <f t="shared" si="24"/>
        <v>0</v>
      </c>
      <c r="AC66" s="26">
        <f t="shared" si="24"/>
        <v>0</v>
      </c>
      <c r="AD66" s="26">
        <f t="shared" si="24"/>
        <v>0</v>
      </c>
      <c r="AE66" s="26">
        <f t="shared" si="24"/>
        <v>0</v>
      </c>
      <c r="AF66" s="26">
        <f t="shared" si="24"/>
        <v>0</v>
      </c>
      <c r="AG66" s="26">
        <f t="shared" si="24"/>
        <v>0</v>
      </c>
      <c r="AH66" s="26">
        <f t="shared" si="24"/>
        <v>0</v>
      </c>
      <c r="AI66" s="26">
        <f t="shared" si="23"/>
        <v>0</v>
      </c>
    </row>
    <row r="67" spans="1:37" s="401" customFormat="1" ht="17.25" customHeight="1">
      <c r="A67" s="4">
        <v>2</v>
      </c>
      <c r="B67" s="4" t="s">
        <v>129</v>
      </c>
      <c r="C67" s="562" t="s">
        <v>120</v>
      </c>
      <c r="D67" s="501"/>
      <c r="E67" s="26">
        <f t="shared" ref="E67:AH67" si="25">E25-D25</f>
        <v>129</v>
      </c>
      <c r="F67" s="26">
        <f t="shared" si="25"/>
        <v>78</v>
      </c>
      <c r="G67" s="26">
        <f t="shared" si="25"/>
        <v>0</v>
      </c>
      <c r="H67" s="26">
        <f t="shared" si="25"/>
        <v>0</v>
      </c>
      <c r="I67" s="26">
        <f t="shared" si="25"/>
        <v>0</v>
      </c>
      <c r="J67" s="26">
        <f t="shared" si="25"/>
        <v>48</v>
      </c>
      <c r="K67" s="26">
        <f t="shared" si="25"/>
        <v>99</v>
      </c>
      <c r="L67" s="26">
        <f t="shared" si="25"/>
        <v>68</v>
      </c>
      <c r="M67" s="26">
        <f t="shared" si="25"/>
        <v>62</v>
      </c>
      <c r="N67" s="26">
        <f t="shared" si="25"/>
        <v>92</v>
      </c>
      <c r="O67" s="26">
        <f t="shared" si="25"/>
        <v>0</v>
      </c>
      <c r="P67" s="26">
        <f t="shared" si="25"/>
        <v>1</v>
      </c>
      <c r="Q67" s="26">
        <f t="shared" si="25"/>
        <v>126</v>
      </c>
      <c r="R67" s="26">
        <f t="shared" si="25"/>
        <v>152</v>
      </c>
      <c r="S67" s="26">
        <f t="shared" si="25"/>
        <v>125</v>
      </c>
      <c r="T67" s="26">
        <f t="shared" si="25"/>
        <v>126</v>
      </c>
      <c r="U67" s="26">
        <f t="shared" si="25"/>
        <v>124</v>
      </c>
      <c r="V67" s="26">
        <f t="shared" si="25"/>
        <v>13</v>
      </c>
      <c r="W67" s="26">
        <f t="shared" si="25"/>
        <v>0</v>
      </c>
      <c r="X67" s="26">
        <f t="shared" si="25"/>
        <v>128</v>
      </c>
      <c r="Y67" s="26">
        <f t="shared" si="25"/>
        <v>135</v>
      </c>
      <c r="Z67" s="26">
        <f t="shared" si="25"/>
        <v>137</v>
      </c>
      <c r="AA67" s="26">
        <f t="shared" si="25"/>
        <v>171</v>
      </c>
      <c r="AB67" s="26">
        <f t="shared" si="25"/>
        <v>129</v>
      </c>
      <c r="AC67" s="26">
        <f t="shared" si="25"/>
        <v>71</v>
      </c>
      <c r="AD67" s="26">
        <f t="shared" si="25"/>
        <v>0</v>
      </c>
      <c r="AE67" s="26">
        <f t="shared" si="25"/>
        <v>136</v>
      </c>
      <c r="AF67" s="26">
        <f t="shared" si="25"/>
        <v>149</v>
      </c>
      <c r="AG67" s="26">
        <f t="shared" si="25"/>
        <v>147</v>
      </c>
      <c r="AH67" s="26">
        <f t="shared" si="25"/>
        <v>116</v>
      </c>
      <c r="AI67" s="26">
        <f t="shared" si="23"/>
        <v>2562</v>
      </c>
    </row>
    <row r="68" spans="1:37" s="401" customFormat="1" ht="17.25" customHeight="1">
      <c r="A68" s="4"/>
      <c r="B68" s="4"/>
      <c r="C68" s="561" t="s">
        <v>22</v>
      </c>
      <c r="D68" s="501"/>
      <c r="E68" s="26">
        <f t="shared" ref="E68:AH68" si="26">E26-D26</f>
        <v>0</v>
      </c>
      <c r="F68" s="26">
        <f t="shared" si="26"/>
        <v>0</v>
      </c>
      <c r="G68" s="26">
        <f t="shared" si="26"/>
        <v>0</v>
      </c>
      <c r="H68" s="26">
        <f t="shared" si="26"/>
        <v>0</v>
      </c>
      <c r="I68" s="26">
        <f t="shared" si="26"/>
        <v>0</v>
      </c>
      <c r="J68" s="26">
        <f t="shared" si="26"/>
        <v>0</v>
      </c>
      <c r="K68" s="26">
        <f t="shared" si="26"/>
        <v>0</v>
      </c>
      <c r="L68" s="26">
        <f t="shared" si="26"/>
        <v>0</v>
      </c>
      <c r="M68" s="26">
        <f t="shared" si="26"/>
        <v>0</v>
      </c>
      <c r="N68" s="26">
        <f t="shared" si="26"/>
        <v>0</v>
      </c>
      <c r="O68" s="26">
        <f t="shared" si="26"/>
        <v>0</v>
      </c>
      <c r="P68" s="26">
        <f t="shared" si="26"/>
        <v>0</v>
      </c>
      <c r="Q68" s="26">
        <f t="shared" si="26"/>
        <v>0</v>
      </c>
      <c r="R68" s="26">
        <f t="shared" si="26"/>
        <v>0</v>
      </c>
      <c r="S68" s="26">
        <f t="shared" si="26"/>
        <v>0</v>
      </c>
      <c r="T68" s="26">
        <f t="shared" si="26"/>
        <v>0</v>
      </c>
      <c r="U68" s="26">
        <f t="shared" si="26"/>
        <v>0</v>
      </c>
      <c r="V68" s="26">
        <f t="shared" si="26"/>
        <v>0</v>
      </c>
      <c r="W68" s="26">
        <f t="shared" si="26"/>
        <v>0</v>
      </c>
      <c r="X68" s="26">
        <f t="shared" si="26"/>
        <v>0</v>
      </c>
      <c r="Y68" s="26">
        <f t="shared" si="26"/>
        <v>0</v>
      </c>
      <c r="Z68" s="26">
        <f t="shared" si="26"/>
        <v>0</v>
      </c>
      <c r="AA68" s="26">
        <f t="shared" si="26"/>
        <v>0</v>
      </c>
      <c r="AB68" s="26">
        <f t="shared" si="26"/>
        <v>0</v>
      </c>
      <c r="AC68" s="26">
        <f t="shared" si="26"/>
        <v>0</v>
      </c>
      <c r="AD68" s="26">
        <f t="shared" si="26"/>
        <v>0</v>
      </c>
      <c r="AE68" s="26">
        <f t="shared" si="26"/>
        <v>29</v>
      </c>
      <c r="AF68" s="26">
        <f t="shared" si="26"/>
        <v>0</v>
      </c>
      <c r="AG68" s="26">
        <f t="shared" si="26"/>
        <v>0</v>
      </c>
      <c r="AH68" s="26">
        <f t="shared" si="26"/>
        <v>0</v>
      </c>
      <c r="AI68" s="26">
        <f t="shared" si="23"/>
        <v>29</v>
      </c>
      <c r="AJ68" s="115" t="s">
        <v>20</v>
      </c>
      <c r="AK68" s="116">
        <f>AI60</f>
        <v>48560</v>
      </c>
    </row>
    <row r="69" spans="1:37" s="401" customFormat="1" ht="17.25" customHeight="1">
      <c r="A69" s="4">
        <v>3</v>
      </c>
      <c r="B69" s="4" t="s">
        <v>129</v>
      </c>
      <c r="C69" s="562" t="s">
        <v>121</v>
      </c>
      <c r="D69" s="501"/>
      <c r="E69" s="26">
        <f t="shared" ref="E69:AH69" si="27">E27-D27</f>
        <v>164</v>
      </c>
      <c r="F69" s="26">
        <f t="shared" si="27"/>
        <v>114</v>
      </c>
      <c r="G69" s="26">
        <f t="shared" si="27"/>
        <v>0</v>
      </c>
      <c r="H69" s="26">
        <f t="shared" si="27"/>
        <v>54</v>
      </c>
      <c r="I69" s="26">
        <f t="shared" si="27"/>
        <v>122</v>
      </c>
      <c r="J69" s="26">
        <f t="shared" si="27"/>
        <v>48</v>
      </c>
      <c r="K69" s="26">
        <f t="shared" si="27"/>
        <v>102</v>
      </c>
      <c r="L69" s="26">
        <f t="shared" si="27"/>
        <v>105</v>
      </c>
      <c r="M69" s="26">
        <f t="shared" si="27"/>
        <v>105</v>
      </c>
      <c r="N69" s="26">
        <f t="shared" si="27"/>
        <v>126</v>
      </c>
      <c r="O69" s="26">
        <f t="shared" si="27"/>
        <v>0</v>
      </c>
      <c r="P69" s="26">
        <f t="shared" si="27"/>
        <v>0</v>
      </c>
      <c r="Q69" s="26">
        <f t="shared" si="27"/>
        <v>128</v>
      </c>
      <c r="R69" s="26">
        <f t="shared" si="27"/>
        <v>80</v>
      </c>
      <c r="S69" s="26">
        <f t="shared" si="27"/>
        <v>80</v>
      </c>
      <c r="T69" s="26">
        <f t="shared" si="27"/>
        <v>70</v>
      </c>
      <c r="U69" s="26">
        <f t="shared" si="27"/>
        <v>94</v>
      </c>
      <c r="V69" s="26">
        <f t="shared" si="27"/>
        <v>81</v>
      </c>
      <c r="W69" s="26">
        <f t="shared" si="27"/>
        <v>154</v>
      </c>
      <c r="X69" s="26">
        <f t="shared" si="27"/>
        <v>195</v>
      </c>
      <c r="Y69" s="26">
        <f t="shared" si="27"/>
        <v>84</v>
      </c>
      <c r="Z69" s="26">
        <f t="shared" si="27"/>
        <v>88</v>
      </c>
      <c r="AA69" s="26">
        <f t="shared" si="27"/>
        <v>126</v>
      </c>
      <c r="AB69" s="26">
        <f t="shared" si="27"/>
        <v>123</v>
      </c>
      <c r="AC69" s="26">
        <f t="shared" si="27"/>
        <v>78</v>
      </c>
      <c r="AD69" s="26">
        <f t="shared" si="27"/>
        <v>79</v>
      </c>
      <c r="AE69" s="26">
        <f t="shared" si="27"/>
        <v>162</v>
      </c>
      <c r="AF69" s="26">
        <f t="shared" si="27"/>
        <v>127</v>
      </c>
      <c r="AG69" s="26">
        <f t="shared" si="27"/>
        <v>131</v>
      </c>
      <c r="AH69" s="26">
        <f t="shared" si="27"/>
        <v>119</v>
      </c>
      <c r="AI69" s="26">
        <f t="shared" si="23"/>
        <v>2939</v>
      </c>
      <c r="AJ69" s="115" t="s">
        <v>21</v>
      </c>
      <c r="AK69" s="116">
        <f>AI73</f>
        <v>10301</v>
      </c>
    </row>
    <row r="70" spans="1:37" s="401" customFormat="1" ht="17.25" customHeight="1">
      <c r="A70" s="4"/>
      <c r="B70" s="4"/>
      <c r="C70" s="561" t="s">
        <v>22</v>
      </c>
      <c r="D70" s="501"/>
      <c r="E70" s="26">
        <f t="shared" ref="E70:AH70" si="28">E28-D28</f>
        <v>0</v>
      </c>
      <c r="F70" s="26">
        <f t="shared" si="28"/>
        <v>0</v>
      </c>
      <c r="G70" s="26">
        <f t="shared" si="28"/>
        <v>0</v>
      </c>
      <c r="H70" s="26">
        <f t="shared" si="28"/>
        <v>0</v>
      </c>
      <c r="I70" s="26">
        <f t="shared" si="28"/>
        <v>0</v>
      </c>
      <c r="J70" s="26">
        <f t="shared" si="28"/>
        <v>0</v>
      </c>
      <c r="K70" s="26">
        <f t="shared" si="28"/>
        <v>0</v>
      </c>
      <c r="L70" s="26">
        <f t="shared" si="28"/>
        <v>0</v>
      </c>
      <c r="M70" s="26">
        <f t="shared" si="28"/>
        <v>0</v>
      </c>
      <c r="N70" s="26">
        <f t="shared" si="28"/>
        <v>0</v>
      </c>
      <c r="O70" s="26">
        <f t="shared" si="28"/>
        <v>0</v>
      </c>
      <c r="P70" s="26">
        <f t="shared" si="28"/>
        <v>0</v>
      </c>
      <c r="Q70" s="26">
        <f t="shared" si="28"/>
        <v>0</v>
      </c>
      <c r="R70" s="26">
        <f t="shared" si="28"/>
        <v>0</v>
      </c>
      <c r="S70" s="26">
        <f t="shared" si="28"/>
        <v>0</v>
      </c>
      <c r="T70" s="26">
        <f t="shared" si="28"/>
        <v>0</v>
      </c>
      <c r="U70" s="26">
        <f t="shared" si="28"/>
        <v>0</v>
      </c>
      <c r="V70" s="26">
        <f t="shared" si="28"/>
        <v>0</v>
      </c>
      <c r="W70" s="26">
        <f t="shared" si="28"/>
        <v>0</v>
      </c>
      <c r="X70" s="26">
        <f t="shared" si="28"/>
        <v>0</v>
      </c>
      <c r="Y70" s="26">
        <f t="shared" si="28"/>
        <v>0</v>
      </c>
      <c r="Z70" s="26">
        <f t="shared" si="28"/>
        <v>0</v>
      </c>
      <c r="AA70" s="26">
        <f t="shared" si="28"/>
        <v>0</v>
      </c>
      <c r="AB70" s="26">
        <f t="shared" si="28"/>
        <v>0</v>
      </c>
      <c r="AC70" s="26">
        <f t="shared" si="28"/>
        <v>0</v>
      </c>
      <c r="AD70" s="26">
        <f t="shared" si="28"/>
        <v>0</v>
      </c>
      <c r="AE70" s="26">
        <f t="shared" si="28"/>
        <v>0</v>
      </c>
      <c r="AF70" s="26">
        <f t="shared" si="28"/>
        <v>0</v>
      </c>
      <c r="AG70" s="26">
        <f t="shared" si="28"/>
        <v>0</v>
      </c>
      <c r="AH70" s="26">
        <f t="shared" si="28"/>
        <v>0</v>
      </c>
      <c r="AI70" s="26">
        <f t="shared" si="23"/>
        <v>0</v>
      </c>
      <c r="AJ70" s="115" t="s">
        <v>23</v>
      </c>
      <c r="AK70" s="116">
        <f>AI79*40%</f>
        <v>21298</v>
      </c>
    </row>
    <row r="71" spans="1:37" s="401" customFormat="1" ht="17.25" customHeight="1">
      <c r="A71" s="4">
        <v>4</v>
      </c>
      <c r="B71" s="4" t="s">
        <v>129</v>
      </c>
      <c r="C71" s="562" t="s">
        <v>122</v>
      </c>
      <c r="D71" s="501"/>
      <c r="E71" s="26">
        <f t="shared" ref="E71:AH71" si="29">E29-D29</f>
        <v>141</v>
      </c>
      <c r="F71" s="26">
        <f t="shared" si="29"/>
        <v>126</v>
      </c>
      <c r="G71" s="26">
        <f t="shared" si="29"/>
        <v>0</v>
      </c>
      <c r="H71" s="26">
        <f t="shared" si="29"/>
        <v>0</v>
      </c>
      <c r="I71" s="26">
        <f t="shared" si="29"/>
        <v>0</v>
      </c>
      <c r="J71" s="26">
        <f t="shared" si="29"/>
        <v>1</v>
      </c>
      <c r="K71" s="26">
        <f t="shared" si="29"/>
        <v>103</v>
      </c>
      <c r="L71" s="26">
        <f t="shared" si="29"/>
        <v>65</v>
      </c>
      <c r="M71" s="26">
        <f t="shared" si="29"/>
        <v>66</v>
      </c>
      <c r="N71" s="26">
        <f t="shared" si="29"/>
        <v>70</v>
      </c>
      <c r="O71" s="26">
        <f t="shared" si="29"/>
        <v>0</v>
      </c>
      <c r="P71" s="26">
        <f t="shared" si="29"/>
        <v>32</v>
      </c>
      <c r="Q71" s="26">
        <f t="shared" si="29"/>
        <v>158</v>
      </c>
      <c r="R71" s="26">
        <f t="shared" si="29"/>
        <v>93</v>
      </c>
      <c r="S71" s="26">
        <f t="shared" si="29"/>
        <v>81</v>
      </c>
      <c r="T71" s="26">
        <f t="shared" si="29"/>
        <v>68</v>
      </c>
      <c r="U71" s="26">
        <f t="shared" si="29"/>
        <v>70</v>
      </c>
      <c r="V71" s="26">
        <f t="shared" si="29"/>
        <v>12</v>
      </c>
      <c r="W71" s="26">
        <f t="shared" si="29"/>
        <v>0</v>
      </c>
      <c r="X71" s="26">
        <f t="shared" si="29"/>
        <v>85</v>
      </c>
      <c r="Y71" s="26">
        <f t="shared" si="29"/>
        <v>73</v>
      </c>
      <c r="Z71" s="26">
        <f t="shared" si="29"/>
        <v>83</v>
      </c>
      <c r="AA71" s="26">
        <f t="shared" si="29"/>
        <v>70</v>
      </c>
      <c r="AB71" s="26">
        <f t="shared" si="29"/>
        <v>72</v>
      </c>
      <c r="AC71" s="26">
        <f t="shared" si="29"/>
        <v>45</v>
      </c>
      <c r="AD71" s="26">
        <f t="shared" si="29"/>
        <v>53</v>
      </c>
      <c r="AE71" s="26">
        <f t="shared" si="29"/>
        <v>130</v>
      </c>
      <c r="AF71" s="26">
        <f t="shared" si="29"/>
        <v>85</v>
      </c>
      <c r="AG71" s="26">
        <f t="shared" si="29"/>
        <v>82</v>
      </c>
      <c r="AH71" s="26">
        <f t="shared" si="29"/>
        <v>72</v>
      </c>
      <c r="AI71" s="26">
        <f t="shared" si="23"/>
        <v>1936</v>
      </c>
      <c r="AJ71" s="117" t="s">
        <v>22</v>
      </c>
      <c r="AK71" s="118">
        <f>AI74+AI61</f>
        <v>29</v>
      </c>
    </row>
    <row r="72" spans="1:37" s="401" customFormat="1" ht="17.25" customHeight="1">
      <c r="A72" s="4"/>
      <c r="B72" s="4"/>
      <c r="C72" s="561" t="s">
        <v>22</v>
      </c>
      <c r="D72" s="501"/>
      <c r="E72" s="26">
        <f t="shared" ref="E72:AH72" si="30">E30-D30</f>
        <v>0</v>
      </c>
      <c r="F72" s="26">
        <f t="shared" si="30"/>
        <v>0</v>
      </c>
      <c r="G72" s="26">
        <f t="shared" si="30"/>
        <v>0</v>
      </c>
      <c r="H72" s="26">
        <f t="shared" si="30"/>
        <v>0</v>
      </c>
      <c r="I72" s="26">
        <f t="shared" si="30"/>
        <v>0</v>
      </c>
      <c r="J72" s="26">
        <f t="shared" si="30"/>
        <v>0</v>
      </c>
      <c r="K72" s="26">
        <f t="shared" si="30"/>
        <v>0</v>
      </c>
      <c r="L72" s="26">
        <f t="shared" si="30"/>
        <v>0</v>
      </c>
      <c r="M72" s="26">
        <f t="shared" si="30"/>
        <v>0</v>
      </c>
      <c r="N72" s="26">
        <f t="shared" si="30"/>
        <v>0</v>
      </c>
      <c r="O72" s="26">
        <f t="shared" si="30"/>
        <v>0</v>
      </c>
      <c r="P72" s="26">
        <f t="shared" si="30"/>
        <v>0</v>
      </c>
      <c r="Q72" s="26">
        <f t="shared" si="30"/>
        <v>0</v>
      </c>
      <c r="R72" s="26">
        <f t="shared" si="30"/>
        <v>0</v>
      </c>
      <c r="S72" s="26">
        <f t="shared" si="30"/>
        <v>0</v>
      </c>
      <c r="T72" s="26">
        <f t="shared" si="30"/>
        <v>0</v>
      </c>
      <c r="U72" s="26">
        <f t="shared" si="30"/>
        <v>0</v>
      </c>
      <c r="V72" s="26">
        <f t="shared" si="30"/>
        <v>0</v>
      </c>
      <c r="W72" s="26">
        <f t="shared" si="30"/>
        <v>0</v>
      </c>
      <c r="X72" s="26">
        <f t="shared" si="30"/>
        <v>0</v>
      </c>
      <c r="Y72" s="26">
        <f t="shared" si="30"/>
        <v>0</v>
      </c>
      <c r="Z72" s="26">
        <f t="shared" si="30"/>
        <v>0</v>
      </c>
      <c r="AA72" s="26">
        <f t="shared" si="30"/>
        <v>0</v>
      </c>
      <c r="AB72" s="26">
        <f t="shared" si="30"/>
        <v>0</v>
      </c>
      <c r="AC72" s="26">
        <f t="shared" si="30"/>
        <v>0</v>
      </c>
      <c r="AD72" s="26">
        <f t="shared" si="30"/>
        <v>0</v>
      </c>
      <c r="AE72" s="26">
        <f t="shared" si="30"/>
        <v>0</v>
      </c>
      <c r="AF72" s="26">
        <f t="shared" si="30"/>
        <v>0</v>
      </c>
      <c r="AG72" s="26">
        <f t="shared" si="30"/>
        <v>0</v>
      </c>
      <c r="AH72" s="26">
        <f t="shared" si="30"/>
        <v>0</v>
      </c>
      <c r="AI72" s="26">
        <f t="shared" si="23"/>
        <v>0</v>
      </c>
    </row>
    <row r="73" spans="1:37" s="401" customFormat="1" ht="17.25" customHeight="1">
      <c r="A73" s="22"/>
      <c r="B73" s="22"/>
      <c r="C73" s="569" t="s">
        <v>134</v>
      </c>
      <c r="D73" s="501"/>
      <c r="E73" s="422">
        <f t="shared" ref="E73:AH73" si="31">SUM(E65,E67,E69,E71)</f>
        <v>617</v>
      </c>
      <c r="F73" s="422">
        <f t="shared" si="31"/>
        <v>446</v>
      </c>
      <c r="G73" s="422">
        <f t="shared" si="31"/>
        <v>20</v>
      </c>
      <c r="H73" s="422">
        <f t="shared" si="31"/>
        <v>54</v>
      </c>
      <c r="I73" s="422">
        <f t="shared" si="31"/>
        <v>122</v>
      </c>
      <c r="J73" s="422">
        <f t="shared" si="31"/>
        <v>122</v>
      </c>
      <c r="K73" s="422">
        <f t="shared" si="31"/>
        <v>468</v>
      </c>
      <c r="L73" s="422">
        <f t="shared" si="31"/>
        <v>417</v>
      </c>
      <c r="M73" s="422">
        <f t="shared" si="31"/>
        <v>411</v>
      </c>
      <c r="N73" s="422">
        <f t="shared" si="31"/>
        <v>473</v>
      </c>
      <c r="O73" s="422">
        <f t="shared" si="31"/>
        <v>41</v>
      </c>
      <c r="P73" s="422">
        <f t="shared" si="31"/>
        <v>34</v>
      </c>
      <c r="Q73" s="422">
        <f t="shared" si="31"/>
        <v>549</v>
      </c>
      <c r="R73" s="422">
        <f t="shared" si="31"/>
        <v>483</v>
      </c>
      <c r="S73" s="422">
        <f t="shared" si="31"/>
        <v>417</v>
      </c>
      <c r="T73" s="422">
        <f t="shared" si="31"/>
        <v>409</v>
      </c>
      <c r="U73" s="422">
        <f t="shared" si="31"/>
        <v>406</v>
      </c>
      <c r="V73" s="422">
        <f t="shared" si="31"/>
        <v>127</v>
      </c>
      <c r="W73" s="422">
        <f t="shared" si="31"/>
        <v>154</v>
      </c>
      <c r="X73" s="422">
        <f t="shared" si="31"/>
        <v>517</v>
      </c>
      <c r="Y73" s="422">
        <f t="shared" si="31"/>
        <v>413</v>
      </c>
      <c r="Z73" s="422">
        <f t="shared" si="31"/>
        <v>422</v>
      </c>
      <c r="AA73" s="422">
        <f t="shared" si="31"/>
        <v>461</v>
      </c>
      <c r="AB73" s="422">
        <f t="shared" si="31"/>
        <v>422</v>
      </c>
      <c r="AC73" s="422">
        <f t="shared" si="31"/>
        <v>244</v>
      </c>
      <c r="AD73" s="422">
        <f t="shared" si="31"/>
        <v>132</v>
      </c>
      <c r="AE73" s="422">
        <f t="shared" si="31"/>
        <v>583</v>
      </c>
      <c r="AF73" s="422">
        <f t="shared" si="31"/>
        <v>429</v>
      </c>
      <c r="AG73" s="422">
        <f t="shared" si="31"/>
        <v>479</v>
      </c>
      <c r="AH73" s="422">
        <f t="shared" si="31"/>
        <v>429</v>
      </c>
      <c r="AI73" s="422">
        <f t="shared" si="23"/>
        <v>10301</v>
      </c>
    </row>
    <row r="74" spans="1:37" s="401" customFormat="1" ht="17.25" customHeight="1">
      <c r="A74" s="22"/>
      <c r="B74" s="22"/>
      <c r="C74" s="574" t="s">
        <v>135</v>
      </c>
      <c r="D74" s="501"/>
      <c r="E74" s="422">
        <f t="shared" ref="E74:AH74" si="32">SUM(E66,E68,E70,E72)</f>
        <v>0</v>
      </c>
      <c r="F74" s="422">
        <f t="shared" si="32"/>
        <v>0</v>
      </c>
      <c r="G74" s="422">
        <f t="shared" si="32"/>
        <v>0</v>
      </c>
      <c r="H74" s="422">
        <f t="shared" si="32"/>
        <v>0</v>
      </c>
      <c r="I74" s="422">
        <f t="shared" si="32"/>
        <v>0</v>
      </c>
      <c r="J74" s="422">
        <f t="shared" si="32"/>
        <v>0</v>
      </c>
      <c r="K74" s="422">
        <f t="shared" si="32"/>
        <v>0</v>
      </c>
      <c r="L74" s="422">
        <f t="shared" si="32"/>
        <v>0</v>
      </c>
      <c r="M74" s="422">
        <f t="shared" si="32"/>
        <v>0</v>
      </c>
      <c r="N74" s="422">
        <f t="shared" si="32"/>
        <v>0</v>
      </c>
      <c r="O74" s="422">
        <f t="shared" si="32"/>
        <v>0</v>
      </c>
      <c r="P74" s="422">
        <f t="shared" si="32"/>
        <v>0</v>
      </c>
      <c r="Q74" s="422">
        <f t="shared" si="32"/>
        <v>0</v>
      </c>
      <c r="R74" s="422">
        <f t="shared" si="32"/>
        <v>0</v>
      </c>
      <c r="S74" s="422">
        <f t="shared" si="32"/>
        <v>0</v>
      </c>
      <c r="T74" s="422">
        <f t="shared" si="32"/>
        <v>0</v>
      </c>
      <c r="U74" s="422">
        <f t="shared" si="32"/>
        <v>0</v>
      </c>
      <c r="V74" s="422">
        <f t="shared" si="32"/>
        <v>0</v>
      </c>
      <c r="W74" s="422">
        <f t="shared" si="32"/>
        <v>0</v>
      </c>
      <c r="X74" s="422">
        <f t="shared" si="32"/>
        <v>0</v>
      </c>
      <c r="Y74" s="422">
        <f t="shared" si="32"/>
        <v>0</v>
      </c>
      <c r="Z74" s="422">
        <f t="shared" si="32"/>
        <v>0</v>
      </c>
      <c r="AA74" s="422">
        <f t="shared" si="32"/>
        <v>0</v>
      </c>
      <c r="AB74" s="422">
        <f t="shared" si="32"/>
        <v>0</v>
      </c>
      <c r="AC74" s="422">
        <f t="shared" si="32"/>
        <v>0</v>
      </c>
      <c r="AD74" s="422">
        <f t="shared" si="32"/>
        <v>0</v>
      </c>
      <c r="AE74" s="422">
        <f t="shared" si="32"/>
        <v>29</v>
      </c>
      <c r="AF74" s="422">
        <f t="shared" si="32"/>
        <v>0</v>
      </c>
      <c r="AG74" s="422">
        <f t="shared" si="32"/>
        <v>0</v>
      </c>
      <c r="AH74" s="422">
        <f t="shared" si="32"/>
        <v>0</v>
      </c>
      <c r="AI74" s="422">
        <f t="shared" si="23"/>
        <v>29</v>
      </c>
    </row>
    <row r="75" spans="1:37" s="401" customFormat="1" ht="17.25" customHeight="1">
      <c r="A75" s="4">
        <v>1</v>
      </c>
      <c r="B75" s="4" t="s">
        <v>129</v>
      </c>
      <c r="C75" s="564" t="s">
        <v>123</v>
      </c>
      <c r="D75" s="501"/>
      <c r="E75" s="26">
        <f t="shared" ref="E75:AH75" si="33">E32-D32</f>
        <v>561</v>
      </c>
      <c r="F75" s="26">
        <f t="shared" si="33"/>
        <v>379</v>
      </c>
      <c r="G75" s="26">
        <f t="shared" si="33"/>
        <v>91</v>
      </c>
      <c r="H75" s="26">
        <f t="shared" si="33"/>
        <v>0</v>
      </c>
      <c r="I75" s="26">
        <f t="shared" si="33"/>
        <v>0</v>
      </c>
      <c r="J75" s="26">
        <f t="shared" si="33"/>
        <v>0</v>
      </c>
      <c r="K75" s="26">
        <f t="shared" si="33"/>
        <v>551</v>
      </c>
      <c r="L75" s="26">
        <f t="shared" si="33"/>
        <v>397</v>
      </c>
      <c r="M75" s="26">
        <f t="shared" si="33"/>
        <v>514</v>
      </c>
      <c r="N75" s="26">
        <f t="shared" si="33"/>
        <v>414</v>
      </c>
      <c r="O75" s="26">
        <f t="shared" si="33"/>
        <v>85</v>
      </c>
      <c r="P75" s="26">
        <f t="shared" si="33"/>
        <v>0</v>
      </c>
      <c r="Q75" s="26">
        <f t="shared" si="33"/>
        <v>572</v>
      </c>
      <c r="R75" s="26">
        <f t="shared" si="33"/>
        <v>525</v>
      </c>
      <c r="S75" s="26">
        <f t="shared" si="33"/>
        <v>526</v>
      </c>
      <c r="T75" s="26">
        <f t="shared" si="33"/>
        <v>498</v>
      </c>
      <c r="U75" s="26">
        <f t="shared" si="33"/>
        <v>616</v>
      </c>
      <c r="V75" s="26">
        <f t="shared" si="33"/>
        <v>72</v>
      </c>
      <c r="W75" s="26">
        <f t="shared" si="33"/>
        <v>0</v>
      </c>
      <c r="X75" s="26">
        <f t="shared" si="33"/>
        <v>591</v>
      </c>
      <c r="Y75" s="26">
        <f t="shared" si="33"/>
        <v>613</v>
      </c>
      <c r="Z75" s="26">
        <f t="shared" si="33"/>
        <v>649</v>
      </c>
      <c r="AA75" s="26">
        <f t="shared" si="33"/>
        <v>571</v>
      </c>
      <c r="AB75" s="26">
        <f t="shared" si="33"/>
        <v>444</v>
      </c>
      <c r="AC75" s="26">
        <f t="shared" si="33"/>
        <v>438</v>
      </c>
      <c r="AD75" s="26">
        <f t="shared" si="33"/>
        <v>0</v>
      </c>
      <c r="AE75" s="26">
        <f t="shared" si="33"/>
        <v>622</v>
      </c>
      <c r="AF75" s="26">
        <f t="shared" si="33"/>
        <v>692</v>
      </c>
      <c r="AG75" s="26">
        <f t="shared" si="33"/>
        <v>733</v>
      </c>
      <c r="AH75" s="26">
        <f t="shared" si="33"/>
        <v>492</v>
      </c>
      <c r="AI75" s="26">
        <f t="shared" si="23"/>
        <v>11646</v>
      </c>
    </row>
    <row r="76" spans="1:37" s="401" customFormat="1" ht="17.25" customHeight="1">
      <c r="A76" s="4">
        <v>2</v>
      </c>
      <c r="B76" s="4" t="s">
        <v>129</v>
      </c>
      <c r="C76" s="564" t="s">
        <v>124</v>
      </c>
      <c r="D76" s="501"/>
      <c r="E76" s="26">
        <f t="shared" ref="E76:AH76" si="34">E33-D33</f>
        <v>616</v>
      </c>
      <c r="F76" s="26">
        <f t="shared" si="34"/>
        <v>445</v>
      </c>
      <c r="G76" s="26">
        <f t="shared" si="34"/>
        <v>36</v>
      </c>
      <c r="H76" s="26">
        <f t="shared" si="34"/>
        <v>0</v>
      </c>
      <c r="I76" s="26">
        <f t="shared" si="34"/>
        <v>0</v>
      </c>
      <c r="J76" s="26">
        <f t="shared" si="34"/>
        <v>107</v>
      </c>
      <c r="K76" s="26">
        <f t="shared" si="34"/>
        <v>509</v>
      </c>
      <c r="L76" s="26">
        <f t="shared" si="34"/>
        <v>389</v>
      </c>
      <c r="M76" s="26">
        <f t="shared" si="34"/>
        <v>381</v>
      </c>
      <c r="N76" s="26">
        <f t="shared" si="34"/>
        <v>359</v>
      </c>
      <c r="O76" s="26">
        <f t="shared" si="34"/>
        <v>0</v>
      </c>
      <c r="P76" s="26">
        <f t="shared" si="34"/>
        <v>0</v>
      </c>
      <c r="Q76" s="26">
        <f t="shared" si="34"/>
        <v>506</v>
      </c>
      <c r="R76" s="26">
        <f t="shared" si="34"/>
        <v>504</v>
      </c>
      <c r="S76" s="26">
        <f t="shared" si="34"/>
        <v>521</v>
      </c>
      <c r="T76" s="26">
        <f t="shared" si="34"/>
        <v>462</v>
      </c>
      <c r="U76" s="26">
        <f t="shared" si="34"/>
        <v>513</v>
      </c>
      <c r="V76" s="26">
        <f t="shared" si="34"/>
        <v>109</v>
      </c>
      <c r="W76" s="26">
        <f t="shared" si="34"/>
        <v>0</v>
      </c>
      <c r="X76" s="26">
        <f t="shared" si="34"/>
        <v>563</v>
      </c>
      <c r="Y76" s="26">
        <f t="shared" si="34"/>
        <v>468</v>
      </c>
      <c r="Z76" s="26">
        <f t="shared" si="34"/>
        <v>508</v>
      </c>
      <c r="AA76" s="26">
        <f t="shared" si="34"/>
        <v>642</v>
      </c>
      <c r="AB76" s="26">
        <f t="shared" si="34"/>
        <v>425</v>
      </c>
      <c r="AC76" s="26">
        <f t="shared" si="34"/>
        <v>373</v>
      </c>
      <c r="AD76" s="26">
        <f t="shared" si="34"/>
        <v>0</v>
      </c>
      <c r="AE76" s="26">
        <f t="shared" si="34"/>
        <v>621</v>
      </c>
      <c r="AF76" s="26">
        <f t="shared" si="34"/>
        <v>553</v>
      </c>
      <c r="AG76" s="26">
        <f t="shared" si="34"/>
        <v>514</v>
      </c>
      <c r="AH76" s="26">
        <f t="shared" si="34"/>
        <v>386</v>
      </c>
      <c r="AI76" s="26">
        <f t="shared" si="23"/>
        <v>10510</v>
      </c>
    </row>
    <row r="77" spans="1:37" s="401" customFormat="1" ht="17.25" customHeight="1">
      <c r="A77" s="4">
        <v>3</v>
      </c>
      <c r="B77" s="4" t="s">
        <v>129</v>
      </c>
      <c r="C77" s="564" t="s">
        <v>125</v>
      </c>
      <c r="D77" s="501"/>
      <c r="E77" s="26">
        <f t="shared" ref="E77:AH77" si="35">E34-D34</f>
        <v>653</v>
      </c>
      <c r="F77" s="26">
        <f t="shared" si="35"/>
        <v>358</v>
      </c>
      <c r="G77" s="26">
        <f t="shared" si="35"/>
        <v>18</v>
      </c>
      <c r="H77" s="26">
        <f t="shared" si="35"/>
        <v>175</v>
      </c>
      <c r="I77" s="26">
        <f t="shared" si="35"/>
        <v>470</v>
      </c>
      <c r="J77" s="26">
        <f t="shared" si="35"/>
        <v>325</v>
      </c>
      <c r="K77" s="26">
        <f t="shared" si="35"/>
        <v>416</v>
      </c>
      <c r="L77" s="26">
        <f t="shared" si="35"/>
        <v>399</v>
      </c>
      <c r="M77" s="26">
        <f t="shared" si="35"/>
        <v>451</v>
      </c>
      <c r="N77" s="26">
        <f t="shared" si="35"/>
        <v>426</v>
      </c>
      <c r="O77" s="26">
        <f t="shared" si="35"/>
        <v>31</v>
      </c>
      <c r="P77" s="26">
        <f t="shared" si="35"/>
        <v>0</v>
      </c>
      <c r="Q77" s="26">
        <f t="shared" si="35"/>
        <v>545</v>
      </c>
      <c r="R77" s="26">
        <f t="shared" si="35"/>
        <v>479</v>
      </c>
      <c r="S77" s="26">
        <f t="shared" si="35"/>
        <v>541</v>
      </c>
      <c r="T77" s="26">
        <f t="shared" si="35"/>
        <v>492</v>
      </c>
      <c r="U77" s="26">
        <f t="shared" si="35"/>
        <v>331</v>
      </c>
      <c r="V77" s="26">
        <f t="shared" si="35"/>
        <v>294</v>
      </c>
      <c r="W77" s="26">
        <f t="shared" si="35"/>
        <v>685</v>
      </c>
      <c r="X77" s="26">
        <f t="shared" si="35"/>
        <v>1112</v>
      </c>
      <c r="Y77" s="26">
        <f t="shared" si="35"/>
        <v>598</v>
      </c>
      <c r="Z77" s="26">
        <f t="shared" si="35"/>
        <v>515</v>
      </c>
      <c r="AA77" s="26">
        <f t="shared" si="35"/>
        <v>655</v>
      </c>
      <c r="AB77" s="26">
        <f t="shared" si="35"/>
        <v>510</v>
      </c>
      <c r="AC77" s="26">
        <f t="shared" si="35"/>
        <v>463</v>
      </c>
      <c r="AD77" s="26">
        <f t="shared" si="35"/>
        <v>371</v>
      </c>
      <c r="AE77" s="26">
        <f t="shared" si="35"/>
        <v>1123</v>
      </c>
      <c r="AF77" s="26">
        <f t="shared" si="35"/>
        <v>563</v>
      </c>
      <c r="AG77" s="26">
        <f t="shared" si="35"/>
        <v>448</v>
      </c>
      <c r="AH77" s="26">
        <f t="shared" si="35"/>
        <v>401</v>
      </c>
      <c r="AI77" s="26">
        <f t="shared" si="23"/>
        <v>13848</v>
      </c>
    </row>
    <row r="78" spans="1:37" s="401" customFormat="1" ht="17.25" customHeight="1">
      <c r="A78" s="4">
        <v>4</v>
      </c>
      <c r="B78" s="4" t="s">
        <v>129</v>
      </c>
      <c r="C78" s="564" t="s">
        <v>126</v>
      </c>
      <c r="D78" s="501"/>
      <c r="E78" s="26">
        <f t="shared" ref="E78:AH78" si="36">E35-D35</f>
        <v>930</v>
      </c>
      <c r="F78" s="26">
        <f t="shared" si="36"/>
        <v>707</v>
      </c>
      <c r="G78" s="26">
        <f t="shared" si="36"/>
        <v>99</v>
      </c>
      <c r="H78" s="26">
        <f t="shared" si="36"/>
        <v>0</v>
      </c>
      <c r="I78" s="26">
        <f t="shared" si="36"/>
        <v>0</v>
      </c>
      <c r="J78" s="26">
        <f t="shared" si="36"/>
        <v>135</v>
      </c>
      <c r="K78" s="26">
        <f t="shared" si="36"/>
        <v>786</v>
      </c>
      <c r="L78" s="26">
        <f t="shared" si="36"/>
        <v>747</v>
      </c>
      <c r="M78" s="26">
        <f t="shared" si="36"/>
        <v>687</v>
      </c>
      <c r="N78" s="26">
        <f t="shared" si="36"/>
        <v>619</v>
      </c>
      <c r="O78" s="26">
        <f t="shared" si="36"/>
        <v>72</v>
      </c>
      <c r="P78" s="26">
        <f t="shared" si="36"/>
        <v>100</v>
      </c>
      <c r="Q78" s="26">
        <f t="shared" si="36"/>
        <v>1121</v>
      </c>
      <c r="R78" s="26">
        <f t="shared" si="36"/>
        <v>750</v>
      </c>
      <c r="S78" s="26">
        <f t="shared" si="36"/>
        <v>822</v>
      </c>
      <c r="T78" s="26">
        <f t="shared" si="36"/>
        <v>739</v>
      </c>
      <c r="U78" s="26">
        <f t="shared" si="36"/>
        <v>679</v>
      </c>
      <c r="V78" s="26">
        <f t="shared" si="36"/>
        <v>179</v>
      </c>
      <c r="W78" s="26">
        <f t="shared" si="36"/>
        <v>0</v>
      </c>
      <c r="X78" s="26">
        <f t="shared" si="36"/>
        <v>866</v>
      </c>
      <c r="Y78" s="26">
        <f t="shared" si="36"/>
        <v>758</v>
      </c>
      <c r="Z78" s="26">
        <f t="shared" si="36"/>
        <v>775</v>
      </c>
      <c r="AA78" s="26">
        <f t="shared" si="36"/>
        <v>748</v>
      </c>
      <c r="AB78" s="26">
        <f t="shared" si="36"/>
        <v>590</v>
      </c>
      <c r="AC78" s="26">
        <f t="shared" si="36"/>
        <v>505</v>
      </c>
      <c r="AD78" s="26">
        <f t="shared" si="36"/>
        <v>259</v>
      </c>
      <c r="AE78" s="26">
        <f t="shared" si="36"/>
        <v>1094</v>
      </c>
      <c r="AF78" s="26">
        <f t="shared" si="36"/>
        <v>887</v>
      </c>
      <c r="AG78" s="26">
        <f t="shared" si="36"/>
        <v>875</v>
      </c>
      <c r="AH78" s="26">
        <f t="shared" si="36"/>
        <v>712</v>
      </c>
      <c r="AI78" s="26">
        <f t="shared" si="23"/>
        <v>17241</v>
      </c>
    </row>
    <row r="79" spans="1:37" s="401" customFormat="1" ht="17.25" customHeight="1">
      <c r="A79" s="22"/>
      <c r="B79" s="22"/>
      <c r="C79" s="569" t="s">
        <v>136</v>
      </c>
      <c r="D79" s="501"/>
      <c r="E79" s="422">
        <f t="shared" ref="E79:AI79" si="37">SUM(E75:E78)</f>
        <v>2760</v>
      </c>
      <c r="F79" s="422">
        <f t="shared" si="37"/>
        <v>1889</v>
      </c>
      <c r="G79" s="422">
        <f t="shared" si="37"/>
        <v>244</v>
      </c>
      <c r="H79" s="422">
        <f t="shared" si="37"/>
        <v>175</v>
      </c>
      <c r="I79" s="422">
        <f t="shared" si="37"/>
        <v>470</v>
      </c>
      <c r="J79" s="422">
        <f t="shared" si="37"/>
        <v>567</v>
      </c>
      <c r="K79" s="422">
        <f t="shared" si="37"/>
        <v>2262</v>
      </c>
      <c r="L79" s="422">
        <f t="shared" si="37"/>
        <v>1932</v>
      </c>
      <c r="M79" s="422">
        <f t="shared" si="37"/>
        <v>2033</v>
      </c>
      <c r="N79" s="422">
        <f t="shared" si="37"/>
        <v>1818</v>
      </c>
      <c r="O79" s="422">
        <f t="shared" si="37"/>
        <v>188</v>
      </c>
      <c r="P79" s="422">
        <f t="shared" si="37"/>
        <v>100</v>
      </c>
      <c r="Q79" s="422">
        <f t="shared" si="37"/>
        <v>2744</v>
      </c>
      <c r="R79" s="422">
        <f t="shared" si="37"/>
        <v>2258</v>
      </c>
      <c r="S79" s="422">
        <f t="shared" si="37"/>
        <v>2410</v>
      </c>
      <c r="T79" s="422">
        <f t="shared" si="37"/>
        <v>2191</v>
      </c>
      <c r="U79" s="422">
        <f t="shared" si="37"/>
        <v>2139</v>
      </c>
      <c r="V79" s="422">
        <f t="shared" si="37"/>
        <v>654</v>
      </c>
      <c r="W79" s="422">
        <f t="shared" si="37"/>
        <v>685</v>
      </c>
      <c r="X79" s="422">
        <f t="shared" si="37"/>
        <v>3132</v>
      </c>
      <c r="Y79" s="422">
        <f t="shared" si="37"/>
        <v>2437</v>
      </c>
      <c r="Z79" s="422">
        <f t="shared" si="37"/>
        <v>2447</v>
      </c>
      <c r="AA79" s="422">
        <f t="shared" si="37"/>
        <v>2616</v>
      </c>
      <c r="AB79" s="422">
        <f t="shared" si="37"/>
        <v>1969</v>
      </c>
      <c r="AC79" s="422">
        <f t="shared" si="37"/>
        <v>1779</v>
      </c>
      <c r="AD79" s="422">
        <f t="shared" si="37"/>
        <v>630</v>
      </c>
      <c r="AE79" s="422">
        <f t="shared" si="37"/>
        <v>3460</v>
      </c>
      <c r="AF79" s="422">
        <f t="shared" si="37"/>
        <v>2695</v>
      </c>
      <c r="AG79" s="422">
        <f t="shared" si="37"/>
        <v>2570</v>
      </c>
      <c r="AH79" s="422">
        <f t="shared" si="37"/>
        <v>1991</v>
      </c>
      <c r="AI79" s="422">
        <f t="shared" si="37"/>
        <v>53245</v>
      </c>
    </row>
    <row r="80" spans="1:37" s="401" customFormat="1" ht="17.25" customHeight="1"/>
    <row r="81" spans="1:35" s="401" customFormat="1" ht="17.25" customHeight="1"/>
    <row r="82" spans="1:35" s="401" customFormat="1" ht="17.25" customHeight="1"/>
    <row r="83" spans="1:35" s="401" customFormat="1" ht="17.25" customHeight="1">
      <c r="A83" s="573"/>
      <c r="B83" s="526"/>
      <c r="C83" s="526"/>
      <c r="D83" s="527"/>
      <c r="E83" s="575" t="s">
        <v>156</v>
      </c>
      <c r="F83" s="526"/>
      <c r="G83" s="526"/>
      <c r="H83" s="526"/>
      <c r="I83" s="526"/>
      <c r="J83" s="526"/>
      <c r="K83" s="526"/>
      <c r="L83" s="526"/>
      <c r="M83" s="526"/>
      <c r="N83" s="526"/>
      <c r="O83" s="526"/>
      <c r="P83" s="526"/>
      <c r="Q83" s="526"/>
      <c r="R83" s="526"/>
      <c r="S83" s="526"/>
      <c r="T83" s="526"/>
      <c r="U83" s="526"/>
      <c r="V83" s="526"/>
      <c r="W83" s="526"/>
      <c r="X83" s="526"/>
      <c r="Y83" s="526"/>
      <c r="Z83" s="526"/>
      <c r="AA83" s="526"/>
      <c r="AB83" s="526"/>
      <c r="AC83" s="526"/>
      <c r="AD83" s="526"/>
      <c r="AE83" s="526"/>
      <c r="AF83" s="526"/>
      <c r="AG83" s="526"/>
      <c r="AH83" s="527"/>
    </row>
    <row r="84" spans="1:35" s="401" customFormat="1" ht="17.25" customHeight="1">
      <c r="A84" s="510" t="s">
        <v>99</v>
      </c>
      <c r="B84" s="510" t="s">
        <v>100</v>
      </c>
      <c r="C84" s="565" t="s">
        <v>101</v>
      </c>
      <c r="D84" s="572" t="s">
        <v>102</v>
      </c>
      <c r="E84" s="51">
        <v>46113</v>
      </c>
      <c r="F84" s="51">
        <v>46114</v>
      </c>
      <c r="G84" s="51">
        <v>46115</v>
      </c>
      <c r="H84" s="51">
        <v>46116</v>
      </c>
      <c r="I84" s="51">
        <v>46117</v>
      </c>
      <c r="J84" s="51">
        <v>46118</v>
      </c>
      <c r="K84" s="51">
        <v>46119</v>
      </c>
      <c r="L84" s="51">
        <v>46120</v>
      </c>
      <c r="M84" s="51">
        <v>46121</v>
      </c>
      <c r="N84" s="51">
        <v>46122</v>
      </c>
      <c r="O84" s="51">
        <v>46123</v>
      </c>
      <c r="P84" s="51">
        <v>46124</v>
      </c>
      <c r="Q84" s="51">
        <v>46125</v>
      </c>
      <c r="R84" s="51">
        <v>46126</v>
      </c>
      <c r="S84" s="51">
        <v>46127</v>
      </c>
      <c r="T84" s="51">
        <v>46128</v>
      </c>
      <c r="U84" s="51">
        <v>46129</v>
      </c>
      <c r="V84" s="51">
        <v>46130</v>
      </c>
      <c r="W84" s="51">
        <v>46131</v>
      </c>
      <c r="X84" s="51">
        <v>46132</v>
      </c>
      <c r="Y84" s="51">
        <v>46133</v>
      </c>
      <c r="Z84" s="51">
        <v>46134</v>
      </c>
      <c r="AA84" s="51">
        <v>46135</v>
      </c>
      <c r="AB84" s="51">
        <v>46136</v>
      </c>
      <c r="AC84" s="51">
        <v>46137</v>
      </c>
      <c r="AD84" s="51">
        <v>46138</v>
      </c>
      <c r="AE84" s="51">
        <v>46139</v>
      </c>
      <c r="AF84" s="51">
        <v>46140</v>
      </c>
      <c r="AG84" s="51">
        <v>46141</v>
      </c>
      <c r="AH84" s="51">
        <v>46142</v>
      </c>
      <c r="AI84" s="507" t="s">
        <v>1</v>
      </c>
    </row>
    <row r="85" spans="1:35" s="401" customFormat="1" ht="17.25" customHeight="1">
      <c r="A85" s="511"/>
      <c r="B85" s="511"/>
      <c r="C85" s="511"/>
      <c r="D85" s="511"/>
      <c r="E85" s="1" t="s">
        <v>108</v>
      </c>
      <c r="F85" s="1" t="s">
        <v>109</v>
      </c>
      <c r="G85" s="1" t="s">
        <v>103</v>
      </c>
      <c r="H85" s="1" t="s">
        <v>104</v>
      </c>
      <c r="I85" s="1" t="s">
        <v>105</v>
      </c>
      <c r="J85" s="1" t="s">
        <v>106</v>
      </c>
      <c r="K85" s="1" t="s">
        <v>107</v>
      </c>
      <c r="L85" s="1" t="s">
        <v>108</v>
      </c>
      <c r="M85" s="1" t="s">
        <v>109</v>
      </c>
      <c r="N85" s="1" t="s">
        <v>103</v>
      </c>
      <c r="O85" s="1" t="s">
        <v>104</v>
      </c>
      <c r="P85" s="1" t="s">
        <v>105</v>
      </c>
      <c r="Q85" s="1" t="s">
        <v>106</v>
      </c>
      <c r="R85" s="1" t="s">
        <v>107</v>
      </c>
      <c r="S85" s="1" t="s">
        <v>108</v>
      </c>
      <c r="T85" s="1" t="s">
        <v>109</v>
      </c>
      <c r="U85" s="1" t="s">
        <v>103</v>
      </c>
      <c r="V85" s="1" t="s">
        <v>104</v>
      </c>
      <c r="W85" s="1" t="s">
        <v>105</v>
      </c>
      <c r="X85" s="1" t="s">
        <v>106</v>
      </c>
      <c r="Y85" s="1" t="s">
        <v>107</v>
      </c>
      <c r="Z85" s="1" t="s">
        <v>108</v>
      </c>
      <c r="AA85" s="1" t="s">
        <v>109</v>
      </c>
      <c r="AB85" s="1" t="s">
        <v>103</v>
      </c>
      <c r="AC85" s="1" t="s">
        <v>104</v>
      </c>
      <c r="AD85" s="1" t="s">
        <v>105</v>
      </c>
      <c r="AE85" s="1" t="s">
        <v>106</v>
      </c>
      <c r="AF85" s="1" t="s">
        <v>107</v>
      </c>
      <c r="AG85" s="1" t="s">
        <v>108</v>
      </c>
      <c r="AH85" s="1" t="s">
        <v>109</v>
      </c>
      <c r="AI85" s="508"/>
    </row>
    <row r="86" spans="1:35" s="401" customFormat="1" ht="17.25" customHeight="1">
      <c r="A86" s="511"/>
      <c r="B86" s="511"/>
      <c r="C86" s="511"/>
      <c r="D86" s="511"/>
      <c r="E86" s="52" t="s">
        <v>110</v>
      </c>
      <c r="F86" s="52" t="s">
        <v>110</v>
      </c>
      <c r="G86" s="52" t="s">
        <v>110</v>
      </c>
      <c r="H86" s="52" t="s">
        <v>110</v>
      </c>
      <c r="I86" s="52" t="s">
        <v>110</v>
      </c>
      <c r="J86" s="52" t="s">
        <v>110</v>
      </c>
      <c r="K86" s="52" t="s">
        <v>110</v>
      </c>
      <c r="L86" s="52" t="s">
        <v>110</v>
      </c>
      <c r="M86" s="52" t="s">
        <v>110</v>
      </c>
      <c r="N86" s="52" t="s">
        <v>110</v>
      </c>
      <c r="O86" s="52" t="s">
        <v>110</v>
      </c>
      <c r="P86" s="52" t="s">
        <v>110</v>
      </c>
      <c r="Q86" s="52" t="s">
        <v>110</v>
      </c>
      <c r="R86" s="52" t="s">
        <v>110</v>
      </c>
      <c r="S86" s="52" t="s">
        <v>110</v>
      </c>
      <c r="T86" s="52" t="s">
        <v>110</v>
      </c>
      <c r="U86" s="52" t="s">
        <v>110</v>
      </c>
      <c r="V86" s="52" t="s">
        <v>110</v>
      </c>
      <c r="W86" s="52" t="s">
        <v>110</v>
      </c>
      <c r="X86" s="52" t="s">
        <v>110</v>
      </c>
      <c r="Y86" s="52" t="s">
        <v>110</v>
      </c>
      <c r="Z86" s="52" t="s">
        <v>110</v>
      </c>
      <c r="AA86" s="52" t="s">
        <v>110</v>
      </c>
      <c r="AB86" s="52" t="s">
        <v>110</v>
      </c>
      <c r="AC86" s="52" t="s">
        <v>110</v>
      </c>
      <c r="AD86" s="52" t="s">
        <v>110</v>
      </c>
      <c r="AE86" s="52" t="s">
        <v>110</v>
      </c>
      <c r="AF86" s="52" t="s">
        <v>110</v>
      </c>
      <c r="AG86" s="52" t="s">
        <v>110</v>
      </c>
      <c r="AH86" s="52" t="s">
        <v>110</v>
      </c>
      <c r="AI86" s="508"/>
    </row>
    <row r="87" spans="1:35" s="401" customFormat="1" ht="17.25" customHeight="1">
      <c r="A87" s="512"/>
      <c r="B87" s="512"/>
      <c r="C87" s="512"/>
      <c r="D87" s="512"/>
      <c r="E87" s="199">
        <v>0.33333333333333331</v>
      </c>
      <c r="F87" s="199">
        <v>0.33333333333333331</v>
      </c>
      <c r="G87" s="199">
        <v>0.33333333333333331</v>
      </c>
      <c r="H87" s="199">
        <v>0.33333333333333331</v>
      </c>
      <c r="I87" s="199">
        <v>0.33333333333333331</v>
      </c>
      <c r="J87" s="199">
        <v>0.33333333333333331</v>
      </c>
      <c r="K87" s="199">
        <v>0.33333333333333331</v>
      </c>
      <c r="L87" s="199">
        <v>0.33333333333333331</v>
      </c>
      <c r="M87" s="199">
        <v>0.33333333333333331</v>
      </c>
      <c r="N87" s="199">
        <v>0.33333333333333331</v>
      </c>
      <c r="O87" s="199">
        <v>0.33333333333333331</v>
      </c>
      <c r="P87" s="199">
        <v>0.33333333333333331</v>
      </c>
      <c r="Q87" s="199">
        <v>0.33333333333333331</v>
      </c>
      <c r="R87" s="199">
        <v>0.33333333333333331</v>
      </c>
      <c r="S87" s="199">
        <v>0.33333333333333331</v>
      </c>
      <c r="T87" s="199">
        <v>0.33333333333333331</v>
      </c>
      <c r="U87" s="199">
        <v>0.33333333333333331</v>
      </c>
      <c r="V87" s="199">
        <v>0.33333333333333331</v>
      </c>
      <c r="W87" s="199">
        <v>0.33333333333333331</v>
      </c>
      <c r="X87" s="199">
        <v>0.33333333333333331</v>
      </c>
      <c r="Y87" s="199">
        <v>0.33333333333333331</v>
      </c>
      <c r="Z87" s="199">
        <v>0.33333333333333331</v>
      </c>
      <c r="AA87" s="199">
        <v>0.33333333333333331</v>
      </c>
      <c r="AB87" s="199">
        <v>0.33333333333333331</v>
      </c>
      <c r="AC87" s="199">
        <v>0.33333333333333331</v>
      </c>
      <c r="AD87" s="199">
        <v>0.33333333333333331</v>
      </c>
      <c r="AE87" s="199">
        <v>0.33333333333333331</v>
      </c>
      <c r="AF87" s="199">
        <v>0.33333333333333331</v>
      </c>
      <c r="AG87" s="199">
        <v>0.33333333333333331</v>
      </c>
      <c r="AH87" s="199">
        <v>0.33333333333333331</v>
      </c>
      <c r="AI87" s="509"/>
    </row>
    <row r="88" spans="1:35" s="401" customFormat="1" ht="17.25" customHeight="1">
      <c r="A88" s="407">
        <v>1</v>
      </c>
      <c r="B88" s="430" t="s">
        <v>150</v>
      </c>
      <c r="C88" s="430" t="s">
        <v>151</v>
      </c>
      <c r="D88" s="191">
        <v>2536</v>
      </c>
      <c r="E88" s="430">
        <v>2560</v>
      </c>
      <c r="F88" s="430">
        <v>2578</v>
      </c>
      <c r="G88" s="430">
        <v>2578</v>
      </c>
      <c r="H88" s="430">
        <v>2578</v>
      </c>
      <c r="I88" s="430">
        <v>2578</v>
      </c>
      <c r="J88" s="430">
        <v>2578</v>
      </c>
      <c r="K88" s="430">
        <v>2585</v>
      </c>
      <c r="L88" s="430">
        <v>2608</v>
      </c>
      <c r="M88" s="430">
        <v>2621</v>
      </c>
      <c r="N88" s="430">
        <v>2644</v>
      </c>
      <c r="O88" s="430">
        <v>2644</v>
      </c>
      <c r="P88" s="430">
        <v>2644</v>
      </c>
      <c r="Q88" s="430">
        <v>2644</v>
      </c>
      <c r="R88" s="430">
        <v>2669</v>
      </c>
      <c r="S88" s="430">
        <v>2678</v>
      </c>
      <c r="T88" s="430">
        <v>2690</v>
      </c>
      <c r="U88" s="430">
        <v>2705</v>
      </c>
      <c r="V88" s="430">
        <v>2705</v>
      </c>
      <c r="W88" s="430">
        <v>2705</v>
      </c>
      <c r="X88" s="430">
        <v>2717</v>
      </c>
      <c r="Y88" s="430">
        <v>2741</v>
      </c>
      <c r="Z88" s="430">
        <v>2775</v>
      </c>
      <c r="AA88" s="430">
        <v>2791</v>
      </c>
      <c r="AB88" s="430">
        <v>2806</v>
      </c>
      <c r="AC88" s="430">
        <v>2806</v>
      </c>
      <c r="AD88" s="430">
        <v>2806</v>
      </c>
      <c r="AE88" s="430">
        <v>2818</v>
      </c>
      <c r="AF88" s="430">
        <v>2843</v>
      </c>
      <c r="AG88" s="430">
        <v>2859</v>
      </c>
      <c r="AH88" s="430">
        <v>2870</v>
      </c>
      <c r="AI88" s="420"/>
    </row>
    <row r="89" spans="1:35" s="401" customFormat="1" ht="17.25" customHeight="1"/>
    <row r="90" spans="1:35" s="401" customFormat="1" ht="17.25" customHeight="1">
      <c r="A90" s="507" t="s">
        <v>99</v>
      </c>
      <c r="B90" s="507" t="s">
        <v>100</v>
      </c>
      <c r="C90" s="507" t="s">
        <v>101</v>
      </c>
      <c r="D90" s="517"/>
      <c r="E90" s="42">
        <f t="shared" ref="E90:AH90" si="38">E84</f>
        <v>46113</v>
      </c>
      <c r="F90" s="42">
        <f t="shared" si="38"/>
        <v>46114</v>
      </c>
      <c r="G90" s="42">
        <f t="shared" si="38"/>
        <v>46115</v>
      </c>
      <c r="H90" s="42">
        <f t="shared" si="38"/>
        <v>46116</v>
      </c>
      <c r="I90" s="42">
        <f t="shared" si="38"/>
        <v>46117</v>
      </c>
      <c r="J90" s="42">
        <f t="shared" si="38"/>
        <v>46118</v>
      </c>
      <c r="K90" s="42">
        <f t="shared" si="38"/>
        <v>46119</v>
      </c>
      <c r="L90" s="42">
        <f t="shared" si="38"/>
        <v>46120</v>
      </c>
      <c r="M90" s="42">
        <f t="shared" si="38"/>
        <v>46121</v>
      </c>
      <c r="N90" s="42">
        <f t="shared" si="38"/>
        <v>46122</v>
      </c>
      <c r="O90" s="42">
        <f t="shared" si="38"/>
        <v>46123</v>
      </c>
      <c r="P90" s="42">
        <f t="shared" si="38"/>
        <v>46124</v>
      </c>
      <c r="Q90" s="42">
        <f t="shared" si="38"/>
        <v>46125</v>
      </c>
      <c r="R90" s="42">
        <f t="shared" si="38"/>
        <v>46126</v>
      </c>
      <c r="S90" s="42">
        <f t="shared" si="38"/>
        <v>46127</v>
      </c>
      <c r="T90" s="42">
        <f t="shared" si="38"/>
        <v>46128</v>
      </c>
      <c r="U90" s="42">
        <f t="shared" si="38"/>
        <v>46129</v>
      </c>
      <c r="V90" s="42">
        <f t="shared" si="38"/>
        <v>46130</v>
      </c>
      <c r="W90" s="42">
        <f t="shared" si="38"/>
        <v>46131</v>
      </c>
      <c r="X90" s="42">
        <f t="shared" si="38"/>
        <v>46132</v>
      </c>
      <c r="Y90" s="42">
        <f t="shared" si="38"/>
        <v>46133</v>
      </c>
      <c r="Z90" s="42">
        <f t="shared" si="38"/>
        <v>46134</v>
      </c>
      <c r="AA90" s="42">
        <f t="shared" si="38"/>
        <v>46135</v>
      </c>
      <c r="AB90" s="42">
        <f t="shared" si="38"/>
        <v>46136</v>
      </c>
      <c r="AC90" s="42">
        <f t="shared" si="38"/>
        <v>46137</v>
      </c>
      <c r="AD90" s="42">
        <f t="shared" si="38"/>
        <v>46138</v>
      </c>
      <c r="AE90" s="42">
        <f t="shared" si="38"/>
        <v>46139</v>
      </c>
      <c r="AF90" s="42">
        <f t="shared" si="38"/>
        <v>46140</v>
      </c>
      <c r="AG90" s="42">
        <f t="shared" si="38"/>
        <v>46141</v>
      </c>
      <c r="AH90" s="42">
        <f t="shared" si="38"/>
        <v>46142</v>
      </c>
      <c r="AI90" s="507" t="s">
        <v>1</v>
      </c>
    </row>
    <row r="91" spans="1:35" s="401" customFormat="1" ht="17.25" customHeight="1">
      <c r="A91" s="508"/>
      <c r="B91" s="508"/>
      <c r="C91" s="518"/>
      <c r="D91" s="519"/>
      <c r="E91" s="1" t="s">
        <v>105</v>
      </c>
      <c r="F91" s="1" t="s">
        <v>106</v>
      </c>
      <c r="G91" s="1" t="s">
        <v>107</v>
      </c>
      <c r="H91" s="1" t="s">
        <v>108</v>
      </c>
      <c r="I91" s="1" t="s">
        <v>109</v>
      </c>
      <c r="J91" s="1" t="s">
        <v>103</v>
      </c>
      <c r="K91" s="1" t="s">
        <v>104</v>
      </c>
      <c r="L91" s="1" t="s">
        <v>105</v>
      </c>
      <c r="M91" s="1" t="s">
        <v>106</v>
      </c>
      <c r="N91" s="1" t="s">
        <v>107</v>
      </c>
      <c r="O91" s="1" t="s">
        <v>108</v>
      </c>
      <c r="P91" s="1" t="s">
        <v>109</v>
      </c>
      <c r="Q91" s="1" t="s">
        <v>103</v>
      </c>
      <c r="R91" s="1" t="s">
        <v>104</v>
      </c>
      <c r="S91" s="1" t="s">
        <v>105</v>
      </c>
      <c r="T91" s="1" t="s">
        <v>106</v>
      </c>
      <c r="U91" s="1" t="s">
        <v>107</v>
      </c>
      <c r="V91" s="1" t="s">
        <v>108</v>
      </c>
      <c r="W91" s="1" t="s">
        <v>109</v>
      </c>
      <c r="X91" s="1" t="s">
        <v>103</v>
      </c>
      <c r="Y91" s="1" t="s">
        <v>104</v>
      </c>
      <c r="Z91" s="1" t="s">
        <v>105</v>
      </c>
      <c r="AA91" s="1" t="s">
        <v>106</v>
      </c>
      <c r="AB91" s="1" t="s">
        <v>107</v>
      </c>
      <c r="AC91" s="1" t="s">
        <v>108</v>
      </c>
      <c r="AD91" s="1" t="s">
        <v>109</v>
      </c>
      <c r="AE91" s="1" t="s">
        <v>103</v>
      </c>
      <c r="AF91" s="1" t="s">
        <v>104</v>
      </c>
      <c r="AG91" s="1" t="s">
        <v>105</v>
      </c>
      <c r="AH91" s="1" t="s">
        <v>106</v>
      </c>
      <c r="AI91" s="508"/>
    </row>
    <row r="92" spans="1:35" s="401" customFormat="1" ht="17.25" customHeight="1">
      <c r="A92" s="508"/>
      <c r="B92" s="508"/>
      <c r="C92" s="518"/>
      <c r="D92" s="519"/>
      <c r="E92" s="18" t="s">
        <v>110</v>
      </c>
      <c r="F92" s="18" t="s">
        <v>110</v>
      </c>
      <c r="G92" s="18" t="s">
        <v>110</v>
      </c>
      <c r="H92" s="18" t="s">
        <v>110</v>
      </c>
      <c r="I92" s="18" t="s">
        <v>110</v>
      </c>
      <c r="J92" s="18" t="s">
        <v>110</v>
      </c>
      <c r="K92" s="18" t="s">
        <v>110</v>
      </c>
      <c r="L92" s="18" t="s">
        <v>110</v>
      </c>
      <c r="M92" s="18" t="s">
        <v>110</v>
      </c>
      <c r="N92" s="18" t="s">
        <v>110</v>
      </c>
      <c r="O92" s="18" t="s">
        <v>110</v>
      </c>
      <c r="P92" s="18" t="s">
        <v>110</v>
      </c>
      <c r="Q92" s="18" t="s">
        <v>110</v>
      </c>
      <c r="R92" s="18" t="s">
        <v>110</v>
      </c>
      <c r="S92" s="18" t="s">
        <v>110</v>
      </c>
      <c r="T92" s="18" t="s">
        <v>110</v>
      </c>
      <c r="U92" s="18" t="s">
        <v>110</v>
      </c>
      <c r="V92" s="18" t="s">
        <v>110</v>
      </c>
      <c r="W92" s="18" t="s">
        <v>110</v>
      </c>
      <c r="X92" s="18" t="s">
        <v>110</v>
      </c>
      <c r="Y92" s="18" t="s">
        <v>110</v>
      </c>
      <c r="Z92" s="18" t="s">
        <v>110</v>
      </c>
      <c r="AA92" s="18" t="s">
        <v>110</v>
      </c>
      <c r="AB92" s="18" t="s">
        <v>110</v>
      </c>
      <c r="AC92" s="18" t="s">
        <v>110</v>
      </c>
      <c r="AD92" s="18" t="s">
        <v>110</v>
      </c>
      <c r="AE92" s="18" t="s">
        <v>110</v>
      </c>
      <c r="AF92" s="18" t="s">
        <v>110</v>
      </c>
      <c r="AG92" s="18" t="s">
        <v>110</v>
      </c>
      <c r="AH92" s="18" t="s">
        <v>110</v>
      </c>
      <c r="AI92" s="508"/>
    </row>
    <row r="93" spans="1:35" s="401" customFormat="1" ht="17.25" customHeight="1">
      <c r="A93" s="509"/>
      <c r="B93" s="509"/>
      <c r="C93" s="520"/>
      <c r="D93" s="521"/>
      <c r="E93" s="19">
        <v>0.33333333333333331</v>
      </c>
      <c r="F93" s="19">
        <v>0.33333333333333331</v>
      </c>
      <c r="G93" s="19">
        <v>0.33333333333333331</v>
      </c>
      <c r="H93" s="19">
        <v>0.33333333333333331</v>
      </c>
      <c r="I93" s="19">
        <v>0.33333333333333331</v>
      </c>
      <c r="J93" s="19">
        <v>0.33333333333333331</v>
      </c>
      <c r="K93" s="19">
        <v>0.33333333333333331</v>
      </c>
      <c r="L93" s="19">
        <v>0.33333333333333331</v>
      </c>
      <c r="M93" s="19">
        <v>0.33333333333333331</v>
      </c>
      <c r="N93" s="19">
        <v>0.33333333333333331</v>
      </c>
      <c r="O93" s="19">
        <v>0.33333333333333331</v>
      </c>
      <c r="P93" s="19">
        <v>0.33333333333333331</v>
      </c>
      <c r="Q93" s="19">
        <v>0.33333333333333331</v>
      </c>
      <c r="R93" s="19">
        <v>0.33333333333333331</v>
      </c>
      <c r="S93" s="19">
        <v>0.33333333333333331</v>
      </c>
      <c r="T93" s="19">
        <v>0.33333333333333331</v>
      </c>
      <c r="U93" s="19">
        <v>0.33333333333333331</v>
      </c>
      <c r="V93" s="19">
        <v>0.33333333333333331</v>
      </c>
      <c r="W93" s="19">
        <v>0.33333333333333331</v>
      </c>
      <c r="X93" s="19">
        <v>0.33333333333333331</v>
      </c>
      <c r="Y93" s="19">
        <v>0.33333333333333331</v>
      </c>
      <c r="Z93" s="19">
        <v>0.33333333333333331</v>
      </c>
      <c r="AA93" s="19">
        <v>0.33333333333333331</v>
      </c>
      <c r="AB93" s="19">
        <v>0.33333333333333331</v>
      </c>
      <c r="AC93" s="19">
        <v>0.33333333333333331</v>
      </c>
      <c r="AD93" s="19">
        <v>0.33333333333333331</v>
      </c>
      <c r="AE93" s="19">
        <v>0.33333333333333331</v>
      </c>
      <c r="AF93" s="19">
        <v>0.33333333333333331</v>
      </c>
      <c r="AG93" s="19">
        <v>0.33333333333333331</v>
      </c>
      <c r="AH93" s="19">
        <v>0.33333333333333331</v>
      </c>
      <c r="AI93" s="509"/>
    </row>
    <row r="94" spans="1:35" s="401" customFormat="1" ht="17.25" customHeight="1">
      <c r="A94" s="431">
        <v>1</v>
      </c>
      <c r="B94" s="432" t="s">
        <v>150</v>
      </c>
      <c r="C94" s="562" t="s">
        <v>151</v>
      </c>
      <c r="D94" s="501"/>
      <c r="E94" s="420">
        <f t="shared" ref="E94:AH94" si="39">E88-D88</f>
        <v>24</v>
      </c>
      <c r="F94" s="420">
        <f t="shared" si="39"/>
        <v>18</v>
      </c>
      <c r="G94" s="420">
        <f t="shared" si="39"/>
        <v>0</v>
      </c>
      <c r="H94" s="420">
        <f t="shared" si="39"/>
        <v>0</v>
      </c>
      <c r="I94" s="420">
        <f t="shared" si="39"/>
        <v>0</v>
      </c>
      <c r="J94" s="420">
        <f t="shared" si="39"/>
        <v>0</v>
      </c>
      <c r="K94" s="420">
        <f t="shared" si="39"/>
        <v>7</v>
      </c>
      <c r="L94" s="420">
        <f t="shared" si="39"/>
        <v>23</v>
      </c>
      <c r="M94" s="420">
        <f t="shared" si="39"/>
        <v>13</v>
      </c>
      <c r="N94" s="420">
        <f t="shared" si="39"/>
        <v>23</v>
      </c>
      <c r="O94" s="420">
        <f t="shared" si="39"/>
        <v>0</v>
      </c>
      <c r="P94" s="420">
        <f t="shared" si="39"/>
        <v>0</v>
      </c>
      <c r="Q94" s="420">
        <f t="shared" si="39"/>
        <v>0</v>
      </c>
      <c r="R94" s="420">
        <f t="shared" si="39"/>
        <v>25</v>
      </c>
      <c r="S94" s="420">
        <f t="shared" si="39"/>
        <v>9</v>
      </c>
      <c r="T94" s="420">
        <f t="shared" si="39"/>
        <v>12</v>
      </c>
      <c r="U94" s="420">
        <f t="shared" si="39"/>
        <v>15</v>
      </c>
      <c r="V94" s="420">
        <f t="shared" si="39"/>
        <v>0</v>
      </c>
      <c r="W94" s="420">
        <f t="shared" si="39"/>
        <v>0</v>
      </c>
      <c r="X94" s="420">
        <f t="shared" si="39"/>
        <v>12</v>
      </c>
      <c r="Y94" s="420">
        <f t="shared" si="39"/>
        <v>24</v>
      </c>
      <c r="Z94" s="420">
        <f t="shared" si="39"/>
        <v>34</v>
      </c>
      <c r="AA94" s="420">
        <f t="shared" si="39"/>
        <v>16</v>
      </c>
      <c r="AB94" s="420">
        <f t="shared" si="39"/>
        <v>15</v>
      </c>
      <c r="AC94" s="420">
        <f t="shared" si="39"/>
        <v>0</v>
      </c>
      <c r="AD94" s="420">
        <f t="shared" si="39"/>
        <v>0</v>
      </c>
      <c r="AE94" s="420">
        <f t="shared" si="39"/>
        <v>12</v>
      </c>
      <c r="AF94" s="420">
        <f t="shared" si="39"/>
        <v>25</v>
      </c>
      <c r="AG94" s="420">
        <f t="shared" si="39"/>
        <v>16</v>
      </c>
      <c r="AH94" s="420">
        <f t="shared" si="39"/>
        <v>11</v>
      </c>
      <c r="AI94" s="420">
        <f>SUM(E94:AH94)</f>
        <v>334</v>
      </c>
    </row>
  </sheetData>
  <mergeCells count="61">
    <mergeCell ref="A84:A87"/>
    <mergeCell ref="C73:D73"/>
    <mergeCell ref="AI40:AI43"/>
    <mergeCell ref="C84:C87"/>
    <mergeCell ref="A90:A93"/>
    <mergeCell ref="C90:D93"/>
    <mergeCell ref="C47:D47"/>
    <mergeCell ref="C54:D54"/>
    <mergeCell ref="A83:D83"/>
    <mergeCell ref="AI84:AI87"/>
    <mergeCell ref="C40:D43"/>
    <mergeCell ref="C58:D58"/>
    <mergeCell ref="C45:D45"/>
    <mergeCell ref="C74:D74"/>
    <mergeCell ref="C51:D51"/>
    <mergeCell ref="C78:D78"/>
    <mergeCell ref="C94:D94"/>
    <mergeCell ref="A36:AH37"/>
    <mergeCell ref="C65:D65"/>
    <mergeCell ref="A1:AI1"/>
    <mergeCell ref="C55:D55"/>
    <mergeCell ref="C50:D50"/>
    <mergeCell ref="C44:D44"/>
    <mergeCell ref="C75:D75"/>
    <mergeCell ref="A31:AH31"/>
    <mergeCell ref="C56:D56"/>
    <mergeCell ref="A40:A43"/>
    <mergeCell ref="C59:D59"/>
    <mergeCell ref="B84:B87"/>
    <mergeCell ref="C46:D46"/>
    <mergeCell ref="B40:B43"/>
    <mergeCell ref="C60:D60"/>
    <mergeCell ref="A2:A5"/>
    <mergeCell ref="C76:D76"/>
    <mergeCell ref="C71:D71"/>
    <mergeCell ref="C2:C5"/>
    <mergeCell ref="C52:D52"/>
    <mergeCell ref="C70:D70"/>
    <mergeCell ref="C48:D48"/>
    <mergeCell ref="C64:D64"/>
    <mergeCell ref="B2:B5"/>
    <mergeCell ref="A22:AH22"/>
    <mergeCell ref="B38:D38"/>
    <mergeCell ref="D2:D5"/>
    <mergeCell ref="C62:D62"/>
    <mergeCell ref="C68:D68"/>
    <mergeCell ref="B90:B93"/>
    <mergeCell ref="AI2:AI5"/>
    <mergeCell ref="C72:D72"/>
    <mergeCell ref="C67:D67"/>
    <mergeCell ref="C57:D57"/>
    <mergeCell ref="C66:D66"/>
    <mergeCell ref="C53:D53"/>
    <mergeCell ref="B39:D39"/>
    <mergeCell ref="C69:D69"/>
    <mergeCell ref="C49:D49"/>
    <mergeCell ref="AI90:AI93"/>
    <mergeCell ref="C79:D79"/>
    <mergeCell ref="C77:D77"/>
    <mergeCell ref="D84:D87"/>
    <mergeCell ref="E83:AH83"/>
  </mergeCells>
  <pageMargins left="0.7" right="0.7" top="0.75" bottom="0.75" header="0.3" footer="0.3"/>
  <pageSetup paperSize="9" orientation="portrait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L94"/>
  <sheetViews>
    <sheetView topLeftCell="AF1" zoomScale="115" zoomScaleNormal="115" workbookViewId="0">
      <pane ySplit="3" topLeftCell="A60" activePane="bottomLeft" state="frozen"/>
      <selection activeCell="F1" sqref="F1"/>
      <selection pane="bottomLeft" activeCell="AK68" sqref="AK68:AL71"/>
    </sheetView>
  </sheetViews>
  <sheetFormatPr defaultRowHeight="14.5"/>
  <cols>
    <col min="1" max="1" width="15" customWidth="1"/>
    <col min="2" max="2" width="27" customWidth="1"/>
    <col min="3" max="3" width="32" customWidth="1"/>
    <col min="4" max="4" width="20" customWidth="1"/>
    <col min="5" max="5" width="34" customWidth="1"/>
    <col min="6" max="35" width="23" customWidth="1"/>
    <col min="36" max="36" width="18" customWidth="1"/>
    <col min="37" max="37" width="14" customWidth="1"/>
    <col min="38" max="38" width="18" customWidth="1"/>
  </cols>
  <sheetData>
    <row r="1" spans="1:36" ht="21" customHeight="1">
      <c r="A1" s="542" t="s">
        <v>157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  <c r="S1" s="495"/>
      <c r="T1" s="495"/>
      <c r="U1" s="495"/>
      <c r="V1" s="495"/>
      <c r="W1" s="495"/>
      <c r="X1" s="495"/>
      <c r="Y1" s="495"/>
      <c r="Z1" s="495"/>
      <c r="AA1" s="495"/>
      <c r="AB1" s="495"/>
      <c r="AC1" s="495"/>
      <c r="AD1" s="495"/>
      <c r="AE1" s="495"/>
      <c r="AF1" s="495"/>
      <c r="AG1" s="495"/>
      <c r="AH1" s="495"/>
      <c r="AI1" s="495"/>
      <c r="AJ1" s="495"/>
    </row>
    <row r="2" spans="1:36" ht="15" customHeight="1">
      <c r="A2" s="549" t="s">
        <v>99</v>
      </c>
      <c r="B2" s="549" t="s">
        <v>100</v>
      </c>
      <c r="C2" s="550" t="s">
        <v>101</v>
      </c>
      <c r="D2" s="552" t="s">
        <v>102</v>
      </c>
      <c r="E2" s="301">
        <v>46082</v>
      </c>
      <c r="F2" s="301">
        <v>46083</v>
      </c>
      <c r="G2" s="301">
        <v>46084</v>
      </c>
      <c r="H2" s="301">
        <v>46085</v>
      </c>
      <c r="I2" s="301">
        <v>46086</v>
      </c>
      <c r="J2" s="301">
        <v>46087</v>
      </c>
      <c r="K2" s="301">
        <v>46088</v>
      </c>
      <c r="L2" s="301">
        <v>46089</v>
      </c>
      <c r="M2" s="301">
        <v>46090</v>
      </c>
      <c r="N2" s="301">
        <v>46091</v>
      </c>
      <c r="O2" s="301">
        <v>46092</v>
      </c>
      <c r="P2" s="301">
        <v>46093</v>
      </c>
      <c r="Q2" s="301">
        <v>46094</v>
      </c>
      <c r="R2" s="301">
        <v>46095</v>
      </c>
      <c r="S2" s="301">
        <v>46096</v>
      </c>
      <c r="T2" s="301">
        <v>46097</v>
      </c>
      <c r="U2" s="301">
        <v>46098</v>
      </c>
      <c r="V2" s="301">
        <v>46099</v>
      </c>
      <c r="W2" s="301">
        <v>46100</v>
      </c>
      <c r="X2" s="301">
        <v>46101</v>
      </c>
      <c r="Y2" s="301">
        <v>46102</v>
      </c>
      <c r="Z2" s="301">
        <v>46103</v>
      </c>
      <c r="AA2" s="301">
        <v>46104</v>
      </c>
      <c r="AB2" s="301">
        <v>46105</v>
      </c>
      <c r="AC2" s="301">
        <v>46106</v>
      </c>
      <c r="AD2" s="301">
        <v>46107</v>
      </c>
      <c r="AE2" s="301">
        <v>46108</v>
      </c>
      <c r="AF2" s="301">
        <v>46109</v>
      </c>
      <c r="AG2" s="301">
        <v>46110</v>
      </c>
      <c r="AH2" s="301">
        <v>46111</v>
      </c>
      <c r="AI2" s="301">
        <v>46112</v>
      </c>
      <c r="AJ2" s="555" t="s">
        <v>1</v>
      </c>
    </row>
    <row r="3" spans="1:36">
      <c r="A3" s="511"/>
      <c r="B3" s="511"/>
      <c r="C3" s="511"/>
      <c r="D3" s="511"/>
      <c r="E3" s="302" t="s">
        <v>105</v>
      </c>
      <c r="F3" s="302" t="s">
        <v>106</v>
      </c>
      <c r="G3" s="302" t="s">
        <v>107</v>
      </c>
      <c r="H3" s="302" t="s">
        <v>108</v>
      </c>
      <c r="I3" s="302" t="s">
        <v>109</v>
      </c>
      <c r="J3" s="302" t="s">
        <v>103</v>
      </c>
      <c r="K3" s="302" t="s">
        <v>104</v>
      </c>
      <c r="L3" s="302" t="s">
        <v>105</v>
      </c>
      <c r="M3" s="302" t="s">
        <v>106</v>
      </c>
      <c r="N3" s="302" t="s">
        <v>107</v>
      </c>
      <c r="O3" s="302" t="s">
        <v>108</v>
      </c>
      <c r="P3" s="302" t="s">
        <v>109</v>
      </c>
      <c r="Q3" s="302" t="s">
        <v>103</v>
      </c>
      <c r="R3" s="302" t="s">
        <v>104</v>
      </c>
      <c r="S3" s="302" t="s">
        <v>105</v>
      </c>
      <c r="T3" s="302" t="s">
        <v>106</v>
      </c>
      <c r="U3" s="302" t="s">
        <v>107</v>
      </c>
      <c r="V3" s="302" t="s">
        <v>108</v>
      </c>
      <c r="W3" s="302" t="s">
        <v>109</v>
      </c>
      <c r="X3" s="302" t="s">
        <v>103</v>
      </c>
      <c r="Y3" s="302" t="s">
        <v>104</v>
      </c>
      <c r="Z3" s="302" t="s">
        <v>105</v>
      </c>
      <c r="AA3" s="302" t="s">
        <v>106</v>
      </c>
      <c r="AB3" s="302" t="s">
        <v>107</v>
      </c>
      <c r="AC3" s="302" t="s">
        <v>108</v>
      </c>
      <c r="AD3" s="302" t="s">
        <v>109</v>
      </c>
      <c r="AE3" s="302" t="s">
        <v>103</v>
      </c>
      <c r="AF3" s="302" t="s">
        <v>104</v>
      </c>
      <c r="AG3" s="302" t="s">
        <v>105</v>
      </c>
      <c r="AH3" s="302" t="s">
        <v>106</v>
      </c>
      <c r="AI3" s="302" t="s">
        <v>107</v>
      </c>
      <c r="AJ3" s="511"/>
    </row>
    <row r="4" spans="1:36">
      <c r="A4" s="511"/>
      <c r="B4" s="511"/>
      <c r="C4" s="511"/>
      <c r="D4" s="511"/>
      <c r="E4" s="303" t="s">
        <v>110</v>
      </c>
      <c r="F4" s="303" t="s">
        <v>110</v>
      </c>
      <c r="G4" s="303" t="s">
        <v>110</v>
      </c>
      <c r="H4" s="303" t="s">
        <v>110</v>
      </c>
      <c r="I4" s="303" t="s">
        <v>110</v>
      </c>
      <c r="J4" s="303" t="s">
        <v>110</v>
      </c>
      <c r="K4" s="303" t="s">
        <v>110</v>
      </c>
      <c r="L4" s="303" t="s">
        <v>110</v>
      </c>
      <c r="M4" s="303" t="s">
        <v>110</v>
      </c>
      <c r="N4" s="303" t="s">
        <v>110</v>
      </c>
      <c r="O4" s="303" t="s">
        <v>110</v>
      </c>
      <c r="P4" s="303" t="s">
        <v>110</v>
      </c>
      <c r="Q4" s="303" t="s">
        <v>110</v>
      </c>
      <c r="R4" s="303" t="s">
        <v>110</v>
      </c>
      <c r="S4" s="303" t="s">
        <v>110</v>
      </c>
      <c r="T4" s="303" t="s">
        <v>110</v>
      </c>
      <c r="U4" s="303" t="s">
        <v>110</v>
      </c>
      <c r="V4" s="303" t="s">
        <v>110</v>
      </c>
      <c r="W4" s="303" t="s">
        <v>110</v>
      </c>
      <c r="X4" s="303" t="s">
        <v>110</v>
      </c>
      <c r="Y4" s="303" t="s">
        <v>110</v>
      </c>
      <c r="Z4" s="303" t="s">
        <v>110</v>
      </c>
      <c r="AA4" s="303" t="s">
        <v>110</v>
      </c>
      <c r="AB4" s="303" t="s">
        <v>110</v>
      </c>
      <c r="AC4" s="303" t="s">
        <v>110</v>
      </c>
      <c r="AD4" s="303" t="s">
        <v>110</v>
      </c>
      <c r="AE4" s="303" t="s">
        <v>110</v>
      </c>
      <c r="AF4" s="303" t="s">
        <v>110</v>
      </c>
      <c r="AG4" s="303" t="s">
        <v>110</v>
      </c>
      <c r="AH4" s="303" t="s">
        <v>110</v>
      </c>
      <c r="AI4" s="303" t="s">
        <v>110</v>
      </c>
      <c r="AJ4" s="511"/>
    </row>
    <row r="5" spans="1:36">
      <c r="A5" s="512"/>
      <c r="B5" s="512"/>
      <c r="C5" s="512"/>
      <c r="D5" s="512"/>
      <c r="E5" s="304">
        <v>0.33333333333333331</v>
      </c>
      <c r="F5" s="304">
        <v>0.33333333333333331</v>
      </c>
      <c r="G5" s="304">
        <v>0.33333333333333331</v>
      </c>
      <c r="H5" s="304">
        <v>0.33333333333333331</v>
      </c>
      <c r="I5" s="304">
        <v>0.33333333333333331</v>
      </c>
      <c r="J5" s="304">
        <v>0.33333333333333331</v>
      </c>
      <c r="K5" s="304">
        <v>0.33333333333333331</v>
      </c>
      <c r="L5" s="304">
        <v>0.33333333333333331</v>
      </c>
      <c r="M5" s="304">
        <v>0.33333333333333331</v>
      </c>
      <c r="N5" s="304">
        <v>0.33333333333333331</v>
      </c>
      <c r="O5" s="304">
        <v>0.33333333333333331</v>
      </c>
      <c r="P5" s="304">
        <v>0.33333333333333331</v>
      </c>
      <c r="Q5" s="304">
        <v>0.33333333333333331</v>
      </c>
      <c r="R5" s="304">
        <v>0.33333333333333331</v>
      </c>
      <c r="S5" s="304">
        <v>0.33333333333333331</v>
      </c>
      <c r="T5" s="304">
        <v>0.33333333333333331</v>
      </c>
      <c r="U5" s="304">
        <v>0.33333333333333331</v>
      </c>
      <c r="V5" s="304">
        <v>0.33333333333333331</v>
      </c>
      <c r="W5" s="304">
        <v>0.33333333333333331</v>
      </c>
      <c r="X5" s="304">
        <v>0.33333333333333331</v>
      </c>
      <c r="Y5" s="304">
        <v>0.33333333333333331</v>
      </c>
      <c r="Z5" s="304">
        <v>0.33333333333333331</v>
      </c>
      <c r="AA5" s="304">
        <v>0.33333333333333331</v>
      </c>
      <c r="AB5" s="304">
        <v>0.33333333333333331</v>
      </c>
      <c r="AC5" s="304">
        <v>0.33333333333333331</v>
      </c>
      <c r="AD5" s="304">
        <v>0.33333333333333331</v>
      </c>
      <c r="AE5" s="304">
        <v>0.33333333333333331</v>
      </c>
      <c r="AF5" s="304">
        <v>0.33333333333333331</v>
      </c>
      <c r="AG5" s="304">
        <v>0.33333333333333331</v>
      </c>
      <c r="AH5" s="304">
        <v>0.33333333333333331</v>
      </c>
      <c r="AI5" s="304">
        <v>0.33333333333333331</v>
      </c>
      <c r="AJ5" s="512"/>
    </row>
    <row r="6" spans="1:36">
      <c r="A6" s="305">
        <v>1</v>
      </c>
      <c r="B6" s="306" t="s">
        <v>129</v>
      </c>
      <c r="C6" s="377" t="s">
        <v>111</v>
      </c>
      <c r="D6" s="244">
        <v>181312</v>
      </c>
      <c r="E6" s="378">
        <v>181638</v>
      </c>
      <c r="F6" s="305">
        <v>181888</v>
      </c>
      <c r="G6" s="305">
        <v>182152</v>
      </c>
      <c r="H6" s="305">
        <v>182357</v>
      </c>
      <c r="I6" s="305">
        <v>182594</v>
      </c>
      <c r="J6" s="305">
        <v>182840</v>
      </c>
      <c r="K6" s="305">
        <v>183048</v>
      </c>
      <c r="L6" s="305">
        <v>183252</v>
      </c>
      <c r="M6" s="305">
        <v>183507</v>
      </c>
      <c r="N6" s="305">
        <v>183763</v>
      </c>
      <c r="O6" s="309">
        <v>184009</v>
      </c>
      <c r="P6" s="310">
        <v>184265</v>
      </c>
      <c r="Q6" s="305">
        <v>184516</v>
      </c>
      <c r="R6" s="311">
        <v>184738</v>
      </c>
      <c r="S6" s="306">
        <v>184910</v>
      </c>
      <c r="T6" s="306">
        <v>185169</v>
      </c>
      <c r="U6" s="306">
        <v>185431</v>
      </c>
      <c r="V6" s="312">
        <v>185691</v>
      </c>
      <c r="W6" s="306">
        <v>185944</v>
      </c>
      <c r="X6" s="306">
        <v>186184</v>
      </c>
      <c r="Y6" s="306">
        <v>186387</v>
      </c>
      <c r="Z6" s="306">
        <v>186589</v>
      </c>
      <c r="AA6" s="309">
        <v>186848</v>
      </c>
      <c r="AB6" s="306">
        <v>187117</v>
      </c>
      <c r="AC6" s="306">
        <v>187372</v>
      </c>
      <c r="AD6" s="305">
        <v>187628</v>
      </c>
      <c r="AE6" s="313">
        <v>187880</v>
      </c>
      <c r="AF6" s="313">
        <v>188102</v>
      </c>
      <c r="AG6" s="391">
        <v>188291</v>
      </c>
      <c r="AH6" s="310">
        <v>188563</v>
      </c>
      <c r="AI6" s="310">
        <v>188707</v>
      </c>
      <c r="AJ6" s="314">
        <f t="shared" ref="AJ6:AJ21" si="0">AI6-D6</f>
        <v>7395</v>
      </c>
    </row>
    <row r="7" spans="1:36">
      <c r="A7" s="315"/>
      <c r="B7" s="315"/>
      <c r="C7" s="325" t="s">
        <v>22</v>
      </c>
      <c r="D7" s="244">
        <v>4283</v>
      </c>
      <c r="E7" s="305">
        <v>4283</v>
      </c>
      <c r="F7" s="305">
        <v>4283</v>
      </c>
      <c r="G7" s="305">
        <v>4283</v>
      </c>
      <c r="H7" s="305">
        <v>4283</v>
      </c>
      <c r="I7" s="305">
        <v>4283</v>
      </c>
      <c r="J7" s="376">
        <v>4283</v>
      </c>
      <c r="K7" s="318">
        <v>4283</v>
      </c>
      <c r="L7" s="318">
        <v>4283</v>
      </c>
      <c r="M7" s="318">
        <v>4283</v>
      </c>
      <c r="N7" s="318">
        <v>4283</v>
      </c>
      <c r="O7" s="318">
        <v>4283</v>
      </c>
      <c r="P7" s="315">
        <v>4283</v>
      </c>
      <c r="Q7" s="315">
        <v>4283</v>
      </c>
      <c r="R7" s="315">
        <v>4283</v>
      </c>
      <c r="S7" s="315">
        <v>4329</v>
      </c>
      <c r="T7" s="315">
        <v>4329</v>
      </c>
      <c r="U7" s="315">
        <v>4329</v>
      </c>
      <c r="V7" s="315">
        <v>4329</v>
      </c>
      <c r="W7" s="315">
        <v>4329</v>
      </c>
      <c r="X7" s="315">
        <v>4329</v>
      </c>
      <c r="Y7" s="315">
        <v>4329</v>
      </c>
      <c r="Z7" s="315">
        <v>4329</v>
      </c>
      <c r="AA7" s="315">
        <v>4329</v>
      </c>
      <c r="AB7" s="315">
        <v>4329</v>
      </c>
      <c r="AC7" s="315">
        <v>4329</v>
      </c>
      <c r="AD7" s="315">
        <v>4329</v>
      </c>
      <c r="AE7" s="315">
        <v>4329</v>
      </c>
      <c r="AF7" s="315">
        <v>4329</v>
      </c>
      <c r="AG7" s="315">
        <v>4329</v>
      </c>
      <c r="AH7" s="315">
        <v>4329</v>
      </c>
      <c r="AI7" s="315">
        <v>4329</v>
      </c>
      <c r="AJ7" s="314">
        <f t="shared" si="0"/>
        <v>46</v>
      </c>
    </row>
    <row r="8" spans="1:36">
      <c r="A8" s="306">
        <v>2</v>
      </c>
      <c r="B8" s="306" t="s">
        <v>129</v>
      </c>
      <c r="C8" s="322" t="s">
        <v>112</v>
      </c>
      <c r="D8" s="244">
        <v>1956</v>
      </c>
      <c r="E8" s="305">
        <v>1956</v>
      </c>
      <c r="F8" s="305">
        <v>1956</v>
      </c>
      <c r="G8" s="305">
        <v>1956</v>
      </c>
      <c r="H8" s="305">
        <v>1956</v>
      </c>
      <c r="I8" s="305">
        <v>1956</v>
      </c>
      <c r="J8" s="309">
        <v>1956</v>
      </c>
      <c r="K8" s="306">
        <v>1956</v>
      </c>
      <c r="L8" s="306">
        <v>1956</v>
      </c>
      <c r="M8" s="306">
        <v>1956</v>
      </c>
      <c r="N8" s="306">
        <v>1956</v>
      </c>
      <c r="O8" s="306">
        <v>1956</v>
      </c>
      <c r="P8" s="306">
        <v>1956</v>
      </c>
      <c r="Q8" s="306">
        <v>1956</v>
      </c>
      <c r="R8" s="306">
        <v>1956</v>
      </c>
      <c r="S8" s="306">
        <v>1956</v>
      </c>
      <c r="T8" s="306">
        <v>1956</v>
      </c>
      <c r="U8" s="306">
        <v>1956</v>
      </c>
      <c r="V8" s="306">
        <v>1956</v>
      </c>
      <c r="W8" s="306">
        <v>1956</v>
      </c>
      <c r="X8" s="306">
        <v>1956</v>
      </c>
      <c r="Y8" s="306">
        <v>1956</v>
      </c>
      <c r="Z8" s="306">
        <v>1956</v>
      </c>
      <c r="AA8" s="306">
        <v>1956</v>
      </c>
      <c r="AB8" s="306">
        <v>1956</v>
      </c>
      <c r="AC8" s="306">
        <v>1956</v>
      </c>
      <c r="AD8" s="306">
        <v>1956</v>
      </c>
      <c r="AE8" s="306">
        <v>1956</v>
      </c>
      <c r="AF8" s="306">
        <v>1956</v>
      </c>
      <c r="AG8" s="306">
        <v>1956</v>
      </c>
      <c r="AH8" s="306">
        <v>1956</v>
      </c>
      <c r="AI8" s="306">
        <v>1956</v>
      </c>
      <c r="AJ8" s="314">
        <f t="shared" si="0"/>
        <v>0</v>
      </c>
    </row>
    <row r="9" spans="1:36">
      <c r="A9" s="306"/>
      <c r="B9" s="306"/>
      <c r="C9" s="325" t="s">
        <v>22</v>
      </c>
      <c r="D9" s="244">
        <v>28.6</v>
      </c>
      <c r="E9" s="305">
        <v>28.6</v>
      </c>
      <c r="F9" s="305">
        <v>28.6</v>
      </c>
      <c r="G9" s="305">
        <v>28.6</v>
      </c>
      <c r="H9" s="305">
        <v>28.6</v>
      </c>
      <c r="I9" s="305">
        <v>28.6</v>
      </c>
      <c r="J9" s="309">
        <v>28.6</v>
      </c>
      <c r="K9" s="309">
        <v>28.6</v>
      </c>
      <c r="L9" s="309">
        <v>28.6</v>
      </c>
      <c r="M9" s="309">
        <v>28.6</v>
      </c>
      <c r="N9" s="309">
        <v>28.6</v>
      </c>
      <c r="O9" s="309">
        <v>28.6</v>
      </c>
      <c r="P9" s="306">
        <v>28.6</v>
      </c>
      <c r="Q9" s="306">
        <v>28.6</v>
      </c>
      <c r="R9" s="306">
        <v>28.6</v>
      </c>
      <c r="S9" s="306">
        <v>28.6</v>
      </c>
      <c r="T9" s="306">
        <v>28.6</v>
      </c>
      <c r="U9" s="306">
        <v>28.6</v>
      </c>
      <c r="V9" s="306">
        <v>28.6</v>
      </c>
      <c r="W9" s="306">
        <v>28.6</v>
      </c>
      <c r="X9" s="306">
        <v>28.6</v>
      </c>
      <c r="Y9" s="306">
        <v>28.6</v>
      </c>
      <c r="Z9" s="306">
        <v>28.6</v>
      </c>
      <c r="AA9" s="306">
        <v>28.6</v>
      </c>
      <c r="AB9" s="306">
        <v>28.6</v>
      </c>
      <c r="AC9" s="306">
        <v>28.6</v>
      </c>
      <c r="AD9" s="306">
        <v>28.6</v>
      </c>
      <c r="AE9" s="306">
        <v>28.6</v>
      </c>
      <c r="AF9" s="306">
        <v>28.6</v>
      </c>
      <c r="AG9" s="306">
        <v>28.6</v>
      </c>
      <c r="AH9" s="306">
        <v>28.6</v>
      </c>
      <c r="AI9" s="306">
        <v>28.6</v>
      </c>
      <c r="AJ9" s="314">
        <f t="shared" si="0"/>
        <v>0</v>
      </c>
    </row>
    <row r="10" spans="1:36">
      <c r="A10" s="306">
        <v>3</v>
      </c>
      <c r="B10" s="306" t="s">
        <v>129</v>
      </c>
      <c r="C10" s="322" t="s">
        <v>113</v>
      </c>
      <c r="D10" s="244">
        <v>263065</v>
      </c>
      <c r="E10" s="330">
        <v>263489</v>
      </c>
      <c r="F10" s="331">
        <v>263854</v>
      </c>
      <c r="G10" s="331">
        <v>264231</v>
      </c>
      <c r="H10" s="331">
        <v>264505</v>
      </c>
      <c r="I10" s="331">
        <v>264843</v>
      </c>
      <c r="J10" s="306">
        <v>265196</v>
      </c>
      <c r="K10" s="306">
        <v>265474</v>
      </c>
      <c r="L10" s="306">
        <v>265743</v>
      </c>
      <c r="M10" s="306">
        <v>266113</v>
      </c>
      <c r="N10" s="306">
        <v>266484</v>
      </c>
      <c r="O10" s="306">
        <v>266841</v>
      </c>
      <c r="P10" s="306">
        <v>267212</v>
      </c>
      <c r="Q10" s="306">
        <v>267575</v>
      </c>
      <c r="R10" s="306">
        <v>267841</v>
      </c>
      <c r="S10" s="306">
        <v>268075</v>
      </c>
      <c r="T10" s="306">
        <v>268454</v>
      </c>
      <c r="U10" s="306">
        <v>268843</v>
      </c>
      <c r="V10" s="306">
        <v>269218</v>
      </c>
      <c r="W10" s="306">
        <v>269584</v>
      </c>
      <c r="X10" s="306">
        <v>269931</v>
      </c>
      <c r="Y10" s="306">
        <v>270202</v>
      </c>
      <c r="Z10" s="306">
        <v>270464</v>
      </c>
      <c r="AA10" s="309">
        <v>270841</v>
      </c>
      <c r="AB10" s="315">
        <v>271233</v>
      </c>
      <c r="AC10" s="315">
        <v>271606</v>
      </c>
      <c r="AD10" s="315">
        <v>271974</v>
      </c>
      <c r="AE10" s="318">
        <v>272342</v>
      </c>
      <c r="AF10" s="318">
        <v>272637</v>
      </c>
      <c r="AG10" s="390">
        <v>272884</v>
      </c>
      <c r="AH10" s="310">
        <v>273280</v>
      </c>
      <c r="AI10" s="310">
        <v>273490</v>
      </c>
      <c r="AJ10" s="314">
        <f t="shared" si="0"/>
        <v>10425</v>
      </c>
    </row>
    <row r="11" spans="1:36">
      <c r="A11" s="306"/>
      <c r="B11" s="306"/>
      <c r="C11" s="325" t="s">
        <v>22</v>
      </c>
      <c r="D11" s="244">
        <v>6410</v>
      </c>
      <c r="E11" s="305">
        <v>6410</v>
      </c>
      <c r="F11" s="305">
        <v>6410</v>
      </c>
      <c r="G11" s="305">
        <v>6410</v>
      </c>
      <c r="H11" s="305">
        <v>6410</v>
      </c>
      <c r="I11" s="305">
        <v>6410</v>
      </c>
      <c r="J11" s="324">
        <v>6410</v>
      </c>
      <c r="K11" s="309">
        <v>6410</v>
      </c>
      <c r="L11" s="309">
        <v>6410</v>
      </c>
      <c r="M11" s="309">
        <v>6410</v>
      </c>
      <c r="N11" s="309">
        <v>6410</v>
      </c>
      <c r="O11" s="309">
        <v>6410</v>
      </c>
      <c r="P11" s="306">
        <v>6410</v>
      </c>
      <c r="Q11" s="306">
        <v>6410</v>
      </c>
      <c r="R11" s="306">
        <v>6410</v>
      </c>
      <c r="S11" s="306">
        <v>6472</v>
      </c>
      <c r="T11" s="306">
        <v>6472</v>
      </c>
      <c r="U11" s="306">
        <v>6472</v>
      </c>
      <c r="V11" s="306">
        <v>6472</v>
      </c>
      <c r="W11" s="306">
        <v>6472</v>
      </c>
      <c r="X11" s="306">
        <v>6472</v>
      </c>
      <c r="Y11" s="306">
        <v>6472</v>
      </c>
      <c r="Z11" s="306">
        <v>6472</v>
      </c>
      <c r="AA11" s="306">
        <v>6472</v>
      </c>
      <c r="AB11" s="306">
        <v>6472</v>
      </c>
      <c r="AC11" s="306">
        <v>6472</v>
      </c>
      <c r="AD11" s="306">
        <v>6472</v>
      </c>
      <c r="AE11" s="306">
        <v>6472</v>
      </c>
      <c r="AF11" s="306">
        <v>6472</v>
      </c>
      <c r="AG11" s="306">
        <v>6472</v>
      </c>
      <c r="AH11" s="306">
        <v>6472</v>
      </c>
      <c r="AI11" s="306">
        <v>6472</v>
      </c>
      <c r="AJ11" s="314">
        <f t="shared" si="0"/>
        <v>62</v>
      </c>
    </row>
    <row r="12" spans="1:36">
      <c r="A12" s="306">
        <v>4</v>
      </c>
      <c r="B12" s="306" t="s">
        <v>129</v>
      </c>
      <c r="C12" s="322" t="s">
        <v>114</v>
      </c>
      <c r="D12" s="244">
        <v>0</v>
      </c>
      <c r="E12" s="305">
        <v>0</v>
      </c>
      <c r="F12" s="305">
        <v>0</v>
      </c>
      <c r="G12" s="305">
        <v>0</v>
      </c>
      <c r="H12" s="305">
        <v>0</v>
      </c>
      <c r="I12" s="305">
        <v>0</v>
      </c>
      <c r="J12" s="324">
        <v>0</v>
      </c>
      <c r="K12" s="306">
        <v>0</v>
      </c>
      <c r="L12" s="306">
        <v>0</v>
      </c>
      <c r="M12" s="306">
        <v>0</v>
      </c>
      <c r="N12" s="306">
        <v>0</v>
      </c>
      <c r="O12" s="306">
        <v>0</v>
      </c>
      <c r="P12" s="306">
        <v>0</v>
      </c>
      <c r="Q12" s="306">
        <v>0</v>
      </c>
      <c r="R12" s="306">
        <v>0</v>
      </c>
      <c r="S12" s="306">
        <v>0</v>
      </c>
      <c r="T12" s="306">
        <v>0</v>
      </c>
      <c r="U12" s="306">
        <v>0</v>
      </c>
      <c r="V12" s="306">
        <v>0</v>
      </c>
      <c r="W12" s="306">
        <v>0</v>
      </c>
      <c r="X12" s="306">
        <v>0</v>
      </c>
      <c r="Y12" s="306">
        <v>0</v>
      </c>
      <c r="Z12" s="306">
        <v>0</v>
      </c>
      <c r="AA12" s="306">
        <v>0</v>
      </c>
      <c r="AB12" s="306">
        <v>0</v>
      </c>
      <c r="AC12" s="306">
        <v>0</v>
      </c>
      <c r="AD12" s="306">
        <v>0</v>
      </c>
      <c r="AE12" s="306">
        <v>0</v>
      </c>
      <c r="AF12" s="306">
        <v>0</v>
      </c>
      <c r="AG12" s="306">
        <v>0</v>
      </c>
      <c r="AH12" s="306">
        <v>0</v>
      </c>
      <c r="AI12" s="306">
        <v>0</v>
      </c>
      <c r="AJ12" s="314">
        <f t="shared" si="0"/>
        <v>0</v>
      </c>
    </row>
    <row r="13" spans="1:36">
      <c r="A13" s="306"/>
      <c r="B13" s="306"/>
      <c r="C13" s="325" t="s">
        <v>22</v>
      </c>
      <c r="D13" s="244">
        <v>0</v>
      </c>
      <c r="E13" s="305">
        <v>0</v>
      </c>
      <c r="F13" s="305">
        <v>0</v>
      </c>
      <c r="G13" s="305">
        <v>0</v>
      </c>
      <c r="H13" s="305">
        <v>0</v>
      </c>
      <c r="I13" s="305">
        <v>0</v>
      </c>
      <c r="J13" s="326">
        <v>0</v>
      </c>
      <c r="K13" s="306">
        <v>0</v>
      </c>
      <c r="L13" s="306">
        <v>0</v>
      </c>
      <c r="M13" s="306">
        <v>0</v>
      </c>
      <c r="N13" s="306">
        <v>0</v>
      </c>
      <c r="O13" s="306">
        <v>0</v>
      </c>
      <c r="P13" s="306">
        <v>0</v>
      </c>
      <c r="Q13" s="306">
        <v>0</v>
      </c>
      <c r="R13" s="306">
        <v>0</v>
      </c>
      <c r="S13" s="306">
        <v>0</v>
      </c>
      <c r="T13" s="306">
        <v>0</v>
      </c>
      <c r="U13" s="306">
        <v>0</v>
      </c>
      <c r="V13" s="306">
        <v>0</v>
      </c>
      <c r="W13" s="306">
        <v>0</v>
      </c>
      <c r="X13" s="306">
        <v>0</v>
      </c>
      <c r="Y13" s="306">
        <v>0</v>
      </c>
      <c r="Z13" s="306">
        <v>0</v>
      </c>
      <c r="AA13" s="306">
        <v>0</v>
      </c>
      <c r="AB13" s="306">
        <v>0</v>
      </c>
      <c r="AC13" s="306">
        <v>0</v>
      </c>
      <c r="AD13" s="306">
        <v>0</v>
      </c>
      <c r="AE13" s="306">
        <v>0</v>
      </c>
      <c r="AF13" s="306">
        <v>0</v>
      </c>
      <c r="AG13" s="306">
        <v>0</v>
      </c>
      <c r="AH13" s="306">
        <v>0</v>
      </c>
      <c r="AI13" s="306">
        <v>0</v>
      </c>
      <c r="AJ13" s="314">
        <f t="shared" si="0"/>
        <v>0</v>
      </c>
    </row>
    <row r="14" spans="1:36">
      <c r="A14" s="306">
        <v>5</v>
      </c>
      <c r="B14" s="306" t="s">
        <v>129</v>
      </c>
      <c r="C14" s="322" t="s">
        <v>115</v>
      </c>
      <c r="D14" s="244">
        <v>137256</v>
      </c>
      <c r="E14" s="335">
        <v>137480</v>
      </c>
      <c r="F14" s="315">
        <v>137712</v>
      </c>
      <c r="G14" s="315">
        <v>137954</v>
      </c>
      <c r="H14" s="315">
        <v>138089</v>
      </c>
      <c r="I14" s="315">
        <v>138304</v>
      </c>
      <c r="J14" s="306">
        <v>138541</v>
      </c>
      <c r="K14" s="306">
        <v>138700</v>
      </c>
      <c r="L14" s="306">
        <v>138851</v>
      </c>
      <c r="M14" s="306">
        <v>139091</v>
      </c>
      <c r="N14" s="306">
        <v>139332</v>
      </c>
      <c r="O14" s="306">
        <v>139575</v>
      </c>
      <c r="P14" s="306">
        <v>139837</v>
      </c>
      <c r="Q14" s="306">
        <v>140077</v>
      </c>
      <c r="R14" s="306">
        <v>140236</v>
      </c>
      <c r="S14" s="306">
        <v>140361</v>
      </c>
      <c r="T14" s="306">
        <v>140614</v>
      </c>
      <c r="U14" s="328">
        <v>140870</v>
      </c>
      <c r="V14" s="306">
        <v>141125</v>
      </c>
      <c r="W14" s="306">
        <v>141367</v>
      </c>
      <c r="X14" s="306">
        <v>141598</v>
      </c>
      <c r="Y14" s="306">
        <v>141748</v>
      </c>
      <c r="Z14" s="306">
        <v>141874</v>
      </c>
      <c r="AA14" s="309">
        <v>142093</v>
      </c>
      <c r="AB14" s="328">
        <v>142356</v>
      </c>
      <c r="AC14" s="328">
        <v>142581</v>
      </c>
      <c r="AD14" s="328">
        <v>142803</v>
      </c>
      <c r="AE14" s="329">
        <v>143027</v>
      </c>
      <c r="AF14" s="329">
        <v>143205</v>
      </c>
      <c r="AG14" s="390">
        <v>143332</v>
      </c>
      <c r="AH14" s="310">
        <v>143591</v>
      </c>
      <c r="AI14" s="310">
        <v>143732</v>
      </c>
      <c r="AJ14" s="314">
        <f t="shared" si="0"/>
        <v>6476</v>
      </c>
    </row>
    <row r="15" spans="1:36">
      <c r="A15" s="306"/>
      <c r="B15" s="306"/>
      <c r="C15" s="325" t="s">
        <v>22</v>
      </c>
      <c r="D15" s="244">
        <v>3280</v>
      </c>
      <c r="E15" s="330">
        <v>3280</v>
      </c>
      <c r="F15" s="330">
        <v>3280</v>
      </c>
      <c r="G15" s="330">
        <v>3280</v>
      </c>
      <c r="H15" s="330">
        <v>3280</v>
      </c>
      <c r="I15" s="330">
        <v>3280</v>
      </c>
      <c r="J15" s="330">
        <v>3280</v>
      </c>
      <c r="K15" s="330">
        <v>3280</v>
      </c>
      <c r="L15" s="330">
        <v>3280</v>
      </c>
      <c r="M15" s="330">
        <v>3280</v>
      </c>
      <c r="N15" s="330">
        <v>3280</v>
      </c>
      <c r="O15" s="330">
        <v>3280</v>
      </c>
      <c r="P15" s="331">
        <v>3280</v>
      </c>
      <c r="Q15" s="331">
        <v>3280</v>
      </c>
      <c r="R15" s="331">
        <v>3280</v>
      </c>
      <c r="S15" s="331">
        <v>3316</v>
      </c>
      <c r="T15" s="331">
        <v>3316</v>
      </c>
      <c r="U15" s="331">
        <v>3316</v>
      </c>
      <c r="V15" s="331">
        <v>3316</v>
      </c>
      <c r="W15" s="331">
        <v>3316</v>
      </c>
      <c r="X15" s="331">
        <v>3316</v>
      </c>
      <c r="Y15" s="331">
        <v>3316</v>
      </c>
      <c r="Z15" s="331">
        <v>3316</v>
      </c>
      <c r="AA15" s="331">
        <v>3316</v>
      </c>
      <c r="AB15" s="331">
        <v>3316</v>
      </c>
      <c r="AC15" s="331">
        <v>3316</v>
      </c>
      <c r="AD15" s="331">
        <v>3316</v>
      </c>
      <c r="AE15" s="331">
        <v>3316</v>
      </c>
      <c r="AF15" s="331">
        <v>3316</v>
      </c>
      <c r="AG15" s="331">
        <v>3316</v>
      </c>
      <c r="AH15" s="331">
        <v>3316</v>
      </c>
      <c r="AI15" s="331">
        <v>3316</v>
      </c>
      <c r="AJ15" s="314">
        <f t="shared" si="0"/>
        <v>36</v>
      </c>
    </row>
    <row r="16" spans="1:36">
      <c r="A16" s="306">
        <v>6</v>
      </c>
      <c r="B16" s="306" t="s">
        <v>129</v>
      </c>
      <c r="C16" s="322" t="s">
        <v>142</v>
      </c>
      <c r="D16" s="244">
        <v>153569</v>
      </c>
      <c r="E16" s="332">
        <v>153747</v>
      </c>
      <c r="F16" s="309">
        <v>154000</v>
      </c>
      <c r="G16" s="305">
        <v>154277</v>
      </c>
      <c r="H16" s="311">
        <v>154362</v>
      </c>
      <c r="I16" s="306">
        <v>154614</v>
      </c>
      <c r="J16" s="306">
        <v>154853</v>
      </c>
      <c r="K16" s="309">
        <v>154969</v>
      </c>
      <c r="L16" s="333">
        <v>155053</v>
      </c>
      <c r="M16" s="310">
        <v>155336</v>
      </c>
      <c r="N16" s="310">
        <v>155611</v>
      </c>
      <c r="O16" s="310">
        <v>155891</v>
      </c>
      <c r="P16" s="310">
        <v>156151</v>
      </c>
      <c r="Q16" s="334">
        <v>156430</v>
      </c>
      <c r="R16" s="310">
        <v>156509</v>
      </c>
      <c r="S16" s="311">
        <v>156577</v>
      </c>
      <c r="T16" s="306">
        <v>156858</v>
      </c>
      <c r="U16" s="306">
        <v>157116</v>
      </c>
      <c r="V16" s="306">
        <v>157389</v>
      </c>
      <c r="W16" s="306">
        <v>157634</v>
      </c>
      <c r="X16" s="306">
        <v>157859</v>
      </c>
      <c r="Y16" s="306">
        <v>158015</v>
      </c>
      <c r="Z16" s="306">
        <v>158114</v>
      </c>
      <c r="AA16" s="309">
        <v>158400</v>
      </c>
      <c r="AB16" s="305">
        <v>158704</v>
      </c>
      <c r="AC16" s="305">
        <v>158981</v>
      </c>
      <c r="AD16" s="305">
        <v>159258</v>
      </c>
      <c r="AE16" s="313">
        <v>159507</v>
      </c>
      <c r="AF16" s="313">
        <v>159719</v>
      </c>
      <c r="AG16" s="390">
        <v>159799</v>
      </c>
      <c r="AH16" s="310">
        <v>160082</v>
      </c>
      <c r="AI16" s="310">
        <v>160213</v>
      </c>
      <c r="AJ16" s="314">
        <f t="shared" si="0"/>
        <v>6644</v>
      </c>
    </row>
    <row r="17" spans="1:36">
      <c r="A17" s="306"/>
      <c r="B17" s="306"/>
      <c r="C17" s="325" t="s">
        <v>22</v>
      </c>
      <c r="D17" s="244">
        <v>4265</v>
      </c>
      <c r="E17" s="335">
        <v>4265</v>
      </c>
      <c r="F17" s="335">
        <v>4265</v>
      </c>
      <c r="G17" s="335">
        <v>4265</v>
      </c>
      <c r="H17" s="335">
        <v>4265</v>
      </c>
      <c r="I17" s="335">
        <v>4265</v>
      </c>
      <c r="J17" s="335">
        <v>4265</v>
      </c>
      <c r="K17" s="335">
        <v>4265</v>
      </c>
      <c r="L17" s="335">
        <v>4265</v>
      </c>
      <c r="M17" s="335">
        <v>4265</v>
      </c>
      <c r="N17" s="335">
        <v>4265</v>
      </c>
      <c r="O17" s="335">
        <v>4265</v>
      </c>
      <c r="P17" s="335">
        <v>4265</v>
      </c>
      <c r="Q17" s="335">
        <v>4265</v>
      </c>
      <c r="R17" s="335">
        <v>4265</v>
      </c>
      <c r="S17" s="335">
        <v>4297</v>
      </c>
      <c r="T17" s="335">
        <v>4297</v>
      </c>
      <c r="U17" s="335">
        <v>4297</v>
      </c>
      <c r="V17" s="335">
        <v>4297</v>
      </c>
      <c r="W17" s="335">
        <v>4297</v>
      </c>
      <c r="X17" s="335">
        <v>4297</v>
      </c>
      <c r="Y17" s="335">
        <v>4297</v>
      </c>
      <c r="Z17" s="335">
        <v>4297</v>
      </c>
      <c r="AA17" s="335">
        <v>4297</v>
      </c>
      <c r="AB17" s="335">
        <v>4297</v>
      </c>
      <c r="AC17" s="335">
        <v>4297</v>
      </c>
      <c r="AD17" s="335">
        <v>4297</v>
      </c>
      <c r="AE17" s="335">
        <v>4297</v>
      </c>
      <c r="AF17" s="335">
        <v>4297</v>
      </c>
      <c r="AG17" s="335">
        <v>4297</v>
      </c>
      <c r="AH17" s="335">
        <v>4297</v>
      </c>
      <c r="AI17" s="335">
        <v>4297</v>
      </c>
      <c r="AJ17" s="314">
        <f t="shared" si="0"/>
        <v>32</v>
      </c>
    </row>
    <row r="18" spans="1:36">
      <c r="A18" s="306">
        <v>7</v>
      </c>
      <c r="B18" s="306" t="s">
        <v>129</v>
      </c>
      <c r="C18" s="322" t="s">
        <v>117</v>
      </c>
      <c r="D18" s="244">
        <v>506717</v>
      </c>
      <c r="E18" s="311">
        <v>507458</v>
      </c>
      <c r="F18" s="306">
        <v>508242</v>
      </c>
      <c r="G18" s="306">
        <v>509082</v>
      </c>
      <c r="H18" s="306">
        <v>509409</v>
      </c>
      <c r="I18" s="306">
        <v>510133</v>
      </c>
      <c r="J18" s="306">
        <v>510895</v>
      </c>
      <c r="K18" s="306">
        <v>511414</v>
      </c>
      <c r="L18" s="306">
        <v>511903</v>
      </c>
      <c r="M18" s="306">
        <v>512676</v>
      </c>
      <c r="N18" s="336">
        <v>513427</v>
      </c>
      <c r="O18" s="306">
        <v>514269</v>
      </c>
      <c r="P18" s="306">
        <v>515084</v>
      </c>
      <c r="Q18" s="306">
        <v>515884</v>
      </c>
      <c r="R18" s="315">
        <v>516418</v>
      </c>
      <c r="S18" s="336">
        <v>516789</v>
      </c>
      <c r="T18" s="306">
        <v>517601</v>
      </c>
      <c r="U18" s="306">
        <v>518383</v>
      </c>
      <c r="V18" s="306">
        <v>519214</v>
      </c>
      <c r="W18" s="306">
        <v>520019</v>
      </c>
      <c r="X18" s="328">
        <v>520787</v>
      </c>
      <c r="Y18" s="306">
        <v>521456</v>
      </c>
      <c r="Z18" s="306">
        <v>521929</v>
      </c>
      <c r="AA18" s="309">
        <v>522725</v>
      </c>
      <c r="AB18" s="305">
        <v>523573</v>
      </c>
      <c r="AC18" s="337">
        <v>524369</v>
      </c>
      <c r="AD18" s="315">
        <v>525166</v>
      </c>
      <c r="AE18" s="318">
        <v>525974</v>
      </c>
      <c r="AF18" s="318">
        <v>526680</v>
      </c>
      <c r="AG18" s="390">
        <v>527141</v>
      </c>
      <c r="AH18" s="310">
        <v>527964</v>
      </c>
      <c r="AI18" s="310">
        <v>528403</v>
      </c>
      <c r="AJ18" s="314">
        <f t="shared" si="0"/>
        <v>21686</v>
      </c>
    </row>
    <row r="19" spans="1:36">
      <c r="A19" s="306"/>
      <c r="B19" s="306"/>
      <c r="C19" s="325" t="s">
        <v>22</v>
      </c>
      <c r="D19" s="244">
        <v>11614</v>
      </c>
      <c r="E19" s="311">
        <v>11614</v>
      </c>
      <c r="F19" s="311">
        <v>11614</v>
      </c>
      <c r="G19" s="311">
        <v>11614</v>
      </c>
      <c r="H19" s="311">
        <v>11614</v>
      </c>
      <c r="I19" s="311">
        <v>11614</v>
      </c>
      <c r="J19" s="306">
        <v>11614</v>
      </c>
      <c r="K19" s="306">
        <v>11614</v>
      </c>
      <c r="L19" s="306">
        <v>11614</v>
      </c>
      <c r="M19" s="306">
        <v>11614</v>
      </c>
      <c r="N19" s="306">
        <v>11614</v>
      </c>
      <c r="O19" s="306">
        <v>11614</v>
      </c>
      <c r="P19" s="306">
        <v>11614</v>
      </c>
      <c r="Q19" s="306">
        <v>11614</v>
      </c>
      <c r="R19" s="306">
        <v>11614</v>
      </c>
      <c r="S19" s="306">
        <v>11747</v>
      </c>
      <c r="T19" s="306">
        <v>11747</v>
      </c>
      <c r="U19" s="306">
        <v>11747</v>
      </c>
      <c r="V19" s="306">
        <v>11747</v>
      </c>
      <c r="W19" s="306">
        <v>11747</v>
      </c>
      <c r="X19" s="306">
        <v>11747</v>
      </c>
      <c r="Y19" s="306">
        <v>11747</v>
      </c>
      <c r="Z19" s="306">
        <v>11747</v>
      </c>
      <c r="AA19" s="306">
        <v>11747</v>
      </c>
      <c r="AB19" s="306">
        <v>11747</v>
      </c>
      <c r="AC19" s="306">
        <v>11747</v>
      </c>
      <c r="AD19" s="306">
        <v>11747</v>
      </c>
      <c r="AE19" s="306">
        <v>11747</v>
      </c>
      <c r="AF19" s="306">
        <v>11747</v>
      </c>
      <c r="AG19" s="306">
        <v>11747</v>
      </c>
      <c r="AH19" s="306">
        <v>11747</v>
      </c>
      <c r="AI19" s="306">
        <v>11747</v>
      </c>
      <c r="AJ19" s="314">
        <f t="shared" si="0"/>
        <v>133</v>
      </c>
    </row>
    <row r="20" spans="1:36">
      <c r="A20" s="306">
        <v>8</v>
      </c>
      <c r="B20" s="306" t="s">
        <v>129</v>
      </c>
      <c r="C20" s="322" t="s">
        <v>118</v>
      </c>
      <c r="D20" s="244">
        <v>97629</v>
      </c>
      <c r="E20" s="311">
        <v>97781</v>
      </c>
      <c r="F20" s="306">
        <v>97909</v>
      </c>
      <c r="G20" s="306">
        <v>98037</v>
      </c>
      <c r="H20" s="306">
        <v>98141</v>
      </c>
      <c r="I20" s="306">
        <v>98265</v>
      </c>
      <c r="J20" s="306">
        <v>98403</v>
      </c>
      <c r="K20" s="306">
        <v>98507</v>
      </c>
      <c r="L20" s="306">
        <v>98622</v>
      </c>
      <c r="M20" s="306">
        <v>98749</v>
      </c>
      <c r="N20" s="306">
        <v>98878</v>
      </c>
      <c r="O20" s="306">
        <v>98993</v>
      </c>
      <c r="P20" s="306">
        <v>99126</v>
      </c>
      <c r="Q20" s="306">
        <v>99243</v>
      </c>
      <c r="R20" s="306">
        <v>99363</v>
      </c>
      <c r="S20" s="306">
        <v>99452</v>
      </c>
      <c r="T20" s="306">
        <v>99569</v>
      </c>
      <c r="U20" s="306">
        <v>99690</v>
      </c>
      <c r="V20" s="306">
        <v>99806</v>
      </c>
      <c r="W20" s="306">
        <v>99924</v>
      </c>
      <c r="X20" s="306">
        <v>100022</v>
      </c>
      <c r="Y20" s="306">
        <v>100105</v>
      </c>
      <c r="Z20" s="306">
        <v>100208</v>
      </c>
      <c r="AA20" s="315">
        <v>100330</v>
      </c>
      <c r="AB20" s="315">
        <v>100450</v>
      </c>
      <c r="AC20" s="315">
        <v>100571</v>
      </c>
      <c r="AD20" s="315">
        <v>100683</v>
      </c>
      <c r="AE20" s="318">
        <v>100812</v>
      </c>
      <c r="AF20" s="318">
        <v>100939</v>
      </c>
      <c r="AG20" s="390">
        <v>101054</v>
      </c>
      <c r="AH20" s="310">
        <v>101200</v>
      </c>
      <c r="AI20" s="310">
        <v>101290</v>
      </c>
      <c r="AJ20" s="314">
        <f t="shared" si="0"/>
        <v>3661</v>
      </c>
    </row>
    <row r="21" spans="1:36">
      <c r="A21" s="306"/>
      <c r="B21" s="306"/>
      <c r="C21" s="325" t="s">
        <v>22</v>
      </c>
      <c r="D21" s="244">
        <v>2214</v>
      </c>
      <c r="E21" s="311">
        <v>2214</v>
      </c>
      <c r="F21" s="311">
        <v>2214</v>
      </c>
      <c r="G21" s="311">
        <v>2214</v>
      </c>
      <c r="H21" s="311">
        <v>2214</v>
      </c>
      <c r="I21" s="311">
        <v>2214</v>
      </c>
      <c r="J21" s="306">
        <v>2214</v>
      </c>
      <c r="K21" s="306">
        <v>2214</v>
      </c>
      <c r="L21" s="306">
        <v>2214</v>
      </c>
      <c r="M21" s="306">
        <v>2214</v>
      </c>
      <c r="N21" s="306">
        <v>2214</v>
      </c>
      <c r="O21" s="306">
        <v>2214</v>
      </c>
      <c r="P21" s="306">
        <v>2214</v>
      </c>
      <c r="Q21" s="306">
        <v>2214</v>
      </c>
      <c r="R21" s="306">
        <v>2214</v>
      </c>
      <c r="S21" s="306">
        <v>2232</v>
      </c>
      <c r="T21" s="306">
        <v>2232</v>
      </c>
      <c r="U21" s="306">
        <v>2232</v>
      </c>
      <c r="V21" s="306">
        <v>2232</v>
      </c>
      <c r="W21" s="306">
        <v>2232</v>
      </c>
      <c r="X21" s="306">
        <v>2232</v>
      </c>
      <c r="Y21" s="306">
        <v>2232</v>
      </c>
      <c r="Z21" s="306">
        <v>2232</v>
      </c>
      <c r="AA21" s="306">
        <v>2232</v>
      </c>
      <c r="AB21" s="306">
        <v>2232</v>
      </c>
      <c r="AC21" s="306">
        <v>2232</v>
      </c>
      <c r="AD21" s="306">
        <v>2232</v>
      </c>
      <c r="AE21" s="306">
        <v>2232</v>
      </c>
      <c r="AF21" s="306">
        <v>2232</v>
      </c>
      <c r="AG21" s="306">
        <v>2232</v>
      </c>
      <c r="AH21" s="306">
        <v>2232</v>
      </c>
      <c r="AI21" s="306">
        <v>2232</v>
      </c>
      <c r="AJ21" s="314">
        <f t="shared" si="0"/>
        <v>18</v>
      </c>
    </row>
    <row r="22" spans="1:36">
      <c r="A22" s="576"/>
      <c r="B22" s="495"/>
      <c r="C22" s="495"/>
      <c r="D22" s="495"/>
      <c r="E22" s="495"/>
      <c r="F22" s="495"/>
      <c r="G22" s="495"/>
      <c r="H22" s="495"/>
      <c r="I22" s="495"/>
      <c r="J22" s="495"/>
      <c r="K22" s="495"/>
      <c r="L22" s="495"/>
      <c r="M22" s="495"/>
      <c r="N22" s="495"/>
      <c r="O22" s="495"/>
      <c r="P22" s="495"/>
      <c r="Q22" s="495"/>
      <c r="R22" s="495"/>
      <c r="S22" s="495"/>
      <c r="T22" s="495"/>
      <c r="U22" s="495"/>
      <c r="V22" s="495"/>
      <c r="W22" s="495"/>
      <c r="X22" s="495"/>
      <c r="Y22" s="495"/>
      <c r="Z22" s="495"/>
      <c r="AA22" s="495"/>
      <c r="AB22" s="495"/>
      <c r="AC22" s="495"/>
      <c r="AD22" s="495"/>
      <c r="AE22" s="495"/>
      <c r="AF22" s="495"/>
      <c r="AG22" s="495"/>
      <c r="AH22" s="495"/>
      <c r="AI22" s="577"/>
    </row>
    <row r="23" spans="1:36">
      <c r="A23" s="306">
        <v>1</v>
      </c>
      <c r="B23" s="306" t="s">
        <v>129</v>
      </c>
      <c r="C23" s="322" t="s">
        <v>119</v>
      </c>
      <c r="D23" s="244">
        <v>52703</v>
      </c>
      <c r="E23" s="311">
        <v>52761</v>
      </c>
      <c r="F23" s="306">
        <v>52890</v>
      </c>
      <c r="G23" s="306">
        <v>53045</v>
      </c>
      <c r="H23" s="306">
        <v>53045</v>
      </c>
      <c r="I23" s="306">
        <v>53214</v>
      </c>
      <c r="J23" s="306">
        <v>53359</v>
      </c>
      <c r="K23" s="306">
        <v>53462</v>
      </c>
      <c r="L23" s="306">
        <v>53463</v>
      </c>
      <c r="M23" s="306">
        <v>53592</v>
      </c>
      <c r="N23" s="306">
        <v>53754</v>
      </c>
      <c r="O23" s="306">
        <v>53922</v>
      </c>
      <c r="P23" s="306">
        <v>54058</v>
      </c>
      <c r="Q23" s="306">
        <v>54212</v>
      </c>
      <c r="R23" s="306">
        <v>54253</v>
      </c>
      <c r="S23" s="306">
        <v>54253</v>
      </c>
      <c r="T23" s="306">
        <v>54392</v>
      </c>
      <c r="U23" s="306">
        <v>54549</v>
      </c>
      <c r="V23" s="306">
        <v>54698</v>
      </c>
      <c r="W23" s="306">
        <v>54808</v>
      </c>
      <c r="X23" s="306">
        <v>54945</v>
      </c>
      <c r="Y23" s="306">
        <v>55050</v>
      </c>
      <c r="Z23" s="306">
        <v>55050</v>
      </c>
      <c r="AA23" s="306">
        <v>55198</v>
      </c>
      <c r="AB23" s="306">
        <v>55364</v>
      </c>
      <c r="AC23" s="306">
        <v>55501</v>
      </c>
      <c r="AD23" s="309">
        <v>55692</v>
      </c>
      <c r="AE23" s="305">
        <v>55784</v>
      </c>
      <c r="AF23" s="305">
        <v>55911</v>
      </c>
      <c r="AG23" s="305">
        <v>55911</v>
      </c>
      <c r="AH23" s="310">
        <v>56048</v>
      </c>
      <c r="AI23" s="310">
        <v>56137</v>
      </c>
      <c r="AJ23" s="384">
        <f t="shared" ref="AJ23:AJ30" si="1">AI23-D23</f>
        <v>3434</v>
      </c>
    </row>
    <row r="24" spans="1:36">
      <c r="A24" s="306"/>
      <c r="B24" s="306"/>
      <c r="C24" s="338" t="s">
        <v>22</v>
      </c>
      <c r="D24" s="239">
        <v>1923</v>
      </c>
      <c r="E24" s="306">
        <v>1923</v>
      </c>
      <c r="F24" s="306">
        <v>1923</v>
      </c>
      <c r="G24" s="306">
        <v>1923</v>
      </c>
      <c r="H24" s="306">
        <v>1923</v>
      </c>
      <c r="I24" s="306">
        <v>1923</v>
      </c>
      <c r="J24" s="306">
        <v>1923</v>
      </c>
      <c r="K24" s="306">
        <v>1923</v>
      </c>
      <c r="L24" s="306">
        <v>1923</v>
      </c>
      <c r="M24" s="306">
        <v>1923</v>
      </c>
      <c r="N24" s="306">
        <v>1923</v>
      </c>
      <c r="O24" s="306">
        <v>1923</v>
      </c>
      <c r="P24" s="306">
        <v>1923</v>
      </c>
      <c r="Q24" s="306">
        <v>1923</v>
      </c>
      <c r="R24" s="306">
        <v>1923</v>
      </c>
      <c r="S24" s="306">
        <v>1923</v>
      </c>
      <c r="T24" s="306">
        <v>1923</v>
      </c>
      <c r="U24" s="306">
        <v>1923</v>
      </c>
      <c r="V24" s="306">
        <v>1923</v>
      </c>
      <c r="W24" s="306">
        <v>1923</v>
      </c>
      <c r="X24" s="328">
        <v>1923</v>
      </c>
      <c r="Y24" s="328">
        <v>1923</v>
      </c>
      <c r="Z24" s="328">
        <v>1923</v>
      </c>
      <c r="AA24" s="328">
        <v>1923</v>
      </c>
      <c r="AB24" s="328">
        <v>1923</v>
      </c>
      <c r="AC24" s="328">
        <v>1923</v>
      </c>
      <c r="AD24" s="329">
        <v>1923</v>
      </c>
      <c r="AE24" s="305">
        <v>1923</v>
      </c>
      <c r="AF24" s="305">
        <v>1923</v>
      </c>
      <c r="AG24" s="305">
        <v>1923</v>
      </c>
      <c r="AH24" s="305">
        <v>1923</v>
      </c>
      <c r="AI24" s="305">
        <v>1923</v>
      </c>
      <c r="AJ24" s="384">
        <f t="shared" si="1"/>
        <v>0</v>
      </c>
    </row>
    <row r="25" spans="1:36">
      <c r="A25" s="306">
        <v>2</v>
      </c>
      <c r="B25" s="306" t="s">
        <v>129</v>
      </c>
      <c r="C25" s="319" t="s">
        <v>120</v>
      </c>
      <c r="D25" s="239">
        <v>55794</v>
      </c>
      <c r="E25" s="306">
        <v>55846</v>
      </c>
      <c r="F25" s="306">
        <v>55939</v>
      </c>
      <c r="G25" s="306">
        <v>56027</v>
      </c>
      <c r="H25" s="306">
        <v>56027</v>
      </c>
      <c r="I25" s="306">
        <v>56139</v>
      </c>
      <c r="J25" s="306">
        <v>56226</v>
      </c>
      <c r="K25" s="306">
        <v>56253</v>
      </c>
      <c r="L25" s="306">
        <v>56254</v>
      </c>
      <c r="M25" s="306">
        <v>56359</v>
      </c>
      <c r="N25" s="306">
        <v>56518</v>
      </c>
      <c r="O25" s="306">
        <v>56661</v>
      </c>
      <c r="P25" s="306">
        <v>56777</v>
      </c>
      <c r="Q25" s="306">
        <v>56930</v>
      </c>
      <c r="R25" s="306">
        <v>57013</v>
      </c>
      <c r="S25" s="306">
        <v>57013</v>
      </c>
      <c r="T25" s="306">
        <v>57164</v>
      </c>
      <c r="U25" s="306">
        <v>57297</v>
      </c>
      <c r="V25" s="306">
        <v>57451</v>
      </c>
      <c r="W25" s="306">
        <v>57584</v>
      </c>
      <c r="X25" s="306">
        <v>57695</v>
      </c>
      <c r="Y25" s="306">
        <v>57755</v>
      </c>
      <c r="Z25" s="306">
        <v>57755</v>
      </c>
      <c r="AA25" s="306">
        <v>57873</v>
      </c>
      <c r="AB25" s="306">
        <v>57988</v>
      </c>
      <c r="AC25" s="306">
        <v>58082</v>
      </c>
      <c r="AD25" s="309">
        <v>58186</v>
      </c>
      <c r="AE25" s="305">
        <v>58282</v>
      </c>
      <c r="AF25" s="305">
        <v>58356</v>
      </c>
      <c r="AG25" s="390">
        <v>58356</v>
      </c>
      <c r="AH25" s="310">
        <v>58453</v>
      </c>
      <c r="AI25" s="310">
        <v>58488</v>
      </c>
      <c r="AJ25" s="384">
        <f t="shared" si="1"/>
        <v>2694</v>
      </c>
    </row>
    <row r="26" spans="1:36">
      <c r="A26" s="306"/>
      <c r="B26" s="306"/>
      <c r="C26" s="338" t="s">
        <v>22</v>
      </c>
      <c r="D26" s="241">
        <v>1911</v>
      </c>
      <c r="E26" s="306">
        <v>1911</v>
      </c>
      <c r="F26" s="306">
        <v>1911</v>
      </c>
      <c r="G26" s="306">
        <v>1911</v>
      </c>
      <c r="H26" s="306">
        <v>1911</v>
      </c>
      <c r="I26" s="306">
        <v>1911</v>
      </c>
      <c r="J26" s="306">
        <v>1911</v>
      </c>
      <c r="K26" s="306">
        <v>1911</v>
      </c>
      <c r="L26" s="306">
        <v>1911</v>
      </c>
      <c r="M26" s="306">
        <v>1911</v>
      </c>
      <c r="N26" s="306">
        <v>1911</v>
      </c>
      <c r="O26" s="306">
        <v>1911</v>
      </c>
      <c r="P26" s="306">
        <v>1911</v>
      </c>
      <c r="Q26" s="306">
        <v>1911</v>
      </c>
      <c r="R26" s="306">
        <v>1911</v>
      </c>
      <c r="S26" s="306">
        <v>1911</v>
      </c>
      <c r="T26" s="306">
        <v>1911</v>
      </c>
      <c r="U26" s="306">
        <v>1911</v>
      </c>
      <c r="V26" s="306">
        <v>1911</v>
      </c>
      <c r="W26" s="306">
        <v>1911</v>
      </c>
      <c r="X26" s="306">
        <v>1911</v>
      </c>
      <c r="Y26" s="306">
        <v>1911</v>
      </c>
      <c r="Z26" s="306">
        <v>1911</v>
      </c>
      <c r="AA26" s="306">
        <v>1911</v>
      </c>
      <c r="AB26" s="306">
        <v>1911</v>
      </c>
      <c r="AC26" s="306">
        <v>1911</v>
      </c>
      <c r="AD26" s="309">
        <v>1911</v>
      </c>
      <c r="AE26" s="309">
        <v>1911</v>
      </c>
      <c r="AF26" s="309">
        <v>1911</v>
      </c>
      <c r="AG26" s="309">
        <v>1911</v>
      </c>
      <c r="AH26" s="309">
        <v>1911</v>
      </c>
      <c r="AI26" s="309">
        <v>1911</v>
      </c>
      <c r="AJ26" s="384">
        <f t="shared" si="1"/>
        <v>0</v>
      </c>
    </row>
    <row r="27" spans="1:36">
      <c r="A27" s="306">
        <v>3</v>
      </c>
      <c r="B27" s="306" t="s">
        <v>129</v>
      </c>
      <c r="C27" s="319" t="s">
        <v>121</v>
      </c>
      <c r="D27" s="241">
        <v>68469</v>
      </c>
      <c r="E27" s="306">
        <v>68545</v>
      </c>
      <c r="F27" s="306">
        <v>68643</v>
      </c>
      <c r="G27" s="306">
        <v>68740</v>
      </c>
      <c r="H27" s="306">
        <v>68740</v>
      </c>
      <c r="I27" s="306">
        <v>68835</v>
      </c>
      <c r="J27" s="306">
        <v>68924</v>
      </c>
      <c r="K27" s="306">
        <v>68972</v>
      </c>
      <c r="L27" s="306">
        <v>68972</v>
      </c>
      <c r="M27" s="306">
        <v>69059</v>
      </c>
      <c r="N27" s="306">
        <v>69173</v>
      </c>
      <c r="O27" s="306">
        <v>69290</v>
      </c>
      <c r="P27" s="306">
        <v>69366</v>
      </c>
      <c r="Q27" s="306">
        <v>69489</v>
      </c>
      <c r="R27" s="306">
        <v>69500</v>
      </c>
      <c r="S27" s="306">
        <v>69500</v>
      </c>
      <c r="T27" s="306">
        <v>69628</v>
      </c>
      <c r="U27" s="306">
        <v>69738</v>
      </c>
      <c r="V27" s="306">
        <v>69847</v>
      </c>
      <c r="W27" s="306">
        <v>69972</v>
      </c>
      <c r="X27" s="306">
        <v>70083</v>
      </c>
      <c r="Y27" s="306">
        <v>70196</v>
      </c>
      <c r="Z27" s="306">
        <v>70196</v>
      </c>
      <c r="AA27" s="306">
        <v>70321</v>
      </c>
      <c r="AB27" s="306">
        <v>70421</v>
      </c>
      <c r="AC27" s="306">
        <v>70525</v>
      </c>
      <c r="AD27" s="309">
        <v>70617</v>
      </c>
      <c r="AE27" s="305">
        <v>70725</v>
      </c>
      <c r="AF27" s="324">
        <v>70725</v>
      </c>
      <c r="AG27" s="390">
        <v>70858</v>
      </c>
      <c r="AH27" s="310">
        <v>70992</v>
      </c>
      <c r="AI27" s="310">
        <v>71032</v>
      </c>
      <c r="AJ27" s="384">
        <f t="shared" si="1"/>
        <v>2563</v>
      </c>
    </row>
    <row r="28" spans="1:36">
      <c r="A28" s="306"/>
      <c r="B28" s="306"/>
      <c r="C28" s="338" t="s">
        <v>22</v>
      </c>
      <c r="D28" s="241">
        <v>2068</v>
      </c>
      <c r="E28" s="306">
        <v>2068</v>
      </c>
      <c r="F28" s="306">
        <v>2068</v>
      </c>
      <c r="G28" s="306">
        <v>2068</v>
      </c>
      <c r="H28" s="306">
        <v>2068</v>
      </c>
      <c r="I28" s="306">
        <v>2068</v>
      </c>
      <c r="J28" s="306">
        <v>2068</v>
      </c>
      <c r="K28" s="306">
        <v>2068</v>
      </c>
      <c r="L28" s="306">
        <v>2068</v>
      </c>
      <c r="M28" s="306">
        <v>2068</v>
      </c>
      <c r="N28" s="306">
        <v>2068</v>
      </c>
      <c r="O28" s="306">
        <v>2068</v>
      </c>
      <c r="P28" s="306">
        <v>2068</v>
      </c>
      <c r="Q28" s="306">
        <v>2068</v>
      </c>
      <c r="R28" s="306">
        <v>2068</v>
      </c>
      <c r="S28" s="306">
        <v>2068</v>
      </c>
      <c r="T28" s="306">
        <v>2068</v>
      </c>
      <c r="U28" s="306">
        <v>2068</v>
      </c>
      <c r="V28" s="306">
        <v>2068</v>
      </c>
      <c r="W28" s="306">
        <v>2068</v>
      </c>
      <c r="X28" s="306">
        <v>2068</v>
      </c>
      <c r="Y28" s="306">
        <v>2068</v>
      </c>
      <c r="Z28" s="306">
        <v>2068</v>
      </c>
      <c r="AA28" s="306">
        <v>2068</v>
      </c>
      <c r="AB28" s="306">
        <v>2068</v>
      </c>
      <c r="AC28" s="306">
        <v>2068</v>
      </c>
      <c r="AD28" s="306">
        <v>2068</v>
      </c>
      <c r="AE28" s="306">
        <v>2068</v>
      </c>
      <c r="AF28" s="306">
        <v>2068</v>
      </c>
      <c r="AG28" s="306">
        <v>2068</v>
      </c>
      <c r="AH28" s="306">
        <v>2068</v>
      </c>
      <c r="AI28" s="306">
        <v>2068</v>
      </c>
      <c r="AJ28" s="384">
        <f t="shared" si="1"/>
        <v>0</v>
      </c>
    </row>
    <row r="29" spans="1:36">
      <c r="A29" s="306">
        <v>4</v>
      </c>
      <c r="B29" s="306" t="s">
        <v>129</v>
      </c>
      <c r="C29" s="319" t="s">
        <v>122</v>
      </c>
      <c r="D29" s="239">
        <v>45373</v>
      </c>
      <c r="E29" s="306">
        <v>45407</v>
      </c>
      <c r="F29" s="306">
        <v>45525</v>
      </c>
      <c r="G29" s="306">
        <v>45646</v>
      </c>
      <c r="H29" s="306">
        <v>45646</v>
      </c>
      <c r="I29" s="306">
        <v>45764</v>
      </c>
      <c r="J29" s="306">
        <v>45888</v>
      </c>
      <c r="K29" s="306">
        <v>45892</v>
      </c>
      <c r="L29" s="306">
        <v>45892</v>
      </c>
      <c r="M29" s="306">
        <v>46014</v>
      </c>
      <c r="N29" s="306">
        <v>46133</v>
      </c>
      <c r="O29" s="306">
        <v>46271</v>
      </c>
      <c r="P29" s="306">
        <v>46335</v>
      </c>
      <c r="Q29" s="306">
        <v>46413</v>
      </c>
      <c r="R29" s="306">
        <v>46421</v>
      </c>
      <c r="S29" s="306">
        <v>46421</v>
      </c>
      <c r="T29" s="306">
        <v>46631</v>
      </c>
      <c r="U29" s="306">
        <v>46791</v>
      </c>
      <c r="V29" s="306">
        <v>46919</v>
      </c>
      <c r="W29" s="306">
        <v>47007</v>
      </c>
      <c r="X29" s="306">
        <v>47082</v>
      </c>
      <c r="Y29" s="306">
        <v>47131</v>
      </c>
      <c r="Z29" s="306">
        <v>47131</v>
      </c>
      <c r="AA29" s="306">
        <v>47186</v>
      </c>
      <c r="AB29" s="306">
        <v>47256</v>
      </c>
      <c r="AC29" s="306">
        <v>47325</v>
      </c>
      <c r="AD29" s="306">
        <v>47387</v>
      </c>
      <c r="AE29" s="318">
        <v>47511</v>
      </c>
      <c r="AF29" s="318">
        <v>47588</v>
      </c>
      <c r="AG29" s="318">
        <v>47588</v>
      </c>
      <c r="AH29" s="310">
        <v>47720</v>
      </c>
      <c r="AI29" s="310">
        <v>47765</v>
      </c>
      <c r="AJ29" s="384">
        <f t="shared" si="1"/>
        <v>2392</v>
      </c>
    </row>
    <row r="30" spans="1:36">
      <c r="A30" s="306"/>
      <c r="B30" s="306"/>
      <c r="C30" s="338" t="s">
        <v>22</v>
      </c>
      <c r="D30" s="241">
        <v>1788</v>
      </c>
      <c r="E30" s="306">
        <v>1788</v>
      </c>
      <c r="F30" s="306">
        <v>1788</v>
      </c>
      <c r="G30" s="306">
        <v>1788</v>
      </c>
      <c r="H30" s="306">
        <v>1788</v>
      </c>
      <c r="I30" s="306">
        <v>1788</v>
      </c>
      <c r="J30" s="306">
        <v>1788</v>
      </c>
      <c r="K30" s="306">
        <v>1788</v>
      </c>
      <c r="L30" s="306">
        <v>1788</v>
      </c>
      <c r="M30" s="306">
        <v>1788</v>
      </c>
      <c r="N30" s="306">
        <v>1788</v>
      </c>
      <c r="O30" s="306">
        <v>1788</v>
      </c>
      <c r="P30" s="306">
        <v>1788</v>
      </c>
      <c r="Q30" s="306">
        <v>1788</v>
      </c>
      <c r="R30" s="306">
        <v>1788</v>
      </c>
      <c r="S30" s="306">
        <v>1788</v>
      </c>
      <c r="T30" s="306">
        <v>1788</v>
      </c>
      <c r="U30" s="306">
        <v>1788</v>
      </c>
      <c r="V30" s="306">
        <v>1788</v>
      </c>
      <c r="W30" s="306">
        <v>1788</v>
      </c>
      <c r="X30" s="306">
        <v>1788</v>
      </c>
      <c r="Y30" s="306">
        <v>1788</v>
      </c>
      <c r="Z30" s="306">
        <v>1788</v>
      </c>
      <c r="AA30" s="306">
        <v>1788</v>
      </c>
      <c r="AB30" s="306">
        <v>1788</v>
      </c>
      <c r="AC30" s="306">
        <v>1788</v>
      </c>
      <c r="AD30" s="306">
        <v>1788</v>
      </c>
      <c r="AE30" s="306">
        <v>1788</v>
      </c>
      <c r="AF30" s="306">
        <v>1788</v>
      </c>
      <c r="AG30" s="306">
        <v>1788</v>
      </c>
      <c r="AH30" s="306">
        <v>1788</v>
      </c>
      <c r="AI30" s="306">
        <v>1788</v>
      </c>
      <c r="AJ30" s="384">
        <f t="shared" si="1"/>
        <v>0</v>
      </c>
    </row>
    <row r="31" spans="1:36">
      <c r="A31" s="576"/>
      <c r="B31" s="495"/>
      <c r="C31" s="495"/>
      <c r="D31" s="495"/>
      <c r="E31" s="495"/>
      <c r="F31" s="495"/>
      <c r="G31" s="495"/>
      <c r="H31" s="495"/>
      <c r="I31" s="495"/>
      <c r="J31" s="495"/>
      <c r="K31" s="495"/>
      <c r="L31" s="495"/>
      <c r="M31" s="495"/>
      <c r="N31" s="495"/>
      <c r="O31" s="495"/>
      <c r="P31" s="495"/>
      <c r="Q31" s="495"/>
      <c r="R31" s="495"/>
      <c r="S31" s="495"/>
      <c r="T31" s="495"/>
      <c r="U31" s="495"/>
      <c r="V31" s="495"/>
      <c r="W31" s="495"/>
      <c r="X31" s="495"/>
      <c r="Y31" s="495"/>
      <c r="Z31" s="495"/>
      <c r="AA31" s="495"/>
      <c r="AB31" s="495"/>
      <c r="AC31" s="495"/>
      <c r="AD31" s="495"/>
      <c r="AE31" s="495"/>
      <c r="AF31" s="495"/>
      <c r="AG31" s="495"/>
      <c r="AH31" s="495"/>
      <c r="AI31" s="577"/>
    </row>
    <row r="32" spans="1:36">
      <c r="A32" s="306">
        <v>1</v>
      </c>
      <c r="B32" s="306" t="s">
        <v>129</v>
      </c>
      <c r="C32" s="319" t="s">
        <v>123</v>
      </c>
      <c r="D32" s="256">
        <v>403490</v>
      </c>
      <c r="E32" s="382">
        <v>403619</v>
      </c>
      <c r="F32" s="383">
        <v>404104</v>
      </c>
      <c r="G32" s="383">
        <v>404520</v>
      </c>
      <c r="H32" s="383">
        <v>404590</v>
      </c>
      <c r="I32" s="382">
        <v>405024</v>
      </c>
      <c r="J32" s="383">
        <v>405570</v>
      </c>
      <c r="K32" s="383">
        <v>405845</v>
      </c>
      <c r="L32" s="383">
        <v>405845</v>
      </c>
      <c r="M32" s="382">
        <v>406401</v>
      </c>
      <c r="N32" s="383">
        <v>407025</v>
      </c>
      <c r="O32" s="383">
        <v>407461</v>
      </c>
      <c r="P32" s="383">
        <v>407962</v>
      </c>
      <c r="Q32" s="382">
        <v>408360</v>
      </c>
      <c r="R32" s="383">
        <v>408447</v>
      </c>
      <c r="S32" s="383">
        <v>408450</v>
      </c>
      <c r="T32" s="383">
        <v>408955</v>
      </c>
      <c r="U32" s="382">
        <v>409501</v>
      </c>
      <c r="V32" s="383">
        <v>410003</v>
      </c>
      <c r="W32" s="383">
        <v>410383</v>
      </c>
      <c r="X32" s="383">
        <v>410671</v>
      </c>
      <c r="Y32" s="382">
        <v>410849</v>
      </c>
      <c r="Z32" s="383">
        <v>410872</v>
      </c>
      <c r="AA32" s="383">
        <v>411414</v>
      </c>
      <c r="AB32" s="383">
        <v>411981</v>
      </c>
      <c r="AC32" s="383">
        <v>412482</v>
      </c>
      <c r="AD32" s="382">
        <v>412893</v>
      </c>
      <c r="AE32" s="383">
        <v>413316</v>
      </c>
      <c r="AF32" s="383">
        <v>413743</v>
      </c>
      <c r="AG32" s="383">
        <v>413743</v>
      </c>
      <c r="AH32" s="310">
        <v>414220</v>
      </c>
      <c r="AI32" s="310">
        <v>414628</v>
      </c>
      <c r="AJ32" s="314">
        <f>AI32-D32</f>
        <v>11138</v>
      </c>
    </row>
    <row r="33" spans="1:36">
      <c r="A33" s="306">
        <v>2</v>
      </c>
      <c r="B33" s="306" t="s">
        <v>129</v>
      </c>
      <c r="C33" s="319" t="s">
        <v>124</v>
      </c>
      <c r="D33" s="256">
        <v>378984</v>
      </c>
      <c r="E33" s="383">
        <v>379118</v>
      </c>
      <c r="F33" s="383">
        <v>379560</v>
      </c>
      <c r="G33" s="383">
        <v>380025</v>
      </c>
      <c r="H33" s="383">
        <v>380038</v>
      </c>
      <c r="I33" s="383">
        <v>380494</v>
      </c>
      <c r="J33" s="383">
        <v>381098</v>
      </c>
      <c r="K33" s="383">
        <v>381285</v>
      </c>
      <c r="L33" s="383">
        <v>381285</v>
      </c>
      <c r="M33" s="383">
        <v>381828</v>
      </c>
      <c r="N33" s="383">
        <v>382421</v>
      </c>
      <c r="O33" s="383">
        <v>382954</v>
      </c>
      <c r="P33" s="383">
        <v>383361</v>
      </c>
      <c r="Q33" s="383">
        <v>383832</v>
      </c>
      <c r="R33" s="383">
        <v>384060</v>
      </c>
      <c r="S33" s="383">
        <v>384063</v>
      </c>
      <c r="T33" s="383">
        <v>384586</v>
      </c>
      <c r="U33" s="383">
        <v>385108</v>
      </c>
      <c r="V33" s="383">
        <v>385593</v>
      </c>
      <c r="W33" s="383">
        <v>386018</v>
      </c>
      <c r="X33" s="383">
        <v>386410</v>
      </c>
      <c r="Y33" s="383">
        <v>386559</v>
      </c>
      <c r="Z33" s="383">
        <v>386586</v>
      </c>
      <c r="AA33" s="383">
        <v>387120</v>
      </c>
      <c r="AB33" s="383">
        <v>387565</v>
      </c>
      <c r="AC33" s="383">
        <v>388032</v>
      </c>
      <c r="AD33" s="383">
        <v>388499</v>
      </c>
      <c r="AE33" s="383">
        <v>388838</v>
      </c>
      <c r="AF33" s="383">
        <v>389277</v>
      </c>
      <c r="AG33" s="383">
        <v>389277</v>
      </c>
      <c r="AH33" s="310">
        <v>389838</v>
      </c>
      <c r="AI33" s="310">
        <v>390121</v>
      </c>
      <c r="AJ33" s="314">
        <f>AI33-D33</f>
        <v>11137</v>
      </c>
    </row>
    <row r="34" spans="1:36">
      <c r="A34" s="306">
        <v>3</v>
      </c>
      <c r="B34" s="306" t="s">
        <v>129</v>
      </c>
      <c r="C34" s="319" t="s">
        <v>125</v>
      </c>
      <c r="D34" s="256">
        <v>406367</v>
      </c>
      <c r="E34" s="383">
        <v>406550</v>
      </c>
      <c r="F34" s="383">
        <v>406995</v>
      </c>
      <c r="G34" s="383">
        <v>407436</v>
      </c>
      <c r="H34" s="383">
        <v>407436</v>
      </c>
      <c r="I34" s="383">
        <v>407791</v>
      </c>
      <c r="J34" s="383">
        <v>408167</v>
      </c>
      <c r="K34" s="383">
        <v>408388</v>
      </c>
      <c r="L34" s="383">
        <v>408388</v>
      </c>
      <c r="M34" s="383">
        <v>408920</v>
      </c>
      <c r="N34" s="383">
        <v>409426</v>
      </c>
      <c r="O34" s="383">
        <v>409967</v>
      </c>
      <c r="P34" s="383">
        <v>410456</v>
      </c>
      <c r="Q34" s="383">
        <v>410758</v>
      </c>
      <c r="R34" s="383">
        <v>410826</v>
      </c>
      <c r="S34" s="383">
        <v>410826</v>
      </c>
      <c r="T34" s="383">
        <v>411482</v>
      </c>
      <c r="U34" s="383">
        <v>412020</v>
      </c>
      <c r="V34" s="383">
        <v>412519</v>
      </c>
      <c r="W34" s="383">
        <v>412856</v>
      </c>
      <c r="X34" s="383">
        <v>413163</v>
      </c>
      <c r="Y34" s="383">
        <v>413479</v>
      </c>
      <c r="Z34" s="383">
        <v>413512</v>
      </c>
      <c r="AA34" s="383">
        <v>414009</v>
      </c>
      <c r="AB34" s="383">
        <v>414581</v>
      </c>
      <c r="AC34" s="383">
        <v>415186</v>
      </c>
      <c r="AD34" s="383">
        <v>415650</v>
      </c>
      <c r="AE34" s="383">
        <v>416100</v>
      </c>
      <c r="AF34" s="383">
        <v>416549</v>
      </c>
      <c r="AG34" s="383">
        <v>416549</v>
      </c>
      <c r="AH34" s="310">
        <v>417186</v>
      </c>
      <c r="AI34" s="310">
        <v>417583</v>
      </c>
      <c r="AJ34" s="314">
        <f>AI34-D34</f>
        <v>11216</v>
      </c>
    </row>
    <row r="35" spans="1:36">
      <c r="A35" s="306">
        <v>4</v>
      </c>
      <c r="B35" s="306" t="s">
        <v>129</v>
      </c>
      <c r="C35" s="319" t="s">
        <v>126</v>
      </c>
      <c r="D35" s="256">
        <v>440357</v>
      </c>
      <c r="E35" s="379">
        <v>440473</v>
      </c>
      <c r="F35" s="379">
        <v>440859</v>
      </c>
      <c r="G35" s="379">
        <v>441312</v>
      </c>
      <c r="H35" s="379">
        <v>441351</v>
      </c>
      <c r="I35" s="379">
        <v>441904</v>
      </c>
      <c r="J35" s="379">
        <v>442255</v>
      </c>
      <c r="K35" s="379">
        <v>442283</v>
      </c>
      <c r="L35" s="379">
        <v>442283</v>
      </c>
      <c r="M35" s="379">
        <v>443094</v>
      </c>
      <c r="N35" s="379">
        <v>444074</v>
      </c>
      <c r="O35" s="379">
        <v>444925</v>
      </c>
      <c r="P35" s="380">
        <v>445602</v>
      </c>
      <c r="Q35" s="379">
        <v>446161</v>
      </c>
      <c r="R35" s="379">
        <v>446322</v>
      </c>
      <c r="S35" s="379">
        <v>446358</v>
      </c>
      <c r="T35" s="379">
        <v>447161</v>
      </c>
      <c r="U35" s="379">
        <v>448035</v>
      </c>
      <c r="V35" s="379">
        <v>448774</v>
      </c>
      <c r="W35" s="379">
        <v>449455</v>
      </c>
      <c r="X35" s="379">
        <v>449977</v>
      </c>
      <c r="Y35" s="379">
        <v>450348</v>
      </c>
      <c r="Z35" s="379">
        <v>450404</v>
      </c>
      <c r="AA35" s="379">
        <v>451069</v>
      </c>
      <c r="AB35" s="379">
        <v>451781</v>
      </c>
      <c r="AC35" s="379">
        <v>452512</v>
      </c>
      <c r="AD35" s="379">
        <v>453248</v>
      </c>
      <c r="AE35" s="381">
        <v>453960</v>
      </c>
      <c r="AF35" s="381">
        <v>454602</v>
      </c>
      <c r="AG35" s="381">
        <v>454602</v>
      </c>
      <c r="AH35" s="392">
        <v>455540</v>
      </c>
      <c r="AI35" s="392">
        <v>456076</v>
      </c>
      <c r="AJ35" s="314">
        <f>AI35-D35</f>
        <v>15719</v>
      </c>
    </row>
    <row r="36" spans="1:36">
      <c r="A36" s="547"/>
      <c r="B36" s="495"/>
      <c r="C36" s="495"/>
      <c r="D36" s="495"/>
      <c r="E36" s="495"/>
      <c r="F36" s="495"/>
      <c r="G36" s="495"/>
      <c r="H36" s="495"/>
      <c r="I36" s="495"/>
      <c r="J36" s="495"/>
      <c r="K36" s="495"/>
      <c r="L36" s="495"/>
      <c r="M36" s="495"/>
      <c r="N36" s="495"/>
      <c r="O36" s="495"/>
      <c r="P36" s="495"/>
      <c r="Q36" s="495"/>
      <c r="R36" s="495"/>
      <c r="S36" s="495"/>
      <c r="T36" s="495"/>
      <c r="U36" s="495"/>
      <c r="V36" s="495"/>
      <c r="W36" s="495"/>
      <c r="X36" s="495"/>
      <c r="Y36" s="495"/>
      <c r="Z36" s="495"/>
      <c r="AA36" s="495"/>
      <c r="AB36" s="495"/>
      <c r="AC36" s="495"/>
      <c r="AD36" s="495"/>
      <c r="AE36" s="495"/>
      <c r="AF36" s="495"/>
      <c r="AG36" s="495"/>
      <c r="AH36" s="495"/>
      <c r="AI36" s="495"/>
    </row>
    <row r="37" spans="1:36">
      <c r="A37" s="495"/>
      <c r="B37" s="495"/>
      <c r="C37" s="495"/>
      <c r="D37" s="495"/>
      <c r="E37" s="495"/>
      <c r="F37" s="495"/>
      <c r="G37" s="495"/>
      <c r="H37" s="495"/>
      <c r="I37" s="495"/>
      <c r="J37" s="495"/>
      <c r="K37" s="495"/>
      <c r="L37" s="495"/>
      <c r="M37" s="495"/>
      <c r="N37" s="495"/>
      <c r="O37" s="495"/>
      <c r="P37" s="495"/>
      <c r="Q37" s="495"/>
      <c r="R37" s="495"/>
      <c r="S37" s="495"/>
      <c r="T37" s="495"/>
      <c r="U37" s="495"/>
      <c r="V37" s="495"/>
      <c r="W37" s="495"/>
      <c r="X37" s="495"/>
      <c r="Y37" s="495"/>
      <c r="Z37" s="495"/>
      <c r="AA37" s="495"/>
      <c r="AB37" s="495"/>
      <c r="AC37" s="495"/>
      <c r="AD37" s="495"/>
      <c r="AE37" s="495"/>
      <c r="AF37" s="495"/>
      <c r="AG37" s="495"/>
      <c r="AH37" s="495"/>
      <c r="AI37" s="495"/>
    </row>
    <row r="38" spans="1:36">
      <c r="A38" s="350"/>
      <c r="B38" s="551" t="s">
        <v>127</v>
      </c>
      <c r="C38" s="504"/>
      <c r="D38" s="501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350"/>
      <c r="AE38" s="350"/>
      <c r="AF38" s="350"/>
      <c r="AG38" s="350"/>
      <c r="AH38" s="350"/>
      <c r="AI38" s="350"/>
    </row>
    <row r="39" spans="1:36">
      <c r="A39" s="351"/>
      <c r="B39" s="558" t="s">
        <v>128</v>
      </c>
      <c r="C39" s="504"/>
      <c r="D39" s="50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  <c r="AA39" s="351"/>
      <c r="AB39" s="351"/>
      <c r="AC39" s="351"/>
      <c r="AD39" s="351"/>
      <c r="AE39" s="351"/>
      <c r="AF39" s="351"/>
      <c r="AG39" s="351"/>
      <c r="AH39" s="351"/>
      <c r="AI39" s="351"/>
    </row>
    <row r="40" spans="1:36" ht="15" customHeight="1">
      <c r="A40" s="541" t="s">
        <v>99</v>
      </c>
      <c r="B40" s="541" t="s">
        <v>100</v>
      </c>
      <c r="C40" s="541" t="s">
        <v>101</v>
      </c>
      <c r="D40" s="517"/>
      <c r="E40" s="301">
        <v>46082</v>
      </c>
      <c r="F40" s="301">
        <v>46083</v>
      </c>
      <c r="G40" s="301">
        <v>46084</v>
      </c>
      <c r="H40" s="301">
        <v>46085</v>
      </c>
      <c r="I40" s="301">
        <v>46086</v>
      </c>
      <c r="J40" s="301">
        <v>46087</v>
      </c>
      <c r="K40" s="301">
        <v>46088</v>
      </c>
      <c r="L40" s="301">
        <v>46089</v>
      </c>
      <c r="M40" s="301">
        <v>46090</v>
      </c>
      <c r="N40" s="301">
        <v>46091</v>
      </c>
      <c r="O40" s="301">
        <v>46092</v>
      </c>
      <c r="P40" s="301">
        <v>46093</v>
      </c>
      <c r="Q40" s="301">
        <v>46094</v>
      </c>
      <c r="R40" s="301">
        <v>46095</v>
      </c>
      <c r="S40" s="301">
        <v>46096</v>
      </c>
      <c r="T40" s="301">
        <v>46097</v>
      </c>
      <c r="U40" s="301">
        <v>46098</v>
      </c>
      <c r="V40" s="301">
        <v>46099</v>
      </c>
      <c r="W40" s="301">
        <v>46100</v>
      </c>
      <c r="X40" s="301">
        <v>46101</v>
      </c>
      <c r="Y40" s="301">
        <v>46102</v>
      </c>
      <c r="Z40" s="301">
        <v>46103</v>
      </c>
      <c r="AA40" s="301">
        <v>46104</v>
      </c>
      <c r="AB40" s="301">
        <v>46105</v>
      </c>
      <c r="AC40" s="301">
        <v>46106</v>
      </c>
      <c r="AD40" s="301">
        <v>46107</v>
      </c>
      <c r="AE40" s="301">
        <v>46108</v>
      </c>
      <c r="AF40" s="301">
        <v>46109</v>
      </c>
      <c r="AG40" s="301">
        <v>46110</v>
      </c>
      <c r="AH40" s="301">
        <v>46111</v>
      </c>
      <c r="AI40" s="301">
        <v>46112</v>
      </c>
      <c r="AJ40" s="541" t="s">
        <v>1</v>
      </c>
    </row>
    <row r="41" spans="1:36">
      <c r="A41" s="508"/>
      <c r="B41" s="508"/>
      <c r="C41" s="518"/>
      <c r="D41" s="519"/>
      <c r="E41" s="302" t="s">
        <v>105</v>
      </c>
      <c r="F41" s="302" t="s">
        <v>106</v>
      </c>
      <c r="G41" s="302" t="s">
        <v>107</v>
      </c>
      <c r="H41" s="302" t="s">
        <v>108</v>
      </c>
      <c r="I41" s="302" t="s">
        <v>109</v>
      </c>
      <c r="J41" s="302" t="s">
        <v>103</v>
      </c>
      <c r="K41" s="302" t="s">
        <v>104</v>
      </c>
      <c r="L41" s="302" t="s">
        <v>105</v>
      </c>
      <c r="M41" s="302" t="s">
        <v>106</v>
      </c>
      <c r="N41" s="302" t="s">
        <v>107</v>
      </c>
      <c r="O41" s="302" t="s">
        <v>108</v>
      </c>
      <c r="P41" s="302" t="s">
        <v>109</v>
      </c>
      <c r="Q41" s="302" t="s">
        <v>103</v>
      </c>
      <c r="R41" s="302" t="s">
        <v>104</v>
      </c>
      <c r="S41" s="302" t="s">
        <v>105</v>
      </c>
      <c r="T41" s="302" t="s">
        <v>106</v>
      </c>
      <c r="U41" s="302" t="s">
        <v>107</v>
      </c>
      <c r="V41" s="302" t="s">
        <v>108</v>
      </c>
      <c r="W41" s="302" t="s">
        <v>109</v>
      </c>
      <c r="X41" s="302" t="s">
        <v>103</v>
      </c>
      <c r="Y41" s="302" t="s">
        <v>104</v>
      </c>
      <c r="Z41" s="302" t="s">
        <v>105</v>
      </c>
      <c r="AA41" s="302" t="s">
        <v>106</v>
      </c>
      <c r="AB41" s="302" t="s">
        <v>107</v>
      </c>
      <c r="AC41" s="302" t="s">
        <v>108</v>
      </c>
      <c r="AD41" s="302" t="s">
        <v>109</v>
      </c>
      <c r="AE41" s="302" t="s">
        <v>103</v>
      </c>
      <c r="AF41" s="302" t="s">
        <v>104</v>
      </c>
      <c r="AG41" s="302" t="s">
        <v>105</v>
      </c>
      <c r="AH41" s="302" t="s">
        <v>106</v>
      </c>
      <c r="AI41" s="302" t="s">
        <v>107</v>
      </c>
      <c r="AJ41" s="508"/>
    </row>
    <row r="42" spans="1:36">
      <c r="A42" s="508"/>
      <c r="B42" s="508"/>
      <c r="C42" s="518"/>
      <c r="D42" s="519"/>
      <c r="E42" s="353" t="s">
        <v>110</v>
      </c>
      <c r="F42" s="353" t="s">
        <v>110</v>
      </c>
      <c r="G42" s="353" t="s">
        <v>110</v>
      </c>
      <c r="H42" s="353" t="s">
        <v>110</v>
      </c>
      <c r="I42" s="353" t="s">
        <v>110</v>
      </c>
      <c r="J42" s="353" t="s">
        <v>110</v>
      </c>
      <c r="K42" s="353" t="s">
        <v>110</v>
      </c>
      <c r="L42" s="353" t="s">
        <v>110</v>
      </c>
      <c r="M42" s="353" t="s">
        <v>110</v>
      </c>
      <c r="N42" s="353" t="s">
        <v>110</v>
      </c>
      <c r="O42" s="353" t="s">
        <v>110</v>
      </c>
      <c r="P42" s="353" t="s">
        <v>110</v>
      </c>
      <c r="Q42" s="353" t="s">
        <v>110</v>
      </c>
      <c r="R42" s="353" t="s">
        <v>110</v>
      </c>
      <c r="S42" s="353" t="s">
        <v>110</v>
      </c>
      <c r="T42" s="353" t="s">
        <v>110</v>
      </c>
      <c r="U42" s="353" t="s">
        <v>110</v>
      </c>
      <c r="V42" s="353" t="s">
        <v>110</v>
      </c>
      <c r="W42" s="353" t="s">
        <v>110</v>
      </c>
      <c r="X42" s="353" t="s">
        <v>110</v>
      </c>
      <c r="Y42" s="353" t="s">
        <v>110</v>
      </c>
      <c r="Z42" s="353" t="s">
        <v>110</v>
      </c>
      <c r="AA42" s="353" t="s">
        <v>110</v>
      </c>
      <c r="AB42" s="353" t="s">
        <v>110</v>
      </c>
      <c r="AC42" s="353" t="s">
        <v>110</v>
      </c>
      <c r="AD42" s="353" t="s">
        <v>110</v>
      </c>
      <c r="AE42" s="352" t="str">
        <f>AE4</f>
        <v>Time</v>
      </c>
      <c r="AF42" s="303" t="s">
        <v>110</v>
      </c>
      <c r="AG42" s="353" t="s">
        <v>110</v>
      </c>
      <c r="AH42" s="353" t="s">
        <v>110</v>
      </c>
      <c r="AI42" s="352" t="str">
        <f>AI4</f>
        <v>Time</v>
      </c>
      <c r="AJ42" s="508"/>
    </row>
    <row r="43" spans="1:36">
      <c r="A43" s="509"/>
      <c r="B43" s="509"/>
      <c r="C43" s="520"/>
      <c r="D43" s="521"/>
      <c r="E43" s="354">
        <v>0.33333333333333331</v>
      </c>
      <c r="F43" s="354">
        <v>0.33333333333333331</v>
      </c>
      <c r="G43" s="354">
        <v>0.33333333333333331</v>
      </c>
      <c r="H43" s="354">
        <v>0.33333333333333331</v>
      </c>
      <c r="I43" s="354">
        <v>0.33333333333333331</v>
      </c>
      <c r="J43" s="354">
        <v>0.33333333333333331</v>
      </c>
      <c r="K43" s="354">
        <v>0.33333333333333331</v>
      </c>
      <c r="L43" s="354">
        <v>0.33333333333333331</v>
      </c>
      <c r="M43" s="354">
        <v>0.33333333333333331</v>
      </c>
      <c r="N43" s="354">
        <v>0.33333333333333331</v>
      </c>
      <c r="O43" s="354">
        <v>0.33333333333333331</v>
      </c>
      <c r="P43" s="354">
        <v>0.33333333333333331</v>
      </c>
      <c r="Q43" s="354">
        <v>0.33333333333333331</v>
      </c>
      <c r="R43" s="354">
        <v>0.33333333333333331</v>
      </c>
      <c r="S43" s="354">
        <v>0.33333333333333331</v>
      </c>
      <c r="T43" s="354">
        <v>0.33333333333333331</v>
      </c>
      <c r="U43" s="354">
        <v>0.33333333333333331</v>
      </c>
      <c r="V43" s="354">
        <v>0.33333333333333331</v>
      </c>
      <c r="W43" s="354">
        <v>0.33333333333333331</v>
      </c>
      <c r="X43" s="354">
        <v>0.33333333333333331</v>
      </c>
      <c r="Y43" s="354">
        <v>0.33333333333333331</v>
      </c>
      <c r="Z43" s="354">
        <v>0.33333333333333331</v>
      </c>
      <c r="AA43" s="354">
        <v>0.33333333333333331</v>
      </c>
      <c r="AB43" s="354">
        <v>0.33333333333333331</v>
      </c>
      <c r="AC43" s="354">
        <v>0.33333333333333331</v>
      </c>
      <c r="AD43" s="354">
        <v>0.33333333333333331</v>
      </c>
      <c r="AE43" s="354">
        <v>0.33333333333333331</v>
      </c>
      <c r="AF43" s="304">
        <v>0.33333333333333331</v>
      </c>
      <c r="AG43" s="354">
        <v>0.33333333333333331</v>
      </c>
      <c r="AH43" s="354">
        <v>0.33333333333333331</v>
      </c>
      <c r="AI43" s="354">
        <v>0.33333333333333331</v>
      </c>
      <c r="AJ43" s="509"/>
    </row>
    <row r="44" spans="1:36">
      <c r="A44" s="306">
        <v>1</v>
      </c>
      <c r="B44" s="306" t="s">
        <v>129</v>
      </c>
      <c r="C44" s="544" t="s">
        <v>111</v>
      </c>
      <c r="D44" s="501"/>
      <c r="E44" s="355">
        <f t="shared" ref="E44:AI44" si="2">E6-D6</f>
        <v>326</v>
      </c>
      <c r="F44" s="355">
        <f t="shared" si="2"/>
        <v>250</v>
      </c>
      <c r="G44" s="355">
        <f t="shared" si="2"/>
        <v>264</v>
      </c>
      <c r="H44" s="355">
        <f t="shared" si="2"/>
        <v>205</v>
      </c>
      <c r="I44" s="355">
        <f t="shared" si="2"/>
        <v>237</v>
      </c>
      <c r="J44" s="355">
        <f t="shared" si="2"/>
        <v>246</v>
      </c>
      <c r="K44" s="355">
        <f t="shared" si="2"/>
        <v>208</v>
      </c>
      <c r="L44" s="355">
        <f t="shared" si="2"/>
        <v>204</v>
      </c>
      <c r="M44" s="355">
        <f t="shared" si="2"/>
        <v>255</v>
      </c>
      <c r="N44" s="355">
        <f t="shared" si="2"/>
        <v>256</v>
      </c>
      <c r="O44" s="355">
        <f t="shared" si="2"/>
        <v>246</v>
      </c>
      <c r="P44" s="355">
        <f t="shared" si="2"/>
        <v>256</v>
      </c>
      <c r="Q44" s="355">
        <f t="shared" si="2"/>
        <v>251</v>
      </c>
      <c r="R44" s="355">
        <f t="shared" si="2"/>
        <v>222</v>
      </c>
      <c r="S44" s="355">
        <f t="shared" si="2"/>
        <v>172</v>
      </c>
      <c r="T44" s="355">
        <f t="shared" si="2"/>
        <v>259</v>
      </c>
      <c r="U44" s="355">
        <f t="shared" si="2"/>
        <v>262</v>
      </c>
      <c r="V44" s="355">
        <f t="shared" si="2"/>
        <v>260</v>
      </c>
      <c r="W44" s="355">
        <f t="shared" si="2"/>
        <v>253</v>
      </c>
      <c r="X44" s="355">
        <f t="shared" si="2"/>
        <v>240</v>
      </c>
      <c r="Y44" s="355">
        <f t="shared" si="2"/>
        <v>203</v>
      </c>
      <c r="Z44" s="355">
        <f t="shared" si="2"/>
        <v>202</v>
      </c>
      <c r="AA44" s="355">
        <f t="shared" si="2"/>
        <v>259</v>
      </c>
      <c r="AB44" s="355">
        <f t="shared" si="2"/>
        <v>269</v>
      </c>
      <c r="AC44" s="355">
        <f t="shared" si="2"/>
        <v>255</v>
      </c>
      <c r="AD44" s="355">
        <f t="shared" si="2"/>
        <v>256</v>
      </c>
      <c r="AE44" s="355">
        <f t="shared" si="2"/>
        <v>252</v>
      </c>
      <c r="AF44" s="355">
        <f t="shared" si="2"/>
        <v>222</v>
      </c>
      <c r="AG44" s="355">
        <f t="shared" si="2"/>
        <v>189</v>
      </c>
      <c r="AH44" s="355">
        <f t="shared" si="2"/>
        <v>272</v>
      </c>
      <c r="AI44" s="355">
        <f t="shared" si="2"/>
        <v>144</v>
      </c>
      <c r="AJ44" s="356">
        <f t="shared" ref="AJ44:AJ61" si="3">SUM(H44:AH44)</f>
        <v>6411</v>
      </c>
    </row>
    <row r="45" spans="1:36">
      <c r="A45" s="306"/>
      <c r="B45" s="306"/>
      <c r="C45" s="543" t="s">
        <v>22</v>
      </c>
      <c r="D45" s="501"/>
      <c r="E45" s="355">
        <f t="shared" ref="E45:AI45" si="4">E7-D7</f>
        <v>0</v>
      </c>
      <c r="F45" s="355">
        <f t="shared" si="4"/>
        <v>0</v>
      </c>
      <c r="G45" s="355">
        <f t="shared" si="4"/>
        <v>0</v>
      </c>
      <c r="H45" s="355">
        <f t="shared" si="4"/>
        <v>0</v>
      </c>
      <c r="I45" s="355">
        <f t="shared" si="4"/>
        <v>0</v>
      </c>
      <c r="J45" s="355">
        <f t="shared" si="4"/>
        <v>0</v>
      </c>
      <c r="K45" s="355">
        <f t="shared" si="4"/>
        <v>0</v>
      </c>
      <c r="L45" s="355">
        <f t="shared" si="4"/>
        <v>0</v>
      </c>
      <c r="M45" s="355">
        <f t="shared" si="4"/>
        <v>0</v>
      </c>
      <c r="N45" s="355">
        <f t="shared" si="4"/>
        <v>0</v>
      </c>
      <c r="O45" s="355">
        <f t="shared" si="4"/>
        <v>0</v>
      </c>
      <c r="P45" s="355">
        <f t="shared" si="4"/>
        <v>0</v>
      </c>
      <c r="Q45" s="355">
        <f t="shared" si="4"/>
        <v>0</v>
      </c>
      <c r="R45" s="355">
        <f t="shared" si="4"/>
        <v>0</v>
      </c>
      <c r="S45" s="355">
        <f t="shared" si="4"/>
        <v>46</v>
      </c>
      <c r="T45" s="355">
        <f t="shared" si="4"/>
        <v>0</v>
      </c>
      <c r="U45" s="355">
        <f t="shared" si="4"/>
        <v>0</v>
      </c>
      <c r="V45" s="355">
        <f t="shared" si="4"/>
        <v>0</v>
      </c>
      <c r="W45" s="355">
        <f t="shared" si="4"/>
        <v>0</v>
      </c>
      <c r="X45" s="355">
        <f t="shared" si="4"/>
        <v>0</v>
      </c>
      <c r="Y45" s="355">
        <f t="shared" si="4"/>
        <v>0</v>
      </c>
      <c r="Z45" s="355">
        <f t="shared" si="4"/>
        <v>0</v>
      </c>
      <c r="AA45" s="355">
        <f t="shared" si="4"/>
        <v>0</v>
      </c>
      <c r="AB45" s="355">
        <f t="shared" si="4"/>
        <v>0</v>
      </c>
      <c r="AC45" s="355">
        <f t="shared" si="4"/>
        <v>0</v>
      </c>
      <c r="AD45" s="355">
        <f t="shared" si="4"/>
        <v>0</v>
      </c>
      <c r="AE45" s="355">
        <f t="shared" si="4"/>
        <v>0</v>
      </c>
      <c r="AF45" s="355">
        <f t="shared" si="4"/>
        <v>0</v>
      </c>
      <c r="AG45" s="355">
        <f t="shared" si="4"/>
        <v>0</v>
      </c>
      <c r="AH45" s="355">
        <f t="shared" si="4"/>
        <v>0</v>
      </c>
      <c r="AI45" s="355">
        <f t="shared" si="4"/>
        <v>0</v>
      </c>
      <c r="AJ45" s="356">
        <f t="shared" si="3"/>
        <v>46</v>
      </c>
    </row>
    <row r="46" spans="1:36">
      <c r="A46" s="306">
        <v>2</v>
      </c>
      <c r="B46" s="306" t="s">
        <v>129</v>
      </c>
      <c r="C46" s="544" t="s">
        <v>112</v>
      </c>
      <c r="D46" s="501"/>
      <c r="E46" s="355">
        <f t="shared" ref="E46:AI46" si="5">E8-D8</f>
        <v>0</v>
      </c>
      <c r="F46" s="355">
        <f t="shared" si="5"/>
        <v>0</v>
      </c>
      <c r="G46" s="355">
        <f t="shared" si="5"/>
        <v>0</v>
      </c>
      <c r="H46" s="355">
        <f t="shared" si="5"/>
        <v>0</v>
      </c>
      <c r="I46" s="355">
        <f t="shared" si="5"/>
        <v>0</v>
      </c>
      <c r="J46" s="355">
        <f t="shared" si="5"/>
        <v>0</v>
      </c>
      <c r="K46" s="355">
        <f t="shared" si="5"/>
        <v>0</v>
      </c>
      <c r="L46" s="355">
        <f t="shared" si="5"/>
        <v>0</v>
      </c>
      <c r="M46" s="355">
        <f t="shared" si="5"/>
        <v>0</v>
      </c>
      <c r="N46" s="355">
        <f t="shared" si="5"/>
        <v>0</v>
      </c>
      <c r="O46" s="355">
        <f t="shared" si="5"/>
        <v>0</v>
      </c>
      <c r="P46" s="355">
        <f t="shared" si="5"/>
        <v>0</v>
      </c>
      <c r="Q46" s="355">
        <f t="shared" si="5"/>
        <v>0</v>
      </c>
      <c r="R46" s="355">
        <f t="shared" si="5"/>
        <v>0</v>
      </c>
      <c r="S46" s="355">
        <f t="shared" si="5"/>
        <v>0</v>
      </c>
      <c r="T46" s="355">
        <f t="shared" si="5"/>
        <v>0</v>
      </c>
      <c r="U46" s="355">
        <f t="shared" si="5"/>
        <v>0</v>
      </c>
      <c r="V46" s="355">
        <f t="shared" si="5"/>
        <v>0</v>
      </c>
      <c r="W46" s="355">
        <f t="shared" si="5"/>
        <v>0</v>
      </c>
      <c r="X46" s="355">
        <f t="shared" si="5"/>
        <v>0</v>
      </c>
      <c r="Y46" s="355">
        <f t="shared" si="5"/>
        <v>0</v>
      </c>
      <c r="Z46" s="355">
        <f t="shared" si="5"/>
        <v>0</v>
      </c>
      <c r="AA46" s="355">
        <f t="shared" si="5"/>
        <v>0</v>
      </c>
      <c r="AB46" s="355">
        <f t="shared" si="5"/>
        <v>0</v>
      </c>
      <c r="AC46" s="355">
        <f t="shared" si="5"/>
        <v>0</v>
      </c>
      <c r="AD46" s="355">
        <f t="shared" si="5"/>
        <v>0</v>
      </c>
      <c r="AE46" s="355">
        <f t="shared" si="5"/>
        <v>0</v>
      </c>
      <c r="AF46" s="355">
        <f t="shared" si="5"/>
        <v>0</v>
      </c>
      <c r="AG46" s="355">
        <f t="shared" si="5"/>
        <v>0</v>
      </c>
      <c r="AH46" s="355">
        <f t="shared" si="5"/>
        <v>0</v>
      </c>
      <c r="AI46" s="355">
        <f t="shared" si="5"/>
        <v>0</v>
      </c>
      <c r="AJ46" s="356">
        <f t="shared" si="3"/>
        <v>0</v>
      </c>
    </row>
    <row r="47" spans="1:36">
      <c r="A47" s="306"/>
      <c r="B47" s="306"/>
      <c r="C47" s="543" t="s">
        <v>22</v>
      </c>
      <c r="D47" s="501"/>
      <c r="E47" s="355">
        <f t="shared" ref="E47:AI47" si="6">E9-D9</f>
        <v>0</v>
      </c>
      <c r="F47" s="355">
        <f t="shared" si="6"/>
        <v>0</v>
      </c>
      <c r="G47" s="355">
        <f t="shared" si="6"/>
        <v>0</v>
      </c>
      <c r="H47" s="355">
        <f t="shared" si="6"/>
        <v>0</v>
      </c>
      <c r="I47" s="355">
        <f t="shared" si="6"/>
        <v>0</v>
      </c>
      <c r="J47" s="355">
        <f t="shared" si="6"/>
        <v>0</v>
      </c>
      <c r="K47" s="355">
        <f t="shared" si="6"/>
        <v>0</v>
      </c>
      <c r="L47" s="355">
        <f t="shared" si="6"/>
        <v>0</v>
      </c>
      <c r="M47" s="355">
        <f t="shared" si="6"/>
        <v>0</v>
      </c>
      <c r="N47" s="355">
        <f t="shared" si="6"/>
        <v>0</v>
      </c>
      <c r="O47" s="355">
        <f t="shared" si="6"/>
        <v>0</v>
      </c>
      <c r="P47" s="355">
        <f t="shared" si="6"/>
        <v>0</v>
      </c>
      <c r="Q47" s="355">
        <f t="shared" si="6"/>
        <v>0</v>
      </c>
      <c r="R47" s="355">
        <f t="shared" si="6"/>
        <v>0</v>
      </c>
      <c r="S47" s="355">
        <f t="shared" si="6"/>
        <v>0</v>
      </c>
      <c r="T47" s="355">
        <f t="shared" si="6"/>
        <v>0</v>
      </c>
      <c r="U47" s="355">
        <f t="shared" si="6"/>
        <v>0</v>
      </c>
      <c r="V47" s="355">
        <f t="shared" si="6"/>
        <v>0</v>
      </c>
      <c r="W47" s="355">
        <f t="shared" si="6"/>
        <v>0</v>
      </c>
      <c r="X47" s="355">
        <f t="shared" si="6"/>
        <v>0</v>
      </c>
      <c r="Y47" s="355">
        <f t="shared" si="6"/>
        <v>0</v>
      </c>
      <c r="Z47" s="355">
        <f t="shared" si="6"/>
        <v>0</v>
      </c>
      <c r="AA47" s="355">
        <f t="shared" si="6"/>
        <v>0</v>
      </c>
      <c r="AB47" s="355">
        <f t="shared" si="6"/>
        <v>0</v>
      </c>
      <c r="AC47" s="355">
        <f t="shared" si="6"/>
        <v>0</v>
      </c>
      <c r="AD47" s="355">
        <f t="shared" si="6"/>
        <v>0</v>
      </c>
      <c r="AE47" s="355">
        <f t="shared" si="6"/>
        <v>0</v>
      </c>
      <c r="AF47" s="355">
        <f t="shared" si="6"/>
        <v>0</v>
      </c>
      <c r="AG47" s="355">
        <f t="shared" si="6"/>
        <v>0</v>
      </c>
      <c r="AH47" s="355">
        <f t="shared" si="6"/>
        <v>0</v>
      </c>
      <c r="AI47" s="355">
        <f t="shared" si="6"/>
        <v>0</v>
      </c>
      <c r="AJ47" s="356">
        <f t="shared" si="3"/>
        <v>0</v>
      </c>
    </row>
    <row r="48" spans="1:36">
      <c r="A48" s="306">
        <v>3</v>
      </c>
      <c r="B48" s="306" t="s">
        <v>129</v>
      </c>
      <c r="C48" s="544" t="s">
        <v>113</v>
      </c>
      <c r="D48" s="501"/>
      <c r="E48" s="355">
        <f t="shared" ref="E48:AI48" si="7">E10-D10</f>
        <v>424</v>
      </c>
      <c r="F48" s="355">
        <f t="shared" si="7"/>
        <v>365</v>
      </c>
      <c r="G48" s="355">
        <f t="shared" si="7"/>
        <v>377</v>
      </c>
      <c r="H48" s="355">
        <f t="shared" si="7"/>
        <v>274</v>
      </c>
      <c r="I48" s="355">
        <f t="shared" si="7"/>
        <v>338</v>
      </c>
      <c r="J48" s="355">
        <f t="shared" si="7"/>
        <v>353</v>
      </c>
      <c r="K48" s="355">
        <f t="shared" si="7"/>
        <v>278</v>
      </c>
      <c r="L48" s="355">
        <f t="shared" si="7"/>
        <v>269</v>
      </c>
      <c r="M48" s="355">
        <f t="shared" si="7"/>
        <v>370</v>
      </c>
      <c r="N48" s="355">
        <f t="shared" si="7"/>
        <v>371</v>
      </c>
      <c r="O48" s="355">
        <f t="shared" si="7"/>
        <v>357</v>
      </c>
      <c r="P48" s="355">
        <f t="shared" si="7"/>
        <v>371</v>
      </c>
      <c r="Q48" s="355">
        <f t="shared" si="7"/>
        <v>363</v>
      </c>
      <c r="R48" s="355">
        <f t="shared" si="7"/>
        <v>266</v>
      </c>
      <c r="S48" s="355">
        <f t="shared" si="7"/>
        <v>234</v>
      </c>
      <c r="T48" s="355">
        <f t="shared" si="7"/>
        <v>379</v>
      </c>
      <c r="U48" s="355">
        <f t="shared" si="7"/>
        <v>389</v>
      </c>
      <c r="V48" s="355">
        <f t="shared" si="7"/>
        <v>375</v>
      </c>
      <c r="W48" s="355">
        <f t="shared" si="7"/>
        <v>366</v>
      </c>
      <c r="X48" s="355">
        <f t="shared" si="7"/>
        <v>347</v>
      </c>
      <c r="Y48" s="355">
        <f t="shared" si="7"/>
        <v>271</v>
      </c>
      <c r="Z48" s="355">
        <f t="shared" si="7"/>
        <v>262</v>
      </c>
      <c r="AA48" s="355">
        <f t="shared" si="7"/>
        <v>377</v>
      </c>
      <c r="AB48" s="355">
        <f t="shared" si="7"/>
        <v>392</v>
      </c>
      <c r="AC48" s="355">
        <f t="shared" si="7"/>
        <v>373</v>
      </c>
      <c r="AD48" s="355">
        <f t="shared" si="7"/>
        <v>368</v>
      </c>
      <c r="AE48" s="355">
        <f t="shared" si="7"/>
        <v>368</v>
      </c>
      <c r="AF48" s="355">
        <f t="shared" si="7"/>
        <v>295</v>
      </c>
      <c r="AG48" s="355">
        <f t="shared" si="7"/>
        <v>247</v>
      </c>
      <c r="AH48" s="355">
        <f t="shared" si="7"/>
        <v>396</v>
      </c>
      <c r="AI48" s="355">
        <f t="shared" si="7"/>
        <v>210</v>
      </c>
      <c r="AJ48" s="356">
        <f t="shared" si="3"/>
        <v>9049</v>
      </c>
    </row>
    <row r="49" spans="1:36">
      <c r="A49" s="306"/>
      <c r="B49" s="306"/>
      <c r="C49" s="543" t="s">
        <v>22</v>
      </c>
      <c r="D49" s="501"/>
      <c r="E49" s="355">
        <f t="shared" ref="E49:AI49" si="8">E11-D11</f>
        <v>0</v>
      </c>
      <c r="F49" s="355">
        <f t="shared" si="8"/>
        <v>0</v>
      </c>
      <c r="G49" s="355">
        <f t="shared" si="8"/>
        <v>0</v>
      </c>
      <c r="H49" s="355">
        <f t="shared" si="8"/>
        <v>0</v>
      </c>
      <c r="I49" s="355">
        <f t="shared" si="8"/>
        <v>0</v>
      </c>
      <c r="J49" s="355">
        <f t="shared" si="8"/>
        <v>0</v>
      </c>
      <c r="K49" s="355">
        <f t="shared" si="8"/>
        <v>0</v>
      </c>
      <c r="L49" s="355">
        <f t="shared" si="8"/>
        <v>0</v>
      </c>
      <c r="M49" s="355">
        <f t="shared" si="8"/>
        <v>0</v>
      </c>
      <c r="N49" s="355">
        <f t="shared" si="8"/>
        <v>0</v>
      </c>
      <c r="O49" s="355">
        <f t="shared" si="8"/>
        <v>0</v>
      </c>
      <c r="P49" s="355">
        <f t="shared" si="8"/>
        <v>0</v>
      </c>
      <c r="Q49" s="355">
        <f t="shared" si="8"/>
        <v>0</v>
      </c>
      <c r="R49" s="355">
        <f t="shared" si="8"/>
        <v>0</v>
      </c>
      <c r="S49" s="355">
        <f t="shared" si="8"/>
        <v>62</v>
      </c>
      <c r="T49" s="355">
        <f t="shared" si="8"/>
        <v>0</v>
      </c>
      <c r="U49" s="355">
        <f t="shared" si="8"/>
        <v>0</v>
      </c>
      <c r="V49" s="355">
        <f t="shared" si="8"/>
        <v>0</v>
      </c>
      <c r="W49" s="355">
        <f t="shared" si="8"/>
        <v>0</v>
      </c>
      <c r="X49" s="355">
        <f t="shared" si="8"/>
        <v>0</v>
      </c>
      <c r="Y49" s="355">
        <f t="shared" si="8"/>
        <v>0</v>
      </c>
      <c r="Z49" s="355">
        <f t="shared" si="8"/>
        <v>0</v>
      </c>
      <c r="AA49" s="355">
        <f t="shared" si="8"/>
        <v>0</v>
      </c>
      <c r="AB49" s="355">
        <f t="shared" si="8"/>
        <v>0</v>
      </c>
      <c r="AC49" s="355">
        <f t="shared" si="8"/>
        <v>0</v>
      </c>
      <c r="AD49" s="355">
        <f t="shared" si="8"/>
        <v>0</v>
      </c>
      <c r="AE49" s="355">
        <f t="shared" si="8"/>
        <v>0</v>
      </c>
      <c r="AF49" s="355">
        <f t="shared" si="8"/>
        <v>0</v>
      </c>
      <c r="AG49" s="355">
        <f t="shared" si="8"/>
        <v>0</v>
      </c>
      <c r="AH49" s="355">
        <f t="shared" si="8"/>
        <v>0</v>
      </c>
      <c r="AI49" s="355">
        <f t="shared" si="8"/>
        <v>0</v>
      </c>
      <c r="AJ49" s="356">
        <f t="shared" si="3"/>
        <v>62</v>
      </c>
    </row>
    <row r="50" spans="1:36">
      <c r="A50" s="306">
        <v>4</v>
      </c>
      <c r="B50" s="306" t="s">
        <v>129</v>
      </c>
      <c r="C50" s="544" t="s">
        <v>114</v>
      </c>
      <c r="D50" s="501"/>
      <c r="E50" s="355">
        <f t="shared" ref="E50:AI50" si="9">E12-D12</f>
        <v>0</v>
      </c>
      <c r="F50" s="355">
        <f t="shared" si="9"/>
        <v>0</v>
      </c>
      <c r="G50" s="355">
        <f t="shared" si="9"/>
        <v>0</v>
      </c>
      <c r="H50" s="355">
        <f t="shared" si="9"/>
        <v>0</v>
      </c>
      <c r="I50" s="355">
        <f t="shared" si="9"/>
        <v>0</v>
      </c>
      <c r="J50" s="355">
        <f t="shared" si="9"/>
        <v>0</v>
      </c>
      <c r="K50" s="355">
        <f t="shared" si="9"/>
        <v>0</v>
      </c>
      <c r="L50" s="355">
        <f t="shared" si="9"/>
        <v>0</v>
      </c>
      <c r="M50" s="355">
        <f t="shared" si="9"/>
        <v>0</v>
      </c>
      <c r="N50" s="355">
        <f t="shared" si="9"/>
        <v>0</v>
      </c>
      <c r="O50" s="355">
        <f t="shared" si="9"/>
        <v>0</v>
      </c>
      <c r="P50" s="355">
        <f t="shared" si="9"/>
        <v>0</v>
      </c>
      <c r="Q50" s="355">
        <f t="shared" si="9"/>
        <v>0</v>
      </c>
      <c r="R50" s="355">
        <f t="shared" si="9"/>
        <v>0</v>
      </c>
      <c r="S50" s="355">
        <f t="shared" si="9"/>
        <v>0</v>
      </c>
      <c r="T50" s="355">
        <f t="shared" si="9"/>
        <v>0</v>
      </c>
      <c r="U50" s="355">
        <f t="shared" si="9"/>
        <v>0</v>
      </c>
      <c r="V50" s="355">
        <f t="shared" si="9"/>
        <v>0</v>
      </c>
      <c r="W50" s="355">
        <f t="shared" si="9"/>
        <v>0</v>
      </c>
      <c r="X50" s="355">
        <f t="shared" si="9"/>
        <v>0</v>
      </c>
      <c r="Y50" s="355">
        <f t="shared" si="9"/>
        <v>0</v>
      </c>
      <c r="Z50" s="355">
        <f t="shared" si="9"/>
        <v>0</v>
      </c>
      <c r="AA50" s="355">
        <f t="shared" si="9"/>
        <v>0</v>
      </c>
      <c r="AB50" s="355">
        <f t="shared" si="9"/>
        <v>0</v>
      </c>
      <c r="AC50" s="355">
        <f t="shared" si="9"/>
        <v>0</v>
      </c>
      <c r="AD50" s="355">
        <f t="shared" si="9"/>
        <v>0</v>
      </c>
      <c r="AE50" s="355">
        <f t="shared" si="9"/>
        <v>0</v>
      </c>
      <c r="AF50" s="355">
        <f t="shared" si="9"/>
        <v>0</v>
      </c>
      <c r="AG50" s="355">
        <f t="shared" si="9"/>
        <v>0</v>
      </c>
      <c r="AH50" s="355">
        <f t="shared" si="9"/>
        <v>0</v>
      </c>
      <c r="AI50" s="355">
        <f t="shared" si="9"/>
        <v>0</v>
      </c>
      <c r="AJ50" s="356">
        <f t="shared" si="3"/>
        <v>0</v>
      </c>
    </row>
    <row r="51" spans="1:36">
      <c r="A51" s="306"/>
      <c r="B51" s="306"/>
      <c r="C51" s="543" t="s">
        <v>22</v>
      </c>
      <c r="D51" s="501"/>
      <c r="E51" s="355">
        <f t="shared" ref="E51:AI51" si="10">E13-D13</f>
        <v>0</v>
      </c>
      <c r="F51" s="355">
        <f t="shared" si="10"/>
        <v>0</v>
      </c>
      <c r="G51" s="355">
        <f t="shared" si="10"/>
        <v>0</v>
      </c>
      <c r="H51" s="355">
        <f t="shared" si="10"/>
        <v>0</v>
      </c>
      <c r="I51" s="355">
        <f t="shared" si="10"/>
        <v>0</v>
      </c>
      <c r="J51" s="355">
        <f t="shared" si="10"/>
        <v>0</v>
      </c>
      <c r="K51" s="355">
        <f t="shared" si="10"/>
        <v>0</v>
      </c>
      <c r="L51" s="355">
        <f t="shared" si="10"/>
        <v>0</v>
      </c>
      <c r="M51" s="355">
        <f t="shared" si="10"/>
        <v>0</v>
      </c>
      <c r="N51" s="355">
        <f t="shared" si="10"/>
        <v>0</v>
      </c>
      <c r="O51" s="355">
        <f t="shared" si="10"/>
        <v>0</v>
      </c>
      <c r="P51" s="355">
        <f t="shared" si="10"/>
        <v>0</v>
      </c>
      <c r="Q51" s="355">
        <f t="shared" si="10"/>
        <v>0</v>
      </c>
      <c r="R51" s="355">
        <f t="shared" si="10"/>
        <v>0</v>
      </c>
      <c r="S51" s="355">
        <f t="shared" si="10"/>
        <v>0</v>
      </c>
      <c r="T51" s="355">
        <f t="shared" si="10"/>
        <v>0</v>
      </c>
      <c r="U51" s="355">
        <f t="shared" si="10"/>
        <v>0</v>
      </c>
      <c r="V51" s="355">
        <f t="shared" si="10"/>
        <v>0</v>
      </c>
      <c r="W51" s="355">
        <f t="shared" si="10"/>
        <v>0</v>
      </c>
      <c r="X51" s="355">
        <f t="shared" si="10"/>
        <v>0</v>
      </c>
      <c r="Y51" s="355">
        <f t="shared" si="10"/>
        <v>0</v>
      </c>
      <c r="Z51" s="355">
        <f t="shared" si="10"/>
        <v>0</v>
      </c>
      <c r="AA51" s="355">
        <f t="shared" si="10"/>
        <v>0</v>
      </c>
      <c r="AB51" s="355">
        <f t="shared" si="10"/>
        <v>0</v>
      </c>
      <c r="AC51" s="355">
        <f t="shared" si="10"/>
        <v>0</v>
      </c>
      <c r="AD51" s="355">
        <f t="shared" si="10"/>
        <v>0</v>
      </c>
      <c r="AE51" s="355">
        <f t="shared" si="10"/>
        <v>0</v>
      </c>
      <c r="AF51" s="355">
        <f t="shared" si="10"/>
        <v>0</v>
      </c>
      <c r="AG51" s="355">
        <f t="shared" si="10"/>
        <v>0</v>
      </c>
      <c r="AH51" s="355">
        <f t="shared" si="10"/>
        <v>0</v>
      </c>
      <c r="AI51" s="355">
        <f t="shared" si="10"/>
        <v>0</v>
      </c>
      <c r="AJ51" s="356">
        <f t="shared" si="3"/>
        <v>0</v>
      </c>
    </row>
    <row r="52" spans="1:36">
      <c r="A52" s="306">
        <v>5</v>
      </c>
      <c r="B52" s="306" t="s">
        <v>129</v>
      </c>
      <c r="C52" s="544" t="s">
        <v>115</v>
      </c>
      <c r="D52" s="501"/>
      <c r="E52" s="355">
        <f t="shared" ref="E52:AI52" si="11">E14-D14</f>
        <v>224</v>
      </c>
      <c r="F52" s="355">
        <f t="shared" si="11"/>
        <v>232</v>
      </c>
      <c r="G52" s="355">
        <f t="shared" si="11"/>
        <v>242</v>
      </c>
      <c r="H52" s="355">
        <f t="shared" si="11"/>
        <v>135</v>
      </c>
      <c r="I52" s="355">
        <f t="shared" si="11"/>
        <v>215</v>
      </c>
      <c r="J52" s="355">
        <f t="shared" si="11"/>
        <v>237</v>
      </c>
      <c r="K52" s="355">
        <f t="shared" si="11"/>
        <v>159</v>
      </c>
      <c r="L52" s="355">
        <f t="shared" si="11"/>
        <v>151</v>
      </c>
      <c r="M52" s="355">
        <f t="shared" si="11"/>
        <v>240</v>
      </c>
      <c r="N52" s="355">
        <f t="shared" si="11"/>
        <v>241</v>
      </c>
      <c r="O52" s="355">
        <f t="shared" si="11"/>
        <v>243</v>
      </c>
      <c r="P52" s="355">
        <f t="shared" si="11"/>
        <v>262</v>
      </c>
      <c r="Q52" s="355">
        <f t="shared" si="11"/>
        <v>240</v>
      </c>
      <c r="R52" s="355">
        <f t="shared" si="11"/>
        <v>159</v>
      </c>
      <c r="S52" s="355">
        <f t="shared" si="11"/>
        <v>125</v>
      </c>
      <c r="T52" s="355">
        <f t="shared" si="11"/>
        <v>253</v>
      </c>
      <c r="U52" s="355">
        <f t="shared" si="11"/>
        <v>256</v>
      </c>
      <c r="V52" s="355">
        <f t="shared" si="11"/>
        <v>255</v>
      </c>
      <c r="W52" s="355">
        <f t="shared" si="11"/>
        <v>242</v>
      </c>
      <c r="X52" s="355">
        <f t="shared" si="11"/>
        <v>231</v>
      </c>
      <c r="Y52" s="355">
        <f t="shared" si="11"/>
        <v>150</v>
      </c>
      <c r="Z52" s="355">
        <f t="shared" si="11"/>
        <v>126</v>
      </c>
      <c r="AA52" s="355">
        <f t="shared" si="11"/>
        <v>219</v>
      </c>
      <c r="AB52" s="355">
        <f t="shared" si="11"/>
        <v>263</v>
      </c>
      <c r="AC52" s="355">
        <f t="shared" si="11"/>
        <v>225</v>
      </c>
      <c r="AD52" s="355">
        <f t="shared" si="11"/>
        <v>222</v>
      </c>
      <c r="AE52" s="355">
        <f t="shared" si="11"/>
        <v>224</v>
      </c>
      <c r="AF52" s="355">
        <f t="shared" si="11"/>
        <v>178</v>
      </c>
      <c r="AG52" s="355">
        <f t="shared" si="11"/>
        <v>127</v>
      </c>
      <c r="AH52" s="355">
        <f t="shared" si="11"/>
        <v>259</v>
      </c>
      <c r="AI52" s="355">
        <f t="shared" si="11"/>
        <v>141</v>
      </c>
      <c r="AJ52" s="356">
        <f t="shared" si="3"/>
        <v>5637</v>
      </c>
    </row>
    <row r="53" spans="1:36">
      <c r="A53" s="306"/>
      <c r="B53" s="306"/>
      <c r="C53" s="543" t="s">
        <v>22</v>
      </c>
      <c r="D53" s="501"/>
      <c r="E53" s="355">
        <f t="shared" ref="E53:AI53" si="12">E15-D15</f>
        <v>0</v>
      </c>
      <c r="F53" s="355">
        <f t="shared" si="12"/>
        <v>0</v>
      </c>
      <c r="G53" s="355">
        <f t="shared" si="12"/>
        <v>0</v>
      </c>
      <c r="H53" s="355">
        <f t="shared" si="12"/>
        <v>0</v>
      </c>
      <c r="I53" s="355">
        <f t="shared" si="12"/>
        <v>0</v>
      </c>
      <c r="J53" s="355">
        <f t="shared" si="12"/>
        <v>0</v>
      </c>
      <c r="K53" s="355">
        <f t="shared" si="12"/>
        <v>0</v>
      </c>
      <c r="L53" s="355">
        <f t="shared" si="12"/>
        <v>0</v>
      </c>
      <c r="M53" s="355">
        <f t="shared" si="12"/>
        <v>0</v>
      </c>
      <c r="N53" s="355">
        <f t="shared" si="12"/>
        <v>0</v>
      </c>
      <c r="O53" s="355">
        <f t="shared" si="12"/>
        <v>0</v>
      </c>
      <c r="P53" s="355">
        <f t="shared" si="12"/>
        <v>0</v>
      </c>
      <c r="Q53" s="355">
        <f t="shared" si="12"/>
        <v>0</v>
      </c>
      <c r="R53" s="355">
        <f t="shared" si="12"/>
        <v>0</v>
      </c>
      <c r="S53" s="355">
        <f t="shared" si="12"/>
        <v>36</v>
      </c>
      <c r="T53" s="355">
        <f t="shared" si="12"/>
        <v>0</v>
      </c>
      <c r="U53" s="355">
        <f t="shared" si="12"/>
        <v>0</v>
      </c>
      <c r="V53" s="355">
        <f t="shared" si="12"/>
        <v>0</v>
      </c>
      <c r="W53" s="355">
        <f t="shared" si="12"/>
        <v>0</v>
      </c>
      <c r="X53" s="355">
        <f t="shared" si="12"/>
        <v>0</v>
      </c>
      <c r="Y53" s="355">
        <f t="shared" si="12"/>
        <v>0</v>
      </c>
      <c r="Z53" s="355">
        <f t="shared" si="12"/>
        <v>0</v>
      </c>
      <c r="AA53" s="355">
        <f t="shared" si="12"/>
        <v>0</v>
      </c>
      <c r="AB53" s="355">
        <f t="shared" si="12"/>
        <v>0</v>
      </c>
      <c r="AC53" s="355">
        <f t="shared" si="12"/>
        <v>0</v>
      </c>
      <c r="AD53" s="355">
        <f t="shared" si="12"/>
        <v>0</v>
      </c>
      <c r="AE53" s="355">
        <f t="shared" si="12"/>
        <v>0</v>
      </c>
      <c r="AF53" s="355">
        <f t="shared" si="12"/>
        <v>0</v>
      </c>
      <c r="AG53" s="355">
        <f t="shared" si="12"/>
        <v>0</v>
      </c>
      <c r="AH53" s="355">
        <f t="shared" si="12"/>
        <v>0</v>
      </c>
      <c r="AI53" s="355">
        <f t="shared" si="12"/>
        <v>0</v>
      </c>
      <c r="AJ53" s="356">
        <f t="shared" si="3"/>
        <v>36</v>
      </c>
    </row>
    <row r="54" spans="1:36">
      <c r="A54" s="306">
        <v>6</v>
      </c>
      <c r="B54" s="306" t="s">
        <v>129</v>
      </c>
      <c r="C54" s="544" t="s">
        <v>116</v>
      </c>
      <c r="D54" s="501"/>
      <c r="E54" s="355">
        <f t="shared" ref="E54:AI54" si="13">E16-D16</f>
        <v>178</v>
      </c>
      <c r="F54" s="355">
        <f t="shared" si="13"/>
        <v>253</v>
      </c>
      <c r="G54" s="355">
        <f t="shared" si="13"/>
        <v>277</v>
      </c>
      <c r="H54" s="355">
        <f t="shared" si="13"/>
        <v>85</v>
      </c>
      <c r="I54" s="355">
        <f t="shared" si="13"/>
        <v>252</v>
      </c>
      <c r="J54" s="355">
        <f t="shared" si="13"/>
        <v>239</v>
      </c>
      <c r="K54" s="355">
        <f t="shared" si="13"/>
        <v>116</v>
      </c>
      <c r="L54" s="355">
        <f t="shared" si="13"/>
        <v>84</v>
      </c>
      <c r="M54" s="355">
        <f t="shared" si="13"/>
        <v>283</v>
      </c>
      <c r="N54" s="355">
        <f t="shared" si="13"/>
        <v>275</v>
      </c>
      <c r="O54" s="355">
        <f t="shared" si="13"/>
        <v>280</v>
      </c>
      <c r="P54" s="355">
        <f t="shared" si="13"/>
        <v>260</v>
      </c>
      <c r="Q54" s="355">
        <f t="shared" si="13"/>
        <v>279</v>
      </c>
      <c r="R54" s="355">
        <f t="shared" si="13"/>
        <v>79</v>
      </c>
      <c r="S54" s="355">
        <f t="shared" si="13"/>
        <v>68</v>
      </c>
      <c r="T54" s="355">
        <f t="shared" si="13"/>
        <v>281</v>
      </c>
      <c r="U54" s="355">
        <f t="shared" si="13"/>
        <v>258</v>
      </c>
      <c r="V54" s="355">
        <f t="shared" si="13"/>
        <v>273</v>
      </c>
      <c r="W54" s="355">
        <f t="shared" si="13"/>
        <v>245</v>
      </c>
      <c r="X54" s="355">
        <f t="shared" si="13"/>
        <v>225</v>
      </c>
      <c r="Y54" s="355">
        <f t="shared" si="13"/>
        <v>156</v>
      </c>
      <c r="Z54" s="355">
        <f t="shared" si="13"/>
        <v>99</v>
      </c>
      <c r="AA54" s="355">
        <f t="shared" si="13"/>
        <v>286</v>
      </c>
      <c r="AB54" s="355">
        <f t="shared" si="13"/>
        <v>304</v>
      </c>
      <c r="AC54" s="355">
        <f t="shared" si="13"/>
        <v>277</v>
      </c>
      <c r="AD54" s="355">
        <f t="shared" si="13"/>
        <v>277</v>
      </c>
      <c r="AE54" s="355">
        <f t="shared" si="13"/>
        <v>249</v>
      </c>
      <c r="AF54" s="355">
        <f t="shared" si="13"/>
        <v>212</v>
      </c>
      <c r="AG54" s="355">
        <f t="shared" si="13"/>
        <v>80</v>
      </c>
      <c r="AH54" s="355">
        <f t="shared" si="13"/>
        <v>283</v>
      </c>
      <c r="AI54" s="355">
        <f t="shared" si="13"/>
        <v>131</v>
      </c>
      <c r="AJ54" s="356">
        <f t="shared" si="3"/>
        <v>5805</v>
      </c>
    </row>
    <row r="55" spans="1:36">
      <c r="A55" s="306"/>
      <c r="B55" s="306"/>
      <c r="C55" s="543" t="s">
        <v>22</v>
      </c>
      <c r="D55" s="501"/>
      <c r="E55" s="355">
        <f t="shared" ref="E55:AI55" si="14">E17-D17</f>
        <v>0</v>
      </c>
      <c r="F55" s="355">
        <f t="shared" si="14"/>
        <v>0</v>
      </c>
      <c r="G55" s="355">
        <f t="shared" si="14"/>
        <v>0</v>
      </c>
      <c r="H55" s="355">
        <f t="shared" si="14"/>
        <v>0</v>
      </c>
      <c r="I55" s="355">
        <f t="shared" si="14"/>
        <v>0</v>
      </c>
      <c r="J55" s="355">
        <f t="shared" si="14"/>
        <v>0</v>
      </c>
      <c r="K55" s="355">
        <f t="shared" si="14"/>
        <v>0</v>
      </c>
      <c r="L55" s="355">
        <f t="shared" si="14"/>
        <v>0</v>
      </c>
      <c r="M55" s="355">
        <f t="shared" si="14"/>
        <v>0</v>
      </c>
      <c r="N55" s="355">
        <f t="shared" si="14"/>
        <v>0</v>
      </c>
      <c r="O55" s="355">
        <f t="shared" si="14"/>
        <v>0</v>
      </c>
      <c r="P55" s="355">
        <f t="shared" si="14"/>
        <v>0</v>
      </c>
      <c r="Q55" s="355">
        <f t="shared" si="14"/>
        <v>0</v>
      </c>
      <c r="R55" s="355">
        <f t="shared" si="14"/>
        <v>0</v>
      </c>
      <c r="S55" s="355">
        <f t="shared" si="14"/>
        <v>32</v>
      </c>
      <c r="T55" s="355">
        <f t="shared" si="14"/>
        <v>0</v>
      </c>
      <c r="U55" s="355">
        <f t="shared" si="14"/>
        <v>0</v>
      </c>
      <c r="V55" s="355">
        <f t="shared" si="14"/>
        <v>0</v>
      </c>
      <c r="W55" s="355">
        <f t="shared" si="14"/>
        <v>0</v>
      </c>
      <c r="X55" s="355">
        <f t="shared" si="14"/>
        <v>0</v>
      </c>
      <c r="Y55" s="355">
        <f t="shared" si="14"/>
        <v>0</v>
      </c>
      <c r="Z55" s="355">
        <f t="shared" si="14"/>
        <v>0</v>
      </c>
      <c r="AA55" s="355">
        <f t="shared" si="14"/>
        <v>0</v>
      </c>
      <c r="AB55" s="355">
        <f t="shared" si="14"/>
        <v>0</v>
      </c>
      <c r="AC55" s="355">
        <f t="shared" si="14"/>
        <v>0</v>
      </c>
      <c r="AD55" s="355">
        <f t="shared" si="14"/>
        <v>0</v>
      </c>
      <c r="AE55" s="355">
        <f t="shared" si="14"/>
        <v>0</v>
      </c>
      <c r="AF55" s="355">
        <f t="shared" si="14"/>
        <v>0</v>
      </c>
      <c r="AG55" s="355">
        <f t="shared" si="14"/>
        <v>0</v>
      </c>
      <c r="AH55" s="355">
        <f t="shared" si="14"/>
        <v>0</v>
      </c>
      <c r="AI55" s="355">
        <f t="shared" si="14"/>
        <v>0</v>
      </c>
      <c r="AJ55" s="356">
        <f t="shared" si="3"/>
        <v>32</v>
      </c>
    </row>
    <row r="56" spans="1:36">
      <c r="A56" s="306">
        <v>7</v>
      </c>
      <c r="B56" s="306" t="s">
        <v>129</v>
      </c>
      <c r="C56" s="544" t="s">
        <v>117</v>
      </c>
      <c r="D56" s="501"/>
      <c r="E56" s="355">
        <f t="shared" ref="E56:AI56" si="15">E18-D18</f>
        <v>741</v>
      </c>
      <c r="F56" s="355">
        <f t="shared" si="15"/>
        <v>784</v>
      </c>
      <c r="G56" s="355">
        <f t="shared" si="15"/>
        <v>840</v>
      </c>
      <c r="H56" s="355">
        <f t="shared" si="15"/>
        <v>327</v>
      </c>
      <c r="I56" s="355">
        <f t="shared" si="15"/>
        <v>724</v>
      </c>
      <c r="J56" s="355">
        <f t="shared" si="15"/>
        <v>762</v>
      </c>
      <c r="K56" s="355">
        <f t="shared" si="15"/>
        <v>519</v>
      </c>
      <c r="L56" s="355">
        <f t="shared" si="15"/>
        <v>489</v>
      </c>
      <c r="M56" s="355">
        <f t="shared" si="15"/>
        <v>773</v>
      </c>
      <c r="N56" s="355">
        <f t="shared" si="15"/>
        <v>751</v>
      </c>
      <c r="O56" s="355">
        <f t="shared" si="15"/>
        <v>842</v>
      </c>
      <c r="P56" s="355">
        <f t="shared" si="15"/>
        <v>815</v>
      </c>
      <c r="Q56" s="355">
        <f t="shared" si="15"/>
        <v>800</v>
      </c>
      <c r="R56" s="355">
        <f t="shared" si="15"/>
        <v>534</v>
      </c>
      <c r="S56" s="355">
        <f t="shared" si="15"/>
        <v>371</v>
      </c>
      <c r="T56" s="355">
        <f t="shared" si="15"/>
        <v>812</v>
      </c>
      <c r="U56" s="355">
        <f t="shared" si="15"/>
        <v>782</v>
      </c>
      <c r="V56" s="355">
        <f t="shared" si="15"/>
        <v>831</v>
      </c>
      <c r="W56" s="355">
        <f t="shared" si="15"/>
        <v>805</v>
      </c>
      <c r="X56" s="355">
        <f t="shared" si="15"/>
        <v>768</v>
      </c>
      <c r="Y56" s="355">
        <f t="shared" si="15"/>
        <v>669</v>
      </c>
      <c r="Z56" s="355">
        <f t="shared" si="15"/>
        <v>473</v>
      </c>
      <c r="AA56" s="355">
        <f t="shared" si="15"/>
        <v>796</v>
      </c>
      <c r="AB56" s="355">
        <f t="shared" si="15"/>
        <v>848</v>
      </c>
      <c r="AC56" s="355">
        <f t="shared" si="15"/>
        <v>796</v>
      </c>
      <c r="AD56" s="355">
        <f t="shared" si="15"/>
        <v>797</v>
      </c>
      <c r="AE56" s="355">
        <f t="shared" si="15"/>
        <v>808</v>
      </c>
      <c r="AF56" s="355">
        <f t="shared" si="15"/>
        <v>706</v>
      </c>
      <c r="AG56" s="355">
        <f t="shared" si="15"/>
        <v>461</v>
      </c>
      <c r="AH56" s="355">
        <f t="shared" si="15"/>
        <v>823</v>
      </c>
      <c r="AI56" s="355">
        <f t="shared" si="15"/>
        <v>439</v>
      </c>
      <c r="AJ56" s="356">
        <f t="shared" si="3"/>
        <v>18882</v>
      </c>
    </row>
    <row r="57" spans="1:36">
      <c r="A57" s="306"/>
      <c r="B57" s="306"/>
      <c r="C57" s="543" t="s">
        <v>22</v>
      </c>
      <c r="D57" s="501"/>
      <c r="E57" s="355">
        <f t="shared" ref="E57:AI57" si="16">E19-D19</f>
        <v>0</v>
      </c>
      <c r="F57" s="355">
        <f t="shared" si="16"/>
        <v>0</v>
      </c>
      <c r="G57" s="355">
        <f t="shared" si="16"/>
        <v>0</v>
      </c>
      <c r="H57" s="355">
        <f t="shared" si="16"/>
        <v>0</v>
      </c>
      <c r="I57" s="355">
        <f t="shared" si="16"/>
        <v>0</v>
      </c>
      <c r="J57" s="355">
        <f t="shared" si="16"/>
        <v>0</v>
      </c>
      <c r="K57" s="355">
        <f t="shared" si="16"/>
        <v>0</v>
      </c>
      <c r="L57" s="355">
        <f t="shared" si="16"/>
        <v>0</v>
      </c>
      <c r="M57" s="355">
        <f t="shared" si="16"/>
        <v>0</v>
      </c>
      <c r="N57" s="355">
        <f t="shared" si="16"/>
        <v>0</v>
      </c>
      <c r="O57" s="355">
        <f t="shared" si="16"/>
        <v>0</v>
      </c>
      <c r="P57" s="355">
        <f t="shared" si="16"/>
        <v>0</v>
      </c>
      <c r="Q57" s="355">
        <f t="shared" si="16"/>
        <v>0</v>
      </c>
      <c r="R57" s="355">
        <f t="shared" si="16"/>
        <v>0</v>
      </c>
      <c r="S57" s="355">
        <f t="shared" si="16"/>
        <v>133</v>
      </c>
      <c r="T57" s="355">
        <f t="shared" si="16"/>
        <v>0</v>
      </c>
      <c r="U57" s="355">
        <f t="shared" si="16"/>
        <v>0</v>
      </c>
      <c r="V57" s="355">
        <f t="shared" si="16"/>
        <v>0</v>
      </c>
      <c r="W57" s="355">
        <f t="shared" si="16"/>
        <v>0</v>
      </c>
      <c r="X57" s="355">
        <f t="shared" si="16"/>
        <v>0</v>
      </c>
      <c r="Y57" s="355">
        <f t="shared" si="16"/>
        <v>0</v>
      </c>
      <c r="Z57" s="355">
        <f t="shared" si="16"/>
        <v>0</v>
      </c>
      <c r="AA57" s="355">
        <f t="shared" si="16"/>
        <v>0</v>
      </c>
      <c r="AB57" s="355">
        <f t="shared" si="16"/>
        <v>0</v>
      </c>
      <c r="AC57" s="355">
        <f t="shared" si="16"/>
        <v>0</v>
      </c>
      <c r="AD57" s="355">
        <f t="shared" si="16"/>
        <v>0</v>
      </c>
      <c r="AE57" s="355">
        <f t="shared" si="16"/>
        <v>0</v>
      </c>
      <c r="AF57" s="355">
        <f t="shared" si="16"/>
        <v>0</v>
      </c>
      <c r="AG57" s="355">
        <f t="shared" si="16"/>
        <v>0</v>
      </c>
      <c r="AH57" s="355">
        <f t="shared" si="16"/>
        <v>0</v>
      </c>
      <c r="AI57" s="355">
        <f t="shared" si="16"/>
        <v>0</v>
      </c>
      <c r="AJ57" s="356">
        <f t="shared" si="3"/>
        <v>133</v>
      </c>
    </row>
    <row r="58" spans="1:36">
      <c r="A58" s="306">
        <v>8</v>
      </c>
      <c r="B58" s="306" t="s">
        <v>129</v>
      </c>
      <c r="C58" s="544" t="s">
        <v>118</v>
      </c>
      <c r="D58" s="501"/>
      <c r="E58" s="355">
        <f t="shared" ref="E58:AI58" si="17">E20-D20</f>
        <v>152</v>
      </c>
      <c r="F58" s="355">
        <f t="shared" si="17"/>
        <v>128</v>
      </c>
      <c r="G58" s="355">
        <f t="shared" si="17"/>
        <v>128</v>
      </c>
      <c r="H58" s="355">
        <f t="shared" si="17"/>
        <v>104</v>
      </c>
      <c r="I58" s="355">
        <f t="shared" si="17"/>
        <v>124</v>
      </c>
      <c r="J58" s="355">
        <f t="shared" si="17"/>
        <v>138</v>
      </c>
      <c r="K58" s="355">
        <f t="shared" si="17"/>
        <v>104</v>
      </c>
      <c r="L58" s="355">
        <f t="shared" si="17"/>
        <v>115</v>
      </c>
      <c r="M58" s="355">
        <f t="shared" si="17"/>
        <v>127</v>
      </c>
      <c r="N58" s="355">
        <f t="shared" si="17"/>
        <v>129</v>
      </c>
      <c r="O58" s="355">
        <f t="shared" si="17"/>
        <v>115</v>
      </c>
      <c r="P58" s="355">
        <f t="shared" si="17"/>
        <v>133</v>
      </c>
      <c r="Q58" s="355">
        <f t="shared" si="17"/>
        <v>117</v>
      </c>
      <c r="R58" s="355">
        <f t="shared" si="17"/>
        <v>120</v>
      </c>
      <c r="S58" s="355">
        <f t="shared" si="17"/>
        <v>89</v>
      </c>
      <c r="T58" s="355">
        <f t="shared" si="17"/>
        <v>117</v>
      </c>
      <c r="U58" s="355">
        <f t="shared" si="17"/>
        <v>121</v>
      </c>
      <c r="V58" s="355">
        <f t="shared" si="17"/>
        <v>116</v>
      </c>
      <c r="W58" s="355">
        <f t="shared" si="17"/>
        <v>118</v>
      </c>
      <c r="X58" s="355">
        <f t="shared" si="17"/>
        <v>98</v>
      </c>
      <c r="Y58" s="355">
        <f t="shared" si="17"/>
        <v>83</v>
      </c>
      <c r="Z58" s="355">
        <f t="shared" si="17"/>
        <v>103</v>
      </c>
      <c r="AA58" s="355">
        <f t="shared" si="17"/>
        <v>122</v>
      </c>
      <c r="AB58" s="355">
        <f t="shared" si="17"/>
        <v>120</v>
      </c>
      <c r="AC58" s="355">
        <f t="shared" si="17"/>
        <v>121</v>
      </c>
      <c r="AD58" s="355">
        <f t="shared" si="17"/>
        <v>112</v>
      </c>
      <c r="AE58" s="355">
        <f t="shared" si="17"/>
        <v>129</v>
      </c>
      <c r="AF58" s="355">
        <f t="shared" si="17"/>
        <v>127</v>
      </c>
      <c r="AG58" s="355">
        <f t="shared" si="17"/>
        <v>115</v>
      </c>
      <c r="AH58" s="355">
        <f t="shared" si="17"/>
        <v>146</v>
      </c>
      <c r="AI58" s="355">
        <f t="shared" si="17"/>
        <v>90</v>
      </c>
      <c r="AJ58" s="356">
        <f t="shared" si="3"/>
        <v>3163</v>
      </c>
    </row>
    <row r="59" spans="1:36">
      <c r="A59" s="306"/>
      <c r="B59" s="306"/>
      <c r="C59" s="543" t="s">
        <v>22</v>
      </c>
      <c r="D59" s="501"/>
      <c r="E59" s="355">
        <f t="shared" ref="E59:AI59" si="18">E21-D21</f>
        <v>0</v>
      </c>
      <c r="F59" s="355">
        <f t="shared" si="18"/>
        <v>0</v>
      </c>
      <c r="G59" s="355">
        <f t="shared" si="18"/>
        <v>0</v>
      </c>
      <c r="H59" s="355">
        <f t="shared" si="18"/>
        <v>0</v>
      </c>
      <c r="I59" s="355">
        <f t="shared" si="18"/>
        <v>0</v>
      </c>
      <c r="J59" s="355">
        <f t="shared" si="18"/>
        <v>0</v>
      </c>
      <c r="K59" s="355">
        <f t="shared" si="18"/>
        <v>0</v>
      </c>
      <c r="L59" s="355">
        <f t="shared" si="18"/>
        <v>0</v>
      </c>
      <c r="M59" s="355">
        <f t="shared" si="18"/>
        <v>0</v>
      </c>
      <c r="N59" s="355">
        <f t="shared" si="18"/>
        <v>0</v>
      </c>
      <c r="O59" s="355">
        <f t="shared" si="18"/>
        <v>0</v>
      </c>
      <c r="P59" s="355">
        <f t="shared" si="18"/>
        <v>0</v>
      </c>
      <c r="Q59" s="355">
        <f t="shared" si="18"/>
        <v>0</v>
      </c>
      <c r="R59" s="355">
        <f t="shared" si="18"/>
        <v>0</v>
      </c>
      <c r="S59" s="355">
        <f t="shared" si="18"/>
        <v>18</v>
      </c>
      <c r="T59" s="355">
        <f t="shared" si="18"/>
        <v>0</v>
      </c>
      <c r="U59" s="355">
        <f t="shared" si="18"/>
        <v>0</v>
      </c>
      <c r="V59" s="355">
        <f t="shared" si="18"/>
        <v>0</v>
      </c>
      <c r="W59" s="355">
        <f t="shared" si="18"/>
        <v>0</v>
      </c>
      <c r="X59" s="355">
        <f t="shared" si="18"/>
        <v>0</v>
      </c>
      <c r="Y59" s="355">
        <f t="shared" si="18"/>
        <v>0</v>
      </c>
      <c r="Z59" s="355">
        <f t="shared" si="18"/>
        <v>0</v>
      </c>
      <c r="AA59" s="355">
        <f t="shared" si="18"/>
        <v>0</v>
      </c>
      <c r="AB59" s="355">
        <f t="shared" si="18"/>
        <v>0</v>
      </c>
      <c r="AC59" s="355">
        <f t="shared" si="18"/>
        <v>0</v>
      </c>
      <c r="AD59" s="355">
        <f t="shared" si="18"/>
        <v>0</v>
      </c>
      <c r="AE59" s="355">
        <f t="shared" si="18"/>
        <v>0</v>
      </c>
      <c r="AF59" s="355">
        <f t="shared" si="18"/>
        <v>0</v>
      </c>
      <c r="AG59" s="355">
        <f t="shared" si="18"/>
        <v>0</v>
      </c>
      <c r="AH59" s="355">
        <f t="shared" si="18"/>
        <v>0</v>
      </c>
      <c r="AI59" s="355">
        <f t="shared" si="18"/>
        <v>0</v>
      </c>
      <c r="AJ59" s="356">
        <f t="shared" si="3"/>
        <v>18</v>
      </c>
    </row>
    <row r="60" spans="1:36">
      <c r="A60" s="357"/>
      <c r="B60" s="357"/>
      <c r="C60" s="553" t="s">
        <v>130</v>
      </c>
      <c r="D60" s="501"/>
      <c r="E60" s="358">
        <f t="shared" ref="E60:AI60" si="19">SUM(E58,E56,E54,E52,E50,E48,E46,E44)</f>
        <v>2045</v>
      </c>
      <c r="F60" s="358">
        <f t="shared" si="19"/>
        <v>2012</v>
      </c>
      <c r="G60" s="358">
        <f t="shared" si="19"/>
        <v>2128</v>
      </c>
      <c r="H60" s="358">
        <f t="shared" si="19"/>
        <v>1130</v>
      </c>
      <c r="I60" s="358">
        <f t="shared" si="19"/>
        <v>1890</v>
      </c>
      <c r="J60" s="358">
        <f t="shared" si="19"/>
        <v>1975</v>
      </c>
      <c r="K60" s="358">
        <f t="shared" si="19"/>
        <v>1384</v>
      </c>
      <c r="L60" s="358">
        <f t="shared" si="19"/>
        <v>1312</v>
      </c>
      <c r="M60" s="358">
        <f t="shared" si="19"/>
        <v>2048</v>
      </c>
      <c r="N60" s="358">
        <f t="shared" si="19"/>
        <v>2023</v>
      </c>
      <c r="O60" s="358">
        <f t="shared" si="19"/>
        <v>2083</v>
      </c>
      <c r="P60" s="358">
        <f t="shared" si="19"/>
        <v>2097</v>
      </c>
      <c r="Q60" s="358">
        <f t="shared" si="19"/>
        <v>2050</v>
      </c>
      <c r="R60" s="358">
        <f t="shared" si="19"/>
        <v>1380</v>
      </c>
      <c r="S60" s="358">
        <f t="shared" si="19"/>
        <v>1059</v>
      </c>
      <c r="T60" s="358">
        <f t="shared" si="19"/>
        <v>2101</v>
      </c>
      <c r="U60" s="358">
        <f t="shared" si="19"/>
        <v>2068</v>
      </c>
      <c r="V60" s="358">
        <f t="shared" si="19"/>
        <v>2110</v>
      </c>
      <c r="W60" s="358">
        <f t="shared" si="19"/>
        <v>2029</v>
      </c>
      <c r="X60" s="358">
        <f t="shared" si="19"/>
        <v>1909</v>
      </c>
      <c r="Y60" s="358">
        <f t="shared" si="19"/>
        <v>1532</v>
      </c>
      <c r="Z60" s="358">
        <f t="shared" si="19"/>
        <v>1265</v>
      </c>
      <c r="AA60" s="358">
        <f t="shared" si="19"/>
        <v>2059</v>
      </c>
      <c r="AB60" s="358">
        <f t="shared" si="19"/>
        <v>2196</v>
      </c>
      <c r="AC60" s="358">
        <f t="shared" si="19"/>
        <v>2047</v>
      </c>
      <c r="AD60" s="358">
        <f t="shared" si="19"/>
        <v>2032</v>
      </c>
      <c r="AE60" s="358">
        <f t="shared" si="19"/>
        <v>2030</v>
      </c>
      <c r="AF60" s="358">
        <f t="shared" si="19"/>
        <v>1740</v>
      </c>
      <c r="AG60" s="358">
        <f t="shared" si="19"/>
        <v>1219</v>
      </c>
      <c r="AH60" s="358">
        <f t="shared" si="19"/>
        <v>2179</v>
      </c>
      <c r="AI60" s="358">
        <f t="shared" si="19"/>
        <v>1155</v>
      </c>
      <c r="AJ60" s="359">
        <f t="shared" si="3"/>
        <v>48947</v>
      </c>
    </row>
    <row r="61" spans="1:36">
      <c r="A61" s="357"/>
      <c r="B61" s="357"/>
      <c r="C61" s="360" t="s">
        <v>131</v>
      </c>
      <c r="D61" s="361"/>
      <c r="E61" s="358">
        <f t="shared" ref="E61:AI61" si="20">SUM(E45,E47,E49,E51,E53,E55,E57,E59)</f>
        <v>0</v>
      </c>
      <c r="F61" s="358">
        <f t="shared" si="20"/>
        <v>0</v>
      </c>
      <c r="G61" s="358">
        <f t="shared" si="20"/>
        <v>0</v>
      </c>
      <c r="H61" s="358">
        <f t="shared" si="20"/>
        <v>0</v>
      </c>
      <c r="I61" s="358">
        <f t="shared" si="20"/>
        <v>0</v>
      </c>
      <c r="J61" s="358">
        <f t="shared" si="20"/>
        <v>0</v>
      </c>
      <c r="K61" s="358">
        <f t="shared" si="20"/>
        <v>0</v>
      </c>
      <c r="L61" s="358">
        <f t="shared" si="20"/>
        <v>0</v>
      </c>
      <c r="M61" s="358">
        <f t="shared" si="20"/>
        <v>0</v>
      </c>
      <c r="N61" s="358">
        <f t="shared" si="20"/>
        <v>0</v>
      </c>
      <c r="O61" s="358">
        <f t="shared" si="20"/>
        <v>0</v>
      </c>
      <c r="P61" s="358">
        <f t="shared" si="20"/>
        <v>0</v>
      </c>
      <c r="Q61" s="358">
        <f t="shared" si="20"/>
        <v>0</v>
      </c>
      <c r="R61" s="358">
        <f t="shared" si="20"/>
        <v>0</v>
      </c>
      <c r="S61" s="358">
        <f t="shared" si="20"/>
        <v>327</v>
      </c>
      <c r="T61" s="358">
        <f t="shared" si="20"/>
        <v>0</v>
      </c>
      <c r="U61" s="358">
        <f t="shared" si="20"/>
        <v>0</v>
      </c>
      <c r="V61" s="358">
        <f t="shared" si="20"/>
        <v>0</v>
      </c>
      <c r="W61" s="358">
        <f t="shared" si="20"/>
        <v>0</v>
      </c>
      <c r="X61" s="358">
        <f t="shared" si="20"/>
        <v>0</v>
      </c>
      <c r="Y61" s="358">
        <f t="shared" si="20"/>
        <v>0</v>
      </c>
      <c r="Z61" s="358">
        <f t="shared" si="20"/>
        <v>0</v>
      </c>
      <c r="AA61" s="358">
        <f t="shared" si="20"/>
        <v>0</v>
      </c>
      <c r="AB61" s="358">
        <f t="shared" si="20"/>
        <v>0</v>
      </c>
      <c r="AC61" s="358">
        <f t="shared" si="20"/>
        <v>0</v>
      </c>
      <c r="AD61" s="358">
        <f t="shared" si="20"/>
        <v>0</v>
      </c>
      <c r="AE61" s="358">
        <f t="shared" si="20"/>
        <v>0</v>
      </c>
      <c r="AF61" s="358">
        <f t="shared" si="20"/>
        <v>0</v>
      </c>
      <c r="AG61" s="358">
        <f t="shared" si="20"/>
        <v>0</v>
      </c>
      <c r="AH61" s="358">
        <f t="shared" si="20"/>
        <v>0</v>
      </c>
      <c r="AI61" s="358">
        <f t="shared" si="20"/>
        <v>0</v>
      </c>
      <c r="AJ61" s="359">
        <f t="shared" si="3"/>
        <v>327</v>
      </c>
    </row>
    <row r="62" spans="1:36">
      <c r="A62" s="362"/>
      <c r="B62" s="362"/>
      <c r="C62" s="560" t="s">
        <v>132</v>
      </c>
      <c r="D62" s="501"/>
      <c r="E62" s="363">
        <f t="shared" ref="E62:AJ62" si="21">E60</f>
        <v>2045</v>
      </c>
      <c r="F62" s="363">
        <f t="shared" si="21"/>
        <v>2012</v>
      </c>
      <c r="G62" s="363">
        <f t="shared" si="21"/>
        <v>2128</v>
      </c>
      <c r="H62" s="363">
        <f t="shared" si="21"/>
        <v>1130</v>
      </c>
      <c r="I62" s="363">
        <f t="shared" si="21"/>
        <v>1890</v>
      </c>
      <c r="J62" s="363">
        <f t="shared" si="21"/>
        <v>1975</v>
      </c>
      <c r="K62" s="363">
        <f t="shared" si="21"/>
        <v>1384</v>
      </c>
      <c r="L62" s="363">
        <f t="shared" si="21"/>
        <v>1312</v>
      </c>
      <c r="M62" s="363">
        <f t="shared" si="21"/>
        <v>2048</v>
      </c>
      <c r="N62" s="363">
        <f t="shared" si="21"/>
        <v>2023</v>
      </c>
      <c r="O62" s="363">
        <f t="shared" si="21"/>
        <v>2083</v>
      </c>
      <c r="P62" s="363">
        <f t="shared" si="21"/>
        <v>2097</v>
      </c>
      <c r="Q62" s="363">
        <f t="shared" si="21"/>
        <v>2050</v>
      </c>
      <c r="R62" s="363">
        <f t="shared" si="21"/>
        <v>1380</v>
      </c>
      <c r="S62" s="363">
        <f t="shared" si="21"/>
        <v>1059</v>
      </c>
      <c r="T62" s="363">
        <f t="shared" si="21"/>
        <v>2101</v>
      </c>
      <c r="U62" s="363">
        <f t="shared" si="21"/>
        <v>2068</v>
      </c>
      <c r="V62" s="363">
        <f t="shared" si="21"/>
        <v>2110</v>
      </c>
      <c r="W62" s="363">
        <f t="shared" si="21"/>
        <v>2029</v>
      </c>
      <c r="X62" s="363">
        <f t="shared" si="21"/>
        <v>1909</v>
      </c>
      <c r="Y62" s="363">
        <f t="shared" si="21"/>
        <v>1532</v>
      </c>
      <c r="Z62" s="363">
        <f t="shared" si="21"/>
        <v>1265</v>
      </c>
      <c r="AA62" s="363">
        <f t="shared" si="21"/>
        <v>2059</v>
      </c>
      <c r="AB62" s="363">
        <f t="shared" si="21"/>
        <v>2196</v>
      </c>
      <c r="AC62" s="363">
        <f t="shared" si="21"/>
        <v>2047</v>
      </c>
      <c r="AD62" s="363">
        <f t="shared" si="21"/>
        <v>2032</v>
      </c>
      <c r="AE62" s="363">
        <f t="shared" si="21"/>
        <v>2030</v>
      </c>
      <c r="AF62" s="363">
        <f t="shared" si="21"/>
        <v>1740</v>
      </c>
      <c r="AG62" s="363">
        <f t="shared" si="21"/>
        <v>1219</v>
      </c>
      <c r="AH62" s="363">
        <f t="shared" si="21"/>
        <v>2179</v>
      </c>
      <c r="AI62" s="363">
        <f t="shared" si="21"/>
        <v>1155</v>
      </c>
      <c r="AJ62" s="363">
        <f t="shared" si="21"/>
        <v>48947</v>
      </c>
    </row>
    <row r="63" spans="1:36">
      <c r="A63" s="351"/>
      <c r="B63" s="364"/>
      <c r="C63" s="365"/>
      <c r="D63" s="366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</row>
    <row r="64" spans="1:36">
      <c r="A64" s="367" t="s">
        <v>133</v>
      </c>
      <c r="B64" s="367" t="s">
        <v>100</v>
      </c>
      <c r="C64" s="557" t="s">
        <v>101</v>
      </c>
      <c r="D64" s="501"/>
      <c r="E64" s="367"/>
      <c r="F64" s="367"/>
      <c r="G64" s="367"/>
      <c r="H64" s="367"/>
      <c r="I64" s="367"/>
      <c r="J64" s="367"/>
      <c r="K64" s="367"/>
      <c r="L64" s="367"/>
      <c r="M64" s="367"/>
      <c r="N64" s="367"/>
      <c r="O64" s="367"/>
      <c r="P64" s="367"/>
      <c r="Q64" s="367"/>
      <c r="R64" s="367"/>
      <c r="S64" s="367"/>
      <c r="T64" s="367"/>
      <c r="U64" s="367"/>
      <c r="V64" s="367"/>
      <c r="W64" s="367"/>
      <c r="X64" s="367"/>
      <c r="Y64" s="367"/>
      <c r="Z64" s="367"/>
      <c r="AA64" s="367"/>
      <c r="AB64" s="367"/>
      <c r="AC64" s="367"/>
      <c r="AD64" s="367"/>
      <c r="AE64" s="367"/>
      <c r="AF64" s="367"/>
      <c r="AG64" s="367"/>
      <c r="AH64" s="367"/>
      <c r="AI64" s="367"/>
      <c r="AJ64" s="368"/>
    </row>
    <row r="65" spans="1:38">
      <c r="A65" s="306">
        <v>1</v>
      </c>
      <c r="B65" s="306" t="s">
        <v>129</v>
      </c>
      <c r="C65" s="546" t="s">
        <v>119</v>
      </c>
      <c r="D65" s="501"/>
      <c r="E65" s="363">
        <f t="shared" ref="E65:AI65" si="22">E23-D23</f>
        <v>58</v>
      </c>
      <c r="F65" s="363">
        <f t="shared" si="22"/>
        <v>129</v>
      </c>
      <c r="G65" s="363">
        <f t="shared" si="22"/>
        <v>155</v>
      </c>
      <c r="H65" s="363">
        <f t="shared" si="22"/>
        <v>0</v>
      </c>
      <c r="I65" s="363">
        <f t="shared" si="22"/>
        <v>169</v>
      </c>
      <c r="J65" s="363">
        <f t="shared" si="22"/>
        <v>145</v>
      </c>
      <c r="K65" s="363">
        <f t="shared" si="22"/>
        <v>103</v>
      </c>
      <c r="L65" s="363">
        <f t="shared" si="22"/>
        <v>1</v>
      </c>
      <c r="M65" s="363">
        <f t="shared" si="22"/>
        <v>129</v>
      </c>
      <c r="N65" s="363">
        <f t="shared" si="22"/>
        <v>162</v>
      </c>
      <c r="O65" s="363">
        <f t="shared" si="22"/>
        <v>168</v>
      </c>
      <c r="P65" s="363">
        <f t="shared" si="22"/>
        <v>136</v>
      </c>
      <c r="Q65" s="363">
        <f t="shared" si="22"/>
        <v>154</v>
      </c>
      <c r="R65" s="363">
        <f t="shared" si="22"/>
        <v>41</v>
      </c>
      <c r="S65" s="363">
        <f t="shared" si="22"/>
        <v>0</v>
      </c>
      <c r="T65" s="363">
        <f t="shared" si="22"/>
        <v>139</v>
      </c>
      <c r="U65" s="363">
        <f t="shared" si="22"/>
        <v>157</v>
      </c>
      <c r="V65" s="363">
        <f t="shared" si="22"/>
        <v>149</v>
      </c>
      <c r="W65" s="363">
        <f t="shared" si="22"/>
        <v>110</v>
      </c>
      <c r="X65" s="363">
        <f t="shared" si="22"/>
        <v>137</v>
      </c>
      <c r="Y65" s="363">
        <f t="shared" si="22"/>
        <v>105</v>
      </c>
      <c r="Z65" s="363">
        <f t="shared" si="22"/>
        <v>0</v>
      </c>
      <c r="AA65" s="363">
        <f t="shared" si="22"/>
        <v>148</v>
      </c>
      <c r="AB65" s="363">
        <f t="shared" si="22"/>
        <v>166</v>
      </c>
      <c r="AC65" s="363">
        <f t="shared" si="22"/>
        <v>137</v>
      </c>
      <c r="AD65" s="363">
        <f t="shared" si="22"/>
        <v>191</v>
      </c>
      <c r="AE65" s="363">
        <f t="shared" si="22"/>
        <v>92</v>
      </c>
      <c r="AF65" s="363">
        <f t="shared" si="22"/>
        <v>127</v>
      </c>
      <c r="AG65" s="363">
        <f t="shared" si="22"/>
        <v>0</v>
      </c>
      <c r="AH65" s="363">
        <f t="shared" si="22"/>
        <v>137</v>
      </c>
      <c r="AI65" s="363">
        <f t="shared" si="22"/>
        <v>89</v>
      </c>
      <c r="AJ65" s="363">
        <f t="shared" ref="AJ65:AJ79" si="23">SUM(E65:AI65)</f>
        <v>3434</v>
      </c>
    </row>
    <row r="66" spans="1:38">
      <c r="A66" s="306"/>
      <c r="B66" s="306"/>
      <c r="C66" s="554" t="s">
        <v>22</v>
      </c>
      <c r="D66" s="501"/>
      <c r="E66" s="363">
        <f t="shared" ref="E66:AI66" si="24">E24-D24</f>
        <v>0</v>
      </c>
      <c r="F66" s="363">
        <f t="shared" si="24"/>
        <v>0</v>
      </c>
      <c r="G66" s="363">
        <f t="shared" si="24"/>
        <v>0</v>
      </c>
      <c r="H66" s="363">
        <f t="shared" si="24"/>
        <v>0</v>
      </c>
      <c r="I66" s="363">
        <f t="shared" si="24"/>
        <v>0</v>
      </c>
      <c r="J66" s="363">
        <f t="shared" si="24"/>
        <v>0</v>
      </c>
      <c r="K66" s="363">
        <f t="shared" si="24"/>
        <v>0</v>
      </c>
      <c r="L66" s="363">
        <f t="shared" si="24"/>
        <v>0</v>
      </c>
      <c r="M66" s="363">
        <f t="shared" si="24"/>
        <v>0</v>
      </c>
      <c r="N66" s="363">
        <f t="shared" si="24"/>
        <v>0</v>
      </c>
      <c r="O66" s="363">
        <f t="shared" si="24"/>
        <v>0</v>
      </c>
      <c r="P66" s="363">
        <f t="shared" si="24"/>
        <v>0</v>
      </c>
      <c r="Q66" s="363">
        <f t="shared" si="24"/>
        <v>0</v>
      </c>
      <c r="R66" s="363">
        <f t="shared" si="24"/>
        <v>0</v>
      </c>
      <c r="S66" s="363">
        <f t="shared" si="24"/>
        <v>0</v>
      </c>
      <c r="T66" s="363">
        <f t="shared" si="24"/>
        <v>0</v>
      </c>
      <c r="U66" s="363">
        <f t="shared" si="24"/>
        <v>0</v>
      </c>
      <c r="V66" s="363">
        <f t="shared" si="24"/>
        <v>0</v>
      </c>
      <c r="W66" s="363">
        <f t="shared" si="24"/>
        <v>0</v>
      </c>
      <c r="X66" s="363">
        <f t="shared" si="24"/>
        <v>0</v>
      </c>
      <c r="Y66" s="363">
        <f t="shared" si="24"/>
        <v>0</v>
      </c>
      <c r="Z66" s="363">
        <f t="shared" si="24"/>
        <v>0</v>
      </c>
      <c r="AA66" s="363">
        <f t="shared" si="24"/>
        <v>0</v>
      </c>
      <c r="AB66" s="363">
        <f t="shared" si="24"/>
        <v>0</v>
      </c>
      <c r="AC66" s="363">
        <f t="shared" si="24"/>
        <v>0</v>
      </c>
      <c r="AD66" s="363">
        <f t="shared" si="24"/>
        <v>0</v>
      </c>
      <c r="AE66" s="363">
        <f t="shared" si="24"/>
        <v>0</v>
      </c>
      <c r="AF66" s="363">
        <f t="shared" si="24"/>
        <v>0</v>
      </c>
      <c r="AG66" s="363">
        <f t="shared" si="24"/>
        <v>0</v>
      </c>
      <c r="AH66" s="363">
        <f t="shared" si="24"/>
        <v>0</v>
      </c>
      <c r="AI66" s="363">
        <f t="shared" si="24"/>
        <v>0</v>
      </c>
      <c r="AJ66" s="363">
        <f t="shared" si="23"/>
        <v>0</v>
      </c>
    </row>
    <row r="67" spans="1:38">
      <c r="A67" s="306">
        <v>2</v>
      </c>
      <c r="B67" s="306" t="s">
        <v>129</v>
      </c>
      <c r="C67" s="546" t="s">
        <v>120</v>
      </c>
      <c r="D67" s="501"/>
      <c r="E67" s="363">
        <f t="shared" ref="E67:AI67" si="25">E25-D25</f>
        <v>52</v>
      </c>
      <c r="F67" s="363">
        <f t="shared" si="25"/>
        <v>93</v>
      </c>
      <c r="G67" s="363">
        <f t="shared" si="25"/>
        <v>88</v>
      </c>
      <c r="H67" s="363">
        <f t="shared" si="25"/>
        <v>0</v>
      </c>
      <c r="I67" s="363">
        <f t="shared" si="25"/>
        <v>112</v>
      </c>
      <c r="J67" s="363">
        <f t="shared" si="25"/>
        <v>87</v>
      </c>
      <c r="K67" s="363">
        <f t="shared" si="25"/>
        <v>27</v>
      </c>
      <c r="L67" s="363">
        <f t="shared" si="25"/>
        <v>1</v>
      </c>
      <c r="M67" s="363">
        <f t="shared" si="25"/>
        <v>105</v>
      </c>
      <c r="N67" s="363">
        <f t="shared" si="25"/>
        <v>159</v>
      </c>
      <c r="O67" s="363">
        <f t="shared" si="25"/>
        <v>143</v>
      </c>
      <c r="P67" s="363">
        <f t="shared" si="25"/>
        <v>116</v>
      </c>
      <c r="Q67" s="363">
        <f t="shared" si="25"/>
        <v>153</v>
      </c>
      <c r="R67" s="363">
        <f t="shared" si="25"/>
        <v>83</v>
      </c>
      <c r="S67" s="363">
        <f t="shared" si="25"/>
        <v>0</v>
      </c>
      <c r="T67" s="363">
        <f t="shared" si="25"/>
        <v>151</v>
      </c>
      <c r="U67" s="363">
        <f t="shared" si="25"/>
        <v>133</v>
      </c>
      <c r="V67" s="363">
        <f t="shared" si="25"/>
        <v>154</v>
      </c>
      <c r="W67" s="363">
        <f t="shared" si="25"/>
        <v>133</v>
      </c>
      <c r="X67" s="363">
        <f t="shared" si="25"/>
        <v>111</v>
      </c>
      <c r="Y67" s="363">
        <f t="shared" si="25"/>
        <v>60</v>
      </c>
      <c r="Z67" s="363">
        <f t="shared" si="25"/>
        <v>0</v>
      </c>
      <c r="AA67" s="363">
        <f t="shared" si="25"/>
        <v>118</v>
      </c>
      <c r="AB67" s="363">
        <f t="shared" si="25"/>
        <v>115</v>
      </c>
      <c r="AC67" s="363">
        <f t="shared" si="25"/>
        <v>94</v>
      </c>
      <c r="AD67" s="363">
        <f t="shared" si="25"/>
        <v>104</v>
      </c>
      <c r="AE67" s="363">
        <f t="shared" si="25"/>
        <v>96</v>
      </c>
      <c r="AF67" s="363">
        <f t="shared" si="25"/>
        <v>74</v>
      </c>
      <c r="AG67" s="363">
        <f t="shared" si="25"/>
        <v>0</v>
      </c>
      <c r="AH67" s="363">
        <f t="shared" si="25"/>
        <v>97</v>
      </c>
      <c r="AI67" s="363">
        <f t="shared" si="25"/>
        <v>35</v>
      </c>
      <c r="AJ67" s="363">
        <f t="shared" si="23"/>
        <v>2694</v>
      </c>
    </row>
    <row r="68" spans="1:38">
      <c r="A68" s="306"/>
      <c r="B68" s="306"/>
      <c r="C68" s="554" t="s">
        <v>22</v>
      </c>
      <c r="D68" s="501"/>
      <c r="E68" s="363">
        <f t="shared" ref="E68:AI68" si="26">E26-D26</f>
        <v>0</v>
      </c>
      <c r="F68" s="363">
        <f t="shared" si="26"/>
        <v>0</v>
      </c>
      <c r="G68" s="363">
        <f t="shared" si="26"/>
        <v>0</v>
      </c>
      <c r="H68" s="363">
        <f t="shared" si="26"/>
        <v>0</v>
      </c>
      <c r="I68" s="363">
        <f t="shared" si="26"/>
        <v>0</v>
      </c>
      <c r="J68" s="363">
        <f t="shared" si="26"/>
        <v>0</v>
      </c>
      <c r="K68" s="363">
        <f t="shared" si="26"/>
        <v>0</v>
      </c>
      <c r="L68" s="363">
        <f t="shared" si="26"/>
        <v>0</v>
      </c>
      <c r="M68" s="363">
        <f t="shared" si="26"/>
        <v>0</v>
      </c>
      <c r="N68" s="363">
        <f t="shared" si="26"/>
        <v>0</v>
      </c>
      <c r="O68" s="363">
        <f t="shared" si="26"/>
        <v>0</v>
      </c>
      <c r="P68" s="363">
        <f t="shared" si="26"/>
        <v>0</v>
      </c>
      <c r="Q68" s="363">
        <f t="shared" si="26"/>
        <v>0</v>
      </c>
      <c r="R68" s="363">
        <f t="shared" si="26"/>
        <v>0</v>
      </c>
      <c r="S68" s="363">
        <f t="shared" si="26"/>
        <v>0</v>
      </c>
      <c r="T68" s="363">
        <f t="shared" si="26"/>
        <v>0</v>
      </c>
      <c r="U68" s="363">
        <f t="shared" si="26"/>
        <v>0</v>
      </c>
      <c r="V68" s="363">
        <f t="shared" si="26"/>
        <v>0</v>
      </c>
      <c r="W68" s="363">
        <f t="shared" si="26"/>
        <v>0</v>
      </c>
      <c r="X68" s="363">
        <f t="shared" si="26"/>
        <v>0</v>
      </c>
      <c r="Y68" s="363">
        <f t="shared" si="26"/>
        <v>0</v>
      </c>
      <c r="Z68" s="363">
        <f t="shared" si="26"/>
        <v>0</v>
      </c>
      <c r="AA68" s="363">
        <f t="shared" si="26"/>
        <v>0</v>
      </c>
      <c r="AB68" s="363">
        <f t="shared" si="26"/>
        <v>0</v>
      </c>
      <c r="AC68" s="363">
        <f t="shared" si="26"/>
        <v>0</v>
      </c>
      <c r="AD68" s="363">
        <f t="shared" si="26"/>
        <v>0</v>
      </c>
      <c r="AE68" s="363">
        <f t="shared" si="26"/>
        <v>0</v>
      </c>
      <c r="AF68" s="363">
        <f t="shared" si="26"/>
        <v>0</v>
      </c>
      <c r="AG68" s="363">
        <f t="shared" si="26"/>
        <v>0</v>
      </c>
      <c r="AH68" s="363">
        <f t="shared" si="26"/>
        <v>0</v>
      </c>
      <c r="AI68" s="363">
        <f t="shared" si="26"/>
        <v>0</v>
      </c>
      <c r="AJ68" s="363">
        <f t="shared" si="23"/>
        <v>0</v>
      </c>
      <c r="AK68" s="115" t="s">
        <v>20</v>
      </c>
      <c r="AL68" s="116">
        <f>AJ60</f>
        <v>48947</v>
      </c>
    </row>
    <row r="69" spans="1:38">
      <c r="A69" s="306">
        <v>3</v>
      </c>
      <c r="B69" s="306" t="s">
        <v>129</v>
      </c>
      <c r="C69" s="546" t="s">
        <v>121</v>
      </c>
      <c r="D69" s="501"/>
      <c r="E69" s="363">
        <f t="shared" ref="E69:AI69" si="27">E27-D27</f>
        <v>76</v>
      </c>
      <c r="F69" s="363">
        <f t="shared" si="27"/>
        <v>98</v>
      </c>
      <c r="G69" s="363">
        <f t="shared" si="27"/>
        <v>97</v>
      </c>
      <c r="H69" s="363">
        <f t="shared" si="27"/>
        <v>0</v>
      </c>
      <c r="I69" s="363">
        <f t="shared" si="27"/>
        <v>95</v>
      </c>
      <c r="J69" s="363">
        <f t="shared" si="27"/>
        <v>89</v>
      </c>
      <c r="K69" s="363">
        <f t="shared" si="27"/>
        <v>48</v>
      </c>
      <c r="L69" s="363">
        <f t="shared" si="27"/>
        <v>0</v>
      </c>
      <c r="M69" s="363">
        <f t="shared" si="27"/>
        <v>87</v>
      </c>
      <c r="N69" s="363">
        <f t="shared" si="27"/>
        <v>114</v>
      </c>
      <c r="O69" s="363">
        <f t="shared" si="27"/>
        <v>117</v>
      </c>
      <c r="P69" s="363">
        <f t="shared" si="27"/>
        <v>76</v>
      </c>
      <c r="Q69" s="363">
        <f t="shared" si="27"/>
        <v>123</v>
      </c>
      <c r="R69" s="363">
        <f t="shared" si="27"/>
        <v>11</v>
      </c>
      <c r="S69" s="363">
        <f t="shared" si="27"/>
        <v>0</v>
      </c>
      <c r="T69" s="363">
        <f t="shared" si="27"/>
        <v>128</v>
      </c>
      <c r="U69" s="363">
        <f t="shared" si="27"/>
        <v>110</v>
      </c>
      <c r="V69" s="363">
        <f t="shared" si="27"/>
        <v>109</v>
      </c>
      <c r="W69" s="363">
        <f t="shared" si="27"/>
        <v>125</v>
      </c>
      <c r="X69" s="363">
        <f t="shared" si="27"/>
        <v>111</v>
      </c>
      <c r="Y69" s="363">
        <f t="shared" si="27"/>
        <v>113</v>
      </c>
      <c r="Z69" s="363">
        <f t="shared" si="27"/>
        <v>0</v>
      </c>
      <c r="AA69" s="363">
        <f t="shared" si="27"/>
        <v>125</v>
      </c>
      <c r="AB69" s="363">
        <f t="shared" si="27"/>
        <v>100</v>
      </c>
      <c r="AC69" s="363">
        <f t="shared" si="27"/>
        <v>104</v>
      </c>
      <c r="AD69" s="363">
        <f t="shared" si="27"/>
        <v>92</v>
      </c>
      <c r="AE69" s="363">
        <f t="shared" si="27"/>
        <v>108</v>
      </c>
      <c r="AF69" s="363">
        <f t="shared" si="27"/>
        <v>0</v>
      </c>
      <c r="AG69" s="363">
        <f t="shared" si="27"/>
        <v>133</v>
      </c>
      <c r="AH69" s="363">
        <f t="shared" si="27"/>
        <v>134</v>
      </c>
      <c r="AI69" s="363">
        <f t="shared" si="27"/>
        <v>40</v>
      </c>
      <c r="AJ69" s="363">
        <f t="shared" si="23"/>
        <v>2563</v>
      </c>
      <c r="AK69" s="115" t="s">
        <v>21</v>
      </c>
      <c r="AL69" s="116">
        <f>AJ73</f>
        <v>11083</v>
      </c>
    </row>
    <row r="70" spans="1:38">
      <c r="A70" s="306"/>
      <c r="B70" s="306"/>
      <c r="C70" s="554" t="s">
        <v>22</v>
      </c>
      <c r="D70" s="501"/>
      <c r="E70" s="363">
        <f t="shared" ref="E70:AI70" si="28">E28-D28</f>
        <v>0</v>
      </c>
      <c r="F70" s="363">
        <f t="shared" si="28"/>
        <v>0</v>
      </c>
      <c r="G70" s="363">
        <f t="shared" si="28"/>
        <v>0</v>
      </c>
      <c r="H70" s="363">
        <f t="shared" si="28"/>
        <v>0</v>
      </c>
      <c r="I70" s="363">
        <f t="shared" si="28"/>
        <v>0</v>
      </c>
      <c r="J70" s="363">
        <f t="shared" si="28"/>
        <v>0</v>
      </c>
      <c r="K70" s="363">
        <f t="shared" si="28"/>
        <v>0</v>
      </c>
      <c r="L70" s="363">
        <f t="shared" si="28"/>
        <v>0</v>
      </c>
      <c r="M70" s="363">
        <f t="shared" si="28"/>
        <v>0</v>
      </c>
      <c r="N70" s="363">
        <f t="shared" si="28"/>
        <v>0</v>
      </c>
      <c r="O70" s="363">
        <f t="shared" si="28"/>
        <v>0</v>
      </c>
      <c r="P70" s="363">
        <f t="shared" si="28"/>
        <v>0</v>
      </c>
      <c r="Q70" s="363">
        <f t="shared" si="28"/>
        <v>0</v>
      </c>
      <c r="R70" s="363">
        <f t="shared" si="28"/>
        <v>0</v>
      </c>
      <c r="S70" s="363">
        <f t="shared" si="28"/>
        <v>0</v>
      </c>
      <c r="T70" s="363">
        <f t="shared" si="28"/>
        <v>0</v>
      </c>
      <c r="U70" s="363">
        <f t="shared" si="28"/>
        <v>0</v>
      </c>
      <c r="V70" s="363">
        <f t="shared" si="28"/>
        <v>0</v>
      </c>
      <c r="W70" s="363">
        <f t="shared" si="28"/>
        <v>0</v>
      </c>
      <c r="X70" s="363">
        <f t="shared" si="28"/>
        <v>0</v>
      </c>
      <c r="Y70" s="363">
        <f t="shared" si="28"/>
        <v>0</v>
      </c>
      <c r="Z70" s="363">
        <f t="shared" si="28"/>
        <v>0</v>
      </c>
      <c r="AA70" s="363">
        <f t="shared" si="28"/>
        <v>0</v>
      </c>
      <c r="AB70" s="363">
        <f t="shared" si="28"/>
        <v>0</v>
      </c>
      <c r="AC70" s="363">
        <f t="shared" si="28"/>
        <v>0</v>
      </c>
      <c r="AD70" s="363">
        <f t="shared" si="28"/>
        <v>0</v>
      </c>
      <c r="AE70" s="363">
        <f t="shared" si="28"/>
        <v>0</v>
      </c>
      <c r="AF70" s="363">
        <f t="shared" si="28"/>
        <v>0</v>
      </c>
      <c r="AG70" s="363">
        <f t="shared" si="28"/>
        <v>0</v>
      </c>
      <c r="AH70" s="363">
        <f t="shared" si="28"/>
        <v>0</v>
      </c>
      <c r="AI70" s="363">
        <f t="shared" si="28"/>
        <v>0</v>
      </c>
      <c r="AJ70" s="363">
        <f t="shared" si="23"/>
        <v>0</v>
      </c>
      <c r="AK70" s="115" t="s">
        <v>23</v>
      </c>
      <c r="AL70" s="116">
        <f>AJ79*40%</f>
        <v>19684</v>
      </c>
    </row>
    <row r="71" spans="1:38">
      <c r="A71" s="306">
        <v>4</v>
      </c>
      <c r="B71" s="306" t="s">
        <v>129</v>
      </c>
      <c r="C71" s="546" t="s">
        <v>122</v>
      </c>
      <c r="D71" s="501"/>
      <c r="E71" s="363">
        <f t="shared" ref="E71:AI71" si="29">E29-D29</f>
        <v>34</v>
      </c>
      <c r="F71" s="363">
        <f t="shared" si="29"/>
        <v>118</v>
      </c>
      <c r="G71" s="363">
        <f t="shared" si="29"/>
        <v>121</v>
      </c>
      <c r="H71" s="363">
        <f t="shared" si="29"/>
        <v>0</v>
      </c>
      <c r="I71" s="363">
        <f t="shared" si="29"/>
        <v>118</v>
      </c>
      <c r="J71" s="363">
        <f t="shared" si="29"/>
        <v>124</v>
      </c>
      <c r="K71" s="363">
        <f t="shared" si="29"/>
        <v>4</v>
      </c>
      <c r="L71" s="363">
        <f t="shared" si="29"/>
        <v>0</v>
      </c>
      <c r="M71" s="363">
        <f t="shared" si="29"/>
        <v>122</v>
      </c>
      <c r="N71" s="363">
        <f t="shared" si="29"/>
        <v>119</v>
      </c>
      <c r="O71" s="363">
        <f t="shared" si="29"/>
        <v>138</v>
      </c>
      <c r="P71" s="363">
        <f t="shared" si="29"/>
        <v>64</v>
      </c>
      <c r="Q71" s="363">
        <f t="shared" si="29"/>
        <v>78</v>
      </c>
      <c r="R71" s="363">
        <f t="shared" si="29"/>
        <v>8</v>
      </c>
      <c r="S71" s="363">
        <f t="shared" si="29"/>
        <v>0</v>
      </c>
      <c r="T71" s="363">
        <f t="shared" si="29"/>
        <v>210</v>
      </c>
      <c r="U71" s="363">
        <f t="shared" si="29"/>
        <v>160</v>
      </c>
      <c r="V71" s="363">
        <f t="shared" si="29"/>
        <v>128</v>
      </c>
      <c r="W71" s="363">
        <f t="shared" si="29"/>
        <v>88</v>
      </c>
      <c r="X71" s="363">
        <f t="shared" si="29"/>
        <v>75</v>
      </c>
      <c r="Y71" s="363">
        <f t="shared" si="29"/>
        <v>49</v>
      </c>
      <c r="Z71" s="363">
        <f t="shared" si="29"/>
        <v>0</v>
      </c>
      <c r="AA71" s="363">
        <f t="shared" si="29"/>
        <v>55</v>
      </c>
      <c r="AB71" s="363">
        <f t="shared" si="29"/>
        <v>70</v>
      </c>
      <c r="AC71" s="363">
        <f t="shared" si="29"/>
        <v>69</v>
      </c>
      <c r="AD71" s="363">
        <f t="shared" si="29"/>
        <v>62</v>
      </c>
      <c r="AE71" s="363">
        <f t="shared" si="29"/>
        <v>124</v>
      </c>
      <c r="AF71" s="363">
        <f t="shared" si="29"/>
        <v>77</v>
      </c>
      <c r="AG71" s="363">
        <f t="shared" si="29"/>
        <v>0</v>
      </c>
      <c r="AH71" s="363">
        <f t="shared" si="29"/>
        <v>132</v>
      </c>
      <c r="AI71" s="363">
        <f t="shared" si="29"/>
        <v>45</v>
      </c>
      <c r="AJ71" s="363">
        <f t="shared" si="23"/>
        <v>2392</v>
      </c>
      <c r="AK71" s="117" t="s">
        <v>22</v>
      </c>
      <c r="AL71" s="118">
        <f>AJ74+AJ61</f>
        <v>327</v>
      </c>
    </row>
    <row r="72" spans="1:38">
      <c r="A72" s="306"/>
      <c r="B72" s="306"/>
      <c r="C72" s="554" t="s">
        <v>22</v>
      </c>
      <c r="D72" s="501"/>
      <c r="E72" s="363">
        <f t="shared" ref="E72:AI72" si="30">E30-D30</f>
        <v>0</v>
      </c>
      <c r="F72" s="363">
        <f t="shared" si="30"/>
        <v>0</v>
      </c>
      <c r="G72" s="363">
        <f t="shared" si="30"/>
        <v>0</v>
      </c>
      <c r="H72" s="363">
        <f t="shared" si="30"/>
        <v>0</v>
      </c>
      <c r="I72" s="363">
        <f t="shared" si="30"/>
        <v>0</v>
      </c>
      <c r="J72" s="363">
        <f t="shared" si="30"/>
        <v>0</v>
      </c>
      <c r="K72" s="363">
        <f t="shared" si="30"/>
        <v>0</v>
      </c>
      <c r="L72" s="363">
        <f t="shared" si="30"/>
        <v>0</v>
      </c>
      <c r="M72" s="363">
        <f t="shared" si="30"/>
        <v>0</v>
      </c>
      <c r="N72" s="363">
        <f t="shared" si="30"/>
        <v>0</v>
      </c>
      <c r="O72" s="363">
        <f t="shared" si="30"/>
        <v>0</v>
      </c>
      <c r="P72" s="363">
        <f t="shared" si="30"/>
        <v>0</v>
      </c>
      <c r="Q72" s="363">
        <f t="shared" si="30"/>
        <v>0</v>
      </c>
      <c r="R72" s="363">
        <f t="shared" si="30"/>
        <v>0</v>
      </c>
      <c r="S72" s="363">
        <f t="shared" si="30"/>
        <v>0</v>
      </c>
      <c r="T72" s="363">
        <f t="shared" si="30"/>
        <v>0</v>
      </c>
      <c r="U72" s="363">
        <f t="shared" si="30"/>
        <v>0</v>
      </c>
      <c r="V72" s="363">
        <f t="shared" si="30"/>
        <v>0</v>
      </c>
      <c r="W72" s="363">
        <f t="shared" si="30"/>
        <v>0</v>
      </c>
      <c r="X72" s="363">
        <f t="shared" si="30"/>
        <v>0</v>
      </c>
      <c r="Y72" s="363">
        <f t="shared" si="30"/>
        <v>0</v>
      </c>
      <c r="Z72" s="363">
        <f t="shared" si="30"/>
        <v>0</v>
      </c>
      <c r="AA72" s="363">
        <f t="shared" si="30"/>
        <v>0</v>
      </c>
      <c r="AB72" s="363">
        <f t="shared" si="30"/>
        <v>0</v>
      </c>
      <c r="AC72" s="363">
        <f t="shared" si="30"/>
        <v>0</v>
      </c>
      <c r="AD72" s="363">
        <f t="shared" si="30"/>
        <v>0</v>
      </c>
      <c r="AE72" s="363">
        <f t="shared" si="30"/>
        <v>0</v>
      </c>
      <c r="AF72" s="363">
        <f t="shared" si="30"/>
        <v>0</v>
      </c>
      <c r="AG72" s="363">
        <f t="shared" si="30"/>
        <v>0</v>
      </c>
      <c r="AH72" s="363">
        <f t="shared" si="30"/>
        <v>0</v>
      </c>
      <c r="AI72" s="363">
        <f t="shared" si="30"/>
        <v>0</v>
      </c>
      <c r="AJ72" s="363">
        <f t="shared" si="23"/>
        <v>0</v>
      </c>
    </row>
    <row r="73" spans="1:38">
      <c r="A73" s="357"/>
      <c r="B73" s="357"/>
      <c r="C73" s="553" t="s">
        <v>134</v>
      </c>
      <c r="D73" s="501"/>
      <c r="E73" s="358">
        <f t="shared" ref="E73:AI73" si="31">SUM(E65,E67,E69,E71)</f>
        <v>220</v>
      </c>
      <c r="F73" s="358">
        <f t="shared" si="31"/>
        <v>438</v>
      </c>
      <c r="G73" s="358">
        <f t="shared" si="31"/>
        <v>461</v>
      </c>
      <c r="H73" s="358">
        <f t="shared" si="31"/>
        <v>0</v>
      </c>
      <c r="I73" s="358">
        <f t="shared" si="31"/>
        <v>494</v>
      </c>
      <c r="J73" s="358">
        <f t="shared" si="31"/>
        <v>445</v>
      </c>
      <c r="K73" s="358">
        <f t="shared" si="31"/>
        <v>182</v>
      </c>
      <c r="L73" s="358">
        <f t="shared" si="31"/>
        <v>2</v>
      </c>
      <c r="M73" s="358">
        <f t="shared" si="31"/>
        <v>443</v>
      </c>
      <c r="N73" s="358">
        <f t="shared" si="31"/>
        <v>554</v>
      </c>
      <c r="O73" s="358">
        <f t="shared" si="31"/>
        <v>566</v>
      </c>
      <c r="P73" s="358">
        <f t="shared" si="31"/>
        <v>392</v>
      </c>
      <c r="Q73" s="358">
        <f t="shared" si="31"/>
        <v>508</v>
      </c>
      <c r="R73" s="358">
        <f t="shared" si="31"/>
        <v>143</v>
      </c>
      <c r="S73" s="358">
        <f t="shared" si="31"/>
        <v>0</v>
      </c>
      <c r="T73" s="358">
        <f t="shared" si="31"/>
        <v>628</v>
      </c>
      <c r="U73" s="358">
        <f t="shared" si="31"/>
        <v>560</v>
      </c>
      <c r="V73" s="358">
        <f t="shared" si="31"/>
        <v>540</v>
      </c>
      <c r="W73" s="358">
        <f t="shared" si="31"/>
        <v>456</v>
      </c>
      <c r="X73" s="358">
        <f t="shared" si="31"/>
        <v>434</v>
      </c>
      <c r="Y73" s="358">
        <f t="shared" si="31"/>
        <v>327</v>
      </c>
      <c r="Z73" s="358">
        <f t="shared" si="31"/>
        <v>0</v>
      </c>
      <c r="AA73" s="358">
        <f t="shared" si="31"/>
        <v>446</v>
      </c>
      <c r="AB73" s="358">
        <f t="shared" si="31"/>
        <v>451</v>
      </c>
      <c r="AC73" s="358">
        <f t="shared" si="31"/>
        <v>404</v>
      </c>
      <c r="AD73" s="358">
        <f t="shared" si="31"/>
        <v>449</v>
      </c>
      <c r="AE73" s="358">
        <f t="shared" si="31"/>
        <v>420</v>
      </c>
      <c r="AF73" s="358">
        <f t="shared" si="31"/>
        <v>278</v>
      </c>
      <c r="AG73" s="358">
        <f t="shared" si="31"/>
        <v>133</v>
      </c>
      <c r="AH73" s="358">
        <f t="shared" si="31"/>
        <v>500</v>
      </c>
      <c r="AI73" s="358">
        <f t="shared" si="31"/>
        <v>209</v>
      </c>
      <c r="AJ73" s="358">
        <f t="shared" si="23"/>
        <v>11083</v>
      </c>
    </row>
    <row r="74" spans="1:38">
      <c r="A74" s="357"/>
      <c r="B74" s="357"/>
      <c r="C74" s="556" t="s">
        <v>135</v>
      </c>
      <c r="D74" s="501"/>
      <c r="E74" s="358">
        <f t="shared" ref="E74:AI74" si="32">SUM(E66,E68,E70,E72)</f>
        <v>0</v>
      </c>
      <c r="F74" s="358">
        <f t="shared" si="32"/>
        <v>0</v>
      </c>
      <c r="G74" s="358">
        <f t="shared" si="32"/>
        <v>0</v>
      </c>
      <c r="H74" s="358">
        <f t="shared" si="32"/>
        <v>0</v>
      </c>
      <c r="I74" s="358">
        <f t="shared" si="32"/>
        <v>0</v>
      </c>
      <c r="J74" s="358">
        <f t="shared" si="32"/>
        <v>0</v>
      </c>
      <c r="K74" s="358">
        <f t="shared" si="32"/>
        <v>0</v>
      </c>
      <c r="L74" s="358">
        <f t="shared" si="32"/>
        <v>0</v>
      </c>
      <c r="M74" s="358">
        <f t="shared" si="32"/>
        <v>0</v>
      </c>
      <c r="N74" s="358">
        <f t="shared" si="32"/>
        <v>0</v>
      </c>
      <c r="O74" s="358">
        <f t="shared" si="32"/>
        <v>0</v>
      </c>
      <c r="P74" s="358">
        <f t="shared" si="32"/>
        <v>0</v>
      </c>
      <c r="Q74" s="358">
        <f t="shared" si="32"/>
        <v>0</v>
      </c>
      <c r="R74" s="358">
        <f t="shared" si="32"/>
        <v>0</v>
      </c>
      <c r="S74" s="358">
        <f t="shared" si="32"/>
        <v>0</v>
      </c>
      <c r="T74" s="358">
        <f t="shared" si="32"/>
        <v>0</v>
      </c>
      <c r="U74" s="358">
        <f t="shared" si="32"/>
        <v>0</v>
      </c>
      <c r="V74" s="358">
        <f t="shared" si="32"/>
        <v>0</v>
      </c>
      <c r="W74" s="358">
        <f t="shared" si="32"/>
        <v>0</v>
      </c>
      <c r="X74" s="358">
        <f t="shared" si="32"/>
        <v>0</v>
      </c>
      <c r="Y74" s="358">
        <f t="shared" si="32"/>
        <v>0</v>
      </c>
      <c r="Z74" s="358">
        <f t="shared" si="32"/>
        <v>0</v>
      </c>
      <c r="AA74" s="358">
        <f t="shared" si="32"/>
        <v>0</v>
      </c>
      <c r="AB74" s="358">
        <f t="shared" si="32"/>
        <v>0</v>
      </c>
      <c r="AC74" s="358">
        <f t="shared" si="32"/>
        <v>0</v>
      </c>
      <c r="AD74" s="358">
        <f t="shared" si="32"/>
        <v>0</v>
      </c>
      <c r="AE74" s="358">
        <f t="shared" si="32"/>
        <v>0</v>
      </c>
      <c r="AF74" s="358">
        <f t="shared" si="32"/>
        <v>0</v>
      </c>
      <c r="AG74" s="358">
        <f t="shared" si="32"/>
        <v>0</v>
      </c>
      <c r="AH74" s="358">
        <f t="shared" si="32"/>
        <v>0</v>
      </c>
      <c r="AI74" s="358">
        <f t="shared" si="32"/>
        <v>0</v>
      </c>
      <c r="AJ74" s="358">
        <f t="shared" si="23"/>
        <v>0</v>
      </c>
    </row>
    <row r="75" spans="1:38">
      <c r="A75" s="306">
        <v>1</v>
      </c>
      <c r="B75" s="306" t="s">
        <v>129</v>
      </c>
      <c r="C75" s="544" t="s">
        <v>123</v>
      </c>
      <c r="D75" s="501"/>
      <c r="E75" s="363">
        <f t="shared" ref="E75:AI75" si="33">E32-D32</f>
        <v>129</v>
      </c>
      <c r="F75" s="363">
        <f t="shared" si="33"/>
        <v>485</v>
      </c>
      <c r="G75" s="363">
        <f t="shared" si="33"/>
        <v>416</v>
      </c>
      <c r="H75" s="363">
        <f t="shared" si="33"/>
        <v>70</v>
      </c>
      <c r="I75" s="363">
        <f t="shared" si="33"/>
        <v>434</v>
      </c>
      <c r="J75" s="363">
        <f t="shared" si="33"/>
        <v>546</v>
      </c>
      <c r="K75" s="363">
        <f t="shared" si="33"/>
        <v>275</v>
      </c>
      <c r="L75" s="363">
        <f t="shared" si="33"/>
        <v>0</v>
      </c>
      <c r="M75" s="363">
        <f t="shared" si="33"/>
        <v>556</v>
      </c>
      <c r="N75" s="363">
        <f t="shared" si="33"/>
        <v>624</v>
      </c>
      <c r="O75" s="363">
        <f t="shared" si="33"/>
        <v>436</v>
      </c>
      <c r="P75" s="363">
        <f t="shared" si="33"/>
        <v>501</v>
      </c>
      <c r="Q75" s="363">
        <f t="shared" si="33"/>
        <v>398</v>
      </c>
      <c r="R75" s="363">
        <f t="shared" si="33"/>
        <v>87</v>
      </c>
      <c r="S75" s="363">
        <f t="shared" si="33"/>
        <v>3</v>
      </c>
      <c r="T75" s="363">
        <f t="shared" si="33"/>
        <v>505</v>
      </c>
      <c r="U75" s="363">
        <f t="shared" si="33"/>
        <v>546</v>
      </c>
      <c r="V75" s="363">
        <f t="shared" si="33"/>
        <v>502</v>
      </c>
      <c r="W75" s="363">
        <f t="shared" si="33"/>
        <v>380</v>
      </c>
      <c r="X75" s="363">
        <f t="shared" si="33"/>
        <v>288</v>
      </c>
      <c r="Y75" s="363">
        <f t="shared" si="33"/>
        <v>178</v>
      </c>
      <c r="Z75" s="363">
        <f t="shared" si="33"/>
        <v>23</v>
      </c>
      <c r="AA75" s="363">
        <f t="shared" si="33"/>
        <v>542</v>
      </c>
      <c r="AB75" s="363">
        <f t="shared" si="33"/>
        <v>567</v>
      </c>
      <c r="AC75" s="363">
        <f t="shared" si="33"/>
        <v>501</v>
      </c>
      <c r="AD75" s="363">
        <f t="shared" si="33"/>
        <v>411</v>
      </c>
      <c r="AE75" s="363">
        <f t="shared" si="33"/>
        <v>423</v>
      </c>
      <c r="AF75" s="363">
        <f t="shared" si="33"/>
        <v>427</v>
      </c>
      <c r="AG75" s="363">
        <f t="shared" si="33"/>
        <v>0</v>
      </c>
      <c r="AH75" s="363">
        <f t="shared" si="33"/>
        <v>477</v>
      </c>
      <c r="AI75" s="363">
        <f t="shared" si="33"/>
        <v>408</v>
      </c>
      <c r="AJ75" s="363">
        <f t="shared" si="23"/>
        <v>11138</v>
      </c>
    </row>
    <row r="76" spans="1:38">
      <c r="A76" s="306">
        <v>2</v>
      </c>
      <c r="B76" s="306" t="s">
        <v>129</v>
      </c>
      <c r="C76" s="544" t="s">
        <v>124</v>
      </c>
      <c r="D76" s="501"/>
      <c r="E76" s="363">
        <f t="shared" ref="E76:AI76" si="34">E33-D33</f>
        <v>134</v>
      </c>
      <c r="F76" s="363">
        <f t="shared" si="34"/>
        <v>442</v>
      </c>
      <c r="G76" s="363">
        <f t="shared" si="34"/>
        <v>465</v>
      </c>
      <c r="H76" s="363">
        <f t="shared" si="34"/>
        <v>13</v>
      </c>
      <c r="I76" s="363">
        <f t="shared" si="34"/>
        <v>456</v>
      </c>
      <c r="J76" s="363">
        <f t="shared" si="34"/>
        <v>604</v>
      </c>
      <c r="K76" s="363">
        <f t="shared" si="34"/>
        <v>187</v>
      </c>
      <c r="L76" s="363">
        <f t="shared" si="34"/>
        <v>0</v>
      </c>
      <c r="M76" s="363">
        <f t="shared" si="34"/>
        <v>543</v>
      </c>
      <c r="N76" s="363">
        <f t="shared" si="34"/>
        <v>593</v>
      </c>
      <c r="O76" s="363">
        <f t="shared" si="34"/>
        <v>533</v>
      </c>
      <c r="P76" s="363">
        <f t="shared" si="34"/>
        <v>407</v>
      </c>
      <c r="Q76" s="363">
        <f t="shared" si="34"/>
        <v>471</v>
      </c>
      <c r="R76" s="363">
        <f t="shared" si="34"/>
        <v>228</v>
      </c>
      <c r="S76" s="363">
        <f t="shared" si="34"/>
        <v>3</v>
      </c>
      <c r="T76" s="363">
        <f t="shared" si="34"/>
        <v>523</v>
      </c>
      <c r="U76" s="363">
        <f t="shared" si="34"/>
        <v>522</v>
      </c>
      <c r="V76" s="363">
        <f t="shared" si="34"/>
        <v>485</v>
      </c>
      <c r="W76" s="363">
        <f t="shared" si="34"/>
        <v>425</v>
      </c>
      <c r="X76" s="363">
        <f t="shared" si="34"/>
        <v>392</v>
      </c>
      <c r="Y76" s="363">
        <f t="shared" si="34"/>
        <v>149</v>
      </c>
      <c r="Z76" s="363">
        <f t="shared" si="34"/>
        <v>27</v>
      </c>
      <c r="AA76" s="363">
        <f t="shared" si="34"/>
        <v>534</v>
      </c>
      <c r="AB76" s="363">
        <f t="shared" si="34"/>
        <v>445</v>
      </c>
      <c r="AC76" s="363">
        <f t="shared" si="34"/>
        <v>467</v>
      </c>
      <c r="AD76" s="363">
        <f t="shared" si="34"/>
        <v>467</v>
      </c>
      <c r="AE76" s="363">
        <f t="shared" si="34"/>
        <v>339</v>
      </c>
      <c r="AF76" s="363">
        <f t="shared" si="34"/>
        <v>439</v>
      </c>
      <c r="AG76" s="363">
        <f t="shared" si="34"/>
        <v>0</v>
      </c>
      <c r="AH76" s="363">
        <f t="shared" si="34"/>
        <v>561</v>
      </c>
      <c r="AI76" s="363">
        <f t="shared" si="34"/>
        <v>283</v>
      </c>
      <c r="AJ76" s="363">
        <f t="shared" si="23"/>
        <v>11137</v>
      </c>
    </row>
    <row r="77" spans="1:38">
      <c r="A77" s="306">
        <v>3</v>
      </c>
      <c r="B77" s="306" t="s">
        <v>129</v>
      </c>
      <c r="C77" s="544" t="s">
        <v>125</v>
      </c>
      <c r="D77" s="501"/>
      <c r="E77" s="363">
        <f t="shared" ref="E77:AI77" si="35">E34-D34</f>
        <v>183</v>
      </c>
      <c r="F77" s="363">
        <f t="shared" si="35"/>
        <v>445</v>
      </c>
      <c r="G77" s="363">
        <f t="shared" si="35"/>
        <v>441</v>
      </c>
      <c r="H77" s="363">
        <f t="shared" si="35"/>
        <v>0</v>
      </c>
      <c r="I77" s="363">
        <f t="shared" si="35"/>
        <v>355</v>
      </c>
      <c r="J77" s="363">
        <f t="shared" si="35"/>
        <v>376</v>
      </c>
      <c r="K77" s="363">
        <f t="shared" si="35"/>
        <v>221</v>
      </c>
      <c r="L77" s="363">
        <f t="shared" si="35"/>
        <v>0</v>
      </c>
      <c r="M77" s="363">
        <f t="shared" si="35"/>
        <v>532</v>
      </c>
      <c r="N77" s="363">
        <f t="shared" si="35"/>
        <v>506</v>
      </c>
      <c r="O77" s="363">
        <f t="shared" si="35"/>
        <v>541</v>
      </c>
      <c r="P77" s="363">
        <f t="shared" si="35"/>
        <v>489</v>
      </c>
      <c r="Q77" s="363">
        <f t="shared" si="35"/>
        <v>302</v>
      </c>
      <c r="R77" s="363">
        <f t="shared" si="35"/>
        <v>68</v>
      </c>
      <c r="S77" s="363">
        <f t="shared" si="35"/>
        <v>0</v>
      </c>
      <c r="T77" s="363">
        <f t="shared" si="35"/>
        <v>656</v>
      </c>
      <c r="U77" s="363">
        <f t="shared" si="35"/>
        <v>538</v>
      </c>
      <c r="V77" s="363">
        <f t="shared" si="35"/>
        <v>499</v>
      </c>
      <c r="W77" s="363">
        <f t="shared" si="35"/>
        <v>337</v>
      </c>
      <c r="X77" s="363">
        <f t="shared" si="35"/>
        <v>307</v>
      </c>
      <c r="Y77" s="363">
        <f t="shared" si="35"/>
        <v>316</v>
      </c>
      <c r="Z77" s="363">
        <f t="shared" si="35"/>
        <v>33</v>
      </c>
      <c r="AA77" s="363">
        <f t="shared" si="35"/>
        <v>497</v>
      </c>
      <c r="AB77" s="363">
        <f t="shared" si="35"/>
        <v>572</v>
      </c>
      <c r="AC77" s="363">
        <f t="shared" si="35"/>
        <v>605</v>
      </c>
      <c r="AD77" s="363">
        <f t="shared" si="35"/>
        <v>464</v>
      </c>
      <c r="AE77" s="363">
        <f t="shared" si="35"/>
        <v>450</v>
      </c>
      <c r="AF77" s="363">
        <f t="shared" si="35"/>
        <v>449</v>
      </c>
      <c r="AG77" s="363">
        <f t="shared" si="35"/>
        <v>0</v>
      </c>
      <c r="AH77" s="363">
        <f t="shared" si="35"/>
        <v>637</v>
      </c>
      <c r="AI77" s="363">
        <f t="shared" si="35"/>
        <v>397</v>
      </c>
      <c r="AJ77" s="363">
        <f t="shared" si="23"/>
        <v>11216</v>
      </c>
    </row>
    <row r="78" spans="1:38">
      <c r="A78" s="306">
        <v>4</v>
      </c>
      <c r="B78" s="306" t="s">
        <v>129</v>
      </c>
      <c r="C78" s="544" t="s">
        <v>126</v>
      </c>
      <c r="D78" s="501"/>
      <c r="E78" s="363">
        <f t="shared" ref="E78:AI78" si="36">E35-D35</f>
        <v>116</v>
      </c>
      <c r="F78" s="363">
        <f t="shared" si="36"/>
        <v>386</v>
      </c>
      <c r="G78" s="363">
        <f t="shared" si="36"/>
        <v>453</v>
      </c>
      <c r="H78" s="363">
        <f t="shared" si="36"/>
        <v>39</v>
      </c>
      <c r="I78" s="363">
        <f t="shared" si="36"/>
        <v>553</v>
      </c>
      <c r="J78" s="363">
        <f t="shared" si="36"/>
        <v>351</v>
      </c>
      <c r="K78" s="363">
        <f t="shared" si="36"/>
        <v>28</v>
      </c>
      <c r="L78" s="363">
        <f t="shared" si="36"/>
        <v>0</v>
      </c>
      <c r="M78" s="363">
        <f t="shared" si="36"/>
        <v>811</v>
      </c>
      <c r="N78" s="363">
        <f t="shared" si="36"/>
        <v>980</v>
      </c>
      <c r="O78" s="363">
        <f t="shared" si="36"/>
        <v>851</v>
      </c>
      <c r="P78" s="363">
        <f t="shared" si="36"/>
        <v>677</v>
      </c>
      <c r="Q78" s="363">
        <f t="shared" si="36"/>
        <v>559</v>
      </c>
      <c r="R78" s="363">
        <f t="shared" si="36"/>
        <v>161</v>
      </c>
      <c r="S78" s="363">
        <f t="shared" si="36"/>
        <v>36</v>
      </c>
      <c r="T78" s="363">
        <f t="shared" si="36"/>
        <v>803</v>
      </c>
      <c r="U78" s="363">
        <f t="shared" si="36"/>
        <v>874</v>
      </c>
      <c r="V78" s="363">
        <f t="shared" si="36"/>
        <v>739</v>
      </c>
      <c r="W78" s="363">
        <f t="shared" si="36"/>
        <v>681</v>
      </c>
      <c r="X78" s="363">
        <f t="shared" si="36"/>
        <v>522</v>
      </c>
      <c r="Y78" s="363">
        <f t="shared" si="36"/>
        <v>371</v>
      </c>
      <c r="Z78" s="363">
        <f t="shared" si="36"/>
        <v>56</v>
      </c>
      <c r="AA78" s="363">
        <f t="shared" si="36"/>
        <v>665</v>
      </c>
      <c r="AB78" s="363">
        <f t="shared" si="36"/>
        <v>712</v>
      </c>
      <c r="AC78" s="363">
        <f t="shared" si="36"/>
        <v>731</v>
      </c>
      <c r="AD78" s="363">
        <f t="shared" si="36"/>
        <v>736</v>
      </c>
      <c r="AE78" s="363">
        <f t="shared" si="36"/>
        <v>712</v>
      </c>
      <c r="AF78" s="363">
        <f t="shared" si="36"/>
        <v>642</v>
      </c>
      <c r="AG78" s="363">
        <f t="shared" si="36"/>
        <v>0</v>
      </c>
      <c r="AH78" s="363">
        <f t="shared" si="36"/>
        <v>938</v>
      </c>
      <c r="AI78" s="363">
        <f t="shared" si="36"/>
        <v>536</v>
      </c>
      <c r="AJ78" s="363">
        <f t="shared" si="23"/>
        <v>15719</v>
      </c>
    </row>
    <row r="79" spans="1:38">
      <c r="A79" s="357"/>
      <c r="B79" s="357"/>
      <c r="C79" s="553" t="s">
        <v>136</v>
      </c>
      <c r="D79" s="501"/>
      <c r="E79" s="358">
        <f t="shared" ref="E79:AI79" si="37">SUM(E75:E78)</f>
        <v>562</v>
      </c>
      <c r="F79" s="358">
        <f t="shared" si="37"/>
        <v>1758</v>
      </c>
      <c r="G79" s="358">
        <f t="shared" si="37"/>
        <v>1775</v>
      </c>
      <c r="H79" s="358">
        <f t="shared" si="37"/>
        <v>122</v>
      </c>
      <c r="I79" s="358">
        <f t="shared" si="37"/>
        <v>1798</v>
      </c>
      <c r="J79" s="358">
        <f t="shared" si="37"/>
        <v>1877</v>
      </c>
      <c r="K79" s="358">
        <f t="shared" si="37"/>
        <v>711</v>
      </c>
      <c r="L79" s="358">
        <f t="shared" si="37"/>
        <v>0</v>
      </c>
      <c r="M79" s="358">
        <f t="shared" si="37"/>
        <v>2442</v>
      </c>
      <c r="N79" s="358">
        <f t="shared" si="37"/>
        <v>2703</v>
      </c>
      <c r="O79" s="358">
        <f t="shared" si="37"/>
        <v>2361</v>
      </c>
      <c r="P79" s="358">
        <f t="shared" si="37"/>
        <v>2074</v>
      </c>
      <c r="Q79" s="358">
        <f t="shared" si="37"/>
        <v>1730</v>
      </c>
      <c r="R79" s="358">
        <f t="shared" si="37"/>
        <v>544</v>
      </c>
      <c r="S79" s="358">
        <f t="shared" si="37"/>
        <v>42</v>
      </c>
      <c r="T79" s="358">
        <f t="shared" si="37"/>
        <v>2487</v>
      </c>
      <c r="U79" s="358">
        <f t="shared" si="37"/>
        <v>2480</v>
      </c>
      <c r="V79" s="358">
        <f t="shared" si="37"/>
        <v>2225</v>
      </c>
      <c r="W79" s="358">
        <f t="shared" si="37"/>
        <v>1823</v>
      </c>
      <c r="X79" s="358">
        <f t="shared" si="37"/>
        <v>1509</v>
      </c>
      <c r="Y79" s="358">
        <f t="shared" si="37"/>
        <v>1014</v>
      </c>
      <c r="Z79" s="358">
        <f t="shared" si="37"/>
        <v>139</v>
      </c>
      <c r="AA79" s="358">
        <f t="shared" si="37"/>
        <v>2238</v>
      </c>
      <c r="AB79" s="358">
        <f t="shared" si="37"/>
        <v>2296</v>
      </c>
      <c r="AC79" s="358">
        <f t="shared" si="37"/>
        <v>2304</v>
      </c>
      <c r="AD79" s="358">
        <f t="shared" si="37"/>
        <v>2078</v>
      </c>
      <c r="AE79" s="358">
        <f t="shared" si="37"/>
        <v>1924</v>
      </c>
      <c r="AF79" s="358">
        <f t="shared" si="37"/>
        <v>1957</v>
      </c>
      <c r="AG79" s="358">
        <f t="shared" si="37"/>
        <v>0</v>
      </c>
      <c r="AH79" s="358">
        <f t="shared" si="37"/>
        <v>2613</v>
      </c>
      <c r="AI79" s="358">
        <f t="shared" si="37"/>
        <v>1624</v>
      </c>
      <c r="AJ79" s="358">
        <f t="shared" si="23"/>
        <v>49210</v>
      </c>
    </row>
    <row r="80" spans="1:38">
      <c r="A80" s="300"/>
      <c r="B80" s="300"/>
      <c r="C80" s="300"/>
      <c r="D80" s="300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300"/>
      <c r="AA80" s="300"/>
      <c r="AB80" s="300"/>
      <c r="AC80" s="300"/>
      <c r="AD80" s="300"/>
      <c r="AE80" s="300"/>
      <c r="AF80" s="300"/>
      <c r="AG80" s="300"/>
    </row>
    <row r="81" spans="1:36">
      <c r="A81" s="300"/>
      <c r="B81" s="300"/>
      <c r="C81" s="300"/>
      <c r="D81" s="300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  <c r="AA81" s="300"/>
      <c r="AB81" s="300"/>
      <c r="AC81" s="300"/>
      <c r="AD81" s="300"/>
      <c r="AE81" s="300"/>
      <c r="AF81" s="300"/>
      <c r="AG81" s="300"/>
    </row>
    <row r="82" spans="1:36">
      <c r="A82" s="300"/>
      <c r="B82" s="300"/>
      <c r="C82" s="300"/>
      <c r="D82" s="300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  <c r="AA82" s="300"/>
      <c r="AB82" s="300"/>
      <c r="AC82" s="300"/>
      <c r="AD82" s="300"/>
      <c r="AE82" s="300"/>
      <c r="AF82" s="300"/>
      <c r="AG82" s="300"/>
    </row>
    <row r="83" spans="1:36" ht="15" customHeight="1">
      <c r="A83" s="545"/>
      <c r="B83" s="526"/>
      <c r="C83" s="526"/>
      <c r="D83" s="527"/>
      <c r="E83" s="559" t="s">
        <v>158</v>
      </c>
      <c r="F83" s="526"/>
      <c r="G83" s="526"/>
      <c r="H83" s="526"/>
      <c r="I83" s="526"/>
      <c r="J83" s="526"/>
      <c r="K83" s="526"/>
      <c r="L83" s="526"/>
      <c r="M83" s="526"/>
      <c r="N83" s="526"/>
      <c r="O83" s="526"/>
      <c r="P83" s="526"/>
      <c r="Q83" s="526"/>
      <c r="R83" s="526"/>
      <c r="S83" s="526"/>
      <c r="T83" s="526"/>
      <c r="U83" s="526"/>
      <c r="V83" s="526"/>
      <c r="W83" s="526"/>
      <c r="X83" s="526"/>
      <c r="Y83" s="526"/>
      <c r="Z83" s="526"/>
      <c r="AA83" s="526"/>
      <c r="AB83" s="526"/>
      <c r="AC83" s="526"/>
      <c r="AD83" s="526"/>
      <c r="AE83" s="526"/>
      <c r="AF83" s="526"/>
      <c r="AG83" s="526"/>
      <c r="AH83" s="526"/>
      <c r="AI83" s="527"/>
    </row>
    <row r="84" spans="1:36">
      <c r="A84" s="549" t="s">
        <v>99</v>
      </c>
      <c r="B84" s="549" t="s">
        <v>100</v>
      </c>
      <c r="C84" s="550" t="s">
        <v>101</v>
      </c>
      <c r="D84" s="552" t="s">
        <v>102</v>
      </c>
      <c r="E84" s="301">
        <v>46082</v>
      </c>
      <c r="F84" s="301">
        <v>46083</v>
      </c>
      <c r="G84" s="301">
        <v>46084</v>
      </c>
      <c r="H84" s="301">
        <v>46085</v>
      </c>
      <c r="I84" s="301">
        <v>46086</v>
      </c>
      <c r="J84" s="301">
        <v>46087</v>
      </c>
      <c r="K84" s="301">
        <v>46088</v>
      </c>
      <c r="L84" s="301">
        <v>46089</v>
      </c>
      <c r="M84" s="301">
        <v>46090</v>
      </c>
      <c r="N84" s="301">
        <v>46091</v>
      </c>
      <c r="O84" s="301">
        <v>46092</v>
      </c>
      <c r="P84" s="301">
        <v>46093</v>
      </c>
      <c r="Q84" s="301">
        <v>46094</v>
      </c>
      <c r="R84" s="301">
        <v>46095</v>
      </c>
      <c r="S84" s="301">
        <v>46096</v>
      </c>
      <c r="T84" s="301">
        <v>46097</v>
      </c>
      <c r="U84" s="301">
        <v>46098</v>
      </c>
      <c r="V84" s="301">
        <v>46099</v>
      </c>
      <c r="W84" s="301">
        <v>46100</v>
      </c>
      <c r="X84" s="301">
        <v>46101</v>
      </c>
      <c r="Y84" s="301">
        <v>46102</v>
      </c>
      <c r="Z84" s="301">
        <v>46103</v>
      </c>
      <c r="AA84" s="301">
        <v>46104</v>
      </c>
      <c r="AB84" s="301">
        <v>46105</v>
      </c>
      <c r="AC84" s="301">
        <v>46106</v>
      </c>
      <c r="AD84" s="301">
        <v>46107</v>
      </c>
      <c r="AE84" s="301">
        <v>46108</v>
      </c>
      <c r="AF84" s="301">
        <v>46109</v>
      </c>
      <c r="AG84" s="301">
        <v>46110</v>
      </c>
      <c r="AH84" s="301">
        <v>46111</v>
      </c>
      <c r="AI84" s="301">
        <v>46112</v>
      </c>
      <c r="AJ84" s="541" t="s">
        <v>1</v>
      </c>
    </row>
    <row r="85" spans="1:36">
      <c r="A85" s="511"/>
      <c r="B85" s="511"/>
      <c r="C85" s="511"/>
      <c r="D85" s="511"/>
      <c r="E85" s="302" t="s">
        <v>105</v>
      </c>
      <c r="F85" s="302" t="s">
        <v>106</v>
      </c>
      <c r="G85" s="302" t="s">
        <v>107</v>
      </c>
      <c r="H85" s="302" t="s">
        <v>108</v>
      </c>
      <c r="I85" s="302" t="s">
        <v>109</v>
      </c>
      <c r="J85" s="302" t="s">
        <v>103</v>
      </c>
      <c r="K85" s="302" t="s">
        <v>104</v>
      </c>
      <c r="L85" s="302" t="s">
        <v>105</v>
      </c>
      <c r="M85" s="302" t="s">
        <v>106</v>
      </c>
      <c r="N85" s="302" t="s">
        <v>107</v>
      </c>
      <c r="O85" s="302" t="s">
        <v>108</v>
      </c>
      <c r="P85" s="302" t="s">
        <v>109</v>
      </c>
      <c r="Q85" s="302" t="s">
        <v>103</v>
      </c>
      <c r="R85" s="302" t="s">
        <v>104</v>
      </c>
      <c r="S85" s="302" t="s">
        <v>105</v>
      </c>
      <c r="T85" s="302" t="s">
        <v>106</v>
      </c>
      <c r="U85" s="302" t="s">
        <v>107</v>
      </c>
      <c r="V85" s="302" t="s">
        <v>108</v>
      </c>
      <c r="W85" s="302" t="s">
        <v>109</v>
      </c>
      <c r="X85" s="302" t="s">
        <v>103</v>
      </c>
      <c r="Y85" s="302" t="s">
        <v>104</v>
      </c>
      <c r="Z85" s="302" t="s">
        <v>105</v>
      </c>
      <c r="AA85" s="302" t="s">
        <v>106</v>
      </c>
      <c r="AB85" s="302" t="s">
        <v>107</v>
      </c>
      <c r="AC85" s="302" t="s">
        <v>108</v>
      </c>
      <c r="AD85" s="302" t="s">
        <v>109</v>
      </c>
      <c r="AE85" s="302" t="s">
        <v>103</v>
      </c>
      <c r="AF85" s="302" t="s">
        <v>104</v>
      </c>
      <c r="AG85" s="302" t="s">
        <v>105</v>
      </c>
      <c r="AH85" s="302" t="s">
        <v>106</v>
      </c>
      <c r="AI85" s="302" t="s">
        <v>107</v>
      </c>
      <c r="AJ85" s="508"/>
    </row>
    <row r="86" spans="1:36">
      <c r="A86" s="511"/>
      <c r="B86" s="511"/>
      <c r="C86" s="511"/>
      <c r="D86" s="511"/>
      <c r="E86" s="303" t="s">
        <v>110</v>
      </c>
      <c r="F86" s="303" t="s">
        <v>110</v>
      </c>
      <c r="G86" s="303" t="s">
        <v>110</v>
      </c>
      <c r="H86" s="303" t="s">
        <v>110</v>
      </c>
      <c r="I86" s="303" t="s">
        <v>110</v>
      </c>
      <c r="J86" s="303" t="s">
        <v>110</v>
      </c>
      <c r="K86" s="303" t="s">
        <v>110</v>
      </c>
      <c r="L86" s="303" t="s">
        <v>110</v>
      </c>
      <c r="M86" s="303" t="s">
        <v>110</v>
      </c>
      <c r="N86" s="303" t="s">
        <v>110</v>
      </c>
      <c r="O86" s="303" t="s">
        <v>110</v>
      </c>
      <c r="P86" s="303" t="s">
        <v>110</v>
      </c>
      <c r="Q86" s="303" t="s">
        <v>110</v>
      </c>
      <c r="R86" s="303" t="s">
        <v>110</v>
      </c>
      <c r="S86" s="303" t="s">
        <v>110</v>
      </c>
      <c r="T86" s="303" t="s">
        <v>110</v>
      </c>
      <c r="U86" s="303" t="s">
        <v>110</v>
      </c>
      <c r="V86" s="303" t="s">
        <v>110</v>
      </c>
      <c r="W86" s="303" t="s">
        <v>110</v>
      </c>
      <c r="X86" s="303" t="s">
        <v>110</v>
      </c>
      <c r="Y86" s="303" t="s">
        <v>110</v>
      </c>
      <c r="Z86" s="303" t="s">
        <v>110</v>
      </c>
      <c r="AA86" s="303" t="s">
        <v>110</v>
      </c>
      <c r="AB86" s="303" t="s">
        <v>110</v>
      </c>
      <c r="AC86" s="303" t="s">
        <v>110</v>
      </c>
      <c r="AD86" s="303" t="s">
        <v>110</v>
      </c>
      <c r="AE86" s="303" t="s">
        <v>110</v>
      </c>
      <c r="AF86" s="303" t="s">
        <v>110</v>
      </c>
      <c r="AG86" s="303" t="s">
        <v>110</v>
      </c>
      <c r="AH86" s="303" t="s">
        <v>110</v>
      </c>
      <c r="AI86" s="303" t="s">
        <v>110</v>
      </c>
      <c r="AJ86" s="508"/>
    </row>
    <row r="87" spans="1:36">
      <c r="A87" s="512"/>
      <c r="B87" s="512"/>
      <c r="C87" s="512"/>
      <c r="D87" s="512"/>
      <c r="E87" s="369">
        <v>0.33333333333333331</v>
      </c>
      <c r="F87" s="369">
        <v>0.33333333333333331</v>
      </c>
      <c r="G87" s="369">
        <v>0.33333333333333331</v>
      </c>
      <c r="H87" s="369">
        <v>0.33333333333333331</v>
      </c>
      <c r="I87" s="369">
        <v>0.33333333333333331</v>
      </c>
      <c r="J87" s="369">
        <v>0.33333333333333331</v>
      </c>
      <c r="K87" s="369">
        <v>0.33333333333333331</v>
      </c>
      <c r="L87" s="369">
        <v>0.33333333333333331</v>
      </c>
      <c r="M87" s="369">
        <v>0.33333333333333331</v>
      </c>
      <c r="N87" s="369">
        <v>0.33333333333333331</v>
      </c>
      <c r="O87" s="369">
        <v>0.33333333333333331</v>
      </c>
      <c r="P87" s="369">
        <v>0.33333333333333331</v>
      </c>
      <c r="Q87" s="369">
        <v>0.33333333333333331</v>
      </c>
      <c r="R87" s="369">
        <v>0.33333333333333331</v>
      </c>
      <c r="S87" s="369">
        <v>0.33333333333333331</v>
      </c>
      <c r="T87" s="369">
        <v>0.33333333333333331</v>
      </c>
      <c r="U87" s="369">
        <v>0.33333333333333331</v>
      </c>
      <c r="V87" s="369">
        <v>0.33333333333333331</v>
      </c>
      <c r="W87" s="369">
        <v>0.33333333333333331</v>
      </c>
      <c r="X87" s="369">
        <v>0.33333333333333331</v>
      </c>
      <c r="Y87" s="369">
        <v>0.33333333333333331</v>
      </c>
      <c r="Z87" s="369">
        <v>0.33333333333333331</v>
      </c>
      <c r="AA87" s="369">
        <v>0.33333333333333331</v>
      </c>
      <c r="AB87" s="369">
        <v>0.33333333333333331</v>
      </c>
      <c r="AC87" s="369">
        <v>0.33333333333333331</v>
      </c>
      <c r="AD87" s="369">
        <v>0.33333333333333331</v>
      </c>
      <c r="AE87" s="369">
        <v>0.33333333333333331</v>
      </c>
      <c r="AF87" s="369">
        <v>0.33333333333333331</v>
      </c>
      <c r="AG87" s="369">
        <v>0.33333333333333331</v>
      </c>
      <c r="AH87" s="369">
        <v>0.33333333333333331</v>
      </c>
      <c r="AI87" s="369">
        <v>0.33333333333333331</v>
      </c>
      <c r="AJ87" s="509"/>
    </row>
    <row r="88" spans="1:36">
      <c r="A88" s="310">
        <v>1</v>
      </c>
      <c r="B88" s="370" t="s">
        <v>150</v>
      </c>
      <c r="C88" s="370" t="s">
        <v>151</v>
      </c>
      <c r="D88" s="370">
        <v>2216</v>
      </c>
      <c r="E88" s="370">
        <v>2216</v>
      </c>
      <c r="F88" s="370">
        <v>2241</v>
      </c>
      <c r="G88" s="370">
        <v>2241</v>
      </c>
      <c r="H88" s="370">
        <v>2241</v>
      </c>
      <c r="I88" s="370">
        <v>2272</v>
      </c>
      <c r="J88" s="370">
        <v>2297</v>
      </c>
      <c r="K88" s="370">
        <v>2297</v>
      </c>
      <c r="L88" s="370">
        <v>2297</v>
      </c>
      <c r="M88" s="370">
        <v>2322</v>
      </c>
      <c r="N88" s="370">
        <v>2329</v>
      </c>
      <c r="O88" s="370">
        <v>2336</v>
      </c>
      <c r="P88" s="370">
        <v>2344</v>
      </c>
      <c r="Q88" s="370">
        <v>2370</v>
      </c>
      <c r="R88" s="370">
        <v>2370</v>
      </c>
      <c r="S88" s="370">
        <v>2370</v>
      </c>
      <c r="T88" s="370">
        <v>2382</v>
      </c>
      <c r="U88" s="370">
        <v>2407</v>
      </c>
      <c r="V88" s="370">
        <v>2437</v>
      </c>
      <c r="W88" s="370">
        <v>2437</v>
      </c>
      <c r="X88" s="370">
        <v>2437</v>
      </c>
      <c r="Y88" s="370">
        <v>2437</v>
      </c>
      <c r="Z88" s="370">
        <v>2437</v>
      </c>
      <c r="AA88" s="370">
        <v>2459</v>
      </c>
      <c r="AB88" s="370">
        <v>2485</v>
      </c>
      <c r="AC88" s="370"/>
      <c r="AD88" s="370"/>
      <c r="AE88" s="370"/>
      <c r="AF88" s="370"/>
      <c r="AG88" s="370"/>
      <c r="AH88" s="370"/>
      <c r="AI88" s="370"/>
      <c r="AJ88" s="355">
        <f>SUM(H88:AH88)</f>
        <v>49763</v>
      </c>
    </row>
    <row r="89" spans="1:36">
      <c r="A89" s="300"/>
      <c r="B89" s="300"/>
      <c r="C89" s="300"/>
      <c r="D89" s="300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  <c r="Y89" s="300"/>
      <c r="Z89" s="300"/>
      <c r="AA89" s="300"/>
      <c r="AB89" s="300"/>
      <c r="AC89" s="300"/>
      <c r="AD89" s="300"/>
      <c r="AE89" s="300"/>
      <c r="AF89" s="300"/>
      <c r="AG89" s="300"/>
    </row>
    <row r="90" spans="1:36">
      <c r="A90" s="541" t="s">
        <v>99</v>
      </c>
      <c r="B90" s="541" t="s">
        <v>100</v>
      </c>
      <c r="C90" s="541" t="s">
        <v>101</v>
      </c>
      <c r="D90" s="517"/>
      <c r="E90" s="352">
        <f t="shared" ref="E90:AI90" si="38">E84</f>
        <v>46082</v>
      </c>
      <c r="F90" s="352">
        <f t="shared" si="38"/>
        <v>46083</v>
      </c>
      <c r="G90" s="352">
        <f t="shared" si="38"/>
        <v>46084</v>
      </c>
      <c r="H90" s="352">
        <f t="shared" si="38"/>
        <v>46085</v>
      </c>
      <c r="I90" s="352">
        <f t="shared" si="38"/>
        <v>46086</v>
      </c>
      <c r="J90" s="352">
        <f t="shared" si="38"/>
        <v>46087</v>
      </c>
      <c r="K90" s="352">
        <f t="shared" si="38"/>
        <v>46088</v>
      </c>
      <c r="L90" s="352">
        <f t="shared" si="38"/>
        <v>46089</v>
      </c>
      <c r="M90" s="352">
        <f t="shared" si="38"/>
        <v>46090</v>
      </c>
      <c r="N90" s="352">
        <f t="shared" si="38"/>
        <v>46091</v>
      </c>
      <c r="O90" s="352">
        <f t="shared" si="38"/>
        <v>46092</v>
      </c>
      <c r="P90" s="352">
        <f t="shared" si="38"/>
        <v>46093</v>
      </c>
      <c r="Q90" s="352">
        <f t="shared" si="38"/>
        <v>46094</v>
      </c>
      <c r="R90" s="352">
        <f t="shared" si="38"/>
        <v>46095</v>
      </c>
      <c r="S90" s="352">
        <f t="shared" si="38"/>
        <v>46096</v>
      </c>
      <c r="T90" s="352">
        <f t="shared" si="38"/>
        <v>46097</v>
      </c>
      <c r="U90" s="352">
        <f t="shared" si="38"/>
        <v>46098</v>
      </c>
      <c r="V90" s="352">
        <f t="shared" si="38"/>
        <v>46099</v>
      </c>
      <c r="W90" s="352">
        <f t="shared" si="38"/>
        <v>46100</v>
      </c>
      <c r="X90" s="352">
        <f t="shared" si="38"/>
        <v>46101</v>
      </c>
      <c r="Y90" s="352">
        <f t="shared" si="38"/>
        <v>46102</v>
      </c>
      <c r="Z90" s="352">
        <f t="shared" si="38"/>
        <v>46103</v>
      </c>
      <c r="AA90" s="352">
        <f t="shared" si="38"/>
        <v>46104</v>
      </c>
      <c r="AB90" s="352">
        <f t="shared" si="38"/>
        <v>46105</v>
      </c>
      <c r="AC90" s="352">
        <f t="shared" si="38"/>
        <v>46106</v>
      </c>
      <c r="AD90" s="352">
        <f t="shared" si="38"/>
        <v>46107</v>
      </c>
      <c r="AE90" s="352">
        <f t="shared" si="38"/>
        <v>46108</v>
      </c>
      <c r="AF90" s="352">
        <f t="shared" si="38"/>
        <v>46109</v>
      </c>
      <c r="AG90" s="352">
        <f t="shared" si="38"/>
        <v>46110</v>
      </c>
      <c r="AH90" s="352">
        <f t="shared" si="38"/>
        <v>46111</v>
      </c>
      <c r="AI90" s="352">
        <f t="shared" si="38"/>
        <v>46112</v>
      </c>
      <c r="AJ90" s="541" t="s">
        <v>1</v>
      </c>
    </row>
    <row r="91" spans="1:36">
      <c r="A91" s="508"/>
      <c r="B91" s="508"/>
      <c r="C91" s="518"/>
      <c r="D91" s="519"/>
      <c r="E91" s="302" t="s">
        <v>105</v>
      </c>
      <c r="F91" s="302" t="s">
        <v>106</v>
      </c>
      <c r="G91" s="302" t="s">
        <v>107</v>
      </c>
      <c r="H91" s="302" t="s">
        <v>108</v>
      </c>
      <c r="I91" s="302" t="s">
        <v>109</v>
      </c>
      <c r="J91" s="302" t="s">
        <v>103</v>
      </c>
      <c r="K91" s="302" t="s">
        <v>104</v>
      </c>
      <c r="L91" s="302" t="s">
        <v>105</v>
      </c>
      <c r="M91" s="302" t="s">
        <v>106</v>
      </c>
      <c r="N91" s="302" t="s">
        <v>107</v>
      </c>
      <c r="O91" s="302" t="s">
        <v>108</v>
      </c>
      <c r="P91" s="302" t="s">
        <v>109</v>
      </c>
      <c r="Q91" s="302" t="s">
        <v>103</v>
      </c>
      <c r="R91" s="302" t="s">
        <v>104</v>
      </c>
      <c r="S91" s="302" t="s">
        <v>105</v>
      </c>
      <c r="T91" s="302" t="s">
        <v>106</v>
      </c>
      <c r="U91" s="302" t="s">
        <v>107</v>
      </c>
      <c r="V91" s="302" t="s">
        <v>108</v>
      </c>
      <c r="W91" s="302" t="s">
        <v>109</v>
      </c>
      <c r="X91" s="302" t="s">
        <v>103</v>
      </c>
      <c r="Y91" s="302" t="s">
        <v>104</v>
      </c>
      <c r="Z91" s="302" t="s">
        <v>105</v>
      </c>
      <c r="AA91" s="302" t="s">
        <v>106</v>
      </c>
      <c r="AB91" s="302" t="s">
        <v>107</v>
      </c>
      <c r="AC91" s="302" t="s">
        <v>108</v>
      </c>
      <c r="AD91" s="302" t="s">
        <v>109</v>
      </c>
      <c r="AE91" s="302" t="s">
        <v>103</v>
      </c>
      <c r="AF91" s="302" t="s">
        <v>104</v>
      </c>
      <c r="AG91" s="302" t="s">
        <v>105</v>
      </c>
      <c r="AH91" s="302" t="s">
        <v>106</v>
      </c>
      <c r="AI91" s="302" t="s">
        <v>107</v>
      </c>
      <c r="AJ91" s="508"/>
    </row>
    <row r="92" spans="1:36">
      <c r="A92" s="508"/>
      <c r="B92" s="508"/>
      <c r="C92" s="518"/>
      <c r="D92" s="519"/>
      <c r="E92" s="353" t="s">
        <v>110</v>
      </c>
      <c r="F92" s="353" t="s">
        <v>110</v>
      </c>
      <c r="G92" s="353" t="s">
        <v>110</v>
      </c>
      <c r="H92" s="353" t="s">
        <v>110</v>
      </c>
      <c r="I92" s="353" t="s">
        <v>110</v>
      </c>
      <c r="J92" s="353" t="s">
        <v>110</v>
      </c>
      <c r="K92" s="353" t="s">
        <v>110</v>
      </c>
      <c r="L92" s="353" t="s">
        <v>110</v>
      </c>
      <c r="M92" s="353" t="s">
        <v>110</v>
      </c>
      <c r="N92" s="353" t="s">
        <v>110</v>
      </c>
      <c r="O92" s="353" t="s">
        <v>110</v>
      </c>
      <c r="P92" s="353" t="s">
        <v>110</v>
      </c>
      <c r="Q92" s="353" t="s">
        <v>110</v>
      </c>
      <c r="R92" s="353" t="s">
        <v>110</v>
      </c>
      <c r="S92" s="353" t="s">
        <v>110</v>
      </c>
      <c r="T92" s="353" t="s">
        <v>110</v>
      </c>
      <c r="U92" s="353" t="s">
        <v>110</v>
      </c>
      <c r="V92" s="353" t="s">
        <v>110</v>
      </c>
      <c r="W92" s="353" t="s">
        <v>110</v>
      </c>
      <c r="X92" s="353" t="s">
        <v>110</v>
      </c>
      <c r="Y92" s="353" t="s">
        <v>110</v>
      </c>
      <c r="Z92" s="353" t="s">
        <v>110</v>
      </c>
      <c r="AA92" s="353" t="s">
        <v>110</v>
      </c>
      <c r="AB92" s="353" t="s">
        <v>110</v>
      </c>
      <c r="AC92" s="353" t="s">
        <v>110</v>
      </c>
      <c r="AD92" s="353" t="s">
        <v>110</v>
      </c>
      <c r="AE92" s="353" t="s">
        <v>110</v>
      </c>
      <c r="AF92" s="353" t="s">
        <v>110</v>
      </c>
      <c r="AG92" s="353" t="s">
        <v>110</v>
      </c>
      <c r="AH92" s="353" t="s">
        <v>110</v>
      </c>
      <c r="AI92" s="353" t="s">
        <v>110</v>
      </c>
      <c r="AJ92" s="508"/>
    </row>
    <row r="93" spans="1:36">
      <c r="A93" s="509"/>
      <c r="B93" s="509"/>
      <c r="C93" s="520"/>
      <c r="D93" s="521"/>
      <c r="E93" s="354">
        <v>0.33333333333333331</v>
      </c>
      <c r="F93" s="354">
        <v>0.33333333333333331</v>
      </c>
      <c r="G93" s="354">
        <v>0.33333333333333331</v>
      </c>
      <c r="H93" s="354">
        <v>0.33333333333333331</v>
      </c>
      <c r="I93" s="354">
        <v>0.33333333333333331</v>
      </c>
      <c r="J93" s="354">
        <v>0.33333333333333331</v>
      </c>
      <c r="K93" s="354">
        <v>0.33333333333333331</v>
      </c>
      <c r="L93" s="354">
        <v>0.33333333333333331</v>
      </c>
      <c r="M93" s="354">
        <v>0.33333333333333331</v>
      </c>
      <c r="N93" s="354">
        <v>0.33333333333333331</v>
      </c>
      <c r="O93" s="354">
        <v>0.33333333333333331</v>
      </c>
      <c r="P93" s="354">
        <v>0.33333333333333331</v>
      </c>
      <c r="Q93" s="354">
        <v>0.33333333333333331</v>
      </c>
      <c r="R93" s="354">
        <v>0.33333333333333331</v>
      </c>
      <c r="S93" s="354">
        <v>0.33333333333333331</v>
      </c>
      <c r="T93" s="354">
        <v>0.33333333333333331</v>
      </c>
      <c r="U93" s="354">
        <v>0.33333333333333331</v>
      </c>
      <c r="V93" s="354">
        <v>0.33333333333333331</v>
      </c>
      <c r="W93" s="354">
        <v>0.33333333333333331</v>
      </c>
      <c r="X93" s="354">
        <v>0.33333333333333331</v>
      </c>
      <c r="Y93" s="354">
        <v>0.33333333333333331</v>
      </c>
      <c r="Z93" s="354">
        <v>0.33333333333333331</v>
      </c>
      <c r="AA93" s="354">
        <v>0.33333333333333331</v>
      </c>
      <c r="AB93" s="354">
        <v>0.33333333333333331</v>
      </c>
      <c r="AC93" s="354">
        <v>0.33333333333333331</v>
      </c>
      <c r="AD93" s="354">
        <v>0.33333333333333331</v>
      </c>
      <c r="AE93" s="354">
        <v>0.33333333333333331</v>
      </c>
      <c r="AF93" s="354">
        <v>0.33333333333333331</v>
      </c>
      <c r="AG93" s="354">
        <v>0.33333333333333331</v>
      </c>
      <c r="AH93" s="354">
        <v>0.33333333333333331</v>
      </c>
      <c r="AI93" s="354">
        <v>0.33333333333333331</v>
      </c>
      <c r="AJ93" s="509"/>
    </row>
    <row r="94" spans="1:36">
      <c r="A94" s="372">
        <v>1</v>
      </c>
      <c r="B94" s="373" t="s">
        <v>150</v>
      </c>
      <c r="C94" s="546" t="s">
        <v>151</v>
      </c>
      <c r="D94" s="501"/>
      <c r="E94" s="355">
        <f t="shared" ref="E94:AI94" si="39">E88-D88</f>
        <v>0</v>
      </c>
      <c r="F94" s="355">
        <f t="shared" si="39"/>
        <v>25</v>
      </c>
      <c r="G94" s="355">
        <f t="shared" si="39"/>
        <v>0</v>
      </c>
      <c r="H94" s="355">
        <f t="shared" si="39"/>
        <v>0</v>
      </c>
      <c r="I94" s="355">
        <f t="shared" si="39"/>
        <v>31</v>
      </c>
      <c r="J94" s="355">
        <f t="shared" si="39"/>
        <v>25</v>
      </c>
      <c r="K94" s="355">
        <f t="shared" si="39"/>
        <v>0</v>
      </c>
      <c r="L94" s="355">
        <f t="shared" si="39"/>
        <v>0</v>
      </c>
      <c r="M94" s="355">
        <f t="shared" si="39"/>
        <v>25</v>
      </c>
      <c r="N94" s="355">
        <f t="shared" si="39"/>
        <v>7</v>
      </c>
      <c r="O94" s="355">
        <f t="shared" si="39"/>
        <v>7</v>
      </c>
      <c r="P94" s="355">
        <f t="shared" si="39"/>
        <v>8</v>
      </c>
      <c r="Q94" s="355">
        <f t="shared" si="39"/>
        <v>26</v>
      </c>
      <c r="R94" s="355">
        <f t="shared" si="39"/>
        <v>0</v>
      </c>
      <c r="S94" s="355">
        <f t="shared" si="39"/>
        <v>0</v>
      </c>
      <c r="T94" s="355">
        <f t="shared" si="39"/>
        <v>12</v>
      </c>
      <c r="U94" s="355">
        <f t="shared" si="39"/>
        <v>25</v>
      </c>
      <c r="V94" s="355">
        <f t="shared" si="39"/>
        <v>30</v>
      </c>
      <c r="W94" s="355">
        <f t="shared" si="39"/>
        <v>0</v>
      </c>
      <c r="X94" s="355">
        <f t="shared" si="39"/>
        <v>0</v>
      </c>
      <c r="Y94" s="355">
        <f t="shared" si="39"/>
        <v>0</v>
      </c>
      <c r="Z94" s="355">
        <f t="shared" si="39"/>
        <v>0</v>
      </c>
      <c r="AA94" s="355">
        <f t="shared" si="39"/>
        <v>22</v>
      </c>
      <c r="AB94" s="355">
        <f t="shared" si="39"/>
        <v>26</v>
      </c>
      <c r="AC94" s="355">
        <f t="shared" si="39"/>
        <v>-2485</v>
      </c>
      <c r="AD94" s="355">
        <f t="shared" si="39"/>
        <v>0</v>
      </c>
      <c r="AE94" s="355">
        <f t="shared" si="39"/>
        <v>0</v>
      </c>
      <c r="AF94" s="355">
        <f t="shared" si="39"/>
        <v>0</v>
      </c>
      <c r="AG94" s="355">
        <f t="shared" si="39"/>
        <v>0</v>
      </c>
      <c r="AH94" s="355">
        <f t="shared" si="39"/>
        <v>0</v>
      </c>
      <c r="AI94" s="355">
        <f t="shared" si="39"/>
        <v>0</v>
      </c>
      <c r="AJ94" s="355">
        <f>SUM(H94:AH94)</f>
        <v>-2241</v>
      </c>
    </row>
  </sheetData>
  <mergeCells count="61">
    <mergeCell ref="AJ90:AJ93"/>
    <mergeCell ref="C40:D43"/>
    <mergeCell ref="C58:D58"/>
    <mergeCell ref="A31:AI31"/>
    <mergeCell ref="C45:D45"/>
    <mergeCell ref="C90:D93"/>
    <mergeCell ref="A84:A87"/>
    <mergeCell ref="C84:C87"/>
    <mergeCell ref="A90:A93"/>
    <mergeCell ref="B84:B87"/>
    <mergeCell ref="AJ84:AJ87"/>
    <mergeCell ref="B90:B93"/>
    <mergeCell ref="C77:D77"/>
    <mergeCell ref="AJ40:AJ43"/>
    <mergeCell ref="D84:D87"/>
    <mergeCell ref="C62:D62"/>
    <mergeCell ref="AJ2:AJ5"/>
    <mergeCell ref="C74:D74"/>
    <mergeCell ref="C64:D64"/>
    <mergeCell ref="B2:B5"/>
    <mergeCell ref="C79:D79"/>
    <mergeCell ref="D2:D5"/>
    <mergeCell ref="B38:D38"/>
    <mergeCell ref="C73:D73"/>
    <mergeCell ref="B39:D39"/>
    <mergeCell ref="C78:D78"/>
    <mergeCell ref="A36:AI37"/>
    <mergeCell ref="C49:D49"/>
    <mergeCell ref="C68:D68"/>
    <mergeCell ref="A1:AJ1"/>
    <mergeCell ref="C69:D69"/>
    <mergeCell ref="C47:D47"/>
    <mergeCell ref="C54:D54"/>
    <mergeCell ref="A83:D83"/>
    <mergeCell ref="A40:A43"/>
    <mergeCell ref="B40:B43"/>
    <mergeCell ref="A2:A5"/>
    <mergeCell ref="C2:C5"/>
    <mergeCell ref="E83:AI83"/>
    <mergeCell ref="C72:D72"/>
    <mergeCell ref="C67:D67"/>
    <mergeCell ref="C57:D57"/>
    <mergeCell ref="C66:D66"/>
    <mergeCell ref="A22:AI22"/>
    <mergeCell ref="C53:D53"/>
    <mergeCell ref="C94:D94"/>
    <mergeCell ref="C65:D65"/>
    <mergeCell ref="C55:D55"/>
    <mergeCell ref="C50:D50"/>
    <mergeCell ref="C44:D44"/>
    <mergeCell ref="C75:D75"/>
    <mergeCell ref="C56:D56"/>
    <mergeCell ref="C59:D59"/>
    <mergeCell ref="C46:D46"/>
    <mergeCell ref="C60:D60"/>
    <mergeCell ref="C51:D51"/>
    <mergeCell ref="C76:D76"/>
    <mergeCell ref="C71:D71"/>
    <mergeCell ref="C52:D52"/>
    <mergeCell ref="C70:D70"/>
    <mergeCell ref="C48:D4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J94"/>
  <sheetViews>
    <sheetView topLeftCell="AE55" zoomScale="130" zoomScaleNormal="130" workbookViewId="0">
      <selection activeCell="AH68" sqref="AH68:AI71"/>
    </sheetView>
  </sheetViews>
  <sheetFormatPr defaultColWidth="18" defaultRowHeight="14.5"/>
  <cols>
    <col min="1" max="1" width="14" style="300" customWidth="1"/>
    <col min="2" max="2" width="27" customWidth="1"/>
    <col min="3" max="3" width="32" style="300" bestFit="1" customWidth="1"/>
    <col min="4" max="4" width="20" style="300" customWidth="1"/>
    <col min="5" max="5" width="33" style="300" customWidth="1"/>
    <col min="6" max="32" width="23" customWidth="1"/>
    <col min="33" max="33" width="18" style="300" customWidth="1"/>
    <col min="34" max="34" width="14" style="300" customWidth="1"/>
    <col min="35" max="35" width="18" style="300" customWidth="1"/>
    <col min="36" max="62" width="14" customWidth="1"/>
    <col min="63" max="63" width="18" style="300" customWidth="1"/>
    <col min="64" max="16384" width="18" style="300"/>
  </cols>
  <sheetData>
    <row r="1" spans="1:33" ht="21" customHeight="1">
      <c r="A1" s="578" t="s">
        <v>159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7"/>
      <c r="AC1" s="299"/>
      <c r="AD1" s="299"/>
      <c r="AE1" s="299"/>
      <c r="AF1" s="299"/>
      <c r="AG1" s="299"/>
    </row>
    <row r="2" spans="1:33">
      <c r="A2" s="549" t="s">
        <v>99</v>
      </c>
      <c r="B2" s="549" t="s">
        <v>100</v>
      </c>
      <c r="C2" s="550" t="s">
        <v>101</v>
      </c>
      <c r="D2" s="552" t="s">
        <v>102</v>
      </c>
      <c r="E2" s="301">
        <v>46054</v>
      </c>
      <c r="F2" s="301">
        <v>46055</v>
      </c>
      <c r="G2" s="301">
        <v>46056</v>
      </c>
      <c r="H2" s="301">
        <v>46057</v>
      </c>
      <c r="I2" s="301">
        <v>46058</v>
      </c>
      <c r="J2" s="301">
        <v>46059</v>
      </c>
      <c r="K2" s="301">
        <v>46060</v>
      </c>
      <c r="L2" s="301">
        <v>46061</v>
      </c>
      <c r="M2" s="301">
        <v>46062</v>
      </c>
      <c r="N2" s="301">
        <v>46063</v>
      </c>
      <c r="O2" s="301">
        <v>46064</v>
      </c>
      <c r="P2" s="301">
        <v>46065</v>
      </c>
      <c r="Q2" s="301">
        <v>46066</v>
      </c>
      <c r="R2" s="301">
        <v>46067</v>
      </c>
      <c r="S2" s="301">
        <v>46068</v>
      </c>
      <c r="T2" s="301">
        <v>46069</v>
      </c>
      <c r="U2" s="301">
        <v>46070</v>
      </c>
      <c r="V2" s="301">
        <v>46071</v>
      </c>
      <c r="W2" s="301">
        <v>46072</v>
      </c>
      <c r="X2" s="301">
        <v>46073</v>
      </c>
      <c r="Y2" s="301">
        <v>46074</v>
      </c>
      <c r="Z2" s="301">
        <v>46075</v>
      </c>
      <c r="AA2" s="301">
        <v>46076</v>
      </c>
      <c r="AB2" s="301">
        <v>46077</v>
      </c>
      <c r="AC2" s="301">
        <v>46078</v>
      </c>
      <c r="AD2" s="301">
        <v>46079</v>
      </c>
      <c r="AE2" s="301">
        <v>46080</v>
      </c>
      <c r="AF2" s="301">
        <v>46081</v>
      </c>
      <c r="AG2" s="555" t="s">
        <v>1</v>
      </c>
    </row>
    <row r="3" spans="1:33">
      <c r="A3" s="511"/>
      <c r="B3" s="511"/>
      <c r="C3" s="511"/>
      <c r="D3" s="511"/>
      <c r="E3" s="302" t="s">
        <v>105</v>
      </c>
      <c r="F3" s="302" t="s">
        <v>106</v>
      </c>
      <c r="G3" s="302" t="s">
        <v>107</v>
      </c>
      <c r="H3" s="302" t="s">
        <v>108</v>
      </c>
      <c r="I3" s="302" t="s">
        <v>109</v>
      </c>
      <c r="J3" s="302" t="s">
        <v>103</v>
      </c>
      <c r="K3" s="302" t="s">
        <v>104</v>
      </c>
      <c r="L3" s="302" t="s">
        <v>105</v>
      </c>
      <c r="M3" s="302" t="s">
        <v>106</v>
      </c>
      <c r="N3" s="302" t="s">
        <v>107</v>
      </c>
      <c r="O3" s="302" t="s">
        <v>108</v>
      </c>
      <c r="P3" s="302" t="s">
        <v>109</v>
      </c>
      <c r="Q3" s="302" t="s">
        <v>103</v>
      </c>
      <c r="R3" s="302" t="s">
        <v>104</v>
      </c>
      <c r="S3" s="302" t="s">
        <v>105</v>
      </c>
      <c r="T3" s="302" t="s">
        <v>106</v>
      </c>
      <c r="U3" s="302" t="s">
        <v>107</v>
      </c>
      <c r="V3" s="302" t="s">
        <v>108</v>
      </c>
      <c r="W3" s="302" t="s">
        <v>109</v>
      </c>
      <c r="X3" s="302" t="s">
        <v>103</v>
      </c>
      <c r="Y3" s="302" t="s">
        <v>104</v>
      </c>
      <c r="Z3" s="302" t="s">
        <v>105</v>
      </c>
      <c r="AA3" s="302" t="s">
        <v>106</v>
      </c>
      <c r="AB3" s="302" t="s">
        <v>107</v>
      </c>
      <c r="AC3" s="302" t="s">
        <v>108</v>
      </c>
      <c r="AD3" s="302" t="s">
        <v>109</v>
      </c>
      <c r="AE3" s="302" t="s">
        <v>103</v>
      </c>
      <c r="AF3" s="302" t="s">
        <v>104</v>
      </c>
      <c r="AG3" s="511"/>
    </row>
    <row r="4" spans="1:33">
      <c r="A4" s="511"/>
      <c r="B4" s="511"/>
      <c r="C4" s="511"/>
      <c r="D4" s="511"/>
      <c r="E4" s="303" t="s">
        <v>110</v>
      </c>
      <c r="F4" s="303" t="s">
        <v>110</v>
      </c>
      <c r="G4" s="303" t="s">
        <v>110</v>
      </c>
      <c r="H4" s="303" t="s">
        <v>110</v>
      </c>
      <c r="I4" s="303" t="s">
        <v>110</v>
      </c>
      <c r="J4" s="303" t="s">
        <v>110</v>
      </c>
      <c r="K4" s="303" t="s">
        <v>110</v>
      </c>
      <c r="L4" s="303" t="s">
        <v>110</v>
      </c>
      <c r="M4" s="303" t="s">
        <v>110</v>
      </c>
      <c r="N4" s="303" t="s">
        <v>110</v>
      </c>
      <c r="O4" s="303" t="s">
        <v>110</v>
      </c>
      <c r="P4" s="303" t="s">
        <v>110</v>
      </c>
      <c r="Q4" s="303" t="s">
        <v>110</v>
      </c>
      <c r="R4" s="303" t="s">
        <v>110</v>
      </c>
      <c r="S4" s="303" t="s">
        <v>110</v>
      </c>
      <c r="T4" s="303" t="s">
        <v>110</v>
      </c>
      <c r="U4" s="303" t="s">
        <v>110</v>
      </c>
      <c r="V4" s="303" t="s">
        <v>110</v>
      </c>
      <c r="W4" s="303" t="s">
        <v>110</v>
      </c>
      <c r="X4" s="303" t="s">
        <v>110</v>
      </c>
      <c r="Y4" s="303" t="s">
        <v>110</v>
      </c>
      <c r="Z4" s="303" t="s">
        <v>110</v>
      </c>
      <c r="AA4" s="303" t="s">
        <v>110</v>
      </c>
      <c r="AB4" s="303" t="s">
        <v>110</v>
      </c>
      <c r="AC4" s="303" t="s">
        <v>110</v>
      </c>
      <c r="AD4" s="303" t="s">
        <v>110</v>
      </c>
      <c r="AE4" s="303" t="s">
        <v>110</v>
      </c>
      <c r="AF4" s="303" t="s">
        <v>110</v>
      </c>
      <c r="AG4" s="511"/>
    </row>
    <row r="5" spans="1:33">
      <c r="A5" s="512"/>
      <c r="B5" s="512"/>
      <c r="C5" s="512"/>
      <c r="D5" s="512"/>
      <c r="E5" s="304">
        <v>0.33333333333333331</v>
      </c>
      <c r="F5" s="304">
        <v>0.33333333333333331</v>
      </c>
      <c r="G5" s="304">
        <v>0.33333333333333331</v>
      </c>
      <c r="H5" s="304">
        <v>0.33333333333333331</v>
      </c>
      <c r="I5" s="304">
        <v>0.33333333333333331</v>
      </c>
      <c r="J5" s="304">
        <v>0.33333333333333331</v>
      </c>
      <c r="K5" s="304">
        <v>0.33333333333333331</v>
      </c>
      <c r="L5" s="304">
        <v>0.33333333333333331</v>
      </c>
      <c r="M5" s="304">
        <v>0.33333333333333331</v>
      </c>
      <c r="N5" s="304">
        <v>0.33333333333333331</v>
      </c>
      <c r="O5" s="304">
        <v>0.33333333333333331</v>
      </c>
      <c r="P5" s="304">
        <v>0.33333333333333331</v>
      </c>
      <c r="Q5" s="304">
        <v>0.33333333333333331</v>
      </c>
      <c r="R5" s="304">
        <v>0.33333333333333331</v>
      </c>
      <c r="S5" s="304">
        <v>0.33333333333333331</v>
      </c>
      <c r="T5" s="304">
        <v>0.33333333333333331</v>
      </c>
      <c r="U5" s="304">
        <v>0.33333333333333331</v>
      </c>
      <c r="V5" s="304">
        <v>0.33333333333333331</v>
      </c>
      <c r="W5" s="304">
        <v>0.33333333333333331</v>
      </c>
      <c r="X5" s="304">
        <v>0.33333333333333331</v>
      </c>
      <c r="Y5" s="304">
        <v>0.33333333333333331</v>
      </c>
      <c r="Z5" s="304">
        <v>0.33333333333333331</v>
      </c>
      <c r="AA5" s="304">
        <v>0.33333333333333331</v>
      </c>
      <c r="AB5" s="304">
        <v>0.33333333333333331</v>
      </c>
      <c r="AC5" s="304">
        <v>0.33333333333333331</v>
      </c>
      <c r="AD5" s="304">
        <v>0.33333333333333331</v>
      </c>
      <c r="AE5" s="304">
        <v>0.33333333333333331</v>
      </c>
      <c r="AF5" s="304">
        <v>0.33333333333333331</v>
      </c>
      <c r="AG5" s="512"/>
    </row>
    <row r="6" spans="1:33">
      <c r="A6" s="305">
        <v>1</v>
      </c>
      <c r="B6" s="306" t="s">
        <v>129</v>
      </c>
      <c r="C6" s="307" t="s">
        <v>111</v>
      </c>
      <c r="D6" s="308">
        <v>174539</v>
      </c>
      <c r="E6" s="305">
        <v>174831</v>
      </c>
      <c r="F6" s="305">
        <v>175100</v>
      </c>
      <c r="G6" s="305">
        <v>175349</v>
      </c>
      <c r="H6" s="305">
        <v>175600</v>
      </c>
      <c r="I6" s="305">
        <v>175858</v>
      </c>
      <c r="J6" s="305">
        <v>176115</v>
      </c>
      <c r="K6" s="305">
        <v>176323</v>
      </c>
      <c r="L6" s="305">
        <v>176539</v>
      </c>
      <c r="M6" s="305">
        <v>176807</v>
      </c>
      <c r="N6" s="305">
        <v>177067</v>
      </c>
      <c r="O6" s="309">
        <v>177320</v>
      </c>
      <c r="P6" s="310">
        <v>177586</v>
      </c>
      <c r="Q6" s="305">
        <v>177836</v>
      </c>
      <c r="R6" s="311">
        <v>178053</v>
      </c>
      <c r="S6" s="306">
        <v>178233</v>
      </c>
      <c r="T6" s="306">
        <v>178494</v>
      </c>
      <c r="U6" s="306">
        <v>178759</v>
      </c>
      <c r="V6" s="312">
        <v>179010</v>
      </c>
      <c r="W6" s="306">
        <v>179260</v>
      </c>
      <c r="X6" s="306">
        <v>179511</v>
      </c>
      <c r="Y6" s="306">
        <v>179718</v>
      </c>
      <c r="Z6" s="306">
        <v>179917</v>
      </c>
      <c r="AA6" s="309">
        <v>180174</v>
      </c>
      <c r="AB6" s="306">
        <v>180449</v>
      </c>
      <c r="AC6" s="306">
        <v>180698</v>
      </c>
      <c r="AD6" s="305">
        <v>180957</v>
      </c>
      <c r="AE6" s="313">
        <v>181217</v>
      </c>
      <c r="AF6" s="385">
        <v>181312</v>
      </c>
      <c r="AG6" s="314">
        <f t="shared" ref="AG6:AG21" si="0">AF6-D6</f>
        <v>6773</v>
      </c>
    </row>
    <row r="7" spans="1:33">
      <c r="A7" s="315"/>
      <c r="B7" s="315"/>
      <c r="C7" s="316" t="s">
        <v>22</v>
      </c>
      <c r="D7" s="317">
        <v>4283</v>
      </c>
      <c r="E7" s="318">
        <v>4283</v>
      </c>
      <c r="F7" s="318">
        <v>4283</v>
      </c>
      <c r="G7" s="318">
        <v>4283</v>
      </c>
      <c r="H7" s="318">
        <v>4283</v>
      </c>
      <c r="I7" s="318">
        <v>4283</v>
      </c>
      <c r="J7" s="318">
        <v>4283</v>
      </c>
      <c r="K7" s="318">
        <v>4283</v>
      </c>
      <c r="L7" s="318">
        <v>4283</v>
      </c>
      <c r="M7" s="318">
        <v>4283</v>
      </c>
      <c r="N7" s="315">
        <v>4283</v>
      </c>
      <c r="O7" s="315">
        <v>4283</v>
      </c>
      <c r="P7" s="315">
        <v>4283</v>
      </c>
      <c r="Q7" s="315">
        <v>4283</v>
      </c>
      <c r="R7" s="315">
        <v>4283</v>
      </c>
      <c r="S7" s="315">
        <v>4283</v>
      </c>
      <c r="T7" s="315">
        <v>4283</v>
      </c>
      <c r="U7" s="315">
        <v>4283</v>
      </c>
      <c r="V7" s="315">
        <v>4283</v>
      </c>
      <c r="W7" s="315">
        <v>4283</v>
      </c>
      <c r="X7" s="315">
        <v>4283</v>
      </c>
      <c r="Y7" s="315">
        <v>4283</v>
      </c>
      <c r="Z7" s="315">
        <v>4283</v>
      </c>
      <c r="AA7" s="315">
        <v>4283</v>
      </c>
      <c r="AB7" s="315">
        <v>4283</v>
      </c>
      <c r="AC7" s="315">
        <v>4283</v>
      </c>
      <c r="AD7" s="315">
        <v>4283</v>
      </c>
      <c r="AE7" s="318">
        <v>4283</v>
      </c>
      <c r="AF7" s="318">
        <v>4283</v>
      </c>
      <c r="AG7" s="314">
        <f t="shared" si="0"/>
        <v>0</v>
      </c>
    </row>
    <row r="8" spans="1:33">
      <c r="A8" s="306">
        <v>2</v>
      </c>
      <c r="B8" s="306" t="s">
        <v>129</v>
      </c>
      <c r="C8" s="319" t="s">
        <v>112</v>
      </c>
      <c r="D8" s="320">
        <v>1956</v>
      </c>
      <c r="E8" s="309">
        <v>1956</v>
      </c>
      <c r="F8" s="309">
        <v>1956</v>
      </c>
      <c r="G8" s="309">
        <v>1956</v>
      </c>
      <c r="H8" s="309">
        <v>1956</v>
      </c>
      <c r="I8" s="309">
        <v>1956</v>
      </c>
      <c r="J8" s="309">
        <v>1956</v>
      </c>
      <c r="K8" s="306">
        <v>1956</v>
      </c>
      <c r="L8" s="306">
        <v>1956</v>
      </c>
      <c r="M8" s="306">
        <v>1956</v>
      </c>
      <c r="N8" s="306">
        <v>1956</v>
      </c>
      <c r="O8" s="306">
        <v>1956</v>
      </c>
      <c r="P8" s="306">
        <v>1956</v>
      </c>
      <c r="Q8" s="306">
        <v>1956</v>
      </c>
      <c r="R8" s="306">
        <v>1956</v>
      </c>
      <c r="S8" s="306">
        <v>1956</v>
      </c>
      <c r="T8" s="306">
        <v>1956</v>
      </c>
      <c r="U8" s="306">
        <v>1956</v>
      </c>
      <c r="V8" s="306">
        <v>1956</v>
      </c>
      <c r="W8" s="306">
        <v>1956</v>
      </c>
      <c r="X8" s="306">
        <v>1956</v>
      </c>
      <c r="Y8" s="306">
        <v>1956</v>
      </c>
      <c r="Z8" s="306">
        <v>1956</v>
      </c>
      <c r="AA8" s="306">
        <v>1956</v>
      </c>
      <c r="AB8" s="306">
        <v>1956</v>
      </c>
      <c r="AC8" s="306">
        <v>1956</v>
      </c>
      <c r="AD8" s="306">
        <v>1956</v>
      </c>
      <c r="AE8" s="309">
        <v>1956</v>
      </c>
      <c r="AF8" s="386">
        <v>1956</v>
      </c>
      <c r="AG8" s="314">
        <f t="shared" si="0"/>
        <v>0</v>
      </c>
    </row>
    <row r="9" spans="1:33">
      <c r="A9" s="306"/>
      <c r="B9" s="306"/>
      <c r="C9" s="316" t="s">
        <v>22</v>
      </c>
      <c r="D9" s="320">
        <v>28.6</v>
      </c>
      <c r="E9" s="309">
        <v>28.6</v>
      </c>
      <c r="F9" s="309">
        <v>28.6</v>
      </c>
      <c r="G9" s="309">
        <v>28.6</v>
      </c>
      <c r="H9" s="309">
        <v>28.6</v>
      </c>
      <c r="I9" s="309">
        <v>28.6</v>
      </c>
      <c r="J9" s="309">
        <v>28.6</v>
      </c>
      <c r="K9" s="309">
        <v>28.6</v>
      </c>
      <c r="L9" s="309">
        <v>28.6</v>
      </c>
      <c r="M9" s="309">
        <v>28.6</v>
      </c>
      <c r="N9" s="306">
        <v>28.6</v>
      </c>
      <c r="O9" s="306">
        <v>28.6</v>
      </c>
      <c r="P9" s="306">
        <v>28.6</v>
      </c>
      <c r="Q9" s="306">
        <v>28.6</v>
      </c>
      <c r="R9" s="306">
        <v>28.6</v>
      </c>
      <c r="S9" s="306">
        <v>28.6</v>
      </c>
      <c r="T9" s="306">
        <v>28.6</v>
      </c>
      <c r="U9" s="306">
        <v>28.6</v>
      </c>
      <c r="V9" s="306">
        <v>28.6</v>
      </c>
      <c r="W9" s="306">
        <v>28.6</v>
      </c>
      <c r="X9" s="306">
        <v>28.6</v>
      </c>
      <c r="Y9" s="306">
        <v>28.6</v>
      </c>
      <c r="Z9" s="306">
        <v>28.6</v>
      </c>
      <c r="AA9" s="306">
        <v>28.6</v>
      </c>
      <c r="AB9" s="306">
        <v>28.6</v>
      </c>
      <c r="AC9" s="306">
        <v>28.6</v>
      </c>
      <c r="AD9" s="306">
        <v>28.6</v>
      </c>
      <c r="AE9" s="309">
        <v>28.6</v>
      </c>
      <c r="AF9" s="309">
        <v>28.6</v>
      </c>
      <c r="AG9" s="314">
        <f t="shared" si="0"/>
        <v>0</v>
      </c>
    </row>
    <row r="10" spans="1:33">
      <c r="A10" s="306">
        <v>3</v>
      </c>
      <c r="B10" s="306" t="s">
        <v>129</v>
      </c>
      <c r="C10" s="319" t="s">
        <v>113</v>
      </c>
      <c r="D10" s="317">
        <v>253441</v>
      </c>
      <c r="E10" s="306">
        <v>253820</v>
      </c>
      <c r="F10" s="306">
        <v>254213</v>
      </c>
      <c r="G10" s="306">
        <v>254575</v>
      </c>
      <c r="H10" s="306">
        <v>254949</v>
      </c>
      <c r="I10" s="306">
        <v>255315</v>
      </c>
      <c r="J10" s="306">
        <v>255684</v>
      </c>
      <c r="K10" s="306">
        <v>255965</v>
      </c>
      <c r="L10" s="306">
        <v>256254</v>
      </c>
      <c r="M10" s="306">
        <v>256648</v>
      </c>
      <c r="N10" s="306">
        <v>257026</v>
      </c>
      <c r="O10" s="306">
        <v>257397</v>
      </c>
      <c r="P10" s="306">
        <v>257784</v>
      </c>
      <c r="Q10" s="306">
        <v>258148</v>
      </c>
      <c r="R10" s="306">
        <v>258434</v>
      </c>
      <c r="S10" s="306">
        <v>258676</v>
      </c>
      <c r="T10" s="306">
        <v>259048</v>
      </c>
      <c r="U10" s="306">
        <v>259431</v>
      </c>
      <c r="V10" s="306">
        <v>259794</v>
      </c>
      <c r="W10" s="306">
        <v>260155</v>
      </c>
      <c r="X10" s="306">
        <v>260518</v>
      </c>
      <c r="Y10" s="306">
        <v>260797</v>
      </c>
      <c r="Z10" s="306">
        <v>261061</v>
      </c>
      <c r="AA10" s="309">
        <v>261430</v>
      </c>
      <c r="AB10" s="315">
        <v>261827</v>
      </c>
      <c r="AC10" s="315">
        <v>262190</v>
      </c>
      <c r="AD10" s="315">
        <v>262566</v>
      </c>
      <c r="AE10" s="318">
        <v>262852</v>
      </c>
      <c r="AF10" s="387">
        <v>263065</v>
      </c>
      <c r="AG10" s="314">
        <f t="shared" si="0"/>
        <v>9624</v>
      </c>
    </row>
    <row r="11" spans="1:33">
      <c r="A11" s="306"/>
      <c r="B11" s="306"/>
      <c r="C11" s="316" t="s">
        <v>22</v>
      </c>
      <c r="D11" s="321">
        <v>6410</v>
      </c>
      <c r="E11" s="309">
        <v>6410</v>
      </c>
      <c r="F11" s="309">
        <v>6410</v>
      </c>
      <c r="G11" s="309">
        <v>6410</v>
      </c>
      <c r="H11" s="309">
        <v>6410</v>
      </c>
      <c r="I11" s="309">
        <v>6410</v>
      </c>
      <c r="J11" s="309">
        <v>6410</v>
      </c>
      <c r="K11" s="309">
        <v>6410</v>
      </c>
      <c r="L11" s="309">
        <v>6410</v>
      </c>
      <c r="M11" s="309">
        <v>6410</v>
      </c>
      <c r="N11" s="306">
        <v>6410</v>
      </c>
      <c r="O11" s="306">
        <v>6410</v>
      </c>
      <c r="P11" s="306">
        <v>6410</v>
      </c>
      <c r="Q11" s="306">
        <v>6410</v>
      </c>
      <c r="R11" s="306">
        <v>6410</v>
      </c>
      <c r="S11" s="306">
        <v>6410</v>
      </c>
      <c r="T11" s="306">
        <v>6410</v>
      </c>
      <c r="U11" s="306">
        <v>6410</v>
      </c>
      <c r="V11" s="306">
        <v>6410</v>
      </c>
      <c r="W11" s="306">
        <v>6410</v>
      </c>
      <c r="X11" s="306">
        <v>6410</v>
      </c>
      <c r="Y11" s="306">
        <v>6410</v>
      </c>
      <c r="Z11" s="306">
        <v>6410</v>
      </c>
      <c r="AA11" s="306">
        <v>6410</v>
      </c>
      <c r="AB11" s="306">
        <v>6410</v>
      </c>
      <c r="AC11" s="306">
        <v>6410</v>
      </c>
      <c r="AD11" s="306">
        <v>6410</v>
      </c>
      <c r="AE11" s="309">
        <v>6410</v>
      </c>
      <c r="AF11" s="309">
        <v>6410</v>
      </c>
      <c r="AG11" s="314">
        <f t="shared" si="0"/>
        <v>0</v>
      </c>
    </row>
    <row r="12" spans="1:33">
      <c r="A12" s="306">
        <v>4</v>
      </c>
      <c r="B12" s="306" t="s">
        <v>129</v>
      </c>
      <c r="C12" s="322" t="s">
        <v>114</v>
      </c>
      <c r="D12" s="323">
        <v>0</v>
      </c>
      <c r="E12" s="324">
        <v>0</v>
      </c>
      <c r="F12" s="309">
        <v>0</v>
      </c>
      <c r="G12" s="309">
        <v>0</v>
      </c>
      <c r="H12" s="309">
        <v>0</v>
      </c>
      <c r="I12" s="309">
        <v>0</v>
      </c>
      <c r="J12" s="309">
        <v>0</v>
      </c>
      <c r="K12" s="306">
        <v>0</v>
      </c>
      <c r="L12" s="306">
        <v>0</v>
      </c>
      <c r="M12" s="306">
        <v>0</v>
      </c>
      <c r="N12" s="306">
        <v>0</v>
      </c>
      <c r="O12" s="306">
        <v>0</v>
      </c>
      <c r="P12" s="306">
        <v>0</v>
      </c>
      <c r="Q12" s="306">
        <v>0</v>
      </c>
      <c r="R12" s="306">
        <v>0</v>
      </c>
      <c r="S12" s="306">
        <v>0</v>
      </c>
      <c r="T12" s="306">
        <v>0</v>
      </c>
      <c r="U12" s="306">
        <v>0</v>
      </c>
      <c r="V12" s="306">
        <v>0</v>
      </c>
      <c r="W12" s="306">
        <v>0</v>
      </c>
      <c r="X12" s="306">
        <v>0</v>
      </c>
      <c r="Y12" s="306">
        <v>0</v>
      </c>
      <c r="Z12" s="306">
        <v>0</v>
      </c>
      <c r="AA12" s="306">
        <v>0</v>
      </c>
      <c r="AB12" s="306">
        <v>0</v>
      </c>
      <c r="AC12" s="306">
        <v>0</v>
      </c>
      <c r="AD12" s="306">
        <v>0</v>
      </c>
      <c r="AE12" s="309">
        <v>0</v>
      </c>
      <c r="AF12" s="386">
        <v>0</v>
      </c>
      <c r="AG12" s="314">
        <f t="shared" si="0"/>
        <v>0</v>
      </c>
    </row>
    <row r="13" spans="1:33">
      <c r="A13" s="306"/>
      <c r="B13" s="306"/>
      <c r="C13" s="325" t="s">
        <v>22</v>
      </c>
      <c r="D13" s="323">
        <v>0</v>
      </c>
      <c r="E13" s="326">
        <v>0</v>
      </c>
      <c r="F13" s="327">
        <v>0</v>
      </c>
      <c r="G13" s="327">
        <v>0</v>
      </c>
      <c r="H13" s="327">
        <v>0</v>
      </c>
      <c r="I13" s="327">
        <v>0</v>
      </c>
      <c r="J13" s="327">
        <v>0</v>
      </c>
      <c r="K13" s="306">
        <v>0</v>
      </c>
      <c r="L13" s="306">
        <v>0</v>
      </c>
      <c r="M13" s="306">
        <v>0</v>
      </c>
      <c r="N13" s="306">
        <v>0</v>
      </c>
      <c r="O13" s="306">
        <v>0</v>
      </c>
      <c r="P13" s="306">
        <v>0</v>
      </c>
      <c r="Q13" s="306">
        <v>0</v>
      </c>
      <c r="R13" s="306">
        <v>0</v>
      </c>
      <c r="S13" s="306">
        <v>0</v>
      </c>
      <c r="T13" s="306">
        <v>0</v>
      </c>
      <c r="U13" s="306">
        <v>0</v>
      </c>
      <c r="V13" s="306">
        <v>0</v>
      </c>
      <c r="W13" s="306">
        <v>0</v>
      </c>
      <c r="X13" s="306">
        <v>0</v>
      </c>
      <c r="Y13" s="306">
        <v>0</v>
      </c>
      <c r="Z13" s="306">
        <v>0</v>
      </c>
      <c r="AA13" s="306">
        <v>0</v>
      </c>
      <c r="AB13" s="306">
        <v>0</v>
      </c>
      <c r="AC13" s="306">
        <v>0</v>
      </c>
      <c r="AD13" s="306">
        <v>0</v>
      </c>
      <c r="AE13" s="309">
        <v>0</v>
      </c>
      <c r="AF13" s="309">
        <v>0</v>
      </c>
      <c r="AG13" s="314">
        <f t="shared" si="0"/>
        <v>0</v>
      </c>
    </row>
    <row r="14" spans="1:33">
      <c r="A14" s="306">
        <v>5</v>
      </c>
      <c r="B14" s="306" t="s">
        <v>129</v>
      </c>
      <c r="C14" s="322" t="s">
        <v>115</v>
      </c>
      <c r="D14" s="323">
        <v>131062</v>
      </c>
      <c r="E14" s="311">
        <v>131292</v>
      </c>
      <c r="F14" s="306">
        <v>131506</v>
      </c>
      <c r="G14" s="306">
        <v>131800</v>
      </c>
      <c r="H14" s="306">
        <v>132049</v>
      </c>
      <c r="I14" s="306">
        <v>132289</v>
      </c>
      <c r="J14" s="306">
        <v>132537</v>
      </c>
      <c r="K14" s="306">
        <v>132691</v>
      </c>
      <c r="L14" s="306">
        <v>132848</v>
      </c>
      <c r="M14" s="306">
        <v>133099</v>
      </c>
      <c r="N14" s="306">
        <v>133343</v>
      </c>
      <c r="O14" s="306">
        <v>133586</v>
      </c>
      <c r="P14" s="306">
        <v>133839</v>
      </c>
      <c r="Q14" s="306">
        <v>134080</v>
      </c>
      <c r="R14" s="306">
        <v>134244</v>
      </c>
      <c r="S14" s="306">
        <v>134379</v>
      </c>
      <c r="T14" s="306">
        <v>134623</v>
      </c>
      <c r="U14" s="328">
        <v>134878</v>
      </c>
      <c r="V14" s="306">
        <v>135126</v>
      </c>
      <c r="W14" s="306">
        <v>135373</v>
      </c>
      <c r="X14" s="306">
        <v>135615</v>
      </c>
      <c r="Y14" s="306">
        <v>135780</v>
      </c>
      <c r="Z14" s="306">
        <v>135920</v>
      </c>
      <c r="AA14" s="309">
        <v>136179</v>
      </c>
      <c r="AB14" s="328">
        <v>136447</v>
      </c>
      <c r="AC14" s="328">
        <v>136692</v>
      </c>
      <c r="AD14" s="328">
        <v>136933</v>
      </c>
      <c r="AE14" s="329">
        <v>137176</v>
      </c>
      <c r="AF14" s="388">
        <v>137256</v>
      </c>
      <c r="AG14" s="314">
        <f t="shared" si="0"/>
        <v>6194</v>
      </c>
    </row>
    <row r="15" spans="1:33">
      <c r="A15" s="306"/>
      <c r="B15" s="306"/>
      <c r="C15" s="325" t="s">
        <v>22</v>
      </c>
      <c r="D15" s="323">
        <v>3280</v>
      </c>
      <c r="E15" s="330">
        <v>3280</v>
      </c>
      <c r="F15" s="330">
        <v>3280</v>
      </c>
      <c r="G15" s="330">
        <v>3280</v>
      </c>
      <c r="H15" s="330">
        <v>3280</v>
      </c>
      <c r="I15" s="330">
        <v>3280</v>
      </c>
      <c r="J15" s="330">
        <v>3280</v>
      </c>
      <c r="K15" s="330">
        <v>3280</v>
      </c>
      <c r="L15" s="330">
        <v>3280</v>
      </c>
      <c r="M15" s="330">
        <v>3280</v>
      </c>
      <c r="N15" s="331">
        <v>3280</v>
      </c>
      <c r="O15" s="331">
        <v>3280</v>
      </c>
      <c r="P15" s="331">
        <v>3280</v>
      </c>
      <c r="Q15" s="331">
        <v>3280</v>
      </c>
      <c r="R15" s="331">
        <v>3280</v>
      </c>
      <c r="S15" s="331">
        <v>3280</v>
      </c>
      <c r="T15" s="331">
        <v>3280</v>
      </c>
      <c r="U15" s="331">
        <v>3280</v>
      </c>
      <c r="V15" s="331">
        <v>3280</v>
      </c>
      <c r="W15" s="331">
        <v>3280</v>
      </c>
      <c r="X15" s="331">
        <v>3280</v>
      </c>
      <c r="Y15" s="331">
        <v>3280</v>
      </c>
      <c r="Z15" s="331">
        <v>3280</v>
      </c>
      <c r="AA15" s="331">
        <v>3280</v>
      </c>
      <c r="AB15" s="331">
        <v>3280</v>
      </c>
      <c r="AC15" s="331">
        <v>3280</v>
      </c>
      <c r="AD15" s="331">
        <v>3280</v>
      </c>
      <c r="AE15" s="327">
        <v>3280</v>
      </c>
      <c r="AF15" s="327">
        <v>3280</v>
      </c>
      <c r="AG15" s="314">
        <f t="shared" si="0"/>
        <v>0</v>
      </c>
    </row>
    <row r="16" spans="1:33">
      <c r="A16" s="306">
        <v>6</v>
      </c>
      <c r="B16" s="306" t="s">
        <v>129</v>
      </c>
      <c r="C16" s="322" t="s">
        <v>142</v>
      </c>
      <c r="D16" s="323">
        <v>147456</v>
      </c>
      <c r="E16" s="332">
        <v>147615</v>
      </c>
      <c r="F16" s="309">
        <v>147867</v>
      </c>
      <c r="G16" s="305">
        <v>148133</v>
      </c>
      <c r="H16" s="311">
        <v>148380</v>
      </c>
      <c r="I16" s="306">
        <v>148664</v>
      </c>
      <c r="J16" s="306">
        <v>148922</v>
      </c>
      <c r="K16" s="309">
        <v>149040</v>
      </c>
      <c r="L16" s="333">
        <v>149120</v>
      </c>
      <c r="M16" s="310">
        <v>149390</v>
      </c>
      <c r="N16" s="310">
        <v>149641</v>
      </c>
      <c r="O16" s="310">
        <v>149911</v>
      </c>
      <c r="P16" s="310">
        <v>150175</v>
      </c>
      <c r="Q16" s="334">
        <v>150444</v>
      </c>
      <c r="R16" s="310">
        <v>150560</v>
      </c>
      <c r="S16" s="311">
        <v>150651</v>
      </c>
      <c r="T16" s="306">
        <v>150870</v>
      </c>
      <c r="U16" s="306">
        <v>151209</v>
      </c>
      <c r="V16" s="306">
        <v>151466</v>
      </c>
      <c r="W16" s="306">
        <v>151734</v>
      </c>
      <c r="X16" s="306">
        <v>151987</v>
      </c>
      <c r="Y16" s="306">
        <v>152116</v>
      </c>
      <c r="Z16" s="306">
        <v>152200</v>
      </c>
      <c r="AA16" s="309">
        <v>152455</v>
      </c>
      <c r="AB16" s="305">
        <v>152730</v>
      </c>
      <c r="AC16" s="305">
        <v>153003</v>
      </c>
      <c r="AD16" s="305">
        <v>153256</v>
      </c>
      <c r="AE16" s="313">
        <v>153524</v>
      </c>
      <c r="AF16" s="385">
        <v>153569</v>
      </c>
      <c r="AG16" s="314">
        <f t="shared" si="0"/>
        <v>6113</v>
      </c>
    </row>
    <row r="17" spans="1:33">
      <c r="A17" s="306"/>
      <c r="B17" s="306"/>
      <c r="C17" s="325" t="s">
        <v>22</v>
      </c>
      <c r="D17" s="323">
        <v>4265</v>
      </c>
      <c r="E17" s="335">
        <v>4265</v>
      </c>
      <c r="F17" s="335">
        <v>4265</v>
      </c>
      <c r="G17" s="335">
        <v>4265</v>
      </c>
      <c r="H17" s="335">
        <v>4265</v>
      </c>
      <c r="I17" s="335">
        <v>4265</v>
      </c>
      <c r="J17" s="335">
        <v>4265</v>
      </c>
      <c r="K17" s="335">
        <v>4265</v>
      </c>
      <c r="L17" s="335">
        <v>4265</v>
      </c>
      <c r="M17" s="335">
        <v>4265</v>
      </c>
      <c r="N17" s="335">
        <v>4265</v>
      </c>
      <c r="O17" s="335">
        <v>4265</v>
      </c>
      <c r="P17" s="335">
        <v>4265</v>
      </c>
      <c r="Q17" s="335">
        <v>4265</v>
      </c>
      <c r="R17" s="335">
        <v>4265</v>
      </c>
      <c r="S17" s="335">
        <v>4265</v>
      </c>
      <c r="T17" s="335">
        <v>4265</v>
      </c>
      <c r="U17" s="335">
        <v>4265</v>
      </c>
      <c r="V17" s="335">
        <v>4265</v>
      </c>
      <c r="W17" s="335">
        <v>4265</v>
      </c>
      <c r="X17" s="335">
        <v>4265</v>
      </c>
      <c r="Y17" s="335">
        <v>4265</v>
      </c>
      <c r="Z17" s="335">
        <v>4265</v>
      </c>
      <c r="AA17" s="335">
        <v>4265</v>
      </c>
      <c r="AB17" s="335">
        <v>4265</v>
      </c>
      <c r="AC17" s="335">
        <v>4265</v>
      </c>
      <c r="AD17" s="335">
        <v>4265</v>
      </c>
      <c r="AE17" s="305">
        <v>4265</v>
      </c>
      <c r="AF17" s="305">
        <v>4265</v>
      </c>
      <c r="AG17" s="314">
        <f t="shared" si="0"/>
        <v>0</v>
      </c>
    </row>
    <row r="18" spans="1:33">
      <c r="A18" s="306">
        <v>7</v>
      </c>
      <c r="B18" s="306" t="s">
        <v>129</v>
      </c>
      <c r="C18" s="322" t="s">
        <v>117</v>
      </c>
      <c r="D18" s="323">
        <v>486295</v>
      </c>
      <c r="E18" s="311">
        <v>487006</v>
      </c>
      <c r="F18" s="306">
        <v>487827</v>
      </c>
      <c r="G18" s="306">
        <v>488588</v>
      </c>
      <c r="H18" s="306">
        <v>489417</v>
      </c>
      <c r="I18" s="306">
        <v>490208</v>
      </c>
      <c r="J18" s="306">
        <v>491030</v>
      </c>
      <c r="K18" s="306">
        <v>491662</v>
      </c>
      <c r="L18" s="306">
        <v>492129</v>
      </c>
      <c r="M18" s="306">
        <v>492933</v>
      </c>
      <c r="N18" s="336">
        <v>493745</v>
      </c>
      <c r="O18" s="306">
        <v>494531</v>
      </c>
      <c r="P18" s="306">
        <v>495362</v>
      </c>
      <c r="Q18" s="306">
        <v>496164</v>
      </c>
      <c r="R18" s="315">
        <v>496807</v>
      </c>
      <c r="S18" s="336">
        <v>497268</v>
      </c>
      <c r="T18" s="306">
        <v>498051</v>
      </c>
      <c r="U18" s="306">
        <v>498873</v>
      </c>
      <c r="V18" s="306">
        <v>499668</v>
      </c>
      <c r="W18" s="306">
        <v>500480</v>
      </c>
      <c r="X18" s="328">
        <v>501274</v>
      </c>
      <c r="Y18" s="306">
        <v>501909</v>
      </c>
      <c r="Z18" s="306">
        <v>502389</v>
      </c>
      <c r="AA18" s="309">
        <v>502980</v>
      </c>
      <c r="AB18" s="305">
        <v>504032</v>
      </c>
      <c r="AC18" s="337">
        <v>504812</v>
      </c>
      <c r="AD18" s="315">
        <v>505620</v>
      </c>
      <c r="AE18" s="318">
        <v>506457</v>
      </c>
      <c r="AF18" s="387">
        <v>506717</v>
      </c>
      <c r="AG18" s="314">
        <f t="shared" si="0"/>
        <v>20422</v>
      </c>
    </row>
    <row r="19" spans="1:33">
      <c r="A19" s="306"/>
      <c r="B19" s="306"/>
      <c r="C19" s="325" t="s">
        <v>22</v>
      </c>
      <c r="D19" s="323">
        <v>11614</v>
      </c>
      <c r="E19" s="311">
        <v>11614</v>
      </c>
      <c r="F19" s="306">
        <v>11614</v>
      </c>
      <c r="G19" s="306">
        <v>11614</v>
      </c>
      <c r="H19" s="306">
        <v>11614</v>
      </c>
      <c r="I19" s="306">
        <v>11614</v>
      </c>
      <c r="J19" s="306">
        <v>11614</v>
      </c>
      <c r="K19" s="306">
        <v>11614</v>
      </c>
      <c r="L19" s="306">
        <v>11614</v>
      </c>
      <c r="M19" s="306">
        <v>11614</v>
      </c>
      <c r="N19" s="306">
        <v>11614</v>
      </c>
      <c r="O19" s="306">
        <v>11614</v>
      </c>
      <c r="P19" s="306">
        <v>11614</v>
      </c>
      <c r="Q19" s="306">
        <v>11614</v>
      </c>
      <c r="R19" s="306">
        <v>11614</v>
      </c>
      <c r="S19" s="306">
        <v>11614</v>
      </c>
      <c r="T19" s="306">
        <v>11614</v>
      </c>
      <c r="U19" s="306">
        <v>11614</v>
      </c>
      <c r="V19" s="306">
        <v>11614</v>
      </c>
      <c r="W19" s="306">
        <v>11614</v>
      </c>
      <c r="X19" s="306">
        <v>11614</v>
      </c>
      <c r="Y19" s="306">
        <v>11614</v>
      </c>
      <c r="Z19" s="306">
        <v>11614</v>
      </c>
      <c r="AA19" s="306">
        <v>11614</v>
      </c>
      <c r="AB19" s="306">
        <v>11614</v>
      </c>
      <c r="AC19" s="306">
        <v>11614</v>
      </c>
      <c r="AD19" s="306">
        <v>11614</v>
      </c>
      <c r="AE19" s="309">
        <v>11614</v>
      </c>
      <c r="AF19" s="309">
        <v>11614</v>
      </c>
      <c r="AG19" s="314">
        <f t="shared" si="0"/>
        <v>0</v>
      </c>
    </row>
    <row r="20" spans="1:33">
      <c r="A20" s="306">
        <v>8</v>
      </c>
      <c r="B20" s="306" t="s">
        <v>129</v>
      </c>
      <c r="C20" s="322" t="s">
        <v>118</v>
      </c>
      <c r="D20" s="323">
        <v>94542</v>
      </c>
      <c r="E20" s="311">
        <v>94674</v>
      </c>
      <c r="F20" s="306">
        <v>94791</v>
      </c>
      <c r="G20" s="306">
        <v>94887</v>
      </c>
      <c r="H20" s="306">
        <v>95003</v>
      </c>
      <c r="I20" s="306">
        <v>95103</v>
      </c>
      <c r="J20" s="306">
        <v>95225</v>
      </c>
      <c r="K20" s="306">
        <v>95316</v>
      </c>
      <c r="L20" s="306">
        <v>95417</v>
      </c>
      <c r="M20" s="306">
        <v>95528</v>
      </c>
      <c r="N20" s="306">
        <v>95644</v>
      </c>
      <c r="O20" s="306">
        <v>95755</v>
      </c>
      <c r="P20" s="306">
        <v>95884</v>
      </c>
      <c r="Q20" s="306">
        <v>95990</v>
      </c>
      <c r="R20" s="306">
        <v>96095</v>
      </c>
      <c r="S20" s="306">
        <v>96177</v>
      </c>
      <c r="T20" s="306">
        <v>96294</v>
      </c>
      <c r="U20" s="306">
        <v>96410</v>
      </c>
      <c r="V20" s="306">
        <v>96529</v>
      </c>
      <c r="W20" s="306">
        <v>96645</v>
      </c>
      <c r="X20" s="306">
        <v>96765</v>
      </c>
      <c r="Y20" s="306">
        <v>96868</v>
      </c>
      <c r="Z20" s="306">
        <v>96973</v>
      </c>
      <c r="AA20" s="315">
        <v>97076</v>
      </c>
      <c r="AB20" s="315">
        <v>97205</v>
      </c>
      <c r="AC20" s="315">
        <v>97321</v>
      </c>
      <c r="AD20" s="315">
        <v>97444</v>
      </c>
      <c r="AE20" s="318">
        <v>97565</v>
      </c>
      <c r="AF20" s="387">
        <v>97629</v>
      </c>
      <c r="AG20" s="314">
        <f t="shared" si="0"/>
        <v>3087</v>
      </c>
    </row>
    <row r="21" spans="1:33">
      <c r="A21" s="306"/>
      <c r="B21" s="306"/>
      <c r="C21" s="325" t="s">
        <v>22</v>
      </c>
      <c r="D21" s="323">
        <v>2214</v>
      </c>
      <c r="E21" s="311">
        <v>2214</v>
      </c>
      <c r="F21" s="306">
        <v>2214</v>
      </c>
      <c r="G21" s="306">
        <v>2214</v>
      </c>
      <c r="H21" s="306">
        <v>2214</v>
      </c>
      <c r="I21" s="306">
        <v>2214</v>
      </c>
      <c r="J21" s="306">
        <v>2214</v>
      </c>
      <c r="K21" s="306">
        <v>2214</v>
      </c>
      <c r="L21" s="306">
        <v>2214</v>
      </c>
      <c r="M21" s="306">
        <v>2214</v>
      </c>
      <c r="N21" s="306">
        <v>2214</v>
      </c>
      <c r="O21" s="306">
        <v>2214</v>
      </c>
      <c r="P21" s="306">
        <v>2214</v>
      </c>
      <c r="Q21" s="306">
        <v>2214</v>
      </c>
      <c r="R21" s="306">
        <v>2214</v>
      </c>
      <c r="S21" s="306">
        <v>2214</v>
      </c>
      <c r="T21" s="306">
        <v>2214</v>
      </c>
      <c r="U21" s="306">
        <v>2214</v>
      </c>
      <c r="V21" s="306">
        <v>2214</v>
      </c>
      <c r="W21" s="306">
        <v>2214</v>
      </c>
      <c r="X21" s="306">
        <v>2214</v>
      </c>
      <c r="Y21" s="306">
        <v>2214</v>
      </c>
      <c r="Z21" s="306">
        <v>2214</v>
      </c>
      <c r="AA21" s="306">
        <v>2214</v>
      </c>
      <c r="AB21" s="306">
        <v>2214</v>
      </c>
      <c r="AC21" s="306">
        <v>2214</v>
      </c>
      <c r="AD21" s="306">
        <v>2214</v>
      </c>
      <c r="AE21" s="309">
        <v>2214</v>
      </c>
      <c r="AF21" s="309">
        <v>2214</v>
      </c>
      <c r="AG21" s="314">
        <f t="shared" si="0"/>
        <v>0</v>
      </c>
    </row>
    <row r="22" spans="1:33" ht="14.5" customHeight="1">
      <c r="A22" s="544"/>
      <c r="B22" s="504"/>
      <c r="C22" s="504"/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4"/>
      <c r="W22" s="504"/>
      <c r="X22" s="504"/>
      <c r="Y22" s="504"/>
      <c r="Z22" s="504"/>
      <c r="AA22" s="504"/>
      <c r="AB22" s="504"/>
      <c r="AC22" s="504"/>
      <c r="AD22" s="504"/>
      <c r="AE22" s="504"/>
      <c r="AF22" s="504"/>
      <c r="AG22" s="501"/>
    </row>
    <row r="23" spans="1:33">
      <c r="A23" s="306">
        <v>1</v>
      </c>
      <c r="B23" s="306" t="s">
        <v>129</v>
      </c>
      <c r="C23" s="319" t="s">
        <v>119</v>
      </c>
      <c r="D23" s="317">
        <v>49293</v>
      </c>
      <c r="E23" s="306">
        <v>49373</v>
      </c>
      <c r="F23" s="306">
        <v>49489</v>
      </c>
      <c r="G23" s="306">
        <v>49646</v>
      </c>
      <c r="H23" s="306">
        <v>49829</v>
      </c>
      <c r="I23" s="306">
        <v>50011</v>
      </c>
      <c r="J23" s="306">
        <v>50169</v>
      </c>
      <c r="K23" s="306">
        <v>50274</v>
      </c>
      <c r="L23" s="306">
        <v>50274</v>
      </c>
      <c r="M23" s="306">
        <v>50419</v>
      </c>
      <c r="N23" s="306">
        <v>50572</v>
      </c>
      <c r="O23" s="306">
        <v>50735</v>
      </c>
      <c r="P23" s="306">
        <v>50900</v>
      </c>
      <c r="Q23" s="306">
        <v>51051</v>
      </c>
      <c r="R23" s="306">
        <v>51085</v>
      </c>
      <c r="S23" s="306">
        <v>51085</v>
      </c>
      <c r="T23" s="306">
        <v>51211</v>
      </c>
      <c r="U23" s="306">
        <v>51364</v>
      </c>
      <c r="V23" s="306">
        <v>51495</v>
      </c>
      <c r="W23" s="306">
        <v>51627</v>
      </c>
      <c r="X23" s="306">
        <v>51788</v>
      </c>
      <c r="Y23" s="306">
        <v>51921</v>
      </c>
      <c r="Z23" s="306">
        <v>51921</v>
      </c>
      <c r="AA23" s="306">
        <v>52070</v>
      </c>
      <c r="AB23" s="306">
        <v>52230</v>
      </c>
      <c r="AC23" s="306">
        <v>52369</v>
      </c>
      <c r="AD23" s="306">
        <v>52505</v>
      </c>
      <c r="AE23" s="318">
        <v>52644</v>
      </c>
      <c r="AF23" s="387">
        <v>52703</v>
      </c>
      <c r="AG23" s="384">
        <f t="shared" ref="AG23:AG30" si="1">AF23-D23</f>
        <v>3410</v>
      </c>
    </row>
    <row r="24" spans="1:33">
      <c r="A24" s="306"/>
      <c r="B24" s="306"/>
      <c r="C24" s="338" t="s">
        <v>22</v>
      </c>
      <c r="D24" s="320">
        <v>1923</v>
      </c>
      <c r="E24" s="306">
        <v>1923</v>
      </c>
      <c r="F24" s="306">
        <v>1923</v>
      </c>
      <c r="G24" s="306">
        <v>1923</v>
      </c>
      <c r="H24" s="306">
        <v>1923</v>
      </c>
      <c r="I24" s="306">
        <v>1923</v>
      </c>
      <c r="J24" s="306">
        <v>1923</v>
      </c>
      <c r="K24" s="306">
        <v>1923</v>
      </c>
      <c r="L24" s="306">
        <v>1923</v>
      </c>
      <c r="M24" s="306">
        <v>1923</v>
      </c>
      <c r="N24" s="306">
        <v>1923</v>
      </c>
      <c r="O24" s="306">
        <v>1923</v>
      </c>
      <c r="P24" s="306">
        <v>1923</v>
      </c>
      <c r="Q24" s="306">
        <v>1923</v>
      </c>
      <c r="R24" s="306">
        <v>1923</v>
      </c>
      <c r="S24" s="328">
        <v>1923</v>
      </c>
      <c r="T24" s="328">
        <v>1923</v>
      </c>
      <c r="U24" s="328">
        <v>1923</v>
      </c>
      <c r="V24" s="328">
        <v>1923</v>
      </c>
      <c r="W24" s="328">
        <v>1923</v>
      </c>
      <c r="X24" s="328">
        <v>1923</v>
      </c>
      <c r="Y24" s="328">
        <v>1923</v>
      </c>
      <c r="Z24" s="328">
        <v>1923</v>
      </c>
      <c r="AA24" s="328">
        <v>1923</v>
      </c>
      <c r="AB24" s="328">
        <v>1923</v>
      </c>
      <c r="AC24" s="328">
        <v>1923</v>
      </c>
      <c r="AD24" s="328">
        <v>1923</v>
      </c>
      <c r="AE24" s="309">
        <v>1923</v>
      </c>
      <c r="AF24" s="309">
        <v>1923</v>
      </c>
      <c r="AG24" s="384">
        <f t="shared" si="1"/>
        <v>0</v>
      </c>
    </row>
    <row r="25" spans="1:33">
      <c r="A25" s="306">
        <v>2</v>
      </c>
      <c r="B25" s="306" t="s">
        <v>129</v>
      </c>
      <c r="C25" s="319" t="s">
        <v>120</v>
      </c>
      <c r="D25" s="317">
        <v>52906</v>
      </c>
      <c r="E25" s="306">
        <v>52988</v>
      </c>
      <c r="F25" s="306">
        <v>53112</v>
      </c>
      <c r="G25" s="306">
        <v>53241</v>
      </c>
      <c r="H25" s="306">
        <v>53362</v>
      </c>
      <c r="I25" s="306">
        <v>53502</v>
      </c>
      <c r="J25" s="306">
        <v>53621</v>
      </c>
      <c r="K25" s="306">
        <v>53714</v>
      </c>
      <c r="L25" s="306">
        <v>53714</v>
      </c>
      <c r="M25" s="306">
        <v>53872</v>
      </c>
      <c r="N25" s="306">
        <v>54010</v>
      </c>
      <c r="O25" s="306">
        <v>54152</v>
      </c>
      <c r="P25" s="306">
        <v>54303</v>
      </c>
      <c r="Q25" s="306">
        <v>54457</v>
      </c>
      <c r="R25" s="306">
        <v>54497</v>
      </c>
      <c r="S25" s="306">
        <v>54497</v>
      </c>
      <c r="T25" s="306">
        <v>54661</v>
      </c>
      <c r="U25" s="306">
        <v>54850</v>
      </c>
      <c r="V25" s="306">
        <v>55006</v>
      </c>
      <c r="W25" s="306">
        <v>55145</v>
      </c>
      <c r="X25" s="306">
        <v>55261</v>
      </c>
      <c r="Y25" s="306">
        <v>55349</v>
      </c>
      <c r="Z25" s="306">
        <v>55360</v>
      </c>
      <c r="AA25" s="306">
        <v>55461</v>
      </c>
      <c r="AB25" s="306">
        <v>55540</v>
      </c>
      <c r="AC25" s="306">
        <v>55610</v>
      </c>
      <c r="AD25" s="306">
        <v>55683</v>
      </c>
      <c r="AE25" s="318">
        <v>55771</v>
      </c>
      <c r="AF25" s="387">
        <v>55794</v>
      </c>
      <c r="AG25" s="384">
        <f t="shared" si="1"/>
        <v>2888</v>
      </c>
    </row>
    <row r="26" spans="1:33">
      <c r="A26" s="306"/>
      <c r="B26" s="306"/>
      <c r="C26" s="338" t="s">
        <v>22</v>
      </c>
      <c r="D26" s="320">
        <v>1911</v>
      </c>
      <c r="E26" s="306">
        <v>1911</v>
      </c>
      <c r="F26" s="306">
        <v>1911</v>
      </c>
      <c r="G26" s="306">
        <v>1911</v>
      </c>
      <c r="H26" s="306">
        <v>1911</v>
      </c>
      <c r="I26" s="306">
        <v>1911</v>
      </c>
      <c r="J26" s="306">
        <v>1911</v>
      </c>
      <c r="K26" s="306">
        <v>1911</v>
      </c>
      <c r="L26" s="306">
        <v>1911</v>
      </c>
      <c r="M26" s="306">
        <v>1911</v>
      </c>
      <c r="N26" s="306">
        <v>1911</v>
      </c>
      <c r="O26" s="306">
        <v>1911</v>
      </c>
      <c r="P26" s="306">
        <v>1911</v>
      </c>
      <c r="Q26" s="306">
        <v>1911</v>
      </c>
      <c r="R26" s="306">
        <v>1911</v>
      </c>
      <c r="S26" s="306">
        <v>1911</v>
      </c>
      <c r="T26" s="306">
        <v>1911</v>
      </c>
      <c r="U26" s="306">
        <v>1911</v>
      </c>
      <c r="V26" s="306">
        <v>1911</v>
      </c>
      <c r="W26" s="306">
        <v>1911</v>
      </c>
      <c r="X26" s="306">
        <v>1911</v>
      </c>
      <c r="Y26" s="306">
        <v>1911</v>
      </c>
      <c r="Z26" s="306">
        <v>1911</v>
      </c>
      <c r="AA26" s="306">
        <v>1911</v>
      </c>
      <c r="AB26" s="306">
        <v>1911</v>
      </c>
      <c r="AC26" s="306">
        <v>1911</v>
      </c>
      <c r="AD26" s="306">
        <v>1911</v>
      </c>
      <c r="AE26" s="309">
        <v>1911</v>
      </c>
      <c r="AF26" s="309">
        <v>1911</v>
      </c>
      <c r="AG26" s="384">
        <f t="shared" si="1"/>
        <v>0</v>
      </c>
    </row>
    <row r="27" spans="1:33">
      <c r="A27" s="306">
        <v>3</v>
      </c>
      <c r="B27" s="306" t="s">
        <v>129</v>
      </c>
      <c r="C27" s="319" t="s">
        <v>121</v>
      </c>
      <c r="D27" s="320">
        <v>65921</v>
      </c>
      <c r="E27" s="306">
        <v>65977</v>
      </c>
      <c r="F27" s="306">
        <v>66090</v>
      </c>
      <c r="G27" s="306">
        <v>66207</v>
      </c>
      <c r="H27" s="306">
        <v>66322</v>
      </c>
      <c r="I27" s="306">
        <v>66446</v>
      </c>
      <c r="J27" s="306">
        <v>66534</v>
      </c>
      <c r="K27" s="306">
        <v>66615</v>
      </c>
      <c r="L27" s="306">
        <v>66615</v>
      </c>
      <c r="M27" s="306">
        <v>66733</v>
      </c>
      <c r="N27" s="306">
        <v>66839</v>
      </c>
      <c r="O27" s="306">
        <v>66938</v>
      </c>
      <c r="P27" s="306">
        <v>67051</v>
      </c>
      <c r="Q27" s="306">
        <v>67180</v>
      </c>
      <c r="R27" s="306">
        <v>67181</v>
      </c>
      <c r="S27" s="306">
        <v>67181</v>
      </c>
      <c r="T27" s="306">
        <v>67335</v>
      </c>
      <c r="U27" s="306">
        <v>67479</v>
      </c>
      <c r="V27" s="306">
        <v>67590</v>
      </c>
      <c r="W27" s="306">
        <v>67716</v>
      </c>
      <c r="X27" s="306">
        <v>67841</v>
      </c>
      <c r="Y27" s="306">
        <v>67948</v>
      </c>
      <c r="Z27" s="306">
        <v>67949</v>
      </c>
      <c r="AA27" s="306">
        <v>68039</v>
      </c>
      <c r="AB27" s="306">
        <v>68148</v>
      </c>
      <c r="AC27" s="306">
        <v>68241</v>
      </c>
      <c r="AD27" s="306">
        <v>68353</v>
      </c>
      <c r="AE27" s="309">
        <v>68455</v>
      </c>
      <c r="AF27" s="386">
        <v>68469</v>
      </c>
      <c r="AG27" s="384">
        <f t="shared" si="1"/>
        <v>2548</v>
      </c>
    </row>
    <row r="28" spans="1:33">
      <c r="A28" s="306"/>
      <c r="B28" s="306"/>
      <c r="C28" s="338" t="s">
        <v>22</v>
      </c>
      <c r="D28" s="320">
        <v>2068</v>
      </c>
      <c r="E28" s="306">
        <v>2068</v>
      </c>
      <c r="F28" s="306">
        <v>2068</v>
      </c>
      <c r="G28" s="306">
        <v>2068</v>
      </c>
      <c r="H28" s="306">
        <v>2068</v>
      </c>
      <c r="I28" s="306">
        <v>2068</v>
      </c>
      <c r="J28" s="306">
        <v>2068</v>
      </c>
      <c r="K28" s="306">
        <v>2068</v>
      </c>
      <c r="L28" s="306">
        <v>2068</v>
      </c>
      <c r="M28" s="306">
        <v>2068</v>
      </c>
      <c r="N28" s="306">
        <v>2068</v>
      </c>
      <c r="O28" s="306">
        <v>2068</v>
      </c>
      <c r="P28" s="306">
        <v>2068</v>
      </c>
      <c r="Q28" s="306">
        <v>2068</v>
      </c>
      <c r="R28" s="306">
        <v>2068</v>
      </c>
      <c r="S28" s="306">
        <v>2068</v>
      </c>
      <c r="T28" s="306">
        <v>2068</v>
      </c>
      <c r="U28" s="306">
        <v>2068</v>
      </c>
      <c r="V28" s="306">
        <v>2068</v>
      </c>
      <c r="W28" s="306">
        <v>2068</v>
      </c>
      <c r="X28" s="306">
        <v>2068</v>
      </c>
      <c r="Y28" s="306">
        <v>2068</v>
      </c>
      <c r="Z28" s="306">
        <v>2068</v>
      </c>
      <c r="AA28" s="306">
        <v>2068</v>
      </c>
      <c r="AB28" s="306">
        <v>2068</v>
      </c>
      <c r="AC28" s="306">
        <v>2068</v>
      </c>
      <c r="AD28" s="306">
        <v>2068</v>
      </c>
      <c r="AE28" s="309">
        <v>2068</v>
      </c>
      <c r="AF28" s="309">
        <v>2068</v>
      </c>
      <c r="AG28" s="384">
        <f t="shared" si="1"/>
        <v>0</v>
      </c>
    </row>
    <row r="29" spans="1:33">
      <c r="A29" s="306">
        <v>4</v>
      </c>
      <c r="B29" s="306" t="s">
        <v>129</v>
      </c>
      <c r="C29" s="319" t="s">
        <v>122</v>
      </c>
      <c r="D29" s="317">
        <v>43502</v>
      </c>
      <c r="E29" s="306">
        <v>43557</v>
      </c>
      <c r="F29" s="306">
        <v>43598</v>
      </c>
      <c r="G29" s="306">
        <v>43696</v>
      </c>
      <c r="H29" s="306">
        <v>43803</v>
      </c>
      <c r="I29" s="306">
        <v>43914</v>
      </c>
      <c r="J29" s="306">
        <v>43957</v>
      </c>
      <c r="K29" s="306">
        <v>44006</v>
      </c>
      <c r="L29" s="306">
        <v>44006</v>
      </c>
      <c r="M29" s="306">
        <v>44095</v>
      </c>
      <c r="N29" s="306">
        <v>44201</v>
      </c>
      <c r="O29" s="306">
        <v>44309</v>
      </c>
      <c r="P29" s="306">
        <v>44406</v>
      </c>
      <c r="Q29" s="306">
        <v>44506</v>
      </c>
      <c r="R29" s="306">
        <v>44506</v>
      </c>
      <c r="S29" s="306">
        <v>44506</v>
      </c>
      <c r="T29" s="306">
        <v>44623</v>
      </c>
      <c r="U29" s="306">
        <v>44764</v>
      </c>
      <c r="V29" s="306">
        <v>44906</v>
      </c>
      <c r="W29" s="306">
        <v>45012</v>
      </c>
      <c r="X29" s="306">
        <v>45125</v>
      </c>
      <c r="Y29" s="306">
        <v>45159</v>
      </c>
      <c r="Z29" s="306">
        <v>45159</v>
      </c>
      <c r="AA29" s="306">
        <v>45198</v>
      </c>
      <c r="AB29" s="306">
        <v>45248</v>
      </c>
      <c r="AC29" s="306">
        <v>45285</v>
      </c>
      <c r="AD29" s="306">
        <v>45326</v>
      </c>
      <c r="AE29" s="318">
        <v>45366</v>
      </c>
      <c r="AF29" s="387">
        <v>45373</v>
      </c>
      <c r="AG29" s="384">
        <f t="shared" si="1"/>
        <v>1871</v>
      </c>
    </row>
    <row r="30" spans="1:33">
      <c r="A30" s="306"/>
      <c r="B30" s="306"/>
      <c r="C30" s="338" t="s">
        <v>22</v>
      </c>
      <c r="D30" s="320">
        <v>1788</v>
      </c>
      <c r="E30" s="306">
        <v>1788</v>
      </c>
      <c r="F30" s="306">
        <v>1788</v>
      </c>
      <c r="G30" s="306">
        <v>1788</v>
      </c>
      <c r="H30" s="306">
        <v>1788</v>
      </c>
      <c r="I30" s="306">
        <v>1788</v>
      </c>
      <c r="J30" s="306">
        <v>1788</v>
      </c>
      <c r="K30" s="306">
        <v>1788</v>
      </c>
      <c r="L30" s="306">
        <v>1788</v>
      </c>
      <c r="M30" s="306">
        <v>1788</v>
      </c>
      <c r="N30" s="306">
        <v>1788</v>
      </c>
      <c r="O30" s="306">
        <v>1788</v>
      </c>
      <c r="P30" s="306">
        <v>1788</v>
      </c>
      <c r="Q30" s="306">
        <v>1788</v>
      </c>
      <c r="R30" s="306">
        <v>1788</v>
      </c>
      <c r="S30" s="306">
        <v>1788</v>
      </c>
      <c r="T30" s="306">
        <v>1788</v>
      </c>
      <c r="U30" s="306">
        <v>1788</v>
      </c>
      <c r="V30" s="306">
        <v>1788</v>
      </c>
      <c r="W30" s="306">
        <v>1788</v>
      </c>
      <c r="X30" s="306">
        <v>1788</v>
      </c>
      <c r="Y30" s="306">
        <v>1788</v>
      </c>
      <c r="Z30" s="306">
        <v>1788</v>
      </c>
      <c r="AA30" s="306">
        <v>1788</v>
      </c>
      <c r="AB30" s="306">
        <v>1788</v>
      </c>
      <c r="AC30" s="306">
        <v>1788</v>
      </c>
      <c r="AD30" s="306">
        <v>1788</v>
      </c>
      <c r="AE30" s="309">
        <v>1788</v>
      </c>
      <c r="AF30" s="309">
        <v>1788</v>
      </c>
      <c r="AG30" s="384">
        <f t="shared" si="1"/>
        <v>0</v>
      </c>
    </row>
    <row r="31" spans="1:33" ht="14.5" customHeight="1">
      <c r="A31" s="544"/>
      <c r="B31" s="504"/>
      <c r="C31" s="504"/>
      <c r="D31" s="504"/>
      <c r="E31" s="504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1"/>
    </row>
    <row r="32" spans="1:33">
      <c r="A32" s="306">
        <v>1</v>
      </c>
      <c r="B32" s="306" t="s">
        <v>129</v>
      </c>
      <c r="C32" s="319" t="s">
        <v>123</v>
      </c>
      <c r="D32" s="339">
        <v>394335</v>
      </c>
      <c r="E32" s="340">
        <v>394529</v>
      </c>
      <c r="F32" s="341">
        <v>394780</v>
      </c>
      <c r="G32" s="341">
        <v>395172</v>
      </c>
      <c r="H32" s="341">
        <v>395438</v>
      </c>
      <c r="I32" s="340">
        <v>395746</v>
      </c>
      <c r="J32" s="341">
        <v>396130</v>
      </c>
      <c r="K32" s="341">
        <v>396382</v>
      </c>
      <c r="L32" s="341">
        <v>396384</v>
      </c>
      <c r="M32" s="340">
        <v>396771</v>
      </c>
      <c r="N32" s="341">
        <v>397175</v>
      </c>
      <c r="O32" s="341">
        <v>397646</v>
      </c>
      <c r="P32" s="341">
        <v>398105</v>
      </c>
      <c r="Q32" s="340">
        <v>398540</v>
      </c>
      <c r="R32" s="341">
        <v>398616</v>
      </c>
      <c r="S32" s="341">
        <v>398616</v>
      </c>
      <c r="T32" s="341">
        <v>399031</v>
      </c>
      <c r="U32" s="340">
        <v>399519</v>
      </c>
      <c r="V32" s="341">
        <v>399977</v>
      </c>
      <c r="W32" s="341">
        <v>400328</v>
      </c>
      <c r="X32" s="341">
        <v>400709</v>
      </c>
      <c r="Y32" s="340">
        <v>400993</v>
      </c>
      <c r="Z32" s="341">
        <v>400993</v>
      </c>
      <c r="AA32" s="341">
        <v>401453</v>
      </c>
      <c r="AB32" s="341">
        <v>402025</v>
      </c>
      <c r="AC32" s="341">
        <v>402476</v>
      </c>
      <c r="AD32" s="340">
        <v>402844</v>
      </c>
      <c r="AE32" s="342">
        <v>403259</v>
      </c>
      <c r="AF32" s="389">
        <v>403490</v>
      </c>
      <c r="AG32" s="314">
        <f>AF32-D32</f>
        <v>9155</v>
      </c>
    </row>
    <row r="33" spans="1:33">
      <c r="A33" s="306">
        <v>2</v>
      </c>
      <c r="B33" s="306" t="s">
        <v>129</v>
      </c>
      <c r="C33" s="319" t="s">
        <v>124</v>
      </c>
      <c r="D33" s="339">
        <v>370360</v>
      </c>
      <c r="E33" s="341">
        <v>370538</v>
      </c>
      <c r="F33" s="341">
        <v>370818</v>
      </c>
      <c r="G33" s="341">
        <v>371159</v>
      </c>
      <c r="H33" s="341">
        <v>371466</v>
      </c>
      <c r="I33" s="341">
        <v>371768</v>
      </c>
      <c r="J33" s="341">
        <v>372097</v>
      </c>
      <c r="K33" s="341">
        <v>372301</v>
      </c>
      <c r="L33" s="341">
        <v>372301</v>
      </c>
      <c r="M33" s="341">
        <v>372742</v>
      </c>
      <c r="N33" s="341">
        <v>373142</v>
      </c>
      <c r="O33" s="341">
        <v>373455</v>
      </c>
      <c r="P33" s="341">
        <v>373794</v>
      </c>
      <c r="Q33" s="341">
        <v>374169</v>
      </c>
      <c r="R33" s="341">
        <v>374287</v>
      </c>
      <c r="S33" s="341">
        <v>374587</v>
      </c>
      <c r="T33" s="341">
        <v>374770</v>
      </c>
      <c r="U33" s="341">
        <v>375241</v>
      </c>
      <c r="V33" s="341">
        <v>375708</v>
      </c>
      <c r="W33" s="341">
        <v>376115</v>
      </c>
      <c r="X33" s="341">
        <v>376469</v>
      </c>
      <c r="Y33" s="341">
        <v>376760</v>
      </c>
      <c r="Z33" s="341">
        <v>376780</v>
      </c>
      <c r="AA33" s="341">
        <v>377287</v>
      </c>
      <c r="AB33" s="341">
        <v>377775</v>
      </c>
      <c r="AC33" s="341">
        <v>378160</v>
      </c>
      <c r="AD33" s="341">
        <v>378522</v>
      </c>
      <c r="AE33" s="342">
        <v>378872</v>
      </c>
      <c r="AF33" s="389">
        <v>378984</v>
      </c>
      <c r="AG33" s="314">
        <f>AF33-D33</f>
        <v>8624</v>
      </c>
    </row>
    <row r="34" spans="1:33">
      <c r="A34" s="306">
        <v>3</v>
      </c>
      <c r="B34" s="306" t="s">
        <v>129</v>
      </c>
      <c r="C34" s="319" t="s">
        <v>125</v>
      </c>
      <c r="D34" s="339">
        <v>398878</v>
      </c>
      <c r="E34" s="341">
        <v>399037</v>
      </c>
      <c r="F34" s="341">
        <v>399232</v>
      </c>
      <c r="G34" s="341">
        <v>399521</v>
      </c>
      <c r="H34" s="341">
        <v>399806</v>
      </c>
      <c r="I34" s="341">
        <v>400112</v>
      </c>
      <c r="J34" s="341">
        <v>400363</v>
      </c>
      <c r="K34" s="341">
        <v>400496</v>
      </c>
      <c r="L34" s="341">
        <v>400496</v>
      </c>
      <c r="M34" s="341">
        <v>400733</v>
      </c>
      <c r="N34" s="341">
        <v>401009</v>
      </c>
      <c r="O34" s="341">
        <v>401214</v>
      </c>
      <c r="P34" s="341">
        <v>401550</v>
      </c>
      <c r="Q34" s="341">
        <v>401891</v>
      </c>
      <c r="R34" s="341">
        <v>401892</v>
      </c>
      <c r="S34" s="341">
        <v>401892</v>
      </c>
      <c r="T34" s="341">
        <v>402318</v>
      </c>
      <c r="U34" s="341">
        <v>402694</v>
      </c>
      <c r="V34" s="341">
        <v>403135</v>
      </c>
      <c r="W34" s="341">
        <v>403387</v>
      </c>
      <c r="X34" s="341">
        <v>403763</v>
      </c>
      <c r="Y34" s="341">
        <v>404016</v>
      </c>
      <c r="Z34" s="341">
        <v>404016</v>
      </c>
      <c r="AA34" s="341">
        <v>404439</v>
      </c>
      <c r="AB34" s="341">
        <v>404980</v>
      </c>
      <c r="AC34" s="341">
        <v>405523</v>
      </c>
      <c r="AD34" s="341">
        <v>405908</v>
      </c>
      <c r="AE34" s="342">
        <v>406266</v>
      </c>
      <c r="AF34" s="389">
        <v>406367</v>
      </c>
      <c r="AG34" s="314">
        <f>AF34-D34</f>
        <v>7489</v>
      </c>
    </row>
    <row r="35" spans="1:33">
      <c r="A35" s="306">
        <v>4</v>
      </c>
      <c r="B35" s="306" t="s">
        <v>129</v>
      </c>
      <c r="C35" s="319" t="s">
        <v>126</v>
      </c>
      <c r="D35" s="339">
        <v>428437</v>
      </c>
      <c r="E35" s="341">
        <v>428733</v>
      </c>
      <c r="F35" s="341">
        <v>429192</v>
      </c>
      <c r="G35" s="341">
        <v>429704</v>
      </c>
      <c r="H35" s="341">
        <v>430200</v>
      </c>
      <c r="I35" s="341">
        <v>430748</v>
      </c>
      <c r="J35" s="341">
        <v>431322</v>
      </c>
      <c r="K35" s="341">
        <v>431625</v>
      </c>
      <c r="L35" s="341">
        <v>431660</v>
      </c>
      <c r="M35" s="341">
        <v>432274</v>
      </c>
      <c r="N35" s="341">
        <v>432850</v>
      </c>
      <c r="O35" s="341">
        <v>433422</v>
      </c>
      <c r="P35" s="343">
        <v>433751</v>
      </c>
      <c r="Q35" s="341">
        <v>434237</v>
      </c>
      <c r="R35" s="341">
        <v>434311</v>
      </c>
      <c r="S35" s="341">
        <v>434311</v>
      </c>
      <c r="T35" s="341">
        <v>434830</v>
      </c>
      <c r="U35" s="341">
        <v>435186</v>
      </c>
      <c r="V35" s="341">
        <v>435764</v>
      </c>
      <c r="W35" s="341">
        <v>436495</v>
      </c>
      <c r="X35" s="341">
        <v>437347</v>
      </c>
      <c r="Y35" s="341">
        <v>437676</v>
      </c>
      <c r="Z35" s="341">
        <v>437711</v>
      </c>
      <c r="AA35" s="341">
        <v>438234</v>
      </c>
      <c r="AB35" s="341">
        <v>438931</v>
      </c>
      <c r="AC35" s="341">
        <v>439476</v>
      </c>
      <c r="AD35" s="341">
        <v>439926</v>
      </c>
      <c r="AE35" s="342">
        <v>440273</v>
      </c>
      <c r="AF35" s="389">
        <v>440357</v>
      </c>
      <c r="AG35" s="314">
        <f>AF35-D35</f>
        <v>11920</v>
      </c>
    </row>
    <row r="36" spans="1:33">
      <c r="E36" s="344"/>
      <c r="AG36" s="345"/>
    </row>
    <row r="37" spans="1:33">
      <c r="A37" s="346"/>
      <c r="B37" s="347"/>
      <c r="C37" s="348"/>
      <c r="D37" s="349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  <c r="V37" s="346"/>
      <c r="W37" s="346"/>
      <c r="X37" s="346"/>
      <c r="Y37" s="346"/>
      <c r="Z37" s="346"/>
      <c r="AA37" s="346"/>
      <c r="AB37" s="346"/>
      <c r="AC37" s="346"/>
      <c r="AD37" s="346"/>
      <c r="AE37" s="346"/>
      <c r="AF37" s="346"/>
      <c r="AG37" s="346"/>
    </row>
    <row r="38" spans="1:33" ht="14.5" customHeight="1">
      <c r="A38" s="350"/>
      <c r="B38" s="551" t="s">
        <v>127</v>
      </c>
      <c r="C38" s="504"/>
      <c r="D38" s="501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350"/>
      <c r="AE38" s="350"/>
      <c r="AF38" s="350"/>
      <c r="AG38" s="350"/>
    </row>
    <row r="39" spans="1:33" ht="14.5" customHeight="1">
      <c r="A39" s="351"/>
      <c r="B39" s="558" t="s">
        <v>128</v>
      </c>
      <c r="C39" s="504"/>
      <c r="D39" s="501"/>
      <c r="E39" s="351"/>
      <c r="F39" s="351"/>
      <c r="G39" s="351"/>
      <c r="H39" s="351"/>
      <c r="I39" s="351"/>
      <c r="J39" s="351"/>
      <c r="K39" s="351"/>
      <c r="L39" s="351"/>
      <c r="M39" s="351"/>
      <c r="N39" s="351"/>
      <c r="O39" s="351"/>
      <c r="P39" s="351"/>
      <c r="Q39" s="351"/>
      <c r="R39" s="351"/>
      <c r="S39" s="351"/>
      <c r="T39" s="351"/>
      <c r="U39" s="351"/>
      <c r="V39" s="351"/>
      <c r="W39" s="351"/>
      <c r="X39" s="351"/>
      <c r="Y39" s="351"/>
      <c r="Z39" s="351"/>
      <c r="AA39" s="351"/>
      <c r="AB39" s="351"/>
      <c r="AC39" s="351"/>
      <c r="AD39" s="351"/>
      <c r="AE39" s="351"/>
      <c r="AF39" s="351"/>
      <c r="AG39" s="351"/>
    </row>
    <row r="40" spans="1:33">
      <c r="A40" s="541" t="s">
        <v>99</v>
      </c>
      <c r="B40" s="541" t="s">
        <v>100</v>
      </c>
      <c r="C40" s="541" t="s">
        <v>101</v>
      </c>
      <c r="D40" s="517"/>
      <c r="E40" s="301">
        <v>46054</v>
      </c>
      <c r="F40" s="352">
        <f t="shared" ref="F40:AF40" si="2">F2</f>
        <v>46055</v>
      </c>
      <c r="G40" s="352">
        <f t="shared" si="2"/>
        <v>46056</v>
      </c>
      <c r="H40" s="352">
        <f t="shared" si="2"/>
        <v>46057</v>
      </c>
      <c r="I40" s="352">
        <f t="shared" si="2"/>
        <v>46058</v>
      </c>
      <c r="J40" s="352">
        <f t="shared" si="2"/>
        <v>46059</v>
      </c>
      <c r="K40" s="352">
        <f t="shared" si="2"/>
        <v>46060</v>
      </c>
      <c r="L40" s="352">
        <f t="shared" si="2"/>
        <v>46061</v>
      </c>
      <c r="M40" s="352">
        <f t="shared" si="2"/>
        <v>46062</v>
      </c>
      <c r="N40" s="352">
        <f t="shared" si="2"/>
        <v>46063</v>
      </c>
      <c r="O40" s="352">
        <f t="shared" si="2"/>
        <v>46064</v>
      </c>
      <c r="P40" s="352">
        <f t="shared" si="2"/>
        <v>46065</v>
      </c>
      <c r="Q40" s="352">
        <f t="shared" si="2"/>
        <v>46066</v>
      </c>
      <c r="R40" s="352">
        <f t="shared" si="2"/>
        <v>46067</v>
      </c>
      <c r="S40" s="352">
        <f t="shared" si="2"/>
        <v>46068</v>
      </c>
      <c r="T40" s="352">
        <f t="shared" si="2"/>
        <v>46069</v>
      </c>
      <c r="U40" s="352">
        <f t="shared" si="2"/>
        <v>46070</v>
      </c>
      <c r="V40" s="352">
        <f t="shared" si="2"/>
        <v>46071</v>
      </c>
      <c r="W40" s="352">
        <f t="shared" si="2"/>
        <v>46072</v>
      </c>
      <c r="X40" s="352">
        <f t="shared" si="2"/>
        <v>46073</v>
      </c>
      <c r="Y40" s="352">
        <f t="shared" si="2"/>
        <v>46074</v>
      </c>
      <c r="Z40" s="352">
        <f t="shared" si="2"/>
        <v>46075</v>
      </c>
      <c r="AA40" s="352">
        <f t="shared" si="2"/>
        <v>46076</v>
      </c>
      <c r="AB40" s="352">
        <f t="shared" si="2"/>
        <v>46077</v>
      </c>
      <c r="AC40" s="352">
        <f t="shared" si="2"/>
        <v>46078</v>
      </c>
      <c r="AD40" s="352">
        <f t="shared" si="2"/>
        <v>46079</v>
      </c>
      <c r="AE40" s="352">
        <f t="shared" si="2"/>
        <v>46080</v>
      </c>
      <c r="AF40" s="352">
        <f t="shared" si="2"/>
        <v>46081</v>
      </c>
      <c r="AG40" s="541" t="s">
        <v>1</v>
      </c>
    </row>
    <row r="41" spans="1:33">
      <c r="A41" s="508"/>
      <c r="B41" s="508"/>
      <c r="C41" s="518"/>
      <c r="D41" s="519"/>
      <c r="E41" s="302" t="s">
        <v>105</v>
      </c>
      <c r="F41" s="302" t="s">
        <v>106</v>
      </c>
      <c r="G41" s="302" t="s">
        <v>107</v>
      </c>
      <c r="H41" s="302" t="s">
        <v>108</v>
      </c>
      <c r="I41" s="302" t="s">
        <v>109</v>
      </c>
      <c r="J41" s="302" t="s">
        <v>103</v>
      </c>
      <c r="K41" s="302" t="s">
        <v>104</v>
      </c>
      <c r="L41" s="302" t="s">
        <v>105</v>
      </c>
      <c r="M41" s="302" t="s">
        <v>106</v>
      </c>
      <c r="N41" s="302" t="s">
        <v>107</v>
      </c>
      <c r="O41" s="302" t="s">
        <v>108</v>
      </c>
      <c r="P41" s="302" t="s">
        <v>109</v>
      </c>
      <c r="Q41" s="302" t="s">
        <v>103</v>
      </c>
      <c r="R41" s="302" t="s">
        <v>104</v>
      </c>
      <c r="S41" s="302" t="s">
        <v>105</v>
      </c>
      <c r="T41" s="302" t="s">
        <v>106</v>
      </c>
      <c r="U41" s="302" t="s">
        <v>107</v>
      </c>
      <c r="V41" s="302" t="s">
        <v>108</v>
      </c>
      <c r="W41" s="302" t="s">
        <v>109</v>
      </c>
      <c r="X41" s="302" t="s">
        <v>103</v>
      </c>
      <c r="Y41" s="302" t="s">
        <v>104</v>
      </c>
      <c r="Z41" s="302" t="s">
        <v>105</v>
      </c>
      <c r="AA41" s="302" t="s">
        <v>106</v>
      </c>
      <c r="AB41" s="302" t="s">
        <v>107</v>
      </c>
      <c r="AC41" s="302" t="s">
        <v>108</v>
      </c>
      <c r="AD41" s="302" t="s">
        <v>109</v>
      </c>
      <c r="AE41" s="302" t="s">
        <v>103</v>
      </c>
      <c r="AF41" s="302" t="s">
        <v>104</v>
      </c>
      <c r="AG41" s="508"/>
    </row>
    <row r="42" spans="1:33">
      <c r="A42" s="508"/>
      <c r="B42" s="508"/>
      <c r="C42" s="518"/>
      <c r="D42" s="519"/>
      <c r="E42" s="353" t="s">
        <v>110</v>
      </c>
      <c r="F42" s="353" t="s">
        <v>110</v>
      </c>
      <c r="G42" s="353" t="s">
        <v>110</v>
      </c>
      <c r="H42" s="353" t="s">
        <v>110</v>
      </c>
      <c r="I42" s="353" t="s">
        <v>110</v>
      </c>
      <c r="J42" s="353" t="s">
        <v>110</v>
      </c>
      <c r="K42" s="353" t="s">
        <v>110</v>
      </c>
      <c r="L42" s="353" t="s">
        <v>110</v>
      </c>
      <c r="M42" s="353" t="s">
        <v>110</v>
      </c>
      <c r="N42" s="353" t="s">
        <v>110</v>
      </c>
      <c r="O42" s="353" t="s">
        <v>110</v>
      </c>
      <c r="P42" s="353" t="s">
        <v>110</v>
      </c>
      <c r="Q42" s="353" t="s">
        <v>110</v>
      </c>
      <c r="R42" s="353" t="s">
        <v>110</v>
      </c>
      <c r="S42" s="353" t="s">
        <v>110</v>
      </c>
      <c r="T42" s="353" t="s">
        <v>110</v>
      </c>
      <c r="U42" s="353" t="s">
        <v>110</v>
      </c>
      <c r="V42" s="353" t="s">
        <v>110</v>
      </c>
      <c r="W42" s="353" t="s">
        <v>110</v>
      </c>
      <c r="X42" s="353" t="s">
        <v>110</v>
      </c>
      <c r="Y42" s="353" t="s">
        <v>110</v>
      </c>
      <c r="Z42" s="353" t="s">
        <v>110</v>
      </c>
      <c r="AA42" s="353" t="s">
        <v>110</v>
      </c>
      <c r="AB42" s="353" t="s">
        <v>110</v>
      </c>
      <c r="AC42" s="353" t="s">
        <v>110</v>
      </c>
      <c r="AD42" s="353" t="s">
        <v>110</v>
      </c>
      <c r="AE42" s="352" t="str">
        <f>AE4</f>
        <v>Time</v>
      </c>
      <c r="AF42" s="303" t="s">
        <v>110</v>
      </c>
      <c r="AG42" s="508"/>
    </row>
    <row r="43" spans="1:33">
      <c r="A43" s="509"/>
      <c r="B43" s="509"/>
      <c r="C43" s="520"/>
      <c r="D43" s="521"/>
      <c r="E43" s="354">
        <v>0.33333333333333331</v>
      </c>
      <c r="F43" s="354">
        <v>0.33333333333333331</v>
      </c>
      <c r="G43" s="354">
        <v>0.33333333333333331</v>
      </c>
      <c r="H43" s="354">
        <v>0.33333333333333331</v>
      </c>
      <c r="I43" s="354">
        <v>0.33333333333333331</v>
      </c>
      <c r="J43" s="354">
        <v>0.33333333333333331</v>
      </c>
      <c r="K43" s="354">
        <v>0.33333333333333331</v>
      </c>
      <c r="L43" s="354">
        <v>0.33333333333333331</v>
      </c>
      <c r="M43" s="354">
        <v>0.33333333333333331</v>
      </c>
      <c r="N43" s="354">
        <v>0.33333333333333331</v>
      </c>
      <c r="O43" s="354">
        <v>0.33333333333333331</v>
      </c>
      <c r="P43" s="354">
        <v>0.33333333333333331</v>
      </c>
      <c r="Q43" s="354">
        <v>0.33333333333333331</v>
      </c>
      <c r="R43" s="354">
        <v>0.33333333333333331</v>
      </c>
      <c r="S43" s="354">
        <v>0.33333333333333331</v>
      </c>
      <c r="T43" s="354">
        <v>0.33333333333333331</v>
      </c>
      <c r="U43" s="354">
        <v>0.33333333333333331</v>
      </c>
      <c r="V43" s="354">
        <v>0.33333333333333331</v>
      </c>
      <c r="W43" s="354">
        <v>0.33333333333333331</v>
      </c>
      <c r="X43" s="354">
        <v>0.33333333333333331</v>
      </c>
      <c r="Y43" s="354">
        <v>0.33333333333333331</v>
      </c>
      <c r="Z43" s="354">
        <v>0.33333333333333331</v>
      </c>
      <c r="AA43" s="354">
        <v>0.33333333333333331</v>
      </c>
      <c r="AB43" s="354">
        <v>0.33333333333333331</v>
      </c>
      <c r="AC43" s="354">
        <v>0.33333333333333331</v>
      </c>
      <c r="AD43" s="354">
        <v>0.33333333333333331</v>
      </c>
      <c r="AE43" s="354">
        <v>0.33333333333333331</v>
      </c>
      <c r="AF43" s="304">
        <v>0.33333333333333331</v>
      </c>
      <c r="AG43" s="509"/>
    </row>
    <row r="44" spans="1:33" ht="12" customHeight="1">
      <c r="A44" s="306">
        <v>1</v>
      </c>
      <c r="B44" s="306" t="s">
        <v>129</v>
      </c>
      <c r="C44" s="544" t="s">
        <v>111</v>
      </c>
      <c r="D44" s="501"/>
      <c r="E44" s="355">
        <f t="shared" ref="E44:AF44" si="3">E6-D6</f>
        <v>292</v>
      </c>
      <c r="F44" s="355">
        <f t="shared" si="3"/>
        <v>269</v>
      </c>
      <c r="G44" s="355">
        <f t="shared" si="3"/>
        <v>249</v>
      </c>
      <c r="H44" s="355">
        <f t="shared" si="3"/>
        <v>251</v>
      </c>
      <c r="I44" s="355">
        <f t="shared" si="3"/>
        <v>258</v>
      </c>
      <c r="J44" s="355">
        <f t="shared" si="3"/>
        <v>257</v>
      </c>
      <c r="K44" s="355">
        <f t="shared" si="3"/>
        <v>208</v>
      </c>
      <c r="L44" s="355">
        <f t="shared" si="3"/>
        <v>216</v>
      </c>
      <c r="M44" s="355">
        <f t="shared" si="3"/>
        <v>268</v>
      </c>
      <c r="N44" s="355">
        <f t="shared" si="3"/>
        <v>260</v>
      </c>
      <c r="O44" s="355">
        <f t="shared" si="3"/>
        <v>253</v>
      </c>
      <c r="P44" s="355">
        <f t="shared" si="3"/>
        <v>266</v>
      </c>
      <c r="Q44" s="355">
        <f t="shared" si="3"/>
        <v>250</v>
      </c>
      <c r="R44" s="355">
        <f t="shared" si="3"/>
        <v>217</v>
      </c>
      <c r="S44" s="355">
        <f t="shared" si="3"/>
        <v>180</v>
      </c>
      <c r="T44" s="355">
        <f t="shared" si="3"/>
        <v>261</v>
      </c>
      <c r="U44" s="355">
        <f t="shared" si="3"/>
        <v>265</v>
      </c>
      <c r="V44" s="355">
        <f t="shared" si="3"/>
        <v>251</v>
      </c>
      <c r="W44" s="355">
        <f t="shared" si="3"/>
        <v>250</v>
      </c>
      <c r="X44" s="355">
        <f t="shared" si="3"/>
        <v>251</v>
      </c>
      <c r="Y44" s="355">
        <f t="shared" si="3"/>
        <v>207</v>
      </c>
      <c r="Z44" s="355">
        <f t="shared" si="3"/>
        <v>199</v>
      </c>
      <c r="AA44" s="355">
        <f t="shared" si="3"/>
        <v>257</v>
      </c>
      <c r="AB44" s="355">
        <f t="shared" si="3"/>
        <v>275</v>
      </c>
      <c r="AC44" s="355">
        <f t="shared" si="3"/>
        <v>249</v>
      </c>
      <c r="AD44" s="355">
        <f t="shared" si="3"/>
        <v>259</v>
      </c>
      <c r="AE44" s="355">
        <f t="shared" si="3"/>
        <v>260</v>
      </c>
      <c r="AF44" s="355">
        <f t="shared" si="3"/>
        <v>95</v>
      </c>
      <c r="AG44" s="356">
        <f t="shared" ref="AG44:AG62" si="4">SUM(E44:AF44)</f>
        <v>6773</v>
      </c>
    </row>
    <row r="45" spans="1:33" ht="12" customHeight="1">
      <c r="A45" s="306"/>
      <c r="B45" s="306"/>
      <c r="C45" s="543" t="s">
        <v>22</v>
      </c>
      <c r="D45" s="501"/>
      <c r="E45" s="355">
        <f t="shared" ref="E45:AF45" si="5">E7-D7</f>
        <v>0</v>
      </c>
      <c r="F45" s="355">
        <f t="shared" si="5"/>
        <v>0</v>
      </c>
      <c r="G45" s="355">
        <f t="shared" si="5"/>
        <v>0</v>
      </c>
      <c r="H45" s="355">
        <f t="shared" si="5"/>
        <v>0</v>
      </c>
      <c r="I45" s="355">
        <f t="shared" si="5"/>
        <v>0</v>
      </c>
      <c r="J45" s="355">
        <f t="shared" si="5"/>
        <v>0</v>
      </c>
      <c r="K45" s="355">
        <f t="shared" si="5"/>
        <v>0</v>
      </c>
      <c r="L45" s="355">
        <f t="shared" si="5"/>
        <v>0</v>
      </c>
      <c r="M45" s="355">
        <f t="shared" si="5"/>
        <v>0</v>
      </c>
      <c r="N45" s="355">
        <f t="shared" si="5"/>
        <v>0</v>
      </c>
      <c r="O45" s="355">
        <f t="shared" si="5"/>
        <v>0</v>
      </c>
      <c r="P45" s="355">
        <f t="shared" si="5"/>
        <v>0</v>
      </c>
      <c r="Q45" s="355">
        <f t="shared" si="5"/>
        <v>0</v>
      </c>
      <c r="R45" s="355">
        <f t="shared" si="5"/>
        <v>0</v>
      </c>
      <c r="S45" s="355">
        <f t="shared" si="5"/>
        <v>0</v>
      </c>
      <c r="T45" s="355">
        <f t="shared" si="5"/>
        <v>0</v>
      </c>
      <c r="U45" s="355">
        <f t="shared" si="5"/>
        <v>0</v>
      </c>
      <c r="V45" s="355">
        <f t="shared" si="5"/>
        <v>0</v>
      </c>
      <c r="W45" s="355">
        <f t="shared" si="5"/>
        <v>0</v>
      </c>
      <c r="X45" s="355">
        <f t="shared" si="5"/>
        <v>0</v>
      </c>
      <c r="Y45" s="355">
        <f t="shared" si="5"/>
        <v>0</v>
      </c>
      <c r="Z45" s="355">
        <f t="shared" si="5"/>
        <v>0</v>
      </c>
      <c r="AA45" s="355">
        <f t="shared" si="5"/>
        <v>0</v>
      </c>
      <c r="AB45" s="355">
        <f t="shared" si="5"/>
        <v>0</v>
      </c>
      <c r="AC45" s="355">
        <f t="shared" si="5"/>
        <v>0</v>
      </c>
      <c r="AD45" s="355">
        <f t="shared" si="5"/>
        <v>0</v>
      </c>
      <c r="AE45" s="355">
        <f t="shared" si="5"/>
        <v>0</v>
      </c>
      <c r="AF45" s="355">
        <f t="shared" si="5"/>
        <v>0</v>
      </c>
      <c r="AG45" s="356">
        <f t="shared" si="4"/>
        <v>0</v>
      </c>
    </row>
    <row r="46" spans="1:33" ht="12" customHeight="1">
      <c r="A46" s="306">
        <v>2</v>
      </c>
      <c r="B46" s="306" t="s">
        <v>129</v>
      </c>
      <c r="C46" s="544" t="s">
        <v>112</v>
      </c>
      <c r="D46" s="501"/>
      <c r="E46" s="355">
        <f t="shared" ref="E46:AF46" si="6">E8-D8</f>
        <v>0</v>
      </c>
      <c r="F46" s="355">
        <f t="shared" si="6"/>
        <v>0</v>
      </c>
      <c r="G46" s="355">
        <f t="shared" si="6"/>
        <v>0</v>
      </c>
      <c r="H46" s="355">
        <f t="shared" si="6"/>
        <v>0</v>
      </c>
      <c r="I46" s="355">
        <f t="shared" si="6"/>
        <v>0</v>
      </c>
      <c r="J46" s="355">
        <f t="shared" si="6"/>
        <v>0</v>
      </c>
      <c r="K46" s="355">
        <f t="shared" si="6"/>
        <v>0</v>
      </c>
      <c r="L46" s="355">
        <f t="shared" si="6"/>
        <v>0</v>
      </c>
      <c r="M46" s="355">
        <f t="shared" si="6"/>
        <v>0</v>
      </c>
      <c r="N46" s="355">
        <f t="shared" si="6"/>
        <v>0</v>
      </c>
      <c r="O46" s="355">
        <f t="shared" si="6"/>
        <v>0</v>
      </c>
      <c r="P46" s="355">
        <f t="shared" si="6"/>
        <v>0</v>
      </c>
      <c r="Q46" s="355">
        <f t="shared" si="6"/>
        <v>0</v>
      </c>
      <c r="R46" s="355">
        <f t="shared" si="6"/>
        <v>0</v>
      </c>
      <c r="S46" s="355">
        <f t="shared" si="6"/>
        <v>0</v>
      </c>
      <c r="T46" s="355">
        <f t="shared" si="6"/>
        <v>0</v>
      </c>
      <c r="U46" s="355">
        <f t="shared" si="6"/>
        <v>0</v>
      </c>
      <c r="V46" s="355">
        <f t="shared" si="6"/>
        <v>0</v>
      </c>
      <c r="W46" s="355">
        <f t="shared" si="6"/>
        <v>0</v>
      </c>
      <c r="X46" s="355">
        <f t="shared" si="6"/>
        <v>0</v>
      </c>
      <c r="Y46" s="355">
        <f t="shared" si="6"/>
        <v>0</v>
      </c>
      <c r="Z46" s="355">
        <f t="shared" si="6"/>
        <v>0</v>
      </c>
      <c r="AA46" s="355">
        <f t="shared" si="6"/>
        <v>0</v>
      </c>
      <c r="AB46" s="355">
        <f t="shared" si="6"/>
        <v>0</v>
      </c>
      <c r="AC46" s="355">
        <f t="shared" si="6"/>
        <v>0</v>
      </c>
      <c r="AD46" s="355">
        <f t="shared" si="6"/>
        <v>0</v>
      </c>
      <c r="AE46" s="355">
        <f t="shared" si="6"/>
        <v>0</v>
      </c>
      <c r="AF46" s="355">
        <f t="shared" si="6"/>
        <v>0</v>
      </c>
      <c r="AG46" s="356">
        <f t="shared" si="4"/>
        <v>0</v>
      </c>
    </row>
    <row r="47" spans="1:33" ht="12" customHeight="1">
      <c r="A47" s="306"/>
      <c r="B47" s="306"/>
      <c r="C47" s="543" t="s">
        <v>22</v>
      </c>
      <c r="D47" s="501"/>
      <c r="E47" s="355">
        <f t="shared" ref="E47:AF47" si="7">E9-D9</f>
        <v>0</v>
      </c>
      <c r="F47" s="355">
        <f t="shared" si="7"/>
        <v>0</v>
      </c>
      <c r="G47" s="355">
        <f t="shared" si="7"/>
        <v>0</v>
      </c>
      <c r="H47" s="355">
        <f t="shared" si="7"/>
        <v>0</v>
      </c>
      <c r="I47" s="355">
        <f t="shared" si="7"/>
        <v>0</v>
      </c>
      <c r="J47" s="355">
        <f t="shared" si="7"/>
        <v>0</v>
      </c>
      <c r="K47" s="355">
        <f t="shared" si="7"/>
        <v>0</v>
      </c>
      <c r="L47" s="355">
        <f t="shared" si="7"/>
        <v>0</v>
      </c>
      <c r="M47" s="355">
        <f t="shared" si="7"/>
        <v>0</v>
      </c>
      <c r="N47" s="355">
        <f t="shared" si="7"/>
        <v>0</v>
      </c>
      <c r="O47" s="355">
        <f t="shared" si="7"/>
        <v>0</v>
      </c>
      <c r="P47" s="355">
        <f t="shared" si="7"/>
        <v>0</v>
      </c>
      <c r="Q47" s="355">
        <f t="shared" si="7"/>
        <v>0</v>
      </c>
      <c r="R47" s="355">
        <f t="shared" si="7"/>
        <v>0</v>
      </c>
      <c r="S47" s="355">
        <f t="shared" si="7"/>
        <v>0</v>
      </c>
      <c r="T47" s="355">
        <f t="shared" si="7"/>
        <v>0</v>
      </c>
      <c r="U47" s="355">
        <f t="shared" si="7"/>
        <v>0</v>
      </c>
      <c r="V47" s="355">
        <f t="shared" si="7"/>
        <v>0</v>
      </c>
      <c r="W47" s="355">
        <f t="shared" si="7"/>
        <v>0</v>
      </c>
      <c r="X47" s="355">
        <f t="shared" si="7"/>
        <v>0</v>
      </c>
      <c r="Y47" s="355">
        <f t="shared" si="7"/>
        <v>0</v>
      </c>
      <c r="Z47" s="355">
        <f t="shared" si="7"/>
        <v>0</v>
      </c>
      <c r="AA47" s="355">
        <f t="shared" si="7"/>
        <v>0</v>
      </c>
      <c r="AB47" s="355">
        <f t="shared" si="7"/>
        <v>0</v>
      </c>
      <c r="AC47" s="355">
        <f t="shared" si="7"/>
        <v>0</v>
      </c>
      <c r="AD47" s="355">
        <f t="shared" si="7"/>
        <v>0</v>
      </c>
      <c r="AE47" s="355">
        <f t="shared" si="7"/>
        <v>0</v>
      </c>
      <c r="AF47" s="355">
        <f t="shared" si="7"/>
        <v>0</v>
      </c>
      <c r="AG47" s="356">
        <f t="shared" si="4"/>
        <v>0</v>
      </c>
    </row>
    <row r="48" spans="1:33" ht="12" customHeight="1">
      <c r="A48" s="306">
        <v>3</v>
      </c>
      <c r="B48" s="306" t="s">
        <v>129</v>
      </c>
      <c r="C48" s="544" t="s">
        <v>113</v>
      </c>
      <c r="D48" s="501"/>
      <c r="E48" s="355">
        <f t="shared" ref="E48:AF48" si="8">E10-D10</f>
        <v>379</v>
      </c>
      <c r="F48" s="355">
        <f t="shared" si="8"/>
        <v>393</v>
      </c>
      <c r="G48" s="355">
        <f t="shared" si="8"/>
        <v>362</v>
      </c>
      <c r="H48" s="355">
        <f t="shared" si="8"/>
        <v>374</v>
      </c>
      <c r="I48" s="355">
        <f t="shared" si="8"/>
        <v>366</v>
      </c>
      <c r="J48" s="355">
        <f t="shared" si="8"/>
        <v>369</v>
      </c>
      <c r="K48" s="355">
        <f t="shared" si="8"/>
        <v>281</v>
      </c>
      <c r="L48" s="355">
        <f t="shared" si="8"/>
        <v>289</v>
      </c>
      <c r="M48" s="355">
        <f t="shared" si="8"/>
        <v>394</v>
      </c>
      <c r="N48" s="355">
        <f t="shared" si="8"/>
        <v>378</v>
      </c>
      <c r="O48" s="355">
        <f t="shared" si="8"/>
        <v>371</v>
      </c>
      <c r="P48" s="355">
        <f t="shared" si="8"/>
        <v>387</v>
      </c>
      <c r="Q48" s="355">
        <f t="shared" si="8"/>
        <v>364</v>
      </c>
      <c r="R48" s="355">
        <f t="shared" si="8"/>
        <v>286</v>
      </c>
      <c r="S48" s="355">
        <f t="shared" si="8"/>
        <v>242</v>
      </c>
      <c r="T48" s="355">
        <f t="shared" si="8"/>
        <v>372</v>
      </c>
      <c r="U48" s="355">
        <f t="shared" si="8"/>
        <v>383</v>
      </c>
      <c r="V48" s="355">
        <f t="shared" si="8"/>
        <v>363</v>
      </c>
      <c r="W48" s="355">
        <f t="shared" si="8"/>
        <v>361</v>
      </c>
      <c r="X48" s="355">
        <f t="shared" si="8"/>
        <v>363</v>
      </c>
      <c r="Y48" s="355">
        <f t="shared" si="8"/>
        <v>279</v>
      </c>
      <c r="Z48" s="355">
        <f t="shared" si="8"/>
        <v>264</v>
      </c>
      <c r="AA48" s="355">
        <f t="shared" si="8"/>
        <v>369</v>
      </c>
      <c r="AB48" s="355">
        <f t="shared" si="8"/>
        <v>397</v>
      </c>
      <c r="AC48" s="355">
        <f t="shared" si="8"/>
        <v>363</v>
      </c>
      <c r="AD48" s="355">
        <f t="shared" si="8"/>
        <v>376</v>
      </c>
      <c r="AE48" s="355">
        <f t="shared" si="8"/>
        <v>286</v>
      </c>
      <c r="AF48" s="355">
        <f t="shared" si="8"/>
        <v>213</v>
      </c>
      <c r="AG48" s="356">
        <f t="shared" si="4"/>
        <v>9624</v>
      </c>
    </row>
    <row r="49" spans="1:33" ht="12" customHeight="1">
      <c r="A49" s="306"/>
      <c r="B49" s="306"/>
      <c r="C49" s="543" t="s">
        <v>22</v>
      </c>
      <c r="D49" s="501"/>
      <c r="E49" s="355">
        <f t="shared" ref="E49:AF49" si="9">E11-D11</f>
        <v>0</v>
      </c>
      <c r="F49" s="355">
        <f t="shared" si="9"/>
        <v>0</v>
      </c>
      <c r="G49" s="355">
        <f t="shared" si="9"/>
        <v>0</v>
      </c>
      <c r="H49" s="355">
        <f t="shared" si="9"/>
        <v>0</v>
      </c>
      <c r="I49" s="355">
        <f t="shared" si="9"/>
        <v>0</v>
      </c>
      <c r="J49" s="355">
        <f t="shared" si="9"/>
        <v>0</v>
      </c>
      <c r="K49" s="355">
        <f t="shared" si="9"/>
        <v>0</v>
      </c>
      <c r="L49" s="355">
        <f t="shared" si="9"/>
        <v>0</v>
      </c>
      <c r="M49" s="355">
        <f t="shared" si="9"/>
        <v>0</v>
      </c>
      <c r="N49" s="355">
        <f t="shared" si="9"/>
        <v>0</v>
      </c>
      <c r="O49" s="355">
        <f t="shared" si="9"/>
        <v>0</v>
      </c>
      <c r="P49" s="355">
        <f t="shared" si="9"/>
        <v>0</v>
      </c>
      <c r="Q49" s="355">
        <f t="shared" si="9"/>
        <v>0</v>
      </c>
      <c r="R49" s="355">
        <f t="shared" si="9"/>
        <v>0</v>
      </c>
      <c r="S49" s="355">
        <f t="shared" si="9"/>
        <v>0</v>
      </c>
      <c r="T49" s="355">
        <f t="shared" si="9"/>
        <v>0</v>
      </c>
      <c r="U49" s="355">
        <f t="shared" si="9"/>
        <v>0</v>
      </c>
      <c r="V49" s="355">
        <f t="shared" si="9"/>
        <v>0</v>
      </c>
      <c r="W49" s="355">
        <f t="shared" si="9"/>
        <v>0</v>
      </c>
      <c r="X49" s="355">
        <f t="shared" si="9"/>
        <v>0</v>
      </c>
      <c r="Y49" s="355">
        <f t="shared" si="9"/>
        <v>0</v>
      </c>
      <c r="Z49" s="355">
        <f t="shared" si="9"/>
        <v>0</v>
      </c>
      <c r="AA49" s="355">
        <f t="shared" si="9"/>
        <v>0</v>
      </c>
      <c r="AB49" s="355">
        <f t="shared" si="9"/>
        <v>0</v>
      </c>
      <c r="AC49" s="355">
        <f t="shared" si="9"/>
        <v>0</v>
      </c>
      <c r="AD49" s="355">
        <f t="shared" si="9"/>
        <v>0</v>
      </c>
      <c r="AE49" s="355">
        <f t="shared" si="9"/>
        <v>0</v>
      </c>
      <c r="AF49" s="355">
        <f t="shared" si="9"/>
        <v>0</v>
      </c>
      <c r="AG49" s="356">
        <f t="shared" si="4"/>
        <v>0</v>
      </c>
    </row>
    <row r="50" spans="1:33" ht="12" customHeight="1">
      <c r="A50" s="306">
        <v>4</v>
      </c>
      <c r="B50" s="306" t="s">
        <v>129</v>
      </c>
      <c r="C50" s="544" t="s">
        <v>114</v>
      </c>
      <c r="D50" s="501"/>
      <c r="E50" s="355">
        <f t="shared" ref="E50:AF50" si="10">E12-D12</f>
        <v>0</v>
      </c>
      <c r="F50" s="355">
        <f t="shared" si="10"/>
        <v>0</v>
      </c>
      <c r="G50" s="355">
        <f t="shared" si="10"/>
        <v>0</v>
      </c>
      <c r="H50" s="355">
        <f t="shared" si="10"/>
        <v>0</v>
      </c>
      <c r="I50" s="355">
        <f t="shared" si="10"/>
        <v>0</v>
      </c>
      <c r="J50" s="355">
        <f t="shared" si="10"/>
        <v>0</v>
      </c>
      <c r="K50" s="355">
        <f t="shared" si="10"/>
        <v>0</v>
      </c>
      <c r="L50" s="355">
        <f t="shared" si="10"/>
        <v>0</v>
      </c>
      <c r="M50" s="355">
        <f t="shared" si="10"/>
        <v>0</v>
      </c>
      <c r="N50" s="355">
        <f t="shared" si="10"/>
        <v>0</v>
      </c>
      <c r="O50" s="355">
        <f t="shared" si="10"/>
        <v>0</v>
      </c>
      <c r="P50" s="355">
        <f t="shared" si="10"/>
        <v>0</v>
      </c>
      <c r="Q50" s="355">
        <f t="shared" si="10"/>
        <v>0</v>
      </c>
      <c r="R50" s="355">
        <f t="shared" si="10"/>
        <v>0</v>
      </c>
      <c r="S50" s="355">
        <f t="shared" si="10"/>
        <v>0</v>
      </c>
      <c r="T50" s="355">
        <f t="shared" si="10"/>
        <v>0</v>
      </c>
      <c r="U50" s="355">
        <f t="shared" si="10"/>
        <v>0</v>
      </c>
      <c r="V50" s="355">
        <f t="shared" si="10"/>
        <v>0</v>
      </c>
      <c r="W50" s="355">
        <f t="shared" si="10"/>
        <v>0</v>
      </c>
      <c r="X50" s="355">
        <f t="shared" si="10"/>
        <v>0</v>
      </c>
      <c r="Y50" s="355">
        <f t="shared" si="10"/>
        <v>0</v>
      </c>
      <c r="Z50" s="355">
        <f t="shared" si="10"/>
        <v>0</v>
      </c>
      <c r="AA50" s="355">
        <f t="shared" si="10"/>
        <v>0</v>
      </c>
      <c r="AB50" s="355">
        <f t="shared" si="10"/>
        <v>0</v>
      </c>
      <c r="AC50" s="355">
        <f t="shared" si="10"/>
        <v>0</v>
      </c>
      <c r="AD50" s="355">
        <f t="shared" si="10"/>
        <v>0</v>
      </c>
      <c r="AE50" s="355">
        <f t="shared" si="10"/>
        <v>0</v>
      </c>
      <c r="AF50" s="355">
        <f t="shared" si="10"/>
        <v>0</v>
      </c>
      <c r="AG50" s="356">
        <f t="shared" si="4"/>
        <v>0</v>
      </c>
    </row>
    <row r="51" spans="1:33" ht="12" customHeight="1">
      <c r="A51" s="306"/>
      <c r="B51" s="306"/>
      <c r="C51" s="543" t="s">
        <v>22</v>
      </c>
      <c r="D51" s="501"/>
      <c r="E51" s="355">
        <f t="shared" ref="E51:AF51" si="11">E13-D13</f>
        <v>0</v>
      </c>
      <c r="F51" s="355">
        <f t="shared" si="11"/>
        <v>0</v>
      </c>
      <c r="G51" s="355">
        <f t="shared" si="11"/>
        <v>0</v>
      </c>
      <c r="H51" s="355">
        <f t="shared" si="11"/>
        <v>0</v>
      </c>
      <c r="I51" s="355">
        <f t="shared" si="11"/>
        <v>0</v>
      </c>
      <c r="J51" s="355">
        <f t="shared" si="11"/>
        <v>0</v>
      </c>
      <c r="K51" s="355">
        <f t="shared" si="11"/>
        <v>0</v>
      </c>
      <c r="L51" s="355">
        <f t="shared" si="11"/>
        <v>0</v>
      </c>
      <c r="M51" s="355">
        <f t="shared" si="11"/>
        <v>0</v>
      </c>
      <c r="N51" s="355">
        <f t="shared" si="11"/>
        <v>0</v>
      </c>
      <c r="O51" s="355">
        <f t="shared" si="11"/>
        <v>0</v>
      </c>
      <c r="P51" s="355">
        <f t="shared" si="11"/>
        <v>0</v>
      </c>
      <c r="Q51" s="355">
        <f t="shared" si="11"/>
        <v>0</v>
      </c>
      <c r="R51" s="355">
        <f t="shared" si="11"/>
        <v>0</v>
      </c>
      <c r="S51" s="355">
        <f t="shared" si="11"/>
        <v>0</v>
      </c>
      <c r="T51" s="355">
        <f t="shared" si="11"/>
        <v>0</v>
      </c>
      <c r="U51" s="355">
        <f t="shared" si="11"/>
        <v>0</v>
      </c>
      <c r="V51" s="355">
        <f t="shared" si="11"/>
        <v>0</v>
      </c>
      <c r="W51" s="355">
        <f t="shared" si="11"/>
        <v>0</v>
      </c>
      <c r="X51" s="355">
        <f t="shared" si="11"/>
        <v>0</v>
      </c>
      <c r="Y51" s="355">
        <f t="shared" si="11"/>
        <v>0</v>
      </c>
      <c r="Z51" s="355">
        <f t="shared" si="11"/>
        <v>0</v>
      </c>
      <c r="AA51" s="355">
        <f t="shared" si="11"/>
        <v>0</v>
      </c>
      <c r="AB51" s="355">
        <f t="shared" si="11"/>
        <v>0</v>
      </c>
      <c r="AC51" s="355">
        <f t="shared" si="11"/>
        <v>0</v>
      </c>
      <c r="AD51" s="355">
        <f t="shared" si="11"/>
        <v>0</v>
      </c>
      <c r="AE51" s="355">
        <f t="shared" si="11"/>
        <v>0</v>
      </c>
      <c r="AF51" s="355">
        <f t="shared" si="11"/>
        <v>0</v>
      </c>
      <c r="AG51" s="356">
        <f t="shared" si="4"/>
        <v>0</v>
      </c>
    </row>
    <row r="52" spans="1:33" ht="12" customHeight="1">
      <c r="A52" s="306">
        <v>5</v>
      </c>
      <c r="B52" s="306" t="s">
        <v>129</v>
      </c>
      <c r="C52" s="544" t="s">
        <v>115</v>
      </c>
      <c r="D52" s="501"/>
      <c r="E52" s="355">
        <f t="shared" ref="E52:AF52" si="12">E14-D14</f>
        <v>230</v>
      </c>
      <c r="F52" s="355">
        <f t="shared" si="12"/>
        <v>214</v>
      </c>
      <c r="G52" s="355">
        <f t="shared" si="12"/>
        <v>294</v>
      </c>
      <c r="H52" s="355">
        <f t="shared" si="12"/>
        <v>249</v>
      </c>
      <c r="I52" s="355">
        <f t="shared" si="12"/>
        <v>240</v>
      </c>
      <c r="J52" s="355">
        <f t="shared" si="12"/>
        <v>248</v>
      </c>
      <c r="K52" s="355">
        <f t="shared" si="12"/>
        <v>154</v>
      </c>
      <c r="L52" s="355">
        <f t="shared" si="12"/>
        <v>157</v>
      </c>
      <c r="M52" s="355">
        <f t="shared" si="12"/>
        <v>251</v>
      </c>
      <c r="N52" s="355">
        <f t="shared" si="12"/>
        <v>244</v>
      </c>
      <c r="O52" s="355">
        <f t="shared" si="12"/>
        <v>243</v>
      </c>
      <c r="P52" s="355">
        <f t="shared" si="12"/>
        <v>253</v>
      </c>
      <c r="Q52" s="355">
        <f t="shared" si="12"/>
        <v>241</v>
      </c>
      <c r="R52" s="355">
        <f t="shared" si="12"/>
        <v>164</v>
      </c>
      <c r="S52" s="355">
        <f t="shared" si="12"/>
        <v>135</v>
      </c>
      <c r="T52" s="355">
        <f t="shared" si="12"/>
        <v>244</v>
      </c>
      <c r="U52" s="355">
        <f t="shared" si="12"/>
        <v>255</v>
      </c>
      <c r="V52" s="355">
        <f t="shared" si="12"/>
        <v>248</v>
      </c>
      <c r="W52" s="355">
        <f t="shared" si="12"/>
        <v>247</v>
      </c>
      <c r="X52" s="355">
        <f t="shared" si="12"/>
        <v>242</v>
      </c>
      <c r="Y52" s="355">
        <f t="shared" si="12"/>
        <v>165</v>
      </c>
      <c r="Z52" s="355">
        <f t="shared" si="12"/>
        <v>140</v>
      </c>
      <c r="AA52" s="355">
        <f t="shared" si="12"/>
        <v>259</v>
      </c>
      <c r="AB52" s="355">
        <f t="shared" si="12"/>
        <v>268</v>
      </c>
      <c r="AC52" s="355">
        <f t="shared" si="12"/>
        <v>245</v>
      </c>
      <c r="AD52" s="355">
        <f t="shared" si="12"/>
        <v>241</v>
      </c>
      <c r="AE52" s="355">
        <f t="shared" si="12"/>
        <v>243</v>
      </c>
      <c r="AF52" s="355">
        <f t="shared" si="12"/>
        <v>80</v>
      </c>
      <c r="AG52" s="356">
        <f t="shared" si="4"/>
        <v>6194</v>
      </c>
    </row>
    <row r="53" spans="1:33" ht="12" customHeight="1">
      <c r="A53" s="306"/>
      <c r="B53" s="306"/>
      <c r="C53" s="543" t="s">
        <v>22</v>
      </c>
      <c r="D53" s="501"/>
      <c r="E53" s="355">
        <f t="shared" ref="E53:AF53" si="13">E15-D15</f>
        <v>0</v>
      </c>
      <c r="F53" s="355">
        <f t="shared" si="13"/>
        <v>0</v>
      </c>
      <c r="G53" s="355">
        <f t="shared" si="13"/>
        <v>0</v>
      </c>
      <c r="H53" s="355">
        <f t="shared" si="13"/>
        <v>0</v>
      </c>
      <c r="I53" s="355">
        <f t="shared" si="13"/>
        <v>0</v>
      </c>
      <c r="J53" s="355">
        <f t="shared" si="13"/>
        <v>0</v>
      </c>
      <c r="K53" s="355">
        <f t="shared" si="13"/>
        <v>0</v>
      </c>
      <c r="L53" s="355">
        <f t="shared" si="13"/>
        <v>0</v>
      </c>
      <c r="M53" s="355">
        <f t="shared" si="13"/>
        <v>0</v>
      </c>
      <c r="N53" s="355">
        <f t="shared" si="13"/>
        <v>0</v>
      </c>
      <c r="O53" s="355">
        <f t="shared" si="13"/>
        <v>0</v>
      </c>
      <c r="P53" s="355">
        <f t="shared" si="13"/>
        <v>0</v>
      </c>
      <c r="Q53" s="355">
        <f t="shared" si="13"/>
        <v>0</v>
      </c>
      <c r="R53" s="355">
        <f t="shared" si="13"/>
        <v>0</v>
      </c>
      <c r="S53" s="355">
        <f t="shared" si="13"/>
        <v>0</v>
      </c>
      <c r="T53" s="355">
        <f t="shared" si="13"/>
        <v>0</v>
      </c>
      <c r="U53" s="355">
        <f t="shared" si="13"/>
        <v>0</v>
      </c>
      <c r="V53" s="355">
        <f t="shared" si="13"/>
        <v>0</v>
      </c>
      <c r="W53" s="355">
        <f t="shared" si="13"/>
        <v>0</v>
      </c>
      <c r="X53" s="355">
        <f t="shared" si="13"/>
        <v>0</v>
      </c>
      <c r="Y53" s="355">
        <f t="shared" si="13"/>
        <v>0</v>
      </c>
      <c r="Z53" s="355">
        <f t="shared" si="13"/>
        <v>0</v>
      </c>
      <c r="AA53" s="355">
        <f t="shared" si="13"/>
        <v>0</v>
      </c>
      <c r="AB53" s="355">
        <f t="shared" si="13"/>
        <v>0</v>
      </c>
      <c r="AC53" s="355">
        <f t="shared" si="13"/>
        <v>0</v>
      </c>
      <c r="AD53" s="355">
        <f t="shared" si="13"/>
        <v>0</v>
      </c>
      <c r="AE53" s="355">
        <f t="shared" si="13"/>
        <v>0</v>
      </c>
      <c r="AF53" s="355">
        <f t="shared" si="13"/>
        <v>0</v>
      </c>
      <c r="AG53" s="356">
        <f t="shared" si="4"/>
        <v>0</v>
      </c>
    </row>
    <row r="54" spans="1:33" ht="12" customHeight="1">
      <c r="A54" s="306">
        <v>6</v>
      </c>
      <c r="B54" s="306" t="s">
        <v>129</v>
      </c>
      <c r="C54" s="544" t="s">
        <v>116</v>
      </c>
      <c r="D54" s="501"/>
      <c r="E54" s="355">
        <f t="shared" ref="E54:AF54" si="14">E16-D16</f>
        <v>159</v>
      </c>
      <c r="F54" s="355">
        <f t="shared" si="14"/>
        <v>252</v>
      </c>
      <c r="G54" s="355">
        <f t="shared" si="14"/>
        <v>266</v>
      </c>
      <c r="H54" s="355">
        <f t="shared" si="14"/>
        <v>247</v>
      </c>
      <c r="I54" s="355">
        <f t="shared" si="14"/>
        <v>284</v>
      </c>
      <c r="J54" s="355">
        <f t="shared" si="14"/>
        <v>258</v>
      </c>
      <c r="K54" s="355">
        <f t="shared" si="14"/>
        <v>118</v>
      </c>
      <c r="L54" s="355">
        <f t="shared" si="14"/>
        <v>80</v>
      </c>
      <c r="M54" s="355">
        <f t="shared" si="14"/>
        <v>270</v>
      </c>
      <c r="N54" s="355">
        <f t="shared" si="14"/>
        <v>251</v>
      </c>
      <c r="O54" s="355">
        <f t="shared" si="14"/>
        <v>270</v>
      </c>
      <c r="P54" s="355">
        <f t="shared" si="14"/>
        <v>264</v>
      </c>
      <c r="Q54" s="355">
        <f t="shared" si="14"/>
        <v>269</v>
      </c>
      <c r="R54" s="355">
        <f t="shared" si="14"/>
        <v>116</v>
      </c>
      <c r="S54" s="355">
        <f t="shared" si="14"/>
        <v>91</v>
      </c>
      <c r="T54" s="355">
        <f t="shared" si="14"/>
        <v>219</v>
      </c>
      <c r="U54" s="355">
        <f t="shared" si="14"/>
        <v>339</v>
      </c>
      <c r="V54" s="355">
        <f t="shared" si="14"/>
        <v>257</v>
      </c>
      <c r="W54" s="355">
        <f t="shared" si="14"/>
        <v>268</v>
      </c>
      <c r="X54" s="355">
        <f t="shared" si="14"/>
        <v>253</v>
      </c>
      <c r="Y54" s="355">
        <f t="shared" si="14"/>
        <v>129</v>
      </c>
      <c r="Z54" s="355">
        <f t="shared" si="14"/>
        <v>84</v>
      </c>
      <c r="AA54" s="355">
        <f t="shared" si="14"/>
        <v>255</v>
      </c>
      <c r="AB54" s="355">
        <f t="shared" si="14"/>
        <v>275</v>
      </c>
      <c r="AC54" s="355">
        <f t="shared" si="14"/>
        <v>273</v>
      </c>
      <c r="AD54" s="355">
        <f t="shared" si="14"/>
        <v>253</v>
      </c>
      <c r="AE54" s="355">
        <f t="shared" si="14"/>
        <v>268</v>
      </c>
      <c r="AF54" s="355">
        <f t="shared" si="14"/>
        <v>45</v>
      </c>
      <c r="AG54" s="356">
        <f t="shared" si="4"/>
        <v>6113</v>
      </c>
    </row>
    <row r="55" spans="1:33" ht="12" customHeight="1">
      <c r="A55" s="306"/>
      <c r="B55" s="306"/>
      <c r="C55" s="543" t="s">
        <v>22</v>
      </c>
      <c r="D55" s="501"/>
      <c r="E55" s="355">
        <f t="shared" ref="E55:AF55" si="15">E17-D17</f>
        <v>0</v>
      </c>
      <c r="F55" s="355">
        <f t="shared" si="15"/>
        <v>0</v>
      </c>
      <c r="G55" s="355">
        <f t="shared" si="15"/>
        <v>0</v>
      </c>
      <c r="H55" s="355">
        <f t="shared" si="15"/>
        <v>0</v>
      </c>
      <c r="I55" s="355">
        <f t="shared" si="15"/>
        <v>0</v>
      </c>
      <c r="J55" s="355">
        <f t="shared" si="15"/>
        <v>0</v>
      </c>
      <c r="K55" s="355">
        <f t="shared" si="15"/>
        <v>0</v>
      </c>
      <c r="L55" s="355">
        <f t="shared" si="15"/>
        <v>0</v>
      </c>
      <c r="M55" s="355">
        <f t="shared" si="15"/>
        <v>0</v>
      </c>
      <c r="N55" s="355">
        <f t="shared" si="15"/>
        <v>0</v>
      </c>
      <c r="O55" s="355">
        <f t="shared" si="15"/>
        <v>0</v>
      </c>
      <c r="P55" s="355">
        <f t="shared" si="15"/>
        <v>0</v>
      </c>
      <c r="Q55" s="355">
        <f t="shared" si="15"/>
        <v>0</v>
      </c>
      <c r="R55" s="355">
        <f t="shared" si="15"/>
        <v>0</v>
      </c>
      <c r="S55" s="355">
        <f t="shared" si="15"/>
        <v>0</v>
      </c>
      <c r="T55" s="355">
        <f t="shared" si="15"/>
        <v>0</v>
      </c>
      <c r="U55" s="355">
        <f t="shared" si="15"/>
        <v>0</v>
      </c>
      <c r="V55" s="355">
        <f t="shared" si="15"/>
        <v>0</v>
      </c>
      <c r="W55" s="355">
        <f t="shared" si="15"/>
        <v>0</v>
      </c>
      <c r="X55" s="355">
        <f t="shared" si="15"/>
        <v>0</v>
      </c>
      <c r="Y55" s="355">
        <f t="shared" si="15"/>
        <v>0</v>
      </c>
      <c r="Z55" s="355">
        <f t="shared" si="15"/>
        <v>0</v>
      </c>
      <c r="AA55" s="355">
        <f t="shared" si="15"/>
        <v>0</v>
      </c>
      <c r="AB55" s="355">
        <f t="shared" si="15"/>
        <v>0</v>
      </c>
      <c r="AC55" s="355">
        <f t="shared" si="15"/>
        <v>0</v>
      </c>
      <c r="AD55" s="355">
        <f t="shared" si="15"/>
        <v>0</v>
      </c>
      <c r="AE55" s="355">
        <f t="shared" si="15"/>
        <v>0</v>
      </c>
      <c r="AF55" s="355">
        <f t="shared" si="15"/>
        <v>0</v>
      </c>
      <c r="AG55" s="356">
        <f t="shared" si="4"/>
        <v>0</v>
      </c>
    </row>
    <row r="56" spans="1:33" ht="12" customHeight="1">
      <c r="A56" s="306">
        <v>7</v>
      </c>
      <c r="B56" s="306" t="s">
        <v>129</v>
      </c>
      <c r="C56" s="544" t="s">
        <v>117</v>
      </c>
      <c r="D56" s="501"/>
      <c r="E56" s="355">
        <f t="shared" ref="E56:AF56" si="16">E18-D18</f>
        <v>711</v>
      </c>
      <c r="F56" s="355">
        <f t="shared" si="16"/>
        <v>821</v>
      </c>
      <c r="G56" s="355">
        <f t="shared" si="16"/>
        <v>761</v>
      </c>
      <c r="H56" s="355">
        <f t="shared" si="16"/>
        <v>829</v>
      </c>
      <c r="I56" s="355">
        <f t="shared" si="16"/>
        <v>791</v>
      </c>
      <c r="J56" s="355">
        <f t="shared" si="16"/>
        <v>822</v>
      </c>
      <c r="K56" s="355">
        <f t="shared" si="16"/>
        <v>632</v>
      </c>
      <c r="L56" s="355">
        <f t="shared" si="16"/>
        <v>467</v>
      </c>
      <c r="M56" s="355">
        <f t="shared" si="16"/>
        <v>804</v>
      </c>
      <c r="N56" s="355">
        <f t="shared" si="16"/>
        <v>812</v>
      </c>
      <c r="O56" s="355">
        <f t="shared" si="16"/>
        <v>786</v>
      </c>
      <c r="P56" s="355">
        <f t="shared" si="16"/>
        <v>831</v>
      </c>
      <c r="Q56" s="355">
        <f t="shared" si="16"/>
        <v>802</v>
      </c>
      <c r="R56" s="355">
        <f t="shared" si="16"/>
        <v>643</v>
      </c>
      <c r="S56" s="355">
        <f t="shared" si="16"/>
        <v>461</v>
      </c>
      <c r="T56" s="355">
        <f t="shared" si="16"/>
        <v>783</v>
      </c>
      <c r="U56" s="355">
        <f t="shared" si="16"/>
        <v>822</v>
      </c>
      <c r="V56" s="355">
        <f t="shared" si="16"/>
        <v>795</v>
      </c>
      <c r="W56" s="355">
        <f t="shared" si="16"/>
        <v>812</v>
      </c>
      <c r="X56" s="355">
        <f t="shared" si="16"/>
        <v>794</v>
      </c>
      <c r="Y56" s="355">
        <f t="shared" si="16"/>
        <v>635</v>
      </c>
      <c r="Z56" s="355">
        <f t="shared" si="16"/>
        <v>480</v>
      </c>
      <c r="AA56" s="355">
        <f t="shared" si="16"/>
        <v>591</v>
      </c>
      <c r="AB56" s="355">
        <f t="shared" si="16"/>
        <v>1052</v>
      </c>
      <c r="AC56" s="355">
        <f t="shared" si="16"/>
        <v>780</v>
      </c>
      <c r="AD56" s="355">
        <f t="shared" si="16"/>
        <v>808</v>
      </c>
      <c r="AE56" s="355">
        <f t="shared" si="16"/>
        <v>837</v>
      </c>
      <c r="AF56" s="355">
        <f t="shared" si="16"/>
        <v>260</v>
      </c>
      <c r="AG56" s="356">
        <f t="shared" si="4"/>
        <v>20422</v>
      </c>
    </row>
    <row r="57" spans="1:33" ht="12" customHeight="1">
      <c r="A57" s="306"/>
      <c r="B57" s="306"/>
      <c r="C57" s="543" t="s">
        <v>22</v>
      </c>
      <c r="D57" s="501"/>
      <c r="E57" s="355">
        <f t="shared" ref="E57:AF57" si="17">E19-D19</f>
        <v>0</v>
      </c>
      <c r="F57" s="355">
        <f t="shared" si="17"/>
        <v>0</v>
      </c>
      <c r="G57" s="355">
        <f t="shared" si="17"/>
        <v>0</v>
      </c>
      <c r="H57" s="355">
        <f t="shared" si="17"/>
        <v>0</v>
      </c>
      <c r="I57" s="355">
        <f t="shared" si="17"/>
        <v>0</v>
      </c>
      <c r="J57" s="355">
        <f t="shared" si="17"/>
        <v>0</v>
      </c>
      <c r="K57" s="355">
        <f t="shared" si="17"/>
        <v>0</v>
      </c>
      <c r="L57" s="355">
        <f t="shared" si="17"/>
        <v>0</v>
      </c>
      <c r="M57" s="355">
        <f t="shared" si="17"/>
        <v>0</v>
      </c>
      <c r="N57" s="355">
        <f t="shared" si="17"/>
        <v>0</v>
      </c>
      <c r="O57" s="355">
        <f t="shared" si="17"/>
        <v>0</v>
      </c>
      <c r="P57" s="355">
        <f t="shared" si="17"/>
        <v>0</v>
      </c>
      <c r="Q57" s="355">
        <f t="shared" si="17"/>
        <v>0</v>
      </c>
      <c r="R57" s="355">
        <f t="shared" si="17"/>
        <v>0</v>
      </c>
      <c r="S57" s="355">
        <f t="shared" si="17"/>
        <v>0</v>
      </c>
      <c r="T57" s="355">
        <f t="shared" si="17"/>
        <v>0</v>
      </c>
      <c r="U57" s="355">
        <f t="shared" si="17"/>
        <v>0</v>
      </c>
      <c r="V57" s="355">
        <f t="shared" si="17"/>
        <v>0</v>
      </c>
      <c r="W57" s="355">
        <f t="shared" si="17"/>
        <v>0</v>
      </c>
      <c r="X57" s="355">
        <f t="shared" si="17"/>
        <v>0</v>
      </c>
      <c r="Y57" s="355">
        <f t="shared" si="17"/>
        <v>0</v>
      </c>
      <c r="Z57" s="355">
        <f t="shared" si="17"/>
        <v>0</v>
      </c>
      <c r="AA57" s="355">
        <f t="shared" si="17"/>
        <v>0</v>
      </c>
      <c r="AB57" s="355">
        <f t="shared" si="17"/>
        <v>0</v>
      </c>
      <c r="AC57" s="355">
        <f t="shared" si="17"/>
        <v>0</v>
      </c>
      <c r="AD57" s="355">
        <f t="shared" si="17"/>
        <v>0</v>
      </c>
      <c r="AE57" s="355">
        <f t="shared" si="17"/>
        <v>0</v>
      </c>
      <c r="AF57" s="355">
        <f t="shared" si="17"/>
        <v>0</v>
      </c>
      <c r="AG57" s="356">
        <f t="shared" si="4"/>
        <v>0</v>
      </c>
    </row>
    <row r="58" spans="1:33" ht="12" customHeight="1">
      <c r="A58" s="306">
        <v>8</v>
      </c>
      <c r="B58" s="306" t="s">
        <v>129</v>
      </c>
      <c r="C58" s="544" t="s">
        <v>118</v>
      </c>
      <c r="D58" s="501"/>
      <c r="E58" s="355">
        <f t="shared" ref="E58:AF58" si="18">E20-D20</f>
        <v>132</v>
      </c>
      <c r="F58" s="355">
        <f t="shared" si="18"/>
        <v>117</v>
      </c>
      <c r="G58" s="355">
        <f t="shared" si="18"/>
        <v>96</v>
      </c>
      <c r="H58" s="355">
        <f t="shared" si="18"/>
        <v>116</v>
      </c>
      <c r="I58" s="355">
        <f t="shared" si="18"/>
        <v>100</v>
      </c>
      <c r="J58" s="355">
        <f t="shared" si="18"/>
        <v>122</v>
      </c>
      <c r="K58" s="355">
        <f t="shared" si="18"/>
        <v>91</v>
      </c>
      <c r="L58" s="355">
        <f t="shared" si="18"/>
        <v>101</v>
      </c>
      <c r="M58" s="355">
        <f t="shared" si="18"/>
        <v>111</v>
      </c>
      <c r="N58" s="355">
        <f t="shared" si="18"/>
        <v>116</v>
      </c>
      <c r="O58" s="355">
        <f t="shared" si="18"/>
        <v>111</v>
      </c>
      <c r="P58" s="355">
        <f t="shared" si="18"/>
        <v>129</v>
      </c>
      <c r="Q58" s="355">
        <f t="shared" si="18"/>
        <v>106</v>
      </c>
      <c r="R58" s="355">
        <f t="shared" si="18"/>
        <v>105</v>
      </c>
      <c r="S58" s="355">
        <f t="shared" si="18"/>
        <v>82</v>
      </c>
      <c r="T58" s="355">
        <f t="shared" si="18"/>
        <v>117</v>
      </c>
      <c r="U58" s="355">
        <f t="shared" si="18"/>
        <v>116</v>
      </c>
      <c r="V58" s="355">
        <f t="shared" si="18"/>
        <v>119</v>
      </c>
      <c r="W58" s="355">
        <f t="shared" si="18"/>
        <v>116</v>
      </c>
      <c r="X58" s="355">
        <f t="shared" si="18"/>
        <v>120</v>
      </c>
      <c r="Y58" s="355">
        <f t="shared" si="18"/>
        <v>103</v>
      </c>
      <c r="Z58" s="355">
        <f t="shared" si="18"/>
        <v>105</v>
      </c>
      <c r="AA58" s="355">
        <f t="shared" si="18"/>
        <v>103</v>
      </c>
      <c r="AB58" s="355">
        <f t="shared" si="18"/>
        <v>129</v>
      </c>
      <c r="AC58" s="355">
        <f t="shared" si="18"/>
        <v>116</v>
      </c>
      <c r="AD58" s="355">
        <f t="shared" si="18"/>
        <v>123</v>
      </c>
      <c r="AE58" s="355">
        <f t="shared" si="18"/>
        <v>121</v>
      </c>
      <c r="AF58" s="355">
        <f t="shared" si="18"/>
        <v>64</v>
      </c>
      <c r="AG58" s="356">
        <f t="shared" si="4"/>
        <v>3087</v>
      </c>
    </row>
    <row r="59" spans="1:33" ht="12" customHeight="1">
      <c r="A59" s="306"/>
      <c r="B59" s="306"/>
      <c r="C59" s="543" t="s">
        <v>22</v>
      </c>
      <c r="D59" s="501"/>
      <c r="E59" s="355">
        <f t="shared" ref="E59:AF59" si="19">E21-D21</f>
        <v>0</v>
      </c>
      <c r="F59" s="355">
        <f t="shared" si="19"/>
        <v>0</v>
      </c>
      <c r="G59" s="355">
        <f t="shared" si="19"/>
        <v>0</v>
      </c>
      <c r="H59" s="355">
        <f t="shared" si="19"/>
        <v>0</v>
      </c>
      <c r="I59" s="355">
        <f t="shared" si="19"/>
        <v>0</v>
      </c>
      <c r="J59" s="355">
        <f t="shared" si="19"/>
        <v>0</v>
      </c>
      <c r="K59" s="355">
        <f t="shared" si="19"/>
        <v>0</v>
      </c>
      <c r="L59" s="355">
        <f t="shared" si="19"/>
        <v>0</v>
      </c>
      <c r="M59" s="355">
        <f t="shared" si="19"/>
        <v>0</v>
      </c>
      <c r="N59" s="355">
        <f t="shared" si="19"/>
        <v>0</v>
      </c>
      <c r="O59" s="355">
        <f t="shared" si="19"/>
        <v>0</v>
      </c>
      <c r="P59" s="355">
        <f t="shared" si="19"/>
        <v>0</v>
      </c>
      <c r="Q59" s="355">
        <f t="shared" si="19"/>
        <v>0</v>
      </c>
      <c r="R59" s="355">
        <f t="shared" si="19"/>
        <v>0</v>
      </c>
      <c r="S59" s="355">
        <f t="shared" si="19"/>
        <v>0</v>
      </c>
      <c r="T59" s="355">
        <f t="shared" si="19"/>
        <v>0</v>
      </c>
      <c r="U59" s="355">
        <f t="shared" si="19"/>
        <v>0</v>
      </c>
      <c r="V59" s="355">
        <f t="shared" si="19"/>
        <v>0</v>
      </c>
      <c r="W59" s="355">
        <f t="shared" si="19"/>
        <v>0</v>
      </c>
      <c r="X59" s="355">
        <f t="shared" si="19"/>
        <v>0</v>
      </c>
      <c r="Y59" s="355">
        <f t="shared" si="19"/>
        <v>0</v>
      </c>
      <c r="Z59" s="355">
        <f t="shared" si="19"/>
        <v>0</v>
      </c>
      <c r="AA59" s="355">
        <f t="shared" si="19"/>
        <v>0</v>
      </c>
      <c r="AB59" s="355">
        <f t="shared" si="19"/>
        <v>0</v>
      </c>
      <c r="AC59" s="355">
        <f t="shared" si="19"/>
        <v>0</v>
      </c>
      <c r="AD59" s="355">
        <f t="shared" si="19"/>
        <v>0</v>
      </c>
      <c r="AE59" s="355">
        <f t="shared" si="19"/>
        <v>0</v>
      </c>
      <c r="AF59" s="355">
        <f t="shared" si="19"/>
        <v>0</v>
      </c>
      <c r="AG59" s="356">
        <f t="shared" si="4"/>
        <v>0</v>
      </c>
    </row>
    <row r="60" spans="1:33" ht="12" customHeight="1">
      <c r="A60" s="357"/>
      <c r="B60" s="357"/>
      <c r="C60" s="553" t="s">
        <v>130</v>
      </c>
      <c r="D60" s="501"/>
      <c r="E60" s="358">
        <f t="shared" ref="E60:AF60" si="20">SUM(E58,E56,E54,E52,E50,E48,E46,E44)</f>
        <v>1903</v>
      </c>
      <c r="F60" s="358">
        <f t="shared" si="20"/>
        <v>2066</v>
      </c>
      <c r="G60" s="358">
        <f t="shared" si="20"/>
        <v>2028</v>
      </c>
      <c r="H60" s="358">
        <f t="shared" si="20"/>
        <v>2066</v>
      </c>
      <c r="I60" s="358">
        <f t="shared" si="20"/>
        <v>2039</v>
      </c>
      <c r="J60" s="358">
        <f t="shared" si="20"/>
        <v>2076</v>
      </c>
      <c r="K60" s="358">
        <f t="shared" si="20"/>
        <v>1484</v>
      </c>
      <c r="L60" s="358">
        <f t="shared" si="20"/>
        <v>1310</v>
      </c>
      <c r="M60" s="358">
        <f t="shared" si="20"/>
        <v>2098</v>
      </c>
      <c r="N60" s="358">
        <f t="shared" si="20"/>
        <v>2061</v>
      </c>
      <c r="O60" s="358">
        <f t="shared" si="20"/>
        <v>2034</v>
      </c>
      <c r="P60" s="358">
        <f t="shared" si="20"/>
        <v>2130</v>
      </c>
      <c r="Q60" s="358">
        <f t="shared" si="20"/>
        <v>2032</v>
      </c>
      <c r="R60" s="358">
        <f t="shared" si="20"/>
        <v>1531</v>
      </c>
      <c r="S60" s="358">
        <f t="shared" si="20"/>
        <v>1191</v>
      </c>
      <c r="T60" s="358">
        <f t="shared" si="20"/>
        <v>1996</v>
      </c>
      <c r="U60" s="358">
        <f t="shared" si="20"/>
        <v>2180</v>
      </c>
      <c r="V60" s="358">
        <f t="shared" si="20"/>
        <v>2033</v>
      </c>
      <c r="W60" s="358">
        <f t="shared" si="20"/>
        <v>2054</v>
      </c>
      <c r="X60" s="358">
        <f t="shared" si="20"/>
        <v>2023</v>
      </c>
      <c r="Y60" s="358">
        <f t="shared" si="20"/>
        <v>1518</v>
      </c>
      <c r="Z60" s="358">
        <f t="shared" si="20"/>
        <v>1272</v>
      </c>
      <c r="AA60" s="358">
        <f t="shared" si="20"/>
        <v>1834</v>
      </c>
      <c r="AB60" s="358">
        <f t="shared" si="20"/>
        <v>2396</v>
      </c>
      <c r="AC60" s="358">
        <f t="shared" si="20"/>
        <v>2026</v>
      </c>
      <c r="AD60" s="358">
        <f t="shared" si="20"/>
        <v>2060</v>
      </c>
      <c r="AE60" s="358">
        <f t="shared" si="20"/>
        <v>2015</v>
      </c>
      <c r="AF60" s="358">
        <f t="shared" si="20"/>
        <v>757</v>
      </c>
      <c r="AG60" s="359">
        <f t="shared" si="4"/>
        <v>52213</v>
      </c>
    </row>
    <row r="61" spans="1:33" ht="12" customHeight="1">
      <c r="A61" s="357"/>
      <c r="B61" s="357"/>
      <c r="C61" s="360" t="s">
        <v>131</v>
      </c>
      <c r="D61" s="361"/>
      <c r="E61" s="358">
        <f t="shared" ref="E61:AF61" si="21">SUM(E45,E47,E49,E51,E53,E55,E57,E59)</f>
        <v>0</v>
      </c>
      <c r="F61" s="358">
        <f t="shared" si="21"/>
        <v>0</v>
      </c>
      <c r="G61" s="358">
        <f t="shared" si="21"/>
        <v>0</v>
      </c>
      <c r="H61" s="358">
        <f t="shared" si="21"/>
        <v>0</v>
      </c>
      <c r="I61" s="358">
        <f t="shared" si="21"/>
        <v>0</v>
      </c>
      <c r="J61" s="358">
        <f t="shared" si="21"/>
        <v>0</v>
      </c>
      <c r="K61" s="358">
        <f t="shared" si="21"/>
        <v>0</v>
      </c>
      <c r="L61" s="358">
        <f t="shared" si="21"/>
        <v>0</v>
      </c>
      <c r="M61" s="358">
        <f t="shared" si="21"/>
        <v>0</v>
      </c>
      <c r="N61" s="358">
        <f t="shared" si="21"/>
        <v>0</v>
      </c>
      <c r="O61" s="358">
        <f t="shared" si="21"/>
        <v>0</v>
      </c>
      <c r="P61" s="358">
        <f t="shared" si="21"/>
        <v>0</v>
      </c>
      <c r="Q61" s="358">
        <f t="shared" si="21"/>
        <v>0</v>
      </c>
      <c r="R61" s="358">
        <f t="shared" si="21"/>
        <v>0</v>
      </c>
      <c r="S61" s="358">
        <f t="shared" si="21"/>
        <v>0</v>
      </c>
      <c r="T61" s="358">
        <f t="shared" si="21"/>
        <v>0</v>
      </c>
      <c r="U61" s="358">
        <f t="shared" si="21"/>
        <v>0</v>
      </c>
      <c r="V61" s="358">
        <f t="shared" si="21"/>
        <v>0</v>
      </c>
      <c r="W61" s="358">
        <f t="shared" si="21"/>
        <v>0</v>
      </c>
      <c r="X61" s="358">
        <f t="shared" si="21"/>
        <v>0</v>
      </c>
      <c r="Y61" s="358">
        <f t="shared" si="21"/>
        <v>0</v>
      </c>
      <c r="Z61" s="358">
        <f t="shared" si="21"/>
        <v>0</v>
      </c>
      <c r="AA61" s="358">
        <f t="shared" si="21"/>
        <v>0</v>
      </c>
      <c r="AB61" s="358">
        <f t="shared" si="21"/>
        <v>0</v>
      </c>
      <c r="AC61" s="358">
        <f t="shared" si="21"/>
        <v>0</v>
      </c>
      <c r="AD61" s="358">
        <f t="shared" si="21"/>
        <v>0</v>
      </c>
      <c r="AE61" s="358">
        <f t="shared" si="21"/>
        <v>0</v>
      </c>
      <c r="AF61" s="358">
        <f t="shared" si="21"/>
        <v>0</v>
      </c>
      <c r="AG61" s="359">
        <f t="shared" si="4"/>
        <v>0</v>
      </c>
    </row>
    <row r="62" spans="1:33" ht="14.5" customHeight="1">
      <c r="A62" s="362"/>
      <c r="B62" s="362"/>
      <c r="C62" s="560" t="s">
        <v>132</v>
      </c>
      <c r="D62" s="501"/>
      <c r="E62" s="363">
        <f t="shared" ref="E62:AF62" si="22">E60</f>
        <v>1903</v>
      </c>
      <c r="F62" s="363">
        <f t="shared" si="22"/>
        <v>2066</v>
      </c>
      <c r="G62" s="363">
        <f t="shared" si="22"/>
        <v>2028</v>
      </c>
      <c r="H62" s="363">
        <f t="shared" si="22"/>
        <v>2066</v>
      </c>
      <c r="I62" s="363">
        <f t="shared" si="22"/>
        <v>2039</v>
      </c>
      <c r="J62" s="363">
        <f t="shared" si="22"/>
        <v>2076</v>
      </c>
      <c r="K62" s="363">
        <f t="shared" si="22"/>
        <v>1484</v>
      </c>
      <c r="L62" s="363">
        <f t="shared" si="22"/>
        <v>1310</v>
      </c>
      <c r="M62" s="363">
        <f t="shared" si="22"/>
        <v>2098</v>
      </c>
      <c r="N62" s="363">
        <f t="shared" si="22"/>
        <v>2061</v>
      </c>
      <c r="O62" s="363">
        <f t="shared" si="22"/>
        <v>2034</v>
      </c>
      <c r="P62" s="363">
        <f t="shared" si="22"/>
        <v>2130</v>
      </c>
      <c r="Q62" s="363">
        <f t="shared" si="22"/>
        <v>2032</v>
      </c>
      <c r="R62" s="363">
        <f t="shared" si="22"/>
        <v>1531</v>
      </c>
      <c r="S62" s="363">
        <f t="shared" si="22"/>
        <v>1191</v>
      </c>
      <c r="T62" s="363">
        <f t="shared" si="22"/>
        <v>1996</v>
      </c>
      <c r="U62" s="363">
        <f t="shared" si="22"/>
        <v>2180</v>
      </c>
      <c r="V62" s="363">
        <f t="shared" si="22"/>
        <v>2033</v>
      </c>
      <c r="W62" s="363">
        <f t="shared" si="22"/>
        <v>2054</v>
      </c>
      <c r="X62" s="363">
        <f t="shared" si="22"/>
        <v>2023</v>
      </c>
      <c r="Y62" s="363">
        <f t="shared" si="22"/>
        <v>1518</v>
      </c>
      <c r="Z62" s="363">
        <f t="shared" si="22"/>
        <v>1272</v>
      </c>
      <c r="AA62" s="363">
        <f t="shared" si="22"/>
        <v>1834</v>
      </c>
      <c r="AB62" s="363">
        <f t="shared" si="22"/>
        <v>2396</v>
      </c>
      <c r="AC62" s="363">
        <f t="shared" si="22"/>
        <v>2026</v>
      </c>
      <c r="AD62" s="363">
        <f t="shared" si="22"/>
        <v>2060</v>
      </c>
      <c r="AE62" s="363">
        <f t="shared" si="22"/>
        <v>2015</v>
      </c>
      <c r="AF62" s="363">
        <f t="shared" si="22"/>
        <v>757</v>
      </c>
      <c r="AG62" s="363">
        <f t="shared" si="4"/>
        <v>52213</v>
      </c>
    </row>
    <row r="63" spans="1:33">
      <c r="A63" s="351"/>
      <c r="B63" s="364"/>
      <c r="C63" s="365"/>
      <c r="D63" s="366"/>
      <c r="E63" s="351"/>
      <c r="F63" s="351"/>
      <c r="G63" s="351"/>
      <c r="H63" s="351"/>
      <c r="I63" s="351"/>
      <c r="J63" s="351"/>
      <c r="K63" s="351"/>
      <c r="L63" s="351"/>
      <c r="M63" s="351"/>
      <c r="N63" s="351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</row>
    <row r="64" spans="1:33" ht="14.5" customHeight="1">
      <c r="A64" s="367" t="s">
        <v>133</v>
      </c>
      <c r="B64" s="367" t="s">
        <v>100</v>
      </c>
      <c r="C64" s="557" t="s">
        <v>101</v>
      </c>
      <c r="D64" s="501"/>
      <c r="E64" s="367"/>
      <c r="F64" s="367"/>
      <c r="G64" s="367"/>
      <c r="H64" s="367"/>
      <c r="I64" s="367"/>
      <c r="J64" s="367"/>
      <c r="K64" s="367"/>
      <c r="L64" s="367"/>
      <c r="M64" s="367"/>
      <c r="N64" s="367"/>
      <c r="O64" s="367"/>
      <c r="P64" s="367"/>
      <c r="Q64" s="367"/>
      <c r="R64" s="367"/>
      <c r="S64" s="367"/>
      <c r="T64" s="367"/>
      <c r="U64" s="367"/>
      <c r="V64" s="367"/>
      <c r="W64" s="367"/>
      <c r="X64" s="367"/>
      <c r="Y64" s="367"/>
      <c r="Z64" s="367"/>
      <c r="AA64" s="367"/>
      <c r="AB64" s="367"/>
      <c r="AC64" s="367"/>
      <c r="AD64" s="367"/>
      <c r="AE64" s="367"/>
      <c r="AF64" s="367"/>
      <c r="AG64" s="368"/>
    </row>
    <row r="65" spans="1:35" ht="14.5" customHeight="1">
      <c r="A65" s="306">
        <v>1</v>
      </c>
      <c r="B65" s="306" t="s">
        <v>129</v>
      </c>
      <c r="C65" s="546" t="s">
        <v>119</v>
      </c>
      <c r="D65" s="501"/>
      <c r="E65" s="363">
        <f t="shared" ref="E65:AF65" si="23">E23-D23</f>
        <v>80</v>
      </c>
      <c r="F65" s="363">
        <f t="shared" si="23"/>
        <v>116</v>
      </c>
      <c r="G65" s="363">
        <f t="shared" si="23"/>
        <v>157</v>
      </c>
      <c r="H65" s="363">
        <f t="shared" si="23"/>
        <v>183</v>
      </c>
      <c r="I65" s="363">
        <f t="shared" si="23"/>
        <v>182</v>
      </c>
      <c r="J65" s="363">
        <f t="shared" si="23"/>
        <v>158</v>
      </c>
      <c r="K65" s="363">
        <f t="shared" si="23"/>
        <v>105</v>
      </c>
      <c r="L65" s="363">
        <f t="shared" si="23"/>
        <v>0</v>
      </c>
      <c r="M65" s="363">
        <f t="shared" si="23"/>
        <v>145</v>
      </c>
      <c r="N65" s="363">
        <f t="shared" si="23"/>
        <v>153</v>
      </c>
      <c r="O65" s="363">
        <f t="shared" si="23"/>
        <v>163</v>
      </c>
      <c r="P65" s="363">
        <f t="shared" si="23"/>
        <v>165</v>
      </c>
      <c r="Q65" s="363">
        <f t="shared" si="23"/>
        <v>151</v>
      </c>
      <c r="R65" s="363">
        <f t="shared" si="23"/>
        <v>34</v>
      </c>
      <c r="S65" s="363">
        <f t="shared" si="23"/>
        <v>0</v>
      </c>
      <c r="T65" s="363">
        <f t="shared" si="23"/>
        <v>126</v>
      </c>
      <c r="U65" s="363">
        <f t="shared" si="23"/>
        <v>153</v>
      </c>
      <c r="V65" s="363">
        <f t="shared" si="23"/>
        <v>131</v>
      </c>
      <c r="W65" s="363">
        <f t="shared" si="23"/>
        <v>132</v>
      </c>
      <c r="X65" s="363">
        <f t="shared" si="23"/>
        <v>161</v>
      </c>
      <c r="Y65" s="363">
        <f t="shared" si="23"/>
        <v>133</v>
      </c>
      <c r="Z65" s="363">
        <f t="shared" si="23"/>
        <v>0</v>
      </c>
      <c r="AA65" s="363">
        <f t="shared" si="23"/>
        <v>149</v>
      </c>
      <c r="AB65" s="363">
        <f t="shared" si="23"/>
        <v>160</v>
      </c>
      <c r="AC65" s="363">
        <f t="shared" si="23"/>
        <v>139</v>
      </c>
      <c r="AD65" s="363">
        <f t="shared" si="23"/>
        <v>136</v>
      </c>
      <c r="AE65" s="363">
        <f t="shared" si="23"/>
        <v>139</v>
      </c>
      <c r="AF65" s="363">
        <f t="shared" si="23"/>
        <v>59</v>
      </c>
      <c r="AG65" s="363">
        <f t="shared" ref="AG65:AG72" si="24">SUM(E65:AF65)</f>
        <v>3410</v>
      </c>
    </row>
    <row r="66" spans="1:35" ht="14.5" customHeight="1">
      <c r="A66" s="306"/>
      <c r="B66" s="306"/>
      <c r="C66" s="554" t="s">
        <v>22</v>
      </c>
      <c r="D66" s="501"/>
      <c r="E66" s="363">
        <f t="shared" ref="E66:AF66" si="25">E24-D24</f>
        <v>0</v>
      </c>
      <c r="F66" s="363">
        <f t="shared" si="25"/>
        <v>0</v>
      </c>
      <c r="G66" s="363">
        <f t="shared" si="25"/>
        <v>0</v>
      </c>
      <c r="H66" s="363">
        <f t="shared" si="25"/>
        <v>0</v>
      </c>
      <c r="I66" s="363">
        <f t="shared" si="25"/>
        <v>0</v>
      </c>
      <c r="J66" s="363">
        <f t="shared" si="25"/>
        <v>0</v>
      </c>
      <c r="K66" s="363">
        <f t="shared" si="25"/>
        <v>0</v>
      </c>
      <c r="L66" s="363">
        <f t="shared" si="25"/>
        <v>0</v>
      </c>
      <c r="M66" s="363">
        <f t="shared" si="25"/>
        <v>0</v>
      </c>
      <c r="N66" s="363">
        <f t="shared" si="25"/>
        <v>0</v>
      </c>
      <c r="O66" s="363">
        <f t="shared" si="25"/>
        <v>0</v>
      </c>
      <c r="P66" s="363">
        <f t="shared" si="25"/>
        <v>0</v>
      </c>
      <c r="Q66" s="363">
        <f t="shared" si="25"/>
        <v>0</v>
      </c>
      <c r="R66" s="363">
        <f t="shared" si="25"/>
        <v>0</v>
      </c>
      <c r="S66" s="363">
        <f t="shared" si="25"/>
        <v>0</v>
      </c>
      <c r="T66" s="363">
        <f t="shared" si="25"/>
        <v>0</v>
      </c>
      <c r="U66" s="363">
        <f t="shared" si="25"/>
        <v>0</v>
      </c>
      <c r="V66" s="363">
        <f t="shared" si="25"/>
        <v>0</v>
      </c>
      <c r="W66" s="363">
        <f t="shared" si="25"/>
        <v>0</v>
      </c>
      <c r="X66" s="363">
        <f t="shared" si="25"/>
        <v>0</v>
      </c>
      <c r="Y66" s="363">
        <f t="shared" si="25"/>
        <v>0</v>
      </c>
      <c r="Z66" s="363">
        <f t="shared" si="25"/>
        <v>0</v>
      </c>
      <c r="AA66" s="363">
        <f t="shared" si="25"/>
        <v>0</v>
      </c>
      <c r="AB66" s="363">
        <f t="shared" si="25"/>
        <v>0</v>
      </c>
      <c r="AC66" s="363">
        <f t="shared" si="25"/>
        <v>0</v>
      </c>
      <c r="AD66" s="363">
        <f t="shared" si="25"/>
        <v>0</v>
      </c>
      <c r="AE66" s="363">
        <f t="shared" si="25"/>
        <v>0</v>
      </c>
      <c r="AF66" s="363">
        <f t="shared" si="25"/>
        <v>0</v>
      </c>
      <c r="AG66" s="363">
        <f t="shared" si="24"/>
        <v>0</v>
      </c>
    </row>
    <row r="67" spans="1:35" ht="14.5" customHeight="1">
      <c r="A67" s="306">
        <v>2</v>
      </c>
      <c r="B67" s="306" t="s">
        <v>129</v>
      </c>
      <c r="C67" s="546" t="s">
        <v>120</v>
      </c>
      <c r="D67" s="501"/>
      <c r="E67" s="363">
        <f t="shared" ref="E67:AF67" si="26">E25-D25</f>
        <v>82</v>
      </c>
      <c r="F67" s="363">
        <f t="shared" si="26"/>
        <v>124</v>
      </c>
      <c r="G67" s="363">
        <f t="shared" si="26"/>
        <v>129</v>
      </c>
      <c r="H67" s="363">
        <f t="shared" si="26"/>
        <v>121</v>
      </c>
      <c r="I67" s="363">
        <f t="shared" si="26"/>
        <v>140</v>
      </c>
      <c r="J67" s="363">
        <f t="shared" si="26"/>
        <v>119</v>
      </c>
      <c r="K67" s="363">
        <f t="shared" si="26"/>
        <v>93</v>
      </c>
      <c r="L67" s="363">
        <f t="shared" si="26"/>
        <v>0</v>
      </c>
      <c r="M67" s="363">
        <f t="shared" si="26"/>
        <v>158</v>
      </c>
      <c r="N67" s="363">
        <f t="shared" si="26"/>
        <v>138</v>
      </c>
      <c r="O67" s="363">
        <f t="shared" si="26"/>
        <v>142</v>
      </c>
      <c r="P67" s="363">
        <f t="shared" si="26"/>
        <v>151</v>
      </c>
      <c r="Q67" s="363">
        <f t="shared" si="26"/>
        <v>154</v>
      </c>
      <c r="R67" s="363">
        <f t="shared" si="26"/>
        <v>40</v>
      </c>
      <c r="S67" s="363">
        <f t="shared" si="26"/>
        <v>0</v>
      </c>
      <c r="T67" s="363">
        <f t="shared" si="26"/>
        <v>164</v>
      </c>
      <c r="U67" s="363">
        <f t="shared" si="26"/>
        <v>189</v>
      </c>
      <c r="V67" s="363">
        <f t="shared" si="26"/>
        <v>156</v>
      </c>
      <c r="W67" s="363">
        <f t="shared" si="26"/>
        <v>139</v>
      </c>
      <c r="X67" s="363">
        <f t="shared" si="26"/>
        <v>116</v>
      </c>
      <c r="Y67" s="363">
        <f t="shared" si="26"/>
        <v>88</v>
      </c>
      <c r="Z67" s="363">
        <f t="shared" si="26"/>
        <v>11</v>
      </c>
      <c r="AA67" s="363">
        <f t="shared" si="26"/>
        <v>101</v>
      </c>
      <c r="AB67" s="363">
        <f t="shared" si="26"/>
        <v>79</v>
      </c>
      <c r="AC67" s="363">
        <f t="shared" si="26"/>
        <v>70</v>
      </c>
      <c r="AD67" s="363">
        <f t="shared" si="26"/>
        <v>73</v>
      </c>
      <c r="AE67" s="363">
        <f t="shared" si="26"/>
        <v>88</v>
      </c>
      <c r="AF67" s="363">
        <f t="shared" si="26"/>
        <v>23</v>
      </c>
      <c r="AG67" s="363">
        <f t="shared" si="24"/>
        <v>2888</v>
      </c>
    </row>
    <row r="68" spans="1:35" ht="13" customHeight="1">
      <c r="A68" s="306"/>
      <c r="B68" s="306"/>
      <c r="C68" s="554" t="s">
        <v>22</v>
      </c>
      <c r="D68" s="501"/>
      <c r="E68" s="363">
        <f t="shared" ref="E68:AF68" si="27">E26-D26</f>
        <v>0</v>
      </c>
      <c r="F68" s="363">
        <f t="shared" si="27"/>
        <v>0</v>
      </c>
      <c r="G68" s="363">
        <f t="shared" si="27"/>
        <v>0</v>
      </c>
      <c r="H68" s="363">
        <f t="shared" si="27"/>
        <v>0</v>
      </c>
      <c r="I68" s="363">
        <f t="shared" si="27"/>
        <v>0</v>
      </c>
      <c r="J68" s="363">
        <f t="shared" si="27"/>
        <v>0</v>
      </c>
      <c r="K68" s="363">
        <f t="shared" si="27"/>
        <v>0</v>
      </c>
      <c r="L68" s="363">
        <f t="shared" si="27"/>
        <v>0</v>
      </c>
      <c r="M68" s="363">
        <f t="shared" si="27"/>
        <v>0</v>
      </c>
      <c r="N68" s="363">
        <f t="shared" si="27"/>
        <v>0</v>
      </c>
      <c r="O68" s="363">
        <f t="shared" si="27"/>
        <v>0</v>
      </c>
      <c r="P68" s="363">
        <f t="shared" si="27"/>
        <v>0</v>
      </c>
      <c r="Q68" s="363">
        <f t="shared" si="27"/>
        <v>0</v>
      </c>
      <c r="R68" s="363">
        <f t="shared" si="27"/>
        <v>0</v>
      </c>
      <c r="S68" s="363">
        <f t="shared" si="27"/>
        <v>0</v>
      </c>
      <c r="T68" s="363">
        <f t="shared" si="27"/>
        <v>0</v>
      </c>
      <c r="U68" s="363">
        <f t="shared" si="27"/>
        <v>0</v>
      </c>
      <c r="V68" s="363">
        <f t="shared" si="27"/>
        <v>0</v>
      </c>
      <c r="W68" s="363">
        <f t="shared" si="27"/>
        <v>0</v>
      </c>
      <c r="X68" s="363">
        <f t="shared" si="27"/>
        <v>0</v>
      </c>
      <c r="Y68" s="363">
        <f t="shared" si="27"/>
        <v>0</v>
      </c>
      <c r="Z68" s="363">
        <f t="shared" si="27"/>
        <v>0</v>
      </c>
      <c r="AA68" s="363">
        <f t="shared" si="27"/>
        <v>0</v>
      </c>
      <c r="AB68" s="363">
        <f t="shared" si="27"/>
        <v>0</v>
      </c>
      <c r="AC68" s="363">
        <f t="shared" si="27"/>
        <v>0</v>
      </c>
      <c r="AD68" s="363">
        <f t="shared" si="27"/>
        <v>0</v>
      </c>
      <c r="AE68" s="363">
        <f t="shared" si="27"/>
        <v>0</v>
      </c>
      <c r="AF68" s="363">
        <f t="shared" si="27"/>
        <v>0</v>
      </c>
      <c r="AG68" s="363">
        <f t="shared" si="24"/>
        <v>0</v>
      </c>
      <c r="AH68" s="115" t="s">
        <v>20</v>
      </c>
      <c r="AI68" s="116">
        <f>AG60</f>
        <v>52213</v>
      </c>
    </row>
    <row r="69" spans="1:35" ht="13" customHeight="1">
      <c r="A69" s="306">
        <v>3</v>
      </c>
      <c r="B69" s="306" t="s">
        <v>129</v>
      </c>
      <c r="C69" s="546" t="s">
        <v>121</v>
      </c>
      <c r="D69" s="501"/>
      <c r="E69" s="363">
        <f t="shared" ref="E69:AF69" si="28">E27-D27</f>
        <v>56</v>
      </c>
      <c r="F69" s="363">
        <f t="shared" si="28"/>
        <v>113</v>
      </c>
      <c r="G69" s="363">
        <f t="shared" si="28"/>
        <v>117</v>
      </c>
      <c r="H69" s="363">
        <f t="shared" si="28"/>
        <v>115</v>
      </c>
      <c r="I69" s="363">
        <f t="shared" si="28"/>
        <v>124</v>
      </c>
      <c r="J69" s="363">
        <f t="shared" si="28"/>
        <v>88</v>
      </c>
      <c r="K69" s="363">
        <f t="shared" si="28"/>
        <v>81</v>
      </c>
      <c r="L69" s="363">
        <f t="shared" si="28"/>
        <v>0</v>
      </c>
      <c r="M69" s="363">
        <f t="shared" si="28"/>
        <v>118</v>
      </c>
      <c r="N69" s="363">
        <f t="shared" si="28"/>
        <v>106</v>
      </c>
      <c r="O69" s="363">
        <f t="shared" si="28"/>
        <v>99</v>
      </c>
      <c r="P69" s="363">
        <f t="shared" si="28"/>
        <v>113</v>
      </c>
      <c r="Q69" s="363">
        <f t="shared" si="28"/>
        <v>129</v>
      </c>
      <c r="R69" s="363">
        <f t="shared" si="28"/>
        <v>1</v>
      </c>
      <c r="S69" s="363">
        <f t="shared" si="28"/>
        <v>0</v>
      </c>
      <c r="T69" s="363">
        <f t="shared" si="28"/>
        <v>154</v>
      </c>
      <c r="U69" s="363">
        <f t="shared" si="28"/>
        <v>144</v>
      </c>
      <c r="V69" s="363">
        <f t="shared" si="28"/>
        <v>111</v>
      </c>
      <c r="W69" s="363">
        <f t="shared" si="28"/>
        <v>126</v>
      </c>
      <c r="X69" s="363">
        <f t="shared" si="28"/>
        <v>125</v>
      </c>
      <c r="Y69" s="363">
        <f t="shared" si="28"/>
        <v>107</v>
      </c>
      <c r="Z69" s="363">
        <f t="shared" si="28"/>
        <v>1</v>
      </c>
      <c r="AA69" s="363">
        <f t="shared" si="28"/>
        <v>90</v>
      </c>
      <c r="AB69" s="363">
        <f t="shared" si="28"/>
        <v>109</v>
      </c>
      <c r="AC69" s="363">
        <f t="shared" si="28"/>
        <v>93</v>
      </c>
      <c r="AD69" s="363">
        <f t="shared" si="28"/>
        <v>112</v>
      </c>
      <c r="AE69" s="363">
        <f t="shared" si="28"/>
        <v>102</v>
      </c>
      <c r="AF69" s="363">
        <f t="shared" si="28"/>
        <v>14</v>
      </c>
      <c r="AG69" s="363">
        <f t="shared" si="24"/>
        <v>2548</v>
      </c>
      <c r="AH69" s="115" t="s">
        <v>21</v>
      </c>
      <c r="AI69" s="116">
        <f>AG73</f>
        <v>10717</v>
      </c>
    </row>
    <row r="70" spans="1:35" ht="13" customHeight="1">
      <c r="A70" s="306"/>
      <c r="B70" s="306"/>
      <c r="C70" s="554" t="s">
        <v>22</v>
      </c>
      <c r="D70" s="501"/>
      <c r="E70" s="363">
        <f t="shared" ref="E70:AF70" si="29">E28-D28</f>
        <v>0</v>
      </c>
      <c r="F70" s="363">
        <f t="shared" si="29"/>
        <v>0</v>
      </c>
      <c r="G70" s="363">
        <f t="shared" si="29"/>
        <v>0</v>
      </c>
      <c r="H70" s="363">
        <f t="shared" si="29"/>
        <v>0</v>
      </c>
      <c r="I70" s="363">
        <f t="shared" si="29"/>
        <v>0</v>
      </c>
      <c r="J70" s="363">
        <f t="shared" si="29"/>
        <v>0</v>
      </c>
      <c r="K70" s="363">
        <f t="shared" si="29"/>
        <v>0</v>
      </c>
      <c r="L70" s="363">
        <f t="shared" si="29"/>
        <v>0</v>
      </c>
      <c r="M70" s="363">
        <f t="shared" si="29"/>
        <v>0</v>
      </c>
      <c r="N70" s="363">
        <f t="shared" si="29"/>
        <v>0</v>
      </c>
      <c r="O70" s="363">
        <f t="shared" si="29"/>
        <v>0</v>
      </c>
      <c r="P70" s="363">
        <f t="shared" si="29"/>
        <v>0</v>
      </c>
      <c r="Q70" s="363">
        <f t="shared" si="29"/>
        <v>0</v>
      </c>
      <c r="R70" s="363">
        <f t="shared" si="29"/>
        <v>0</v>
      </c>
      <c r="S70" s="363">
        <f t="shared" si="29"/>
        <v>0</v>
      </c>
      <c r="T70" s="363">
        <f t="shared" si="29"/>
        <v>0</v>
      </c>
      <c r="U70" s="363">
        <f t="shared" si="29"/>
        <v>0</v>
      </c>
      <c r="V70" s="363">
        <f t="shared" si="29"/>
        <v>0</v>
      </c>
      <c r="W70" s="363">
        <f t="shared" si="29"/>
        <v>0</v>
      </c>
      <c r="X70" s="363">
        <f t="shared" si="29"/>
        <v>0</v>
      </c>
      <c r="Y70" s="363">
        <f t="shared" si="29"/>
        <v>0</v>
      </c>
      <c r="Z70" s="363">
        <f t="shared" si="29"/>
        <v>0</v>
      </c>
      <c r="AA70" s="363">
        <f t="shared" si="29"/>
        <v>0</v>
      </c>
      <c r="AB70" s="363">
        <f t="shared" si="29"/>
        <v>0</v>
      </c>
      <c r="AC70" s="363">
        <f t="shared" si="29"/>
        <v>0</v>
      </c>
      <c r="AD70" s="363">
        <f t="shared" si="29"/>
        <v>0</v>
      </c>
      <c r="AE70" s="363">
        <f t="shared" si="29"/>
        <v>0</v>
      </c>
      <c r="AF70" s="363">
        <f t="shared" si="29"/>
        <v>0</v>
      </c>
      <c r="AG70" s="363">
        <f t="shared" si="24"/>
        <v>0</v>
      </c>
      <c r="AH70" s="115" t="s">
        <v>23</v>
      </c>
      <c r="AI70" s="116">
        <f>AG79*40%</f>
        <v>14875.2</v>
      </c>
    </row>
    <row r="71" spans="1:35" ht="13" customHeight="1">
      <c r="A71" s="306">
        <v>4</v>
      </c>
      <c r="B71" s="306" t="s">
        <v>129</v>
      </c>
      <c r="C71" s="546" t="s">
        <v>122</v>
      </c>
      <c r="D71" s="501"/>
      <c r="E71" s="363">
        <f t="shared" ref="E71:AF71" si="30">E29-D29</f>
        <v>55</v>
      </c>
      <c r="F71" s="363">
        <f t="shared" si="30"/>
        <v>41</v>
      </c>
      <c r="G71" s="363">
        <f t="shared" si="30"/>
        <v>98</v>
      </c>
      <c r="H71" s="363">
        <f t="shared" si="30"/>
        <v>107</v>
      </c>
      <c r="I71" s="363">
        <f t="shared" si="30"/>
        <v>111</v>
      </c>
      <c r="J71" s="363">
        <f t="shared" si="30"/>
        <v>43</v>
      </c>
      <c r="K71" s="363">
        <f t="shared" si="30"/>
        <v>49</v>
      </c>
      <c r="L71" s="363">
        <f t="shared" si="30"/>
        <v>0</v>
      </c>
      <c r="M71" s="363">
        <f t="shared" si="30"/>
        <v>89</v>
      </c>
      <c r="N71" s="363">
        <f t="shared" si="30"/>
        <v>106</v>
      </c>
      <c r="O71" s="363">
        <f t="shared" si="30"/>
        <v>108</v>
      </c>
      <c r="P71" s="363">
        <f t="shared" si="30"/>
        <v>97</v>
      </c>
      <c r="Q71" s="363">
        <f t="shared" si="30"/>
        <v>100</v>
      </c>
      <c r="R71" s="363">
        <f t="shared" si="30"/>
        <v>0</v>
      </c>
      <c r="S71" s="363">
        <f t="shared" si="30"/>
        <v>0</v>
      </c>
      <c r="T71" s="363">
        <f t="shared" si="30"/>
        <v>117</v>
      </c>
      <c r="U71" s="363">
        <f t="shared" si="30"/>
        <v>141</v>
      </c>
      <c r="V71" s="363">
        <f t="shared" si="30"/>
        <v>142</v>
      </c>
      <c r="W71" s="363">
        <f t="shared" si="30"/>
        <v>106</v>
      </c>
      <c r="X71" s="363">
        <f t="shared" si="30"/>
        <v>113</v>
      </c>
      <c r="Y71" s="363">
        <f t="shared" si="30"/>
        <v>34</v>
      </c>
      <c r="Z71" s="363">
        <f t="shared" si="30"/>
        <v>0</v>
      </c>
      <c r="AA71" s="363">
        <f t="shared" si="30"/>
        <v>39</v>
      </c>
      <c r="AB71" s="363">
        <f t="shared" si="30"/>
        <v>50</v>
      </c>
      <c r="AC71" s="363">
        <f t="shared" si="30"/>
        <v>37</v>
      </c>
      <c r="AD71" s="363">
        <f t="shared" si="30"/>
        <v>41</v>
      </c>
      <c r="AE71" s="363">
        <f t="shared" si="30"/>
        <v>40</v>
      </c>
      <c r="AF71" s="363">
        <f t="shared" si="30"/>
        <v>7</v>
      </c>
      <c r="AG71" s="363">
        <f t="shared" si="24"/>
        <v>1871</v>
      </c>
      <c r="AH71" s="117" t="s">
        <v>22</v>
      </c>
      <c r="AI71" s="118">
        <f>AG74+AG61</f>
        <v>0</v>
      </c>
    </row>
    <row r="72" spans="1:35" ht="14.5" customHeight="1">
      <c r="A72" s="306"/>
      <c r="B72" s="306"/>
      <c r="C72" s="554" t="s">
        <v>22</v>
      </c>
      <c r="D72" s="501"/>
      <c r="E72" s="363">
        <f t="shared" ref="E72:AF72" si="31">E30-D30</f>
        <v>0</v>
      </c>
      <c r="F72" s="363">
        <f t="shared" si="31"/>
        <v>0</v>
      </c>
      <c r="G72" s="363">
        <f t="shared" si="31"/>
        <v>0</v>
      </c>
      <c r="H72" s="363">
        <f t="shared" si="31"/>
        <v>0</v>
      </c>
      <c r="I72" s="363">
        <f t="shared" si="31"/>
        <v>0</v>
      </c>
      <c r="J72" s="363">
        <f t="shared" si="31"/>
        <v>0</v>
      </c>
      <c r="K72" s="363">
        <f t="shared" si="31"/>
        <v>0</v>
      </c>
      <c r="L72" s="363">
        <f t="shared" si="31"/>
        <v>0</v>
      </c>
      <c r="M72" s="363">
        <f t="shared" si="31"/>
        <v>0</v>
      </c>
      <c r="N72" s="363">
        <f t="shared" si="31"/>
        <v>0</v>
      </c>
      <c r="O72" s="363">
        <f t="shared" si="31"/>
        <v>0</v>
      </c>
      <c r="P72" s="363">
        <f t="shared" si="31"/>
        <v>0</v>
      </c>
      <c r="Q72" s="363">
        <f t="shared" si="31"/>
        <v>0</v>
      </c>
      <c r="R72" s="363">
        <f t="shared" si="31"/>
        <v>0</v>
      </c>
      <c r="S72" s="363">
        <f t="shared" si="31"/>
        <v>0</v>
      </c>
      <c r="T72" s="363">
        <f t="shared" si="31"/>
        <v>0</v>
      </c>
      <c r="U72" s="363">
        <f t="shared" si="31"/>
        <v>0</v>
      </c>
      <c r="V72" s="363">
        <f t="shared" si="31"/>
        <v>0</v>
      </c>
      <c r="W72" s="363">
        <f t="shared" si="31"/>
        <v>0</v>
      </c>
      <c r="X72" s="363">
        <f t="shared" si="31"/>
        <v>0</v>
      </c>
      <c r="Y72" s="363">
        <f t="shared" si="31"/>
        <v>0</v>
      </c>
      <c r="Z72" s="363">
        <f t="shared" si="31"/>
        <v>0</v>
      </c>
      <c r="AA72" s="363">
        <f t="shared" si="31"/>
        <v>0</v>
      </c>
      <c r="AB72" s="363">
        <f t="shared" si="31"/>
        <v>0</v>
      </c>
      <c r="AC72" s="363">
        <f t="shared" si="31"/>
        <v>0</v>
      </c>
      <c r="AD72" s="363">
        <f t="shared" si="31"/>
        <v>0</v>
      </c>
      <c r="AE72" s="363">
        <f t="shared" si="31"/>
        <v>0</v>
      </c>
      <c r="AF72" s="363">
        <f t="shared" si="31"/>
        <v>0</v>
      </c>
      <c r="AG72" s="363">
        <f t="shared" si="24"/>
        <v>0</v>
      </c>
    </row>
    <row r="73" spans="1:35" ht="14.5" customHeight="1">
      <c r="A73" s="357"/>
      <c r="B73" s="357"/>
      <c r="C73" s="553" t="s">
        <v>134</v>
      </c>
      <c r="D73" s="501"/>
      <c r="E73" s="358">
        <f t="shared" ref="E73:AG73" si="32">SUM(E65,E67,E69,E71)</f>
        <v>273</v>
      </c>
      <c r="F73" s="358">
        <f t="shared" si="32"/>
        <v>394</v>
      </c>
      <c r="G73" s="358">
        <f t="shared" si="32"/>
        <v>501</v>
      </c>
      <c r="H73" s="358">
        <f t="shared" si="32"/>
        <v>526</v>
      </c>
      <c r="I73" s="358">
        <f t="shared" si="32"/>
        <v>557</v>
      </c>
      <c r="J73" s="358">
        <f t="shared" si="32"/>
        <v>408</v>
      </c>
      <c r="K73" s="358">
        <f t="shared" si="32"/>
        <v>328</v>
      </c>
      <c r="L73" s="358">
        <f t="shared" si="32"/>
        <v>0</v>
      </c>
      <c r="M73" s="358">
        <f t="shared" si="32"/>
        <v>510</v>
      </c>
      <c r="N73" s="358">
        <f t="shared" si="32"/>
        <v>503</v>
      </c>
      <c r="O73" s="358">
        <f t="shared" si="32"/>
        <v>512</v>
      </c>
      <c r="P73" s="358">
        <f t="shared" si="32"/>
        <v>526</v>
      </c>
      <c r="Q73" s="358">
        <f t="shared" si="32"/>
        <v>534</v>
      </c>
      <c r="R73" s="358">
        <f t="shared" si="32"/>
        <v>75</v>
      </c>
      <c r="S73" s="358">
        <f t="shared" si="32"/>
        <v>0</v>
      </c>
      <c r="T73" s="358">
        <f t="shared" si="32"/>
        <v>561</v>
      </c>
      <c r="U73" s="358">
        <f t="shared" si="32"/>
        <v>627</v>
      </c>
      <c r="V73" s="358">
        <f t="shared" si="32"/>
        <v>540</v>
      </c>
      <c r="W73" s="358">
        <f t="shared" si="32"/>
        <v>503</v>
      </c>
      <c r="X73" s="358">
        <f t="shared" si="32"/>
        <v>515</v>
      </c>
      <c r="Y73" s="358">
        <f t="shared" si="32"/>
        <v>362</v>
      </c>
      <c r="Z73" s="358">
        <f t="shared" si="32"/>
        <v>12</v>
      </c>
      <c r="AA73" s="358">
        <f t="shared" si="32"/>
        <v>379</v>
      </c>
      <c r="AB73" s="358">
        <f t="shared" si="32"/>
        <v>398</v>
      </c>
      <c r="AC73" s="358">
        <f t="shared" si="32"/>
        <v>339</v>
      </c>
      <c r="AD73" s="358">
        <f t="shared" si="32"/>
        <v>362</v>
      </c>
      <c r="AE73" s="358">
        <f t="shared" si="32"/>
        <v>369</v>
      </c>
      <c r="AF73" s="358">
        <f t="shared" si="32"/>
        <v>103</v>
      </c>
      <c r="AG73" s="358">
        <f t="shared" si="32"/>
        <v>10717</v>
      </c>
    </row>
    <row r="74" spans="1:35" ht="14.5" customHeight="1">
      <c r="A74" s="357"/>
      <c r="B74" s="357"/>
      <c r="C74" s="556" t="s">
        <v>135</v>
      </c>
      <c r="D74" s="501"/>
      <c r="E74" s="358">
        <f t="shared" ref="E74:AG74" si="33">SUM(E66,E68,E70,E72)</f>
        <v>0</v>
      </c>
      <c r="F74" s="358">
        <f t="shared" si="33"/>
        <v>0</v>
      </c>
      <c r="G74" s="358">
        <f t="shared" si="33"/>
        <v>0</v>
      </c>
      <c r="H74" s="358">
        <f t="shared" si="33"/>
        <v>0</v>
      </c>
      <c r="I74" s="358">
        <f t="shared" si="33"/>
        <v>0</v>
      </c>
      <c r="J74" s="358">
        <f t="shared" si="33"/>
        <v>0</v>
      </c>
      <c r="K74" s="358">
        <f t="shared" si="33"/>
        <v>0</v>
      </c>
      <c r="L74" s="358">
        <f t="shared" si="33"/>
        <v>0</v>
      </c>
      <c r="M74" s="358">
        <f t="shared" si="33"/>
        <v>0</v>
      </c>
      <c r="N74" s="358">
        <f t="shared" si="33"/>
        <v>0</v>
      </c>
      <c r="O74" s="358">
        <f t="shared" si="33"/>
        <v>0</v>
      </c>
      <c r="P74" s="358">
        <f t="shared" si="33"/>
        <v>0</v>
      </c>
      <c r="Q74" s="358">
        <f t="shared" si="33"/>
        <v>0</v>
      </c>
      <c r="R74" s="358">
        <f t="shared" si="33"/>
        <v>0</v>
      </c>
      <c r="S74" s="358">
        <f t="shared" si="33"/>
        <v>0</v>
      </c>
      <c r="T74" s="358">
        <f t="shared" si="33"/>
        <v>0</v>
      </c>
      <c r="U74" s="358">
        <f t="shared" si="33"/>
        <v>0</v>
      </c>
      <c r="V74" s="358">
        <f t="shared" si="33"/>
        <v>0</v>
      </c>
      <c r="W74" s="358">
        <f t="shared" si="33"/>
        <v>0</v>
      </c>
      <c r="X74" s="358">
        <f t="shared" si="33"/>
        <v>0</v>
      </c>
      <c r="Y74" s="358">
        <f t="shared" si="33"/>
        <v>0</v>
      </c>
      <c r="Z74" s="358">
        <f t="shared" si="33"/>
        <v>0</v>
      </c>
      <c r="AA74" s="358">
        <f t="shared" si="33"/>
        <v>0</v>
      </c>
      <c r="AB74" s="358">
        <f t="shared" si="33"/>
        <v>0</v>
      </c>
      <c r="AC74" s="358">
        <f t="shared" si="33"/>
        <v>0</v>
      </c>
      <c r="AD74" s="358">
        <f t="shared" si="33"/>
        <v>0</v>
      </c>
      <c r="AE74" s="358">
        <f t="shared" si="33"/>
        <v>0</v>
      </c>
      <c r="AF74" s="358">
        <f t="shared" si="33"/>
        <v>0</v>
      </c>
      <c r="AG74" s="358">
        <f t="shared" si="33"/>
        <v>0</v>
      </c>
    </row>
    <row r="75" spans="1:35" ht="14.5" customHeight="1">
      <c r="A75" s="306">
        <v>1</v>
      </c>
      <c r="B75" s="306" t="s">
        <v>129</v>
      </c>
      <c r="C75" s="544" t="s">
        <v>123</v>
      </c>
      <c r="D75" s="501"/>
      <c r="E75" s="363">
        <f t="shared" ref="E75:AF75" si="34">E32-D32</f>
        <v>194</v>
      </c>
      <c r="F75" s="363">
        <f t="shared" si="34"/>
        <v>251</v>
      </c>
      <c r="G75" s="363">
        <f t="shared" si="34"/>
        <v>392</v>
      </c>
      <c r="H75" s="363">
        <f t="shared" si="34"/>
        <v>266</v>
      </c>
      <c r="I75" s="363">
        <f t="shared" si="34"/>
        <v>308</v>
      </c>
      <c r="J75" s="363">
        <f t="shared" si="34"/>
        <v>384</v>
      </c>
      <c r="K75" s="363">
        <f t="shared" si="34"/>
        <v>252</v>
      </c>
      <c r="L75" s="363">
        <f t="shared" si="34"/>
        <v>2</v>
      </c>
      <c r="M75" s="363">
        <f t="shared" si="34"/>
        <v>387</v>
      </c>
      <c r="N75" s="363">
        <f t="shared" si="34"/>
        <v>404</v>
      </c>
      <c r="O75" s="363">
        <f t="shared" si="34"/>
        <v>471</v>
      </c>
      <c r="P75" s="363">
        <f t="shared" si="34"/>
        <v>459</v>
      </c>
      <c r="Q75" s="363">
        <f t="shared" si="34"/>
        <v>435</v>
      </c>
      <c r="R75" s="363">
        <f t="shared" si="34"/>
        <v>76</v>
      </c>
      <c r="S75" s="363">
        <f t="shared" si="34"/>
        <v>0</v>
      </c>
      <c r="T75" s="363">
        <f t="shared" si="34"/>
        <v>415</v>
      </c>
      <c r="U75" s="363">
        <f t="shared" si="34"/>
        <v>488</v>
      </c>
      <c r="V75" s="363">
        <f t="shared" si="34"/>
        <v>458</v>
      </c>
      <c r="W75" s="363">
        <f t="shared" si="34"/>
        <v>351</v>
      </c>
      <c r="X75" s="363">
        <f t="shared" si="34"/>
        <v>381</v>
      </c>
      <c r="Y75" s="363">
        <f t="shared" si="34"/>
        <v>284</v>
      </c>
      <c r="Z75" s="363">
        <f t="shared" si="34"/>
        <v>0</v>
      </c>
      <c r="AA75" s="363">
        <f t="shared" si="34"/>
        <v>460</v>
      </c>
      <c r="AB75" s="363">
        <f t="shared" si="34"/>
        <v>572</v>
      </c>
      <c r="AC75" s="363">
        <f t="shared" si="34"/>
        <v>451</v>
      </c>
      <c r="AD75" s="363">
        <f t="shared" si="34"/>
        <v>368</v>
      </c>
      <c r="AE75" s="363">
        <f t="shared" si="34"/>
        <v>415</v>
      </c>
      <c r="AF75" s="363">
        <f t="shared" si="34"/>
        <v>231</v>
      </c>
      <c r="AG75" s="363">
        <f>SUM(E75:AF75)</f>
        <v>9155</v>
      </c>
    </row>
    <row r="76" spans="1:35" ht="14.5" customHeight="1">
      <c r="A76" s="306">
        <v>2</v>
      </c>
      <c r="B76" s="306" t="s">
        <v>129</v>
      </c>
      <c r="C76" s="544" t="s">
        <v>124</v>
      </c>
      <c r="D76" s="501"/>
      <c r="E76" s="363">
        <f t="shared" ref="E76:AF76" si="35">E33-D33</f>
        <v>178</v>
      </c>
      <c r="F76" s="363">
        <f t="shared" si="35"/>
        <v>280</v>
      </c>
      <c r="G76" s="363">
        <f t="shared" si="35"/>
        <v>341</v>
      </c>
      <c r="H76" s="363">
        <f t="shared" si="35"/>
        <v>307</v>
      </c>
      <c r="I76" s="363">
        <f t="shared" si="35"/>
        <v>302</v>
      </c>
      <c r="J76" s="363">
        <f t="shared" si="35"/>
        <v>329</v>
      </c>
      <c r="K76" s="363">
        <f t="shared" si="35"/>
        <v>204</v>
      </c>
      <c r="L76" s="363">
        <f t="shared" si="35"/>
        <v>0</v>
      </c>
      <c r="M76" s="363">
        <f t="shared" si="35"/>
        <v>441</v>
      </c>
      <c r="N76" s="363">
        <f t="shared" si="35"/>
        <v>400</v>
      </c>
      <c r="O76" s="363">
        <f t="shared" si="35"/>
        <v>313</v>
      </c>
      <c r="P76" s="363">
        <f t="shared" si="35"/>
        <v>339</v>
      </c>
      <c r="Q76" s="363">
        <f t="shared" si="35"/>
        <v>375</v>
      </c>
      <c r="R76" s="363">
        <f t="shared" si="35"/>
        <v>118</v>
      </c>
      <c r="S76" s="363">
        <f t="shared" si="35"/>
        <v>300</v>
      </c>
      <c r="T76" s="363">
        <f t="shared" si="35"/>
        <v>183</v>
      </c>
      <c r="U76" s="363">
        <f t="shared" si="35"/>
        <v>471</v>
      </c>
      <c r="V76" s="363">
        <f t="shared" si="35"/>
        <v>467</v>
      </c>
      <c r="W76" s="363">
        <f t="shared" si="35"/>
        <v>407</v>
      </c>
      <c r="X76" s="363">
        <f t="shared" si="35"/>
        <v>354</v>
      </c>
      <c r="Y76" s="363">
        <f t="shared" si="35"/>
        <v>291</v>
      </c>
      <c r="Z76" s="363">
        <f t="shared" si="35"/>
        <v>20</v>
      </c>
      <c r="AA76" s="363">
        <f t="shared" si="35"/>
        <v>507</v>
      </c>
      <c r="AB76" s="363">
        <f t="shared" si="35"/>
        <v>488</v>
      </c>
      <c r="AC76" s="363">
        <f t="shared" si="35"/>
        <v>385</v>
      </c>
      <c r="AD76" s="363">
        <f t="shared" si="35"/>
        <v>362</v>
      </c>
      <c r="AE76" s="363">
        <f t="shared" si="35"/>
        <v>350</v>
      </c>
      <c r="AF76" s="363">
        <f t="shared" si="35"/>
        <v>112</v>
      </c>
      <c r="AG76" s="363">
        <f>SUM(E76:AF76)</f>
        <v>8624</v>
      </c>
    </row>
    <row r="77" spans="1:35" ht="14.5" customHeight="1">
      <c r="A77" s="306">
        <v>3</v>
      </c>
      <c r="B77" s="306" t="s">
        <v>129</v>
      </c>
      <c r="C77" s="544" t="s">
        <v>125</v>
      </c>
      <c r="D77" s="501"/>
      <c r="E77" s="363">
        <f t="shared" ref="E77:AF77" si="36">E34-D34</f>
        <v>159</v>
      </c>
      <c r="F77" s="363">
        <f t="shared" si="36"/>
        <v>195</v>
      </c>
      <c r="G77" s="363">
        <f t="shared" si="36"/>
        <v>289</v>
      </c>
      <c r="H77" s="363">
        <f t="shared" si="36"/>
        <v>285</v>
      </c>
      <c r="I77" s="363">
        <f t="shared" si="36"/>
        <v>306</v>
      </c>
      <c r="J77" s="363">
        <f t="shared" si="36"/>
        <v>251</v>
      </c>
      <c r="K77" s="363">
        <f t="shared" si="36"/>
        <v>133</v>
      </c>
      <c r="L77" s="363">
        <f t="shared" si="36"/>
        <v>0</v>
      </c>
      <c r="M77" s="363">
        <f t="shared" si="36"/>
        <v>237</v>
      </c>
      <c r="N77" s="363">
        <f t="shared" si="36"/>
        <v>276</v>
      </c>
      <c r="O77" s="363">
        <f t="shared" si="36"/>
        <v>205</v>
      </c>
      <c r="P77" s="363">
        <f t="shared" si="36"/>
        <v>336</v>
      </c>
      <c r="Q77" s="363">
        <f t="shared" si="36"/>
        <v>341</v>
      </c>
      <c r="R77" s="363">
        <f t="shared" si="36"/>
        <v>1</v>
      </c>
      <c r="S77" s="363">
        <f t="shared" si="36"/>
        <v>0</v>
      </c>
      <c r="T77" s="363">
        <f t="shared" si="36"/>
        <v>426</v>
      </c>
      <c r="U77" s="363">
        <f t="shared" si="36"/>
        <v>376</v>
      </c>
      <c r="V77" s="363">
        <f t="shared" si="36"/>
        <v>441</v>
      </c>
      <c r="W77" s="363">
        <f t="shared" si="36"/>
        <v>252</v>
      </c>
      <c r="X77" s="363">
        <f t="shared" si="36"/>
        <v>376</v>
      </c>
      <c r="Y77" s="363">
        <f t="shared" si="36"/>
        <v>253</v>
      </c>
      <c r="Z77" s="363">
        <f t="shared" si="36"/>
        <v>0</v>
      </c>
      <c r="AA77" s="363">
        <f t="shared" si="36"/>
        <v>423</v>
      </c>
      <c r="AB77" s="363">
        <f t="shared" si="36"/>
        <v>541</v>
      </c>
      <c r="AC77" s="363">
        <f t="shared" si="36"/>
        <v>543</v>
      </c>
      <c r="AD77" s="363">
        <f t="shared" si="36"/>
        <v>385</v>
      </c>
      <c r="AE77" s="363">
        <f t="shared" si="36"/>
        <v>358</v>
      </c>
      <c r="AF77" s="363">
        <f t="shared" si="36"/>
        <v>101</v>
      </c>
      <c r="AG77" s="363">
        <f>SUM(E77:AF77)</f>
        <v>7489</v>
      </c>
    </row>
    <row r="78" spans="1:35" ht="14.5" customHeight="1">
      <c r="A78" s="306">
        <v>4</v>
      </c>
      <c r="B78" s="306" t="s">
        <v>129</v>
      </c>
      <c r="C78" s="544" t="s">
        <v>126</v>
      </c>
      <c r="D78" s="501"/>
      <c r="E78" s="363">
        <f t="shared" ref="E78:AF78" si="37">E35-D35</f>
        <v>296</v>
      </c>
      <c r="F78" s="363">
        <f t="shared" si="37"/>
        <v>459</v>
      </c>
      <c r="G78" s="363">
        <f t="shared" si="37"/>
        <v>512</v>
      </c>
      <c r="H78" s="363">
        <f t="shared" si="37"/>
        <v>496</v>
      </c>
      <c r="I78" s="363">
        <f t="shared" si="37"/>
        <v>548</v>
      </c>
      <c r="J78" s="363">
        <f t="shared" si="37"/>
        <v>574</v>
      </c>
      <c r="K78" s="363">
        <f t="shared" si="37"/>
        <v>303</v>
      </c>
      <c r="L78" s="363">
        <f t="shared" si="37"/>
        <v>35</v>
      </c>
      <c r="M78" s="363">
        <f t="shared" si="37"/>
        <v>614</v>
      </c>
      <c r="N78" s="363">
        <f t="shared" si="37"/>
        <v>576</v>
      </c>
      <c r="O78" s="363">
        <f t="shared" si="37"/>
        <v>572</v>
      </c>
      <c r="P78" s="363">
        <f t="shared" si="37"/>
        <v>329</v>
      </c>
      <c r="Q78" s="363">
        <f t="shared" si="37"/>
        <v>486</v>
      </c>
      <c r="R78" s="363">
        <f t="shared" si="37"/>
        <v>74</v>
      </c>
      <c r="S78" s="363">
        <f t="shared" si="37"/>
        <v>0</v>
      </c>
      <c r="T78" s="363">
        <f t="shared" si="37"/>
        <v>519</v>
      </c>
      <c r="U78" s="363">
        <f t="shared" si="37"/>
        <v>356</v>
      </c>
      <c r="V78" s="363">
        <f t="shared" si="37"/>
        <v>578</v>
      </c>
      <c r="W78" s="363">
        <f t="shared" si="37"/>
        <v>731</v>
      </c>
      <c r="X78" s="363">
        <f t="shared" si="37"/>
        <v>852</v>
      </c>
      <c r="Y78" s="363">
        <f t="shared" si="37"/>
        <v>329</v>
      </c>
      <c r="Z78" s="363">
        <f t="shared" si="37"/>
        <v>35</v>
      </c>
      <c r="AA78" s="363">
        <f t="shared" si="37"/>
        <v>523</v>
      </c>
      <c r="AB78" s="363">
        <f t="shared" si="37"/>
        <v>697</v>
      </c>
      <c r="AC78" s="363">
        <f t="shared" si="37"/>
        <v>545</v>
      </c>
      <c r="AD78" s="363">
        <f t="shared" si="37"/>
        <v>450</v>
      </c>
      <c r="AE78" s="363">
        <f t="shared" si="37"/>
        <v>347</v>
      </c>
      <c r="AF78" s="363">
        <f t="shared" si="37"/>
        <v>84</v>
      </c>
      <c r="AG78" s="363">
        <f>SUM(E78:AF78)</f>
        <v>11920</v>
      </c>
    </row>
    <row r="79" spans="1:35" ht="14.5" customHeight="1">
      <c r="A79" s="357"/>
      <c r="B79" s="357"/>
      <c r="C79" s="553" t="s">
        <v>136</v>
      </c>
      <c r="D79" s="501"/>
      <c r="E79" s="358">
        <f t="shared" ref="E79:AG79" si="38">SUM(E75:E78)</f>
        <v>827</v>
      </c>
      <c r="F79" s="358">
        <f t="shared" si="38"/>
        <v>1185</v>
      </c>
      <c r="G79" s="358">
        <f t="shared" si="38"/>
        <v>1534</v>
      </c>
      <c r="H79" s="358">
        <f t="shared" si="38"/>
        <v>1354</v>
      </c>
      <c r="I79" s="358">
        <f t="shared" si="38"/>
        <v>1464</v>
      </c>
      <c r="J79" s="358">
        <f t="shared" si="38"/>
        <v>1538</v>
      </c>
      <c r="K79" s="358">
        <f t="shared" si="38"/>
        <v>892</v>
      </c>
      <c r="L79" s="358">
        <f t="shared" si="38"/>
        <v>37</v>
      </c>
      <c r="M79" s="358">
        <f t="shared" si="38"/>
        <v>1679</v>
      </c>
      <c r="N79" s="358">
        <f t="shared" si="38"/>
        <v>1656</v>
      </c>
      <c r="O79" s="358">
        <f t="shared" si="38"/>
        <v>1561</v>
      </c>
      <c r="P79" s="358">
        <f t="shared" si="38"/>
        <v>1463</v>
      </c>
      <c r="Q79" s="358">
        <f t="shared" si="38"/>
        <v>1637</v>
      </c>
      <c r="R79" s="358">
        <f t="shared" si="38"/>
        <v>269</v>
      </c>
      <c r="S79" s="358">
        <f t="shared" si="38"/>
        <v>300</v>
      </c>
      <c r="T79" s="358">
        <f t="shared" si="38"/>
        <v>1543</v>
      </c>
      <c r="U79" s="358">
        <f t="shared" si="38"/>
        <v>1691</v>
      </c>
      <c r="V79" s="358">
        <f t="shared" si="38"/>
        <v>1944</v>
      </c>
      <c r="W79" s="358">
        <f t="shared" si="38"/>
        <v>1741</v>
      </c>
      <c r="X79" s="358">
        <f t="shared" si="38"/>
        <v>1963</v>
      </c>
      <c r="Y79" s="358">
        <f t="shared" si="38"/>
        <v>1157</v>
      </c>
      <c r="Z79" s="358">
        <f t="shared" si="38"/>
        <v>55</v>
      </c>
      <c r="AA79" s="358">
        <f t="shared" si="38"/>
        <v>1913</v>
      </c>
      <c r="AB79" s="358">
        <f t="shared" si="38"/>
        <v>2298</v>
      </c>
      <c r="AC79" s="358">
        <f t="shared" si="38"/>
        <v>1924</v>
      </c>
      <c r="AD79" s="358">
        <f t="shared" si="38"/>
        <v>1565</v>
      </c>
      <c r="AE79" s="358">
        <f t="shared" si="38"/>
        <v>1470</v>
      </c>
      <c r="AF79" s="358">
        <f t="shared" si="38"/>
        <v>528</v>
      </c>
      <c r="AG79" s="358">
        <f t="shared" si="38"/>
        <v>37188</v>
      </c>
    </row>
    <row r="83" spans="1:62" ht="14.5" customHeight="1">
      <c r="A83" s="545"/>
      <c r="B83" s="526"/>
      <c r="C83" s="526"/>
      <c r="D83" s="527"/>
      <c r="E83" s="579" t="s">
        <v>160</v>
      </c>
      <c r="F83" s="526"/>
      <c r="G83" s="526"/>
      <c r="H83" s="526"/>
      <c r="I83" s="526"/>
      <c r="J83" s="526"/>
      <c r="K83" s="526"/>
      <c r="L83" s="526"/>
      <c r="M83" s="526"/>
      <c r="N83" s="526"/>
      <c r="O83" s="526"/>
      <c r="P83" s="526"/>
      <c r="Q83" s="526"/>
      <c r="R83" s="526"/>
      <c r="S83" s="526"/>
      <c r="T83" s="526"/>
      <c r="U83" s="526"/>
      <c r="V83" s="526"/>
      <c r="W83" s="526"/>
      <c r="X83" s="526"/>
      <c r="Y83" s="526"/>
      <c r="Z83" s="526"/>
      <c r="AA83" s="526"/>
      <c r="AB83" s="526"/>
      <c r="AC83" s="526"/>
      <c r="AD83" s="526"/>
      <c r="AE83" s="526"/>
      <c r="AF83" s="375"/>
    </row>
    <row r="84" spans="1:62">
      <c r="A84" s="549" t="s">
        <v>99</v>
      </c>
      <c r="B84" s="549" t="s">
        <v>100</v>
      </c>
      <c r="C84" s="550" t="s">
        <v>101</v>
      </c>
      <c r="D84" s="552" t="s">
        <v>102</v>
      </c>
      <c r="E84" s="301">
        <v>46054</v>
      </c>
      <c r="F84" s="301">
        <v>46055</v>
      </c>
      <c r="G84" s="301">
        <v>46056</v>
      </c>
      <c r="H84" s="301">
        <v>46057</v>
      </c>
      <c r="I84" s="301">
        <v>46058</v>
      </c>
      <c r="J84" s="301">
        <v>46059</v>
      </c>
      <c r="K84" s="301">
        <v>46060</v>
      </c>
      <c r="L84" s="301">
        <v>46061</v>
      </c>
      <c r="M84" s="301">
        <v>46062</v>
      </c>
      <c r="N84" s="301">
        <v>46063</v>
      </c>
      <c r="O84" s="301">
        <v>46064</v>
      </c>
      <c r="P84" s="301">
        <v>46065</v>
      </c>
      <c r="Q84" s="301">
        <v>46066</v>
      </c>
      <c r="R84" s="301">
        <v>46067</v>
      </c>
      <c r="S84" s="301">
        <v>46068</v>
      </c>
      <c r="T84" s="301">
        <v>46069</v>
      </c>
      <c r="U84" s="301">
        <v>46070</v>
      </c>
      <c r="V84" s="301">
        <v>46071</v>
      </c>
      <c r="W84" s="301">
        <v>46072</v>
      </c>
      <c r="X84" s="301">
        <v>46073</v>
      </c>
      <c r="Y84" s="301">
        <v>46074</v>
      </c>
      <c r="Z84" s="301">
        <v>46075</v>
      </c>
      <c r="AA84" s="301">
        <v>46076</v>
      </c>
      <c r="AB84" s="301">
        <v>46077</v>
      </c>
      <c r="AC84" s="301">
        <v>46078</v>
      </c>
      <c r="AD84" s="301">
        <v>46079</v>
      </c>
      <c r="AE84" s="301">
        <v>46080</v>
      </c>
      <c r="AF84" s="301">
        <v>46081</v>
      </c>
    </row>
    <row r="85" spans="1:62">
      <c r="A85" s="511"/>
      <c r="B85" s="511"/>
      <c r="C85" s="511"/>
      <c r="D85" s="511"/>
      <c r="E85" s="302" t="s">
        <v>105</v>
      </c>
      <c r="F85" s="302" t="s">
        <v>106</v>
      </c>
      <c r="G85" s="302" t="s">
        <v>107</v>
      </c>
      <c r="H85" s="302" t="s">
        <v>108</v>
      </c>
      <c r="I85" s="302" t="s">
        <v>109</v>
      </c>
      <c r="J85" s="302" t="s">
        <v>103</v>
      </c>
      <c r="K85" s="302" t="s">
        <v>104</v>
      </c>
      <c r="L85" s="302" t="s">
        <v>105</v>
      </c>
      <c r="M85" s="302" t="s">
        <v>106</v>
      </c>
      <c r="N85" s="302" t="s">
        <v>107</v>
      </c>
      <c r="O85" s="302" t="s">
        <v>108</v>
      </c>
      <c r="P85" s="302" t="s">
        <v>109</v>
      </c>
      <c r="Q85" s="302" t="s">
        <v>103</v>
      </c>
      <c r="R85" s="302" t="s">
        <v>104</v>
      </c>
      <c r="S85" s="302" t="s">
        <v>105</v>
      </c>
      <c r="T85" s="302" t="s">
        <v>106</v>
      </c>
      <c r="U85" s="302" t="s">
        <v>107</v>
      </c>
      <c r="V85" s="302" t="s">
        <v>108</v>
      </c>
      <c r="W85" s="302" t="s">
        <v>109</v>
      </c>
      <c r="X85" s="302" t="s">
        <v>103</v>
      </c>
      <c r="Y85" s="302" t="s">
        <v>104</v>
      </c>
      <c r="Z85" s="302" t="s">
        <v>105</v>
      </c>
      <c r="AA85" s="302" t="s">
        <v>106</v>
      </c>
      <c r="AB85" s="302" t="s">
        <v>107</v>
      </c>
      <c r="AC85" s="302" t="s">
        <v>108</v>
      </c>
      <c r="AD85" s="302" t="s">
        <v>109</v>
      </c>
      <c r="AE85" s="302" t="s">
        <v>103</v>
      </c>
      <c r="AF85" s="302" t="s">
        <v>104</v>
      </c>
    </row>
    <row r="86" spans="1:62">
      <c r="A86" s="511"/>
      <c r="B86" s="511"/>
      <c r="C86" s="511"/>
      <c r="D86" s="511"/>
      <c r="E86" s="303" t="s">
        <v>110</v>
      </c>
      <c r="F86" s="303" t="s">
        <v>110</v>
      </c>
      <c r="G86" s="303" t="s">
        <v>110</v>
      </c>
      <c r="H86" s="303" t="s">
        <v>110</v>
      </c>
      <c r="I86" s="303" t="s">
        <v>110</v>
      </c>
      <c r="J86" s="303" t="s">
        <v>110</v>
      </c>
      <c r="K86" s="303" t="s">
        <v>110</v>
      </c>
      <c r="L86" s="303" t="s">
        <v>110</v>
      </c>
      <c r="M86" s="303" t="s">
        <v>110</v>
      </c>
      <c r="N86" s="303" t="s">
        <v>110</v>
      </c>
      <c r="O86" s="303" t="s">
        <v>110</v>
      </c>
      <c r="P86" s="303" t="s">
        <v>110</v>
      </c>
      <c r="Q86" s="303" t="s">
        <v>110</v>
      </c>
      <c r="R86" s="303" t="s">
        <v>110</v>
      </c>
      <c r="S86" s="303" t="s">
        <v>110</v>
      </c>
      <c r="T86" s="303" t="s">
        <v>110</v>
      </c>
      <c r="U86" s="303" t="s">
        <v>110</v>
      </c>
      <c r="V86" s="303" t="s">
        <v>110</v>
      </c>
      <c r="W86" s="303" t="s">
        <v>110</v>
      </c>
      <c r="X86" s="303" t="s">
        <v>110</v>
      </c>
      <c r="Y86" s="303" t="s">
        <v>110</v>
      </c>
      <c r="Z86" s="303" t="s">
        <v>110</v>
      </c>
      <c r="AA86" s="303" t="s">
        <v>110</v>
      </c>
      <c r="AB86" s="303" t="s">
        <v>110</v>
      </c>
      <c r="AC86" s="303" t="s">
        <v>110</v>
      </c>
      <c r="AD86" s="303" t="s">
        <v>110</v>
      </c>
      <c r="AE86" s="303" t="s">
        <v>110</v>
      </c>
      <c r="AF86" s="303" t="s">
        <v>110</v>
      </c>
    </row>
    <row r="87" spans="1:62">
      <c r="A87" s="512"/>
      <c r="B87" s="512"/>
      <c r="C87" s="512"/>
      <c r="D87" s="512"/>
      <c r="E87" s="369">
        <v>0.33333333333333331</v>
      </c>
      <c r="F87" s="369">
        <v>0.33333333333333331</v>
      </c>
      <c r="G87" s="369">
        <v>0.33333333333333331</v>
      </c>
      <c r="H87" s="369">
        <v>0.33333333333333331</v>
      </c>
      <c r="I87" s="369">
        <v>0.33333333333333331</v>
      </c>
      <c r="J87" s="369">
        <v>0.33333333333333331</v>
      </c>
      <c r="K87" s="369">
        <v>0.33333333333333331</v>
      </c>
      <c r="L87" s="369">
        <v>0.33333333333333331</v>
      </c>
      <c r="M87" s="369">
        <v>0.33333333333333331</v>
      </c>
      <c r="N87" s="369">
        <v>0.33333333333333331</v>
      </c>
      <c r="O87" s="369">
        <v>0.33333333333333331</v>
      </c>
      <c r="P87" s="369">
        <v>0.33333333333333331</v>
      </c>
      <c r="Q87" s="369">
        <v>0.33333333333333331</v>
      </c>
      <c r="R87" s="369">
        <v>0.33333333333333331</v>
      </c>
      <c r="S87" s="369">
        <v>0.33333333333333331</v>
      </c>
      <c r="T87" s="369">
        <v>0.33333333333333331</v>
      </c>
      <c r="U87" s="369">
        <v>0.33333333333333331</v>
      </c>
      <c r="V87" s="369">
        <v>0.33333333333333331</v>
      </c>
      <c r="W87" s="369">
        <v>0.33333333333333331</v>
      </c>
      <c r="X87" s="369">
        <v>0.33333333333333331</v>
      </c>
      <c r="Y87" s="369">
        <v>0.33333333333333331</v>
      </c>
      <c r="Z87" s="369">
        <v>0.33333333333333331</v>
      </c>
      <c r="AA87" s="369">
        <v>0.33333333333333331</v>
      </c>
      <c r="AB87" s="369">
        <v>0.33333333333333331</v>
      </c>
      <c r="AC87" s="369">
        <v>0.33333333333333331</v>
      </c>
      <c r="AD87" s="369">
        <v>0.33333333333333331</v>
      </c>
      <c r="AE87" s="369">
        <v>0.33333333333333331</v>
      </c>
      <c r="AF87" s="369">
        <v>0.33333333333333331</v>
      </c>
    </row>
    <row r="88" spans="1:62" ht="10.5" customHeight="1">
      <c r="A88" s="310">
        <v>1</v>
      </c>
      <c r="B88" s="370" t="s">
        <v>150</v>
      </c>
      <c r="C88" s="370" t="s">
        <v>151</v>
      </c>
      <c r="D88" s="370">
        <v>1942</v>
      </c>
      <c r="E88" s="370">
        <v>1942</v>
      </c>
      <c r="F88" s="370">
        <v>1953</v>
      </c>
      <c r="G88" s="370">
        <v>1978</v>
      </c>
      <c r="H88" s="370">
        <v>1978</v>
      </c>
      <c r="I88" s="370">
        <v>1998</v>
      </c>
      <c r="J88" s="370">
        <v>1998</v>
      </c>
      <c r="K88" s="370">
        <v>1998</v>
      </c>
      <c r="L88" s="370">
        <v>1998</v>
      </c>
      <c r="M88" s="370">
        <v>2017</v>
      </c>
      <c r="N88" s="370">
        <v>2017</v>
      </c>
      <c r="O88" s="370">
        <v>2017</v>
      </c>
      <c r="P88" s="370">
        <v>2017</v>
      </c>
      <c r="Q88" s="370">
        <v>2017</v>
      </c>
      <c r="R88" s="370">
        <v>2017</v>
      </c>
      <c r="S88" s="370">
        <v>2017</v>
      </c>
      <c r="T88" s="370">
        <v>2041</v>
      </c>
      <c r="U88" s="370">
        <v>2066</v>
      </c>
      <c r="V88" s="370">
        <v>2081</v>
      </c>
      <c r="W88" s="370">
        <v>2107</v>
      </c>
      <c r="X88" s="370">
        <v>2128</v>
      </c>
      <c r="Y88" s="370">
        <v>2128</v>
      </c>
      <c r="Z88" s="370">
        <v>2128</v>
      </c>
      <c r="AA88" s="370">
        <v>2128</v>
      </c>
      <c r="AB88" s="370">
        <v>2152</v>
      </c>
      <c r="AC88" s="370">
        <v>2176</v>
      </c>
      <c r="AD88" s="370">
        <v>2202</v>
      </c>
      <c r="AE88" s="370">
        <v>2216</v>
      </c>
      <c r="AF88" s="370">
        <v>2216</v>
      </c>
      <c r="AG88" s="371"/>
      <c r="AH88" s="371"/>
      <c r="AI88" s="371"/>
      <c r="AJ88" s="371"/>
      <c r="AK88" s="371"/>
      <c r="AL88" s="371"/>
      <c r="AM88" s="371"/>
      <c r="AN88" s="371"/>
      <c r="AO88" s="371"/>
      <c r="AP88" s="371"/>
      <c r="AQ88" s="371"/>
      <c r="AR88" s="371"/>
      <c r="AS88" s="371"/>
      <c r="AT88" s="371"/>
      <c r="AU88" s="371"/>
      <c r="AV88" s="371"/>
      <c r="AW88" s="371"/>
      <c r="AX88" s="371"/>
      <c r="AY88" s="371"/>
      <c r="AZ88" s="371"/>
      <c r="BA88" s="371"/>
      <c r="BB88" s="371"/>
      <c r="BC88" s="371"/>
      <c r="BD88" s="371"/>
      <c r="BE88" s="371"/>
      <c r="BF88" s="371"/>
      <c r="BG88" s="371"/>
      <c r="BH88" s="371"/>
      <c r="BI88" s="371"/>
      <c r="BJ88" s="371"/>
    </row>
    <row r="90" spans="1:62">
      <c r="A90" s="541" t="s">
        <v>99</v>
      </c>
      <c r="B90" s="541" t="s">
        <v>100</v>
      </c>
      <c r="C90" s="541" t="s">
        <v>101</v>
      </c>
      <c r="D90" s="517"/>
      <c r="E90" s="352">
        <f t="shared" ref="E90:AF90" si="39">E84</f>
        <v>46054</v>
      </c>
      <c r="F90" s="352">
        <f t="shared" si="39"/>
        <v>46055</v>
      </c>
      <c r="G90" s="352">
        <f t="shared" si="39"/>
        <v>46056</v>
      </c>
      <c r="H90" s="352">
        <f t="shared" si="39"/>
        <v>46057</v>
      </c>
      <c r="I90" s="352">
        <f t="shared" si="39"/>
        <v>46058</v>
      </c>
      <c r="J90" s="352">
        <f t="shared" si="39"/>
        <v>46059</v>
      </c>
      <c r="K90" s="352">
        <f t="shared" si="39"/>
        <v>46060</v>
      </c>
      <c r="L90" s="352">
        <f t="shared" si="39"/>
        <v>46061</v>
      </c>
      <c r="M90" s="352">
        <f t="shared" si="39"/>
        <v>46062</v>
      </c>
      <c r="N90" s="352">
        <f t="shared" si="39"/>
        <v>46063</v>
      </c>
      <c r="O90" s="352">
        <f t="shared" si="39"/>
        <v>46064</v>
      </c>
      <c r="P90" s="352">
        <f t="shared" si="39"/>
        <v>46065</v>
      </c>
      <c r="Q90" s="352">
        <f t="shared" si="39"/>
        <v>46066</v>
      </c>
      <c r="R90" s="352">
        <f t="shared" si="39"/>
        <v>46067</v>
      </c>
      <c r="S90" s="352">
        <f t="shared" si="39"/>
        <v>46068</v>
      </c>
      <c r="T90" s="352">
        <f t="shared" si="39"/>
        <v>46069</v>
      </c>
      <c r="U90" s="352">
        <f t="shared" si="39"/>
        <v>46070</v>
      </c>
      <c r="V90" s="352">
        <f t="shared" si="39"/>
        <v>46071</v>
      </c>
      <c r="W90" s="352">
        <f t="shared" si="39"/>
        <v>46072</v>
      </c>
      <c r="X90" s="352">
        <f t="shared" si="39"/>
        <v>46073</v>
      </c>
      <c r="Y90" s="352">
        <f t="shared" si="39"/>
        <v>46074</v>
      </c>
      <c r="Z90" s="352">
        <f t="shared" si="39"/>
        <v>46075</v>
      </c>
      <c r="AA90" s="352">
        <f t="shared" si="39"/>
        <v>46076</v>
      </c>
      <c r="AB90" s="352">
        <f t="shared" si="39"/>
        <v>46077</v>
      </c>
      <c r="AC90" s="352">
        <f t="shared" si="39"/>
        <v>46078</v>
      </c>
      <c r="AD90" s="352">
        <f t="shared" si="39"/>
        <v>46079</v>
      </c>
      <c r="AE90" s="352">
        <f t="shared" si="39"/>
        <v>46080</v>
      </c>
      <c r="AF90" s="352">
        <f t="shared" si="39"/>
        <v>46081</v>
      </c>
      <c r="AG90" s="541" t="s">
        <v>1</v>
      </c>
    </row>
    <row r="91" spans="1:62">
      <c r="A91" s="508"/>
      <c r="B91" s="508"/>
      <c r="C91" s="518"/>
      <c r="D91" s="519"/>
      <c r="E91" s="302" t="s">
        <v>105</v>
      </c>
      <c r="F91" s="302" t="s">
        <v>106</v>
      </c>
      <c r="G91" s="302" t="s">
        <v>107</v>
      </c>
      <c r="H91" s="302" t="s">
        <v>108</v>
      </c>
      <c r="I91" s="302" t="s">
        <v>109</v>
      </c>
      <c r="J91" s="302" t="s">
        <v>103</v>
      </c>
      <c r="K91" s="302" t="s">
        <v>104</v>
      </c>
      <c r="L91" s="302" t="s">
        <v>105</v>
      </c>
      <c r="M91" s="302" t="s">
        <v>106</v>
      </c>
      <c r="N91" s="302" t="s">
        <v>107</v>
      </c>
      <c r="O91" s="302" t="s">
        <v>108</v>
      </c>
      <c r="P91" s="302" t="s">
        <v>109</v>
      </c>
      <c r="Q91" s="302" t="s">
        <v>103</v>
      </c>
      <c r="R91" s="302" t="s">
        <v>104</v>
      </c>
      <c r="S91" s="302" t="s">
        <v>105</v>
      </c>
      <c r="T91" s="302" t="s">
        <v>106</v>
      </c>
      <c r="U91" s="302" t="s">
        <v>107</v>
      </c>
      <c r="V91" s="302" t="s">
        <v>108</v>
      </c>
      <c r="W91" s="302" t="s">
        <v>109</v>
      </c>
      <c r="X91" s="302" t="s">
        <v>103</v>
      </c>
      <c r="Y91" s="302" t="s">
        <v>104</v>
      </c>
      <c r="Z91" s="302" t="s">
        <v>105</v>
      </c>
      <c r="AA91" s="302" t="s">
        <v>106</v>
      </c>
      <c r="AB91" s="302" t="s">
        <v>107</v>
      </c>
      <c r="AC91" s="302" t="s">
        <v>108</v>
      </c>
      <c r="AD91" s="302" t="s">
        <v>109</v>
      </c>
      <c r="AE91" s="302" t="s">
        <v>103</v>
      </c>
      <c r="AF91" s="302" t="s">
        <v>104</v>
      </c>
      <c r="AG91" s="508"/>
    </row>
    <row r="92" spans="1:62">
      <c r="A92" s="508"/>
      <c r="B92" s="508"/>
      <c r="C92" s="518"/>
      <c r="D92" s="519"/>
      <c r="E92" s="353" t="s">
        <v>110</v>
      </c>
      <c r="F92" s="353" t="s">
        <v>110</v>
      </c>
      <c r="G92" s="353" t="s">
        <v>110</v>
      </c>
      <c r="H92" s="353" t="s">
        <v>110</v>
      </c>
      <c r="I92" s="353" t="s">
        <v>110</v>
      </c>
      <c r="J92" s="353" t="s">
        <v>110</v>
      </c>
      <c r="K92" s="353" t="s">
        <v>110</v>
      </c>
      <c r="L92" s="353" t="s">
        <v>110</v>
      </c>
      <c r="M92" s="353" t="s">
        <v>110</v>
      </c>
      <c r="N92" s="353" t="s">
        <v>110</v>
      </c>
      <c r="O92" s="353" t="s">
        <v>110</v>
      </c>
      <c r="P92" s="353" t="s">
        <v>110</v>
      </c>
      <c r="Q92" s="353" t="s">
        <v>110</v>
      </c>
      <c r="R92" s="353" t="s">
        <v>110</v>
      </c>
      <c r="S92" s="353" t="s">
        <v>110</v>
      </c>
      <c r="T92" s="353" t="s">
        <v>110</v>
      </c>
      <c r="U92" s="353" t="s">
        <v>110</v>
      </c>
      <c r="V92" s="353" t="s">
        <v>110</v>
      </c>
      <c r="W92" s="353" t="s">
        <v>110</v>
      </c>
      <c r="X92" s="353" t="s">
        <v>110</v>
      </c>
      <c r="Y92" s="353" t="s">
        <v>110</v>
      </c>
      <c r="Z92" s="353" t="s">
        <v>110</v>
      </c>
      <c r="AA92" s="353" t="s">
        <v>110</v>
      </c>
      <c r="AB92" s="353" t="s">
        <v>110</v>
      </c>
      <c r="AC92" s="353" t="s">
        <v>110</v>
      </c>
      <c r="AD92" s="353" t="s">
        <v>110</v>
      </c>
      <c r="AE92" s="353" t="s">
        <v>110</v>
      </c>
      <c r="AF92" s="353" t="s">
        <v>110</v>
      </c>
      <c r="AG92" s="508"/>
    </row>
    <row r="93" spans="1:62">
      <c r="A93" s="509"/>
      <c r="B93" s="509"/>
      <c r="C93" s="520"/>
      <c r="D93" s="521"/>
      <c r="E93" s="354">
        <v>0.33333333333333331</v>
      </c>
      <c r="F93" s="354">
        <v>0.33333333333333331</v>
      </c>
      <c r="G93" s="354">
        <v>0.33333333333333331</v>
      </c>
      <c r="H93" s="354">
        <v>0.33333333333333331</v>
      </c>
      <c r="I93" s="354">
        <v>0.33333333333333331</v>
      </c>
      <c r="J93" s="354">
        <v>0.33333333333333331</v>
      </c>
      <c r="K93" s="354">
        <v>0.33333333333333331</v>
      </c>
      <c r="L93" s="354">
        <v>0.33333333333333331</v>
      </c>
      <c r="M93" s="354">
        <v>0.33333333333333331</v>
      </c>
      <c r="N93" s="354">
        <v>0.33333333333333331</v>
      </c>
      <c r="O93" s="354">
        <v>0.33333333333333331</v>
      </c>
      <c r="P93" s="354">
        <v>0.33333333333333331</v>
      </c>
      <c r="Q93" s="354">
        <v>0.33333333333333331</v>
      </c>
      <c r="R93" s="354">
        <v>0.33333333333333331</v>
      </c>
      <c r="S93" s="354">
        <v>0.33333333333333331</v>
      </c>
      <c r="T93" s="354">
        <v>0.33333333333333331</v>
      </c>
      <c r="U93" s="354">
        <v>0.33333333333333331</v>
      </c>
      <c r="V93" s="354">
        <v>0.33333333333333331</v>
      </c>
      <c r="W93" s="354">
        <v>0.33333333333333331</v>
      </c>
      <c r="X93" s="354">
        <v>0.33333333333333331</v>
      </c>
      <c r="Y93" s="354">
        <v>0.33333333333333331</v>
      </c>
      <c r="Z93" s="354">
        <v>0.33333333333333331</v>
      </c>
      <c r="AA93" s="354">
        <v>0.33333333333333331</v>
      </c>
      <c r="AB93" s="354">
        <v>0.33333333333333331</v>
      </c>
      <c r="AC93" s="354">
        <v>0.33333333333333331</v>
      </c>
      <c r="AD93" s="354">
        <v>0.33333333333333331</v>
      </c>
      <c r="AE93" s="354">
        <v>0.33333333333333331</v>
      </c>
      <c r="AF93" s="354">
        <v>0.33333333333333331</v>
      </c>
      <c r="AG93" s="509"/>
    </row>
    <row r="94" spans="1:62" ht="14.5" customHeight="1">
      <c r="A94" s="372">
        <v>1</v>
      </c>
      <c r="B94" s="373" t="s">
        <v>150</v>
      </c>
      <c r="C94" s="546" t="s">
        <v>151</v>
      </c>
      <c r="D94" s="501"/>
      <c r="E94" s="355">
        <f t="shared" ref="E94:AA94" si="40">E88-D88</f>
        <v>0</v>
      </c>
      <c r="F94" s="355">
        <f t="shared" si="40"/>
        <v>11</v>
      </c>
      <c r="G94" s="355">
        <f t="shared" si="40"/>
        <v>25</v>
      </c>
      <c r="H94" s="355">
        <f t="shared" si="40"/>
        <v>0</v>
      </c>
      <c r="I94" s="355">
        <f t="shared" si="40"/>
        <v>20</v>
      </c>
      <c r="J94" s="355">
        <f t="shared" si="40"/>
        <v>0</v>
      </c>
      <c r="K94" s="355">
        <f t="shared" si="40"/>
        <v>0</v>
      </c>
      <c r="L94" s="355">
        <f t="shared" si="40"/>
        <v>0</v>
      </c>
      <c r="M94" s="355">
        <f t="shared" si="40"/>
        <v>19</v>
      </c>
      <c r="N94" s="355">
        <f t="shared" si="40"/>
        <v>0</v>
      </c>
      <c r="O94" s="355">
        <f t="shared" si="40"/>
        <v>0</v>
      </c>
      <c r="P94" s="355">
        <f t="shared" si="40"/>
        <v>0</v>
      </c>
      <c r="Q94" s="355">
        <f t="shared" si="40"/>
        <v>0</v>
      </c>
      <c r="R94" s="355">
        <f t="shared" si="40"/>
        <v>0</v>
      </c>
      <c r="S94" s="355">
        <f t="shared" si="40"/>
        <v>0</v>
      </c>
      <c r="T94" s="355">
        <f t="shared" si="40"/>
        <v>24</v>
      </c>
      <c r="U94" s="355">
        <f t="shared" si="40"/>
        <v>25</v>
      </c>
      <c r="V94" s="355">
        <f t="shared" si="40"/>
        <v>15</v>
      </c>
      <c r="W94" s="355">
        <f t="shared" si="40"/>
        <v>26</v>
      </c>
      <c r="X94" s="355">
        <f t="shared" si="40"/>
        <v>21</v>
      </c>
      <c r="Y94" s="355">
        <f t="shared" si="40"/>
        <v>0</v>
      </c>
      <c r="Z94" s="355">
        <f t="shared" si="40"/>
        <v>0</v>
      </c>
      <c r="AA94" s="355">
        <f t="shared" si="40"/>
        <v>0</v>
      </c>
      <c r="AB94" s="355" t="e">
        <f>AB88-#REF!</f>
        <v>#REF!</v>
      </c>
      <c r="AC94" s="355">
        <f>AC88-AB88</f>
        <v>24</v>
      </c>
      <c r="AD94" s="355">
        <f>AD88-AC88</f>
        <v>26</v>
      </c>
      <c r="AE94" s="355">
        <f>AE88-AD88</f>
        <v>14</v>
      </c>
      <c r="AF94" s="355"/>
      <c r="AG94" s="355" t="e">
        <f>SUM(E94:AE94)</f>
        <v>#REF!</v>
      </c>
      <c r="AH94" s="374"/>
      <c r="AI94" s="374"/>
      <c r="AJ94" s="374"/>
      <c r="AK94" s="374"/>
      <c r="AL94" s="374"/>
      <c r="AM94" s="374"/>
      <c r="AN94" s="374"/>
      <c r="AO94" s="374"/>
      <c r="AP94" s="374"/>
      <c r="AQ94" s="374"/>
      <c r="AR94" s="374"/>
      <c r="AS94" s="374"/>
      <c r="AT94" s="374"/>
      <c r="AU94" s="374"/>
      <c r="AV94" s="374"/>
      <c r="AW94" s="374"/>
      <c r="AX94" s="374"/>
      <c r="AY94" s="374"/>
      <c r="AZ94" s="374"/>
      <c r="BA94" s="374"/>
      <c r="BB94" s="374"/>
      <c r="BC94" s="374"/>
      <c r="BD94" s="374"/>
      <c r="BE94" s="374"/>
      <c r="BF94" s="374"/>
      <c r="BG94" s="374"/>
      <c r="BH94" s="374"/>
      <c r="BI94" s="374"/>
      <c r="BJ94" s="374"/>
    </row>
  </sheetData>
  <mergeCells count="59">
    <mergeCell ref="AG90:AG93"/>
    <mergeCell ref="C77:D77"/>
    <mergeCell ref="E83:AE83"/>
    <mergeCell ref="D84:D87"/>
    <mergeCell ref="C62:D62"/>
    <mergeCell ref="C68:D68"/>
    <mergeCell ref="C73:D73"/>
    <mergeCell ref="C40:D43"/>
    <mergeCell ref="C58:D58"/>
    <mergeCell ref="C45:D45"/>
    <mergeCell ref="C74:D74"/>
    <mergeCell ref="D2:D5"/>
    <mergeCell ref="C90:D93"/>
    <mergeCell ref="AG40:AG43"/>
    <mergeCell ref="C47:D47"/>
    <mergeCell ref="C54:D54"/>
    <mergeCell ref="A83:D83"/>
    <mergeCell ref="A40:A43"/>
    <mergeCell ref="B84:B87"/>
    <mergeCell ref="B40:B43"/>
    <mergeCell ref="A22:AG22"/>
    <mergeCell ref="A2:A5"/>
    <mergeCell ref="C2:C5"/>
    <mergeCell ref="B2:B5"/>
    <mergeCell ref="C64:D64"/>
    <mergeCell ref="C79:D79"/>
    <mergeCell ref="B38:D38"/>
    <mergeCell ref="C94:D94"/>
    <mergeCell ref="C65:D65"/>
    <mergeCell ref="C55:D55"/>
    <mergeCell ref="C50:D50"/>
    <mergeCell ref="C44:D44"/>
    <mergeCell ref="C75:D75"/>
    <mergeCell ref="C56:D56"/>
    <mergeCell ref="C59:D59"/>
    <mergeCell ref="C46:D46"/>
    <mergeCell ref="C60:D60"/>
    <mergeCell ref="C51:D51"/>
    <mergeCell ref="C76:D76"/>
    <mergeCell ref="C71:D71"/>
    <mergeCell ref="C72:D72"/>
    <mergeCell ref="C78:D78"/>
    <mergeCell ref="C84:C87"/>
    <mergeCell ref="B90:B93"/>
    <mergeCell ref="A1:AB1"/>
    <mergeCell ref="C52:D52"/>
    <mergeCell ref="C70:D70"/>
    <mergeCell ref="C48:D48"/>
    <mergeCell ref="A31:AG31"/>
    <mergeCell ref="C67:D67"/>
    <mergeCell ref="C57:D57"/>
    <mergeCell ref="C66:D66"/>
    <mergeCell ref="C53:D53"/>
    <mergeCell ref="B39:D39"/>
    <mergeCell ref="C69:D69"/>
    <mergeCell ref="C49:D49"/>
    <mergeCell ref="AG2:AG5"/>
    <mergeCell ref="A84:A87"/>
    <mergeCell ref="A90:A93"/>
  </mergeCells>
  <pageMargins left="0.7" right="0.7" top="0.75" bottom="0.75" header="0.3" footer="0.3"/>
  <pageSetup paperSize="9" orientation="portrait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M94"/>
  <sheetViews>
    <sheetView topLeftCell="AG49" workbookViewId="0">
      <selection activeCell="AK80" sqref="AK80"/>
    </sheetView>
  </sheetViews>
  <sheetFormatPr defaultRowHeight="14.5"/>
  <cols>
    <col min="1" max="1" width="14" customWidth="1"/>
    <col min="2" max="2" width="27" customWidth="1"/>
    <col min="3" max="3" width="32" customWidth="1"/>
    <col min="4" max="4" width="20" customWidth="1"/>
    <col min="5" max="5" width="33" customWidth="1"/>
    <col min="6" max="35" width="23" customWidth="1"/>
    <col min="36" max="38" width="18" customWidth="1"/>
    <col min="39" max="65" width="14" customWidth="1"/>
  </cols>
  <sheetData>
    <row r="1" spans="1:38" ht="21" customHeight="1">
      <c r="A1" s="581" t="s">
        <v>161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  <c r="AI1" s="526"/>
      <c r="AJ1" s="526"/>
    </row>
    <row r="2" spans="1:38">
      <c r="A2" s="510" t="s">
        <v>99</v>
      </c>
      <c r="B2" s="510" t="s">
        <v>100</v>
      </c>
      <c r="C2" s="580" t="s">
        <v>101</v>
      </c>
      <c r="D2" s="572" t="s">
        <v>102</v>
      </c>
      <c r="E2" s="51">
        <v>46023</v>
      </c>
      <c r="F2" s="51">
        <v>46024</v>
      </c>
      <c r="G2" s="51">
        <v>46025</v>
      </c>
      <c r="H2" s="51">
        <v>46026</v>
      </c>
      <c r="I2" s="51">
        <v>46027</v>
      </c>
      <c r="J2" s="51">
        <v>46028</v>
      </c>
      <c r="K2" s="51">
        <v>46029</v>
      </c>
      <c r="L2" s="51">
        <v>46030</v>
      </c>
      <c r="M2" s="51">
        <v>46031</v>
      </c>
      <c r="N2" s="51">
        <v>46032</v>
      </c>
      <c r="O2" s="51">
        <v>46033</v>
      </c>
      <c r="P2" s="51">
        <v>46034</v>
      </c>
      <c r="Q2" s="51">
        <v>46035</v>
      </c>
      <c r="R2" s="51">
        <v>46036</v>
      </c>
      <c r="S2" s="51">
        <v>46037</v>
      </c>
      <c r="T2" s="51">
        <v>46038</v>
      </c>
      <c r="U2" s="51">
        <v>46039</v>
      </c>
      <c r="V2" s="51">
        <v>46040</v>
      </c>
      <c r="W2" s="51">
        <v>46041</v>
      </c>
      <c r="X2" s="51">
        <v>46042</v>
      </c>
      <c r="Y2" s="51">
        <v>46043</v>
      </c>
      <c r="Z2" s="51">
        <v>46044</v>
      </c>
      <c r="AA2" s="51">
        <v>46045</v>
      </c>
      <c r="AB2" s="51">
        <v>46046</v>
      </c>
      <c r="AC2" s="51">
        <v>46047</v>
      </c>
      <c r="AD2" s="51">
        <v>46048</v>
      </c>
      <c r="AE2" s="51">
        <v>46049</v>
      </c>
      <c r="AF2" s="51">
        <v>46050</v>
      </c>
      <c r="AG2" s="51">
        <v>46051</v>
      </c>
      <c r="AH2" s="51">
        <v>46052</v>
      </c>
      <c r="AI2" s="51">
        <v>46053</v>
      </c>
      <c r="AJ2" s="514" t="s">
        <v>1</v>
      </c>
    </row>
    <row r="3" spans="1:38">
      <c r="A3" s="511"/>
      <c r="B3" s="511"/>
      <c r="C3" s="511"/>
      <c r="D3" s="511"/>
      <c r="E3" s="96" t="s">
        <v>109</v>
      </c>
      <c r="F3" s="96" t="s">
        <v>103</v>
      </c>
      <c r="G3" s="96" t="s">
        <v>104</v>
      </c>
      <c r="H3" s="96" t="s">
        <v>105</v>
      </c>
      <c r="I3" s="96" t="s">
        <v>106</v>
      </c>
      <c r="J3" s="96" t="s">
        <v>107</v>
      </c>
      <c r="K3" s="96" t="s">
        <v>108</v>
      </c>
      <c r="L3" s="96" t="s">
        <v>109</v>
      </c>
      <c r="M3" s="96" t="s">
        <v>103</v>
      </c>
      <c r="N3" s="96" t="s">
        <v>104</v>
      </c>
      <c r="O3" s="96" t="s">
        <v>105</v>
      </c>
      <c r="P3" s="96" t="s">
        <v>106</v>
      </c>
      <c r="Q3" s="96" t="s">
        <v>107</v>
      </c>
      <c r="R3" s="96" t="s">
        <v>108</v>
      </c>
      <c r="S3" s="96" t="s">
        <v>109</v>
      </c>
      <c r="T3" s="96" t="s">
        <v>103</v>
      </c>
      <c r="U3" s="96" t="s">
        <v>104</v>
      </c>
      <c r="V3" s="96" t="s">
        <v>105</v>
      </c>
      <c r="W3" s="96" t="s">
        <v>106</v>
      </c>
      <c r="X3" s="96" t="s">
        <v>107</v>
      </c>
      <c r="Y3" s="96" t="s">
        <v>108</v>
      </c>
      <c r="Z3" s="96" t="s">
        <v>109</v>
      </c>
      <c r="AA3" s="96" t="s">
        <v>103</v>
      </c>
      <c r="AB3" s="96" t="s">
        <v>104</v>
      </c>
      <c r="AC3" s="96" t="s">
        <v>105</v>
      </c>
      <c r="AD3" s="96" t="s">
        <v>106</v>
      </c>
      <c r="AE3" s="96" t="s">
        <v>107</v>
      </c>
      <c r="AF3" s="96" t="s">
        <v>108</v>
      </c>
      <c r="AG3" s="96" t="s">
        <v>109</v>
      </c>
      <c r="AH3" s="96" t="s">
        <v>103</v>
      </c>
      <c r="AI3" s="96" t="s">
        <v>104</v>
      </c>
      <c r="AJ3" s="511"/>
    </row>
    <row r="4" spans="1:38">
      <c r="A4" s="511"/>
      <c r="B4" s="511"/>
      <c r="C4" s="511"/>
      <c r="D4" s="511"/>
      <c r="E4" s="52" t="s">
        <v>110</v>
      </c>
      <c r="F4" s="52" t="s">
        <v>110</v>
      </c>
      <c r="G4" s="52" t="s">
        <v>110</v>
      </c>
      <c r="H4" s="52" t="s">
        <v>110</v>
      </c>
      <c r="I4" s="52" t="s">
        <v>110</v>
      </c>
      <c r="J4" s="52" t="s">
        <v>110</v>
      </c>
      <c r="K4" s="52" t="s">
        <v>110</v>
      </c>
      <c r="L4" s="52" t="s">
        <v>110</v>
      </c>
      <c r="M4" s="52" t="s">
        <v>110</v>
      </c>
      <c r="N4" s="52" t="s">
        <v>110</v>
      </c>
      <c r="O4" s="52" t="s">
        <v>110</v>
      </c>
      <c r="P4" s="52" t="s">
        <v>110</v>
      </c>
      <c r="Q4" s="52" t="s">
        <v>110</v>
      </c>
      <c r="R4" s="52" t="s">
        <v>110</v>
      </c>
      <c r="S4" s="52" t="s">
        <v>110</v>
      </c>
      <c r="T4" s="52" t="s">
        <v>110</v>
      </c>
      <c r="U4" s="52" t="s">
        <v>110</v>
      </c>
      <c r="V4" s="52" t="s">
        <v>110</v>
      </c>
      <c r="W4" s="52" t="s">
        <v>110</v>
      </c>
      <c r="X4" s="52" t="s">
        <v>110</v>
      </c>
      <c r="Y4" s="52" t="s">
        <v>110</v>
      </c>
      <c r="Z4" s="52" t="s">
        <v>110</v>
      </c>
      <c r="AA4" s="52" t="s">
        <v>110</v>
      </c>
      <c r="AB4" s="52" t="s">
        <v>110</v>
      </c>
      <c r="AC4" s="52" t="s">
        <v>110</v>
      </c>
      <c r="AD4" s="52" t="s">
        <v>110</v>
      </c>
      <c r="AE4" s="52" t="s">
        <v>110</v>
      </c>
      <c r="AF4" s="52" t="s">
        <v>110</v>
      </c>
      <c r="AG4" s="52" t="s">
        <v>110</v>
      </c>
      <c r="AH4" s="52" t="s">
        <v>110</v>
      </c>
      <c r="AI4" s="52" t="s">
        <v>110</v>
      </c>
      <c r="AJ4" s="511"/>
    </row>
    <row r="5" spans="1:38">
      <c r="A5" s="512"/>
      <c r="B5" s="512"/>
      <c r="C5" s="512"/>
      <c r="D5" s="512"/>
      <c r="E5" s="53">
        <v>0.33333333333333331</v>
      </c>
      <c r="F5" s="53">
        <v>0.33333333333333331</v>
      </c>
      <c r="G5" s="53">
        <v>0.33333333333333331</v>
      </c>
      <c r="H5" s="53">
        <v>0.33333333333333331</v>
      </c>
      <c r="I5" s="53">
        <v>0.33333333333333331</v>
      </c>
      <c r="J5" s="53">
        <v>0.33333333333333331</v>
      </c>
      <c r="K5" s="53">
        <v>0.33333333333333331</v>
      </c>
      <c r="L5" s="53">
        <v>0.33333333333333331</v>
      </c>
      <c r="M5" s="53">
        <v>0.33333333333333331</v>
      </c>
      <c r="N5" s="53">
        <v>0.33333333333333331</v>
      </c>
      <c r="O5" s="53">
        <v>0.33333333333333331</v>
      </c>
      <c r="P5" s="53">
        <v>0.33333333333333331</v>
      </c>
      <c r="Q5" s="53">
        <v>0.33333333333333331</v>
      </c>
      <c r="R5" s="53">
        <v>0.33333333333333331</v>
      </c>
      <c r="S5" s="53">
        <v>0.33333333333333331</v>
      </c>
      <c r="T5" s="53">
        <v>0.33333333333333331</v>
      </c>
      <c r="U5" s="53">
        <v>0.33333333333333331</v>
      </c>
      <c r="V5" s="53">
        <v>0.33333333333333331</v>
      </c>
      <c r="W5" s="53">
        <v>0.33333333333333331</v>
      </c>
      <c r="X5" s="53">
        <v>0.33333333333333331</v>
      </c>
      <c r="Y5" s="53">
        <v>0.33333333333333331</v>
      </c>
      <c r="Z5" s="53">
        <v>0.33333333333333331</v>
      </c>
      <c r="AA5" s="53">
        <v>0.33333333333333331</v>
      </c>
      <c r="AB5" s="199">
        <v>0.33333333333333331</v>
      </c>
      <c r="AC5" s="53">
        <v>0.33333333333333331</v>
      </c>
      <c r="AD5" s="53">
        <v>0.33333333333333331</v>
      </c>
      <c r="AE5" s="53">
        <v>0.33333333333333331</v>
      </c>
      <c r="AF5" s="53">
        <v>0.33333333333333331</v>
      </c>
      <c r="AG5" s="53">
        <v>0.33333333333333331</v>
      </c>
      <c r="AH5" s="53">
        <v>0.33333333333333331</v>
      </c>
      <c r="AI5" s="53">
        <v>0.33333333333333331</v>
      </c>
      <c r="AJ5" s="512"/>
    </row>
    <row r="6" spans="1:38">
      <c r="A6" s="48">
        <v>1</v>
      </c>
      <c r="B6" s="4" t="s">
        <v>129</v>
      </c>
      <c r="C6" s="139" t="s">
        <v>111</v>
      </c>
      <c r="D6" s="169">
        <v>167218</v>
      </c>
      <c r="E6" s="48">
        <v>167542</v>
      </c>
      <c r="F6" s="48">
        <v>167774</v>
      </c>
      <c r="G6" s="48">
        <v>167980</v>
      </c>
      <c r="H6" s="48">
        <v>168197</v>
      </c>
      <c r="I6" s="48">
        <v>168430</v>
      </c>
      <c r="J6" s="48">
        <v>168686</v>
      </c>
      <c r="K6" s="48">
        <v>168939</v>
      </c>
      <c r="L6" s="48">
        <v>169174</v>
      </c>
      <c r="M6" s="48">
        <v>169417</v>
      </c>
      <c r="N6" s="48">
        <v>169628</v>
      </c>
      <c r="O6" s="58">
        <v>169835</v>
      </c>
      <c r="P6" s="184">
        <v>170093</v>
      </c>
      <c r="Q6" s="48">
        <v>170347</v>
      </c>
      <c r="R6" s="59">
        <v>170594</v>
      </c>
      <c r="S6" s="4">
        <v>170843</v>
      </c>
      <c r="T6" s="4">
        <v>171080</v>
      </c>
      <c r="U6" s="4">
        <v>171283</v>
      </c>
      <c r="V6" s="125">
        <v>171505</v>
      </c>
      <c r="W6" s="4">
        <v>171746</v>
      </c>
      <c r="X6" s="4">
        <v>172018</v>
      </c>
      <c r="Y6" s="4">
        <v>172271</v>
      </c>
      <c r="Z6" s="4">
        <v>172545</v>
      </c>
      <c r="AA6" s="58">
        <v>172791</v>
      </c>
      <c r="AB6" s="58">
        <v>173012</v>
      </c>
      <c r="AC6" s="58">
        <v>173195</v>
      </c>
      <c r="AD6" s="4">
        <v>173405</v>
      </c>
      <c r="AE6" s="4">
        <v>173667</v>
      </c>
      <c r="AF6" s="4">
        <v>173900</v>
      </c>
      <c r="AG6" s="48">
        <v>174192</v>
      </c>
      <c r="AH6" s="169">
        <v>174429</v>
      </c>
      <c r="AI6" s="169">
        <v>174539</v>
      </c>
      <c r="AJ6" s="57">
        <f t="shared" ref="AJ6:AJ21" si="0">AI6-D6</f>
        <v>7321</v>
      </c>
    </row>
    <row r="7" spans="1:38">
      <c r="A7" s="8"/>
      <c r="B7" s="8"/>
      <c r="C7" s="140" t="s">
        <v>22</v>
      </c>
      <c r="D7" s="128">
        <v>4281</v>
      </c>
      <c r="E7" s="128">
        <v>4281</v>
      </c>
      <c r="F7" s="128">
        <v>4281</v>
      </c>
      <c r="G7" s="128">
        <v>4281</v>
      </c>
      <c r="H7" s="128">
        <v>4281</v>
      </c>
      <c r="I7" s="128">
        <v>4281</v>
      </c>
      <c r="J7" s="128">
        <v>4281</v>
      </c>
      <c r="K7" s="128">
        <v>4281</v>
      </c>
      <c r="L7" s="128">
        <v>4283</v>
      </c>
      <c r="M7" s="128">
        <v>4283</v>
      </c>
      <c r="N7" s="8">
        <v>4283</v>
      </c>
      <c r="O7" s="8">
        <v>4283</v>
      </c>
      <c r="P7" s="8">
        <v>4283</v>
      </c>
      <c r="Q7" s="8">
        <v>4283</v>
      </c>
      <c r="R7" s="8">
        <v>4283</v>
      </c>
      <c r="S7" s="8">
        <v>4283</v>
      </c>
      <c r="T7" s="8">
        <v>4283</v>
      </c>
      <c r="U7" s="8">
        <v>4283</v>
      </c>
      <c r="V7" s="8">
        <v>4283</v>
      </c>
      <c r="W7" s="8">
        <v>4283</v>
      </c>
      <c r="X7" s="8">
        <v>4283</v>
      </c>
      <c r="Y7" s="8">
        <v>4283</v>
      </c>
      <c r="Z7" s="8">
        <v>4283</v>
      </c>
      <c r="AA7" s="8">
        <v>4283</v>
      </c>
      <c r="AB7" s="8">
        <v>4283</v>
      </c>
      <c r="AC7" s="8">
        <v>4283</v>
      </c>
      <c r="AD7" s="8">
        <v>4283</v>
      </c>
      <c r="AE7" s="8">
        <v>4283</v>
      </c>
      <c r="AF7" s="8">
        <v>4283</v>
      </c>
      <c r="AG7" s="8">
        <v>4283</v>
      </c>
      <c r="AH7" s="128">
        <v>4283</v>
      </c>
      <c r="AI7" s="128">
        <v>4283</v>
      </c>
      <c r="AJ7" s="57">
        <f t="shared" si="0"/>
        <v>2</v>
      </c>
    </row>
    <row r="8" spans="1:38">
      <c r="A8" s="4">
        <v>2</v>
      </c>
      <c r="B8" s="4" t="s">
        <v>129</v>
      </c>
      <c r="C8" s="141" t="s">
        <v>112</v>
      </c>
      <c r="D8" s="58">
        <v>1956</v>
      </c>
      <c r="E8" s="58">
        <v>1956</v>
      </c>
      <c r="F8" s="58">
        <v>1956</v>
      </c>
      <c r="G8" s="58">
        <v>1956</v>
      </c>
      <c r="H8" s="58">
        <v>1956</v>
      </c>
      <c r="I8" s="58">
        <v>1956</v>
      </c>
      <c r="J8" s="58">
        <v>1956</v>
      </c>
      <c r="K8" s="4">
        <v>1956</v>
      </c>
      <c r="L8" s="4">
        <v>1956</v>
      </c>
      <c r="M8" s="4">
        <v>1956</v>
      </c>
      <c r="N8" s="4">
        <v>1956</v>
      </c>
      <c r="O8" s="4">
        <v>1956</v>
      </c>
      <c r="P8" s="4">
        <v>1956</v>
      </c>
      <c r="Q8" s="4">
        <v>1956</v>
      </c>
      <c r="R8" s="4">
        <v>1956</v>
      </c>
      <c r="S8" s="4">
        <v>1956</v>
      </c>
      <c r="T8" s="4">
        <v>1956</v>
      </c>
      <c r="U8" s="4">
        <v>1956</v>
      </c>
      <c r="V8" s="4">
        <v>1956</v>
      </c>
      <c r="W8" s="4">
        <v>1956</v>
      </c>
      <c r="X8" s="4">
        <v>1956</v>
      </c>
      <c r="Y8" s="4">
        <v>1956</v>
      </c>
      <c r="Z8" s="4">
        <v>1956</v>
      </c>
      <c r="AA8" s="4">
        <v>1956</v>
      </c>
      <c r="AB8" s="4">
        <v>1956</v>
      </c>
      <c r="AC8" s="4">
        <v>1956</v>
      </c>
      <c r="AD8" s="4">
        <v>1956</v>
      </c>
      <c r="AE8" s="4">
        <v>1956</v>
      </c>
      <c r="AF8" s="4">
        <v>1956</v>
      </c>
      <c r="AG8" s="4">
        <v>1956</v>
      </c>
      <c r="AH8" s="58">
        <v>1956</v>
      </c>
      <c r="AI8" s="58">
        <v>1956</v>
      </c>
      <c r="AJ8" s="57">
        <f t="shared" si="0"/>
        <v>0</v>
      </c>
    </row>
    <row r="9" spans="1:38">
      <c r="A9" s="4"/>
      <c r="B9" s="4"/>
      <c r="C9" s="140" t="s">
        <v>22</v>
      </c>
      <c r="D9" s="58">
        <v>28.6</v>
      </c>
      <c r="E9" s="58">
        <v>28.6</v>
      </c>
      <c r="F9" s="58">
        <v>28.6</v>
      </c>
      <c r="G9" s="58">
        <v>28.6</v>
      </c>
      <c r="H9" s="58">
        <v>28.6</v>
      </c>
      <c r="I9" s="58">
        <v>28.6</v>
      </c>
      <c r="J9" s="58">
        <v>28.6</v>
      </c>
      <c r="K9" s="58">
        <v>28.6</v>
      </c>
      <c r="L9" s="58">
        <v>28.6</v>
      </c>
      <c r="M9" s="58">
        <v>28.6</v>
      </c>
      <c r="N9" s="4">
        <v>28.6</v>
      </c>
      <c r="O9" s="4">
        <v>28.6</v>
      </c>
      <c r="P9" s="4">
        <v>28.6</v>
      </c>
      <c r="Q9" s="4">
        <v>28.6</v>
      </c>
      <c r="R9" s="4">
        <v>28.6</v>
      </c>
      <c r="S9" s="4">
        <v>28.6</v>
      </c>
      <c r="T9" s="4">
        <v>28.6</v>
      </c>
      <c r="U9" s="4">
        <v>28.6</v>
      </c>
      <c r="V9" s="4">
        <v>28.6</v>
      </c>
      <c r="W9" s="4">
        <v>28.6</v>
      </c>
      <c r="X9" s="4">
        <v>28.6</v>
      </c>
      <c r="Y9" s="4">
        <v>28.6</v>
      </c>
      <c r="Z9" s="4">
        <v>28.6</v>
      </c>
      <c r="AA9" s="4">
        <v>28.6</v>
      </c>
      <c r="AB9" s="4">
        <v>28.6</v>
      </c>
      <c r="AC9" s="4">
        <v>28.6</v>
      </c>
      <c r="AD9" s="4">
        <v>28.6</v>
      </c>
      <c r="AE9" s="4">
        <v>28.6</v>
      </c>
      <c r="AF9" s="4">
        <v>28.6</v>
      </c>
      <c r="AG9" s="4">
        <v>28.6</v>
      </c>
      <c r="AH9" s="58">
        <v>28.6</v>
      </c>
      <c r="AI9" s="58">
        <v>28.6</v>
      </c>
      <c r="AJ9" s="57">
        <f t="shared" si="0"/>
        <v>0</v>
      </c>
    </row>
    <row r="10" spans="1:38">
      <c r="A10" s="4">
        <v>3</v>
      </c>
      <c r="B10" s="4" t="s">
        <v>129</v>
      </c>
      <c r="C10" s="141" t="s">
        <v>113</v>
      </c>
      <c r="D10" s="128">
        <v>243129</v>
      </c>
      <c r="E10" s="4">
        <v>243575</v>
      </c>
      <c r="F10" s="4">
        <v>243896</v>
      </c>
      <c r="G10" s="4">
        <v>244174</v>
      </c>
      <c r="H10" s="4">
        <v>244461</v>
      </c>
      <c r="I10" s="4">
        <v>244802</v>
      </c>
      <c r="J10" s="4">
        <v>245170</v>
      </c>
      <c r="K10" s="4">
        <v>245445</v>
      </c>
      <c r="L10" s="4">
        <v>245869</v>
      </c>
      <c r="M10" s="4">
        <v>246216</v>
      </c>
      <c r="N10" s="4">
        <v>246504</v>
      </c>
      <c r="O10" s="4">
        <v>246779</v>
      </c>
      <c r="P10" s="4">
        <v>247152</v>
      </c>
      <c r="Q10" s="4">
        <v>247513</v>
      </c>
      <c r="R10" s="4">
        <v>247865</v>
      </c>
      <c r="S10" s="4">
        <v>248225</v>
      </c>
      <c r="T10" s="4">
        <v>248562</v>
      </c>
      <c r="U10" s="4">
        <v>248834</v>
      </c>
      <c r="V10" s="4">
        <v>249125</v>
      </c>
      <c r="W10" s="4">
        <v>249483</v>
      </c>
      <c r="X10" s="4">
        <v>249876</v>
      </c>
      <c r="Y10" s="4">
        <v>250247</v>
      </c>
      <c r="Z10" s="4">
        <v>250652</v>
      </c>
      <c r="AA10" s="58">
        <v>250997</v>
      </c>
      <c r="AB10" s="58">
        <v>251294</v>
      </c>
      <c r="AC10" s="58">
        <v>251536</v>
      </c>
      <c r="AD10" s="4">
        <v>251816</v>
      </c>
      <c r="AE10" s="8">
        <v>252193</v>
      </c>
      <c r="AF10" s="8">
        <v>252566</v>
      </c>
      <c r="AG10" s="8">
        <v>252957</v>
      </c>
      <c r="AH10" s="128">
        <v>253301</v>
      </c>
      <c r="AI10" s="128">
        <v>253441</v>
      </c>
      <c r="AJ10" s="57">
        <f t="shared" si="0"/>
        <v>10312</v>
      </c>
      <c r="AL10" s="296"/>
    </row>
    <row r="11" spans="1:38">
      <c r="A11" s="4"/>
      <c r="B11" s="4"/>
      <c r="C11" s="140" t="s">
        <v>22</v>
      </c>
      <c r="D11" s="58">
        <v>6407</v>
      </c>
      <c r="E11" s="58">
        <v>6407</v>
      </c>
      <c r="F11" s="58">
        <v>6407</v>
      </c>
      <c r="G11" s="58">
        <v>6407</v>
      </c>
      <c r="H11" s="58">
        <v>6407</v>
      </c>
      <c r="I11" s="58">
        <v>6407</v>
      </c>
      <c r="J11" s="58">
        <v>6407</v>
      </c>
      <c r="K11" s="58">
        <v>6407</v>
      </c>
      <c r="L11" s="58">
        <v>6410</v>
      </c>
      <c r="M11" s="58">
        <v>6410</v>
      </c>
      <c r="N11" s="4">
        <v>6410</v>
      </c>
      <c r="O11" s="4">
        <v>6410</v>
      </c>
      <c r="P11" s="4">
        <v>6410</v>
      </c>
      <c r="Q11" s="4">
        <v>6410</v>
      </c>
      <c r="R11" s="4">
        <v>6410</v>
      </c>
      <c r="S11" s="4">
        <v>6410</v>
      </c>
      <c r="T11" s="4">
        <v>6410</v>
      </c>
      <c r="U11" s="4">
        <v>6410</v>
      </c>
      <c r="V11" s="4">
        <v>6410</v>
      </c>
      <c r="W11" s="4">
        <v>6410</v>
      </c>
      <c r="X11" s="4">
        <v>6410</v>
      </c>
      <c r="Y11" s="4">
        <v>6410</v>
      </c>
      <c r="Z11" s="4">
        <v>6410</v>
      </c>
      <c r="AA11" s="4">
        <v>6410</v>
      </c>
      <c r="AB11" s="4">
        <v>6410</v>
      </c>
      <c r="AC11" s="4">
        <v>6410</v>
      </c>
      <c r="AD11" s="4">
        <v>6410</v>
      </c>
      <c r="AE11" s="4">
        <v>6410</v>
      </c>
      <c r="AF11" s="4">
        <v>6410</v>
      </c>
      <c r="AG11" s="4">
        <v>6410</v>
      </c>
      <c r="AH11" s="58">
        <v>6410</v>
      </c>
      <c r="AI11" s="58">
        <v>6410</v>
      </c>
      <c r="AJ11" s="57">
        <f t="shared" si="0"/>
        <v>3</v>
      </c>
    </row>
    <row r="12" spans="1:38">
      <c r="A12" s="4">
        <v>4</v>
      </c>
      <c r="B12" s="4" t="s">
        <v>129</v>
      </c>
      <c r="C12" s="141" t="s">
        <v>114</v>
      </c>
      <c r="D12" s="58">
        <v>0</v>
      </c>
      <c r="E12" s="58">
        <v>0</v>
      </c>
      <c r="F12" s="58">
        <v>0</v>
      </c>
      <c r="G12" s="58">
        <v>0</v>
      </c>
      <c r="H12" s="58">
        <v>0</v>
      </c>
      <c r="I12" s="58">
        <v>0</v>
      </c>
      <c r="J12" s="58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58">
        <v>0</v>
      </c>
      <c r="AI12" s="58">
        <v>0</v>
      </c>
      <c r="AJ12" s="57">
        <f t="shared" si="0"/>
        <v>0</v>
      </c>
    </row>
    <row r="13" spans="1:38">
      <c r="A13" s="4"/>
      <c r="B13" s="4"/>
      <c r="C13" s="140" t="s">
        <v>22</v>
      </c>
      <c r="D13" s="58">
        <v>0</v>
      </c>
      <c r="E13" s="205">
        <v>0</v>
      </c>
      <c r="F13" s="205">
        <v>0</v>
      </c>
      <c r="G13" s="205">
        <v>0</v>
      </c>
      <c r="H13" s="205">
        <v>0</v>
      </c>
      <c r="I13" s="205">
        <v>0</v>
      </c>
      <c r="J13" s="205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58">
        <v>0</v>
      </c>
      <c r="AI13" s="58">
        <v>0</v>
      </c>
      <c r="AJ13" s="57">
        <f t="shared" si="0"/>
        <v>0</v>
      </c>
    </row>
    <row r="14" spans="1:38">
      <c r="A14" s="4">
        <v>5</v>
      </c>
      <c r="B14" s="4" t="s">
        <v>129</v>
      </c>
      <c r="C14" s="213" t="s">
        <v>115</v>
      </c>
      <c r="D14" s="200">
        <v>124335</v>
      </c>
      <c r="E14" s="59">
        <v>124585</v>
      </c>
      <c r="F14" s="4">
        <v>124796</v>
      </c>
      <c r="G14" s="4">
        <v>124964</v>
      </c>
      <c r="H14" s="4">
        <v>125134</v>
      </c>
      <c r="I14" s="4">
        <v>125372</v>
      </c>
      <c r="J14" s="4">
        <v>125627</v>
      </c>
      <c r="K14" s="4">
        <v>125881</v>
      </c>
      <c r="L14" s="4">
        <v>126122</v>
      </c>
      <c r="M14" s="4">
        <v>126356</v>
      </c>
      <c r="N14" s="4">
        <v>126518</v>
      </c>
      <c r="O14" s="4">
        <v>126682</v>
      </c>
      <c r="P14" s="4">
        <v>126945</v>
      </c>
      <c r="Q14" s="4">
        <v>127193</v>
      </c>
      <c r="R14" s="4">
        <v>127434</v>
      </c>
      <c r="S14" s="4">
        <v>127675</v>
      </c>
      <c r="T14" s="4">
        <v>127903</v>
      </c>
      <c r="U14" s="33">
        <v>128064</v>
      </c>
      <c r="V14" s="4">
        <v>128229</v>
      </c>
      <c r="W14" s="4">
        <v>128471</v>
      </c>
      <c r="X14" s="4">
        <v>128732</v>
      </c>
      <c r="Y14" s="4">
        <v>128989</v>
      </c>
      <c r="Z14" s="4">
        <v>129261</v>
      </c>
      <c r="AA14" s="58">
        <v>129494</v>
      </c>
      <c r="AB14" s="58">
        <v>129664</v>
      </c>
      <c r="AC14" s="58">
        <v>129801</v>
      </c>
      <c r="AD14" s="4">
        <v>129932</v>
      </c>
      <c r="AE14" s="33">
        <v>130183</v>
      </c>
      <c r="AF14" s="33">
        <v>130438</v>
      </c>
      <c r="AG14" s="33">
        <v>130712</v>
      </c>
      <c r="AH14" s="200">
        <v>130970</v>
      </c>
      <c r="AI14" s="200">
        <v>131062</v>
      </c>
      <c r="AJ14" s="57">
        <f t="shared" si="0"/>
        <v>6727</v>
      </c>
    </row>
    <row r="15" spans="1:38">
      <c r="A15" s="4"/>
      <c r="B15" s="4"/>
      <c r="C15" s="214" t="s">
        <v>22</v>
      </c>
      <c r="D15" s="205">
        <v>3278</v>
      </c>
      <c r="E15" s="215">
        <v>3278</v>
      </c>
      <c r="F15" s="215">
        <v>3278</v>
      </c>
      <c r="G15" s="215">
        <v>3278</v>
      </c>
      <c r="H15" s="215">
        <v>3278</v>
      </c>
      <c r="I15" s="215">
        <v>3278</v>
      </c>
      <c r="J15" s="215">
        <v>3278</v>
      </c>
      <c r="K15" s="215">
        <v>3278</v>
      </c>
      <c r="L15" s="215">
        <v>3280</v>
      </c>
      <c r="M15" s="215">
        <v>3280</v>
      </c>
      <c r="N15" s="60">
        <v>3280</v>
      </c>
      <c r="O15" s="60">
        <v>3280</v>
      </c>
      <c r="P15" s="60">
        <v>3280</v>
      </c>
      <c r="Q15" s="60">
        <v>3280</v>
      </c>
      <c r="R15" s="60">
        <v>3280</v>
      </c>
      <c r="S15" s="60">
        <v>3280</v>
      </c>
      <c r="T15" s="60">
        <v>3280</v>
      </c>
      <c r="U15" s="60">
        <v>3280</v>
      </c>
      <c r="V15" s="60">
        <v>3280</v>
      </c>
      <c r="W15" s="60">
        <v>3280</v>
      </c>
      <c r="X15" s="60">
        <v>3280</v>
      </c>
      <c r="Y15" s="60">
        <v>3280</v>
      </c>
      <c r="Z15" s="60">
        <v>3280</v>
      </c>
      <c r="AA15" s="60">
        <v>3280</v>
      </c>
      <c r="AB15" s="60">
        <v>3280</v>
      </c>
      <c r="AC15" s="60">
        <v>3280</v>
      </c>
      <c r="AD15" s="60">
        <v>3280</v>
      </c>
      <c r="AE15" s="60">
        <v>3280</v>
      </c>
      <c r="AF15" s="60">
        <v>3280</v>
      </c>
      <c r="AG15" s="60">
        <v>3280</v>
      </c>
      <c r="AH15" s="205">
        <v>3280</v>
      </c>
      <c r="AI15" s="205">
        <v>3280</v>
      </c>
      <c r="AJ15" s="57">
        <f t="shared" si="0"/>
        <v>2</v>
      </c>
    </row>
    <row r="16" spans="1:38">
      <c r="A16" s="4">
        <v>6</v>
      </c>
      <c r="B16" s="4" t="s">
        <v>129</v>
      </c>
      <c r="C16" s="213" t="s">
        <v>142</v>
      </c>
      <c r="D16" s="169">
        <v>141339</v>
      </c>
      <c r="E16" s="216">
        <v>141512</v>
      </c>
      <c r="F16" s="58">
        <v>141739</v>
      </c>
      <c r="G16" s="48">
        <v>141823</v>
      </c>
      <c r="H16" s="59">
        <v>141909</v>
      </c>
      <c r="I16" s="4">
        <v>142150</v>
      </c>
      <c r="J16" s="4">
        <v>142405</v>
      </c>
      <c r="K16" s="58">
        <v>142666</v>
      </c>
      <c r="L16" s="127">
        <v>142916</v>
      </c>
      <c r="M16" s="178">
        <v>143154</v>
      </c>
      <c r="N16" s="178">
        <v>143265</v>
      </c>
      <c r="O16" s="178">
        <v>143347</v>
      </c>
      <c r="P16" s="178">
        <v>143622</v>
      </c>
      <c r="Q16" s="179">
        <v>143821</v>
      </c>
      <c r="R16" s="178">
        <v>144124</v>
      </c>
      <c r="S16" s="59">
        <v>144356</v>
      </c>
      <c r="T16" s="4">
        <v>144588</v>
      </c>
      <c r="U16" s="4">
        <v>144670</v>
      </c>
      <c r="V16" s="4">
        <v>144766</v>
      </c>
      <c r="W16" s="4">
        <v>145026</v>
      </c>
      <c r="X16" s="4">
        <v>145298</v>
      </c>
      <c r="Y16" s="4">
        <v>145555</v>
      </c>
      <c r="Z16" s="4">
        <v>145854</v>
      </c>
      <c r="AA16" s="58">
        <v>146102</v>
      </c>
      <c r="AB16" s="58">
        <v>146207</v>
      </c>
      <c r="AC16" s="58">
        <v>146277</v>
      </c>
      <c r="AD16" s="58">
        <v>146364</v>
      </c>
      <c r="AE16" s="48">
        <v>146620</v>
      </c>
      <c r="AF16" s="48">
        <v>146903</v>
      </c>
      <c r="AG16" s="48">
        <v>147141</v>
      </c>
      <c r="AH16" s="169">
        <v>147399</v>
      </c>
      <c r="AI16" s="169">
        <v>147456</v>
      </c>
      <c r="AJ16" s="57">
        <f t="shared" si="0"/>
        <v>6117</v>
      </c>
    </row>
    <row r="17" spans="1:36">
      <c r="A17" s="4"/>
      <c r="B17" s="4"/>
      <c r="C17" s="214" t="s">
        <v>22</v>
      </c>
      <c r="D17" s="206">
        <v>4262</v>
      </c>
      <c r="E17" s="129">
        <v>4262</v>
      </c>
      <c r="F17" s="129">
        <v>4262</v>
      </c>
      <c r="G17" s="129">
        <v>4262</v>
      </c>
      <c r="H17" s="129">
        <v>4262</v>
      </c>
      <c r="I17" s="129">
        <v>4262</v>
      </c>
      <c r="J17" s="129">
        <v>4262</v>
      </c>
      <c r="K17" s="129">
        <v>4262</v>
      </c>
      <c r="L17" s="129">
        <v>4265</v>
      </c>
      <c r="M17" s="129">
        <v>4265</v>
      </c>
      <c r="N17" s="129">
        <v>4265</v>
      </c>
      <c r="O17" s="129">
        <v>4265</v>
      </c>
      <c r="P17" s="129">
        <v>4265</v>
      </c>
      <c r="Q17" s="129">
        <v>4265</v>
      </c>
      <c r="R17" s="129">
        <v>4265</v>
      </c>
      <c r="S17" s="129">
        <v>4265</v>
      </c>
      <c r="T17" s="129">
        <v>4265</v>
      </c>
      <c r="U17" s="129">
        <v>4265</v>
      </c>
      <c r="V17" s="129">
        <v>4265</v>
      </c>
      <c r="W17" s="129">
        <v>4265</v>
      </c>
      <c r="X17" s="129">
        <v>4265</v>
      </c>
      <c r="Y17" s="129">
        <v>4265</v>
      </c>
      <c r="Z17" s="129">
        <v>4265</v>
      </c>
      <c r="AA17" s="129">
        <v>4265</v>
      </c>
      <c r="AB17" s="129">
        <v>4265</v>
      </c>
      <c r="AC17" s="129">
        <v>4265</v>
      </c>
      <c r="AD17" s="129">
        <v>4265</v>
      </c>
      <c r="AE17" s="129">
        <v>4265</v>
      </c>
      <c r="AF17" s="129">
        <v>4265</v>
      </c>
      <c r="AG17" s="206">
        <v>4265</v>
      </c>
      <c r="AH17" s="48">
        <v>4265</v>
      </c>
      <c r="AI17" s="48">
        <v>4265</v>
      </c>
      <c r="AJ17" s="57">
        <f t="shared" si="0"/>
        <v>3</v>
      </c>
    </row>
    <row r="18" spans="1:36">
      <c r="A18" s="4">
        <v>7</v>
      </c>
      <c r="B18" s="4" t="s">
        <v>129</v>
      </c>
      <c r="C18" s="141" t="s">
        <v>117</v>
      </c>
      <c r="D18" s="128">
        <v>464366</v>
      </c>
      <c r="E18" s="4">
        <v>465312</v>
      </c>
      <c r="F18" s="4">
        <v>466032</v>
      </c>
      <c r="G18" s="4">
        <v>466646</v>
      </c>
      <c r="H18" s="4">
        <v>467230</v>
      </c>
      <c r="I18" s="4">
        <v>467963</v>
      </c>
      <c r="J18" s="4">
        <v>468778</v>
      </c>
      <c r="K18" s="4">
        <v>469606</v>
      </c>
      <c r="L18" s="4">
        <v>470375</v>
      </c>
      <c r="M18" s="4">
        <v>471146</v>
      </c>
      <c r="N18" s="5">
        <v>471740</v>
      </c>
      <c r="O18" s="4">
        <v>472262</v>
      </c>
      <c r="P18" s="4">
        <v>473083</v>
      </c>
      <c r="Q18" s="4">
        <v>473861</v>
      </c>
      <c r="R18" s="8">
        <v>474664</v>
      </c>
      <c r="S18" s="5">
        <v>475449</v>
      </c>
      <c r="T18" s="4">
        <v>476207</v>
      </c>
      <c r="U18" s="4">
        <v>476751</v>
      </c>
      <c r="V18" s="4">
        <v>477288</v>
      </c>
      <c r="W18" s="4">
        <v>478043</v>
      </c>
      <c r="X18" s="33">
        <v>478895</v>
      </c>
      <c r="Y18" s="4">
        <v>479694</v>
      </c>
      <c r="Z18" s="4">
        <v>480556</v>
      </c>
      <c r="AA18" s="58">
        <v>481336</v>
      </c>
      <c r="AB18" s="58">
        <v>481908</v>
      </c>
      <c r="AC18" s="58">
        <v>482373</v>
      </c>
      <c r="AD18" s="58">
        <v>482788</v>
      </c>
      <c r="AE18" s="48">
        <v>483581</v>
      </c>
      <c r="AF18" s="201">
        <v>483980</v>
      </c>
      <c r="AG18" s="8">
        <v>485211</v>
      </c>
      <c r="AH18" s="128">
        <v>485976</v>
      </c>
      <c r="AI18" s="128">
        <v>486295</v>
      </c>
      <c r="AJ18" s="57">
        <f t="shared" si="0"/>
        <v>21929</v>
      </c>
    </row>
    <row r="19" spans="1:36">
      <c r="A19" s="4"/>
      <c r="B19" s="4"/>
      <c r="C19" s="140" t="s">
        <v>22</v>
      </c>
      <c r="D19" s="58">
        <v>11607</v>
      </c>
      <c r="E19" s="4">
        <v>11607</v>
      </c>
      <c r="F19" s="4">
        <v>11607</v>
      </c>
      <c r="G19" s="4">
        <v>11607</v>
      </c>
      <c r="H19" s="4">
        <v>11607</v>
      </c>
      <c r="I19" s="4">
        <v>11607</v>
      </c>
      <c r="J19" s="4">
        <v>11607</v>
      </c>
      <c r="K19" s="4">
        <v>11607</v>
      </c>
      <c r="L19" s="4">
        <v>11614</v>
      </c>
      <c r="M19" s="4">
        <v>11614</v>
      </c>
      <c r="N19" s="4">
        <v>11614</v>
      </c>
      <c r="O19" s="4">
        <v>11614</v>
      </c>
      <c r="P19" s="4">
        <v>11614</v>
      </c>
      <c r="Q19" s="4">
        <v>11614</v>
      </c>
      <c r="R19" s="4">
        <v>11614</v>
      </c>
      <c r="S19" s="4">
        <v>11614</v>
      </c>
      <c r="T19" s="4">
        <v>11614</v>
      </c>
      <c r="U19" s="4">
        <v>11614</v>
      </c>
      <c r="V19" s="4">
        <v>11614</v>
      </c>
      <c r="W19" s="4">
        <v>11614</v>
      </c>
      <c r="X19" s="4">
        <v>11614</v>
      </c>
      <c r="Y19" s="4">
        <v>11614</v>
      </c>
      <c r="Z19" s="4">
        <v>11614</v>
      </c>
      <c r="AA19" s="4">
        <v>11614</v>
      </c>
      <c r="AB19" s="4">
        <v>11614</v>
      </c>
      <c r="AC19" s="4">
        <v>11614</v>
      </c>
      <c r="AD19" s="4">
        <v>11614</v>
      </c>
      <c r="AE19" s="4">
        <v>11614</v>
      </c>
      <c r="AF19" s="4">
        <v>11614</v>
      </c>
      <c r="AG19" s="4">
        <v>11614</v>
      </c>
      <c r="AH19" s="58">
        <v>11614</v>
      </c>
      <c r="AI19" s="58">
        <v>11614</v>
      </c>
      <c r="AJ19" s="57">
        <f t="shared" si="0"/>
        <v>7</v>
      </c>
    </row>
    <row r="20" spans="1:36">
      <c r="A20" s="4">
        <v>8</v>
      </c>
      <c r="B20" s="4" t="s">
        <v>129</v>
      </c>
      <c r="C20" s="141" t="s">
        <v>118</v>
      </c>
      <c r="D20" s="128">
        <v>91210</v>
      </c>
      <c r="E20" s="4">
        <v>91368</v>
      </c>
      <c r="F20" s="4">
        <v>91476</v>
      </c>
      <c r="G20" s="4">
        <v>91575</v>
      </c>
      <c r="H20" s="4">
        <v>91664</v>
      </c>
      <c r="I20" s="4">
        <v>91769</v>
      </c>
      <c r="J20" s="4">
        <v>91874</v>
      </c>
      <c r="K20" s="4">
        <v>92000</v>
      </c>
      <c r="L20" s="4">
        <v>92104</v>
      </c>
      <c r="M20" s="4">
        <v>92220</v>
      </c>
      <c r="N20" s="4">
        <v>92312</v>
      </c>
      <c r="O20" s="4">
        <v>92403</v>
      </c>
      <c r="P20" s="4">
        <v>92513</v>
      </c>
      <c r="Q20" s="4">
        <v>92637</v>
      </c>
      <c r="R20" s="4">
        <v>92742</v>
      </c>
      <c r="S20" s="4">
        <v>92855</v>
      </c>
      <c r="T20" s="4">
        <v>92959</v>
      </c>
      <c r="U20" s="4">
        <v>93061</v>
      </c>
      <c r="V20" s="4">
        <v>93157</v>
      </c>
      <c r="W20" s="4">
        <v>93276</v>
      </c>
      <c r="X20" s="4">
        <v>93391</v>
      </c>
      <c r="Y20" s="4">
        <v>93515</v>
      </c>
      <c r="Z20" s="4">
        <v>93639</v>
      </c>
      <c r="AA20" s="8">
        <v>93756</v>
      </c>
      <c r="AB20" s="8">
        <v>93851</v>
      </c>
      <c r="AC20" s="4">
        <v>93931</v>
      </c>
      <c r="AD20" s="4">
        <v>94016</v>
      </c>
      <c r="AE20" s="8">
        <v>94138</v>
      </c>
      <c r="AF20" s="8">
        <v>94253</v>
      </c>
      <c r="AG20" s="8">
        <v>94373</v>
      </c>
      <c r="AH20" s="128">
        <v>94479</v>
      </c>
      <c r="AI20" s="128">
        <v>94542</v>
      </c>
      <c r="AJ20" s="57">
        <f t="shared" si="0"/>
        <v>3332</v>
      </c>
    </row>
    <row r="21" spans="1:36">
      <c r="A21" s="4"/>
      <c r="B21" s="4"/>
      <c r="C21" s="140" t="s">
        <v>22</v>
      </c>
      <c r="D21" s="58">
        <v>2213</v>
      </c>
      <c r="E21" s="4">
        <v>2213</v>
      </c>
      <c r="F21" s="4">
        <v>2213</v>
      </c>
      <c r="G21" s="4">
        <v>2213</v>
      </c>
      <c r="H21" s="4">
        <v>2213</v>
      </c>
      <c r="I21" s="4">
        <v>2213</v>
      </c>
      <c r="J21" s="4">
        <v>2213</v>
      </c>
      <c r="K21" s="4">
        <v>2213</v>
      </c>
      <c r="L21" s="4">
        <v>2214</v>
      </c>
      <c r="M21" s="4">
        <v>2214</v>
      </c>
      <c r="N21" s="4">
        <v>2214</v>
      </c>
      <c r="O21" s="4">
        <v>2214</v>
      </c>
      <c r="P21" s="4">
        <v>2214</v>
      </c>
      <c r="Q21" s="4">
        <v>2214</v>
      </c>
      <c r="R21" s="4">
        <v>2214</v>
      </c>
      <c r="S21" s="4">
        <v>2214</v>
      </c>
      <c r="T21" s="4">
        <v>2214</v>
      </c>
      <c r="U21" s="4">
        <v>2214</v>
      </c>
      <c r="V21" s="4">
        <v>2214</v>
      </c>
      <c r="W21" s="4">
        <v>2214</v>
      </c>
      <c r="X21" s="4">
        <v>2214</v>
      </c>
      <c r="Y21" s="4">
        <v>2214</v>
      </c>
      <c r="Z21" s="4">
        <v>2214</v>
      </c>
      <c r="AA21" s="4">
        <v>2214</v>
      </c>
      <c r="AB21" s="4">
        <v>2214</v>
      </c>
      <c r="AC21" s="4">
        <v>2214</v>
      </c>
      <c r="AD21" s="4">
        <v>2214</v>
      </c>
      <c r="AE21" s="4">
        <v>2214</v>
      </c>
      <c r="AF21" s="4">
        <v>2214</v>
      </c>
      <c r="AG21" s="4">
        <v>2214</v>
      </c>
      <c r="AH21" s="58">
        <v>2214</v>
      </c>
      <c r="AI21" s="58">
        <v>2214</v>
      </c>
      <c r="AJ21" s="57">
        <f t="shared" si="0"/>
        <v>1</v>
      </c>
    </row>
    <row r="22" spans="1:36">
      <c r="A22" s="503"/>
      <c r="B22" s="504"/>
      <c r="C22" s="504"/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4"/>
      <c r="W22" s="504"/>
      <c r="X22" s="504"/>
      <c r="Y22" s="504"/>
      <c r="Z22" s="504"/>
      <c r="AA22" s="504"/>
      <c r="AB22" s="504"/>
      <c r="AC22" s="504"/>
      <c r="AD22" s="504"/>
      <c r="AE22" s="504"/>
      <c r="AF22" s="504"/>
      <c r="AG22" s="504"/>
      <c r="AH22" s="504"/>
      <c r="AI22" s="504"/>
      <c r="AJ22" s="501"/>
    </row>
    <row r="23" spans="1:36">
      <c r="A23" s="4">
        <v>1</v>
      </c>
      <c r="B23" s="4" t="s">
        <v>129</v>
      </c>
      <c r="C23" s="141" t="s">
        <v>119</v>
      </c>
      <c r="D23" s="128">
        <v>45884</v>
      </c>
      <c r="E23" s="4">
        <v>45956</v>
      </c>
      <c r="F23" s="4">
        <v>46034</v>
      </c>
      <c r="G23" s="4">
        <v>46035</v>
      </c>
      <c r="H23" s="4">
        <v>46036</v>
      </c>
      <c r="I23" s="4">
        <v>46168</v>
      </c>
      <c r="J23" s="4">
        <v>46326</v>
      </c>
      <c r="K23" s="4">
        <v>46500</v>
      </c>
      <c r="L23" s="4">
        <v>46669</v>
      </c>
      <c r="M23" s="4">
        <v>46854</v>
      </c>
      <c r="N23" s="4">
        <v>46988</v>
      </c>
      <c r="O23" s="4">
        <v>46988</v>
      </c>
      <c r="P23" s="4">
        <v>47119</v>
      </c>
      <c r="Q23" s="4">
        <v>47283</v>
      </c>
      <c r="R23" s="4">
        <v>47431</v>
      </c>
      <c r="S23" s="4">
        <v>47533</v>
      </c>
      <c r="T23" s="4">
        <v>47647</v>
      </c>
      <c r="U23" s="4">
        <v>47663</v>
      </c>
      <c r="V23" s="4">
        <v>47663</v>
      </c>
      <c r="W23" s="4">
        <v>47817</v>
      </c>
      <c r="X23" s="4">
        <v>47993</v>
      </c>
      <c r="Y23" s="4">
        <v>48183</v>
      </c>
      <c r="Z23" s="4">
        <v>48377</v>
      </c>
      <c r="AA23" s="4">
        <v>48545</v>
      </c>
      <c r="AB23" s="4">
        <v>48550</v>
      </c>
      <c r="AC23" s="4">
        <v>48591</v>
      </c>
      <c r="AD23" s="4">
        <v>48591</v>
      </c>
      <c r="AE23" s="4">
        <v>48741</v>
      </c>
      <c r="AF23" s="4">
        <v>48911</v>
      </c>
      <c r="AG23" s="4">
        <v>49041</v>
      </c>
      <c r="AH23" s="128">
        <v>49203</v>
      </c>
      <c r="AI23" s="128">
        <v>49293</v>
      </c>
      <c r="AJ23" s="57">
        <f t="shared" ref="AJ23:AJ30" si="1">AI23-D23</f>
        <v>3409</v>
      </c>
    </row>
    <row r="24" spans="1:36">
      <c r="A24" s="4"/>
      <c r="B24" s="4"/>
      <c r="C24" s="142" t="s">
        <v>22</v>
      </c>
      <c r="D24" s="58">
        <v>1921</v>
      </c>
      <c r="E24" s="4">
        <v>1921</v>
      </c>
      <c r="F24" s="4">
        <v>1921</v>
      </c>
      <c r="G24" s="4">
        <v>1921</v>
      </c>
      <c r="H24" s="4">
        <v>1921</v>
      </c>
      <c r="I24" s="4">
        <v>1921</v>
      </c>
      <c r="J24" s="4">
        <v>1921</v>
      </c>
      <c r="K24" s="4">
        <v>1921</v>
      </c>
      <c r="L24" s="4">
        <v>1921</v>
      </c>
      <c r="M24" s="4">
        <v>1921</v>
      </c>
      <c r="N24" s="4">
        <v>1921</v>
      </c>
      <c r="O24" s="4">
        <v>1921</v>
      </c>
      <c r="P24" s="4">
        <v>1921</v>
      </c>
      <c r="Q24" s="4">
        <v>1921</v>
      </c>
      <c r="R24" s="4">
        <v>1921</v>
      </c>
      <c r="S24" s="33">
        <v>1921</v>
      </c>
      <c r="T24" s="33">
        <v>1921</v>
      </c>
      <c r="U24" s="33">
        <v>1921</v>
      </c>
      <c r="V24" s="33">
        <v>1921</v>
      </c>
      <c r="W24" s="33">
        <v>1921</v>
      </c>
      <c r="X24" s="33">
        <v>1921</v>
      </c>
      <c r="Y24" s="33">
        <v>1921</v>
      </c>
      <c r="Z24" s="33">
        <v>1921</v>
      </c>
      <c r="AA24" s="33">
        <v>1921</v>
      </c>
      <c r="AB24" s="33">
        <v>1921</v>
      </c>
      <c r="AC24" s="33">
        <v>1921</v>
      </c>
      <c r="AD24" s="33">
        <v>1921</v>
      </c>
      <c r="AE24" s="33">
        <v>1921</v>
      </c>
      <c r="AF24" s="4">
        <v>1921</v>
      </c>
      <c r="AG24" s="4">
        <v>1921</v>
      </c>
      <c r="AH24" s="58">
        <v>1921</v>
      </c>
      <c r="AI24" s="58">
        <v>1923</v>
      </c>
      <c r="AJ24" s="57">
        <f t="shared" si="1"/>
        <v>2</v>
      </c>
    </row>
    <row r="25" spans="1:36">
      <c r="A25" s="4">
        <v>2</v>
      </c>
      <c r="B25" s="4" t="s">
        <v>129</v>
      </c>
      <c r="C25" s="141" t="s">
        <v>120</v>
      </c>
      <c r="D25" s="128">
        <v>49831</v>
      </c>
      <c r="E25" s="4">
        <v>49898</v>
      </c>
      <c r="F25" s="4">
        <v>49975</v>
      </c>
      <c r="G25" s="4">
        <v>49975</v>
      </c>
      <c r="H25" s="4">
        <v>49976</v>
      </c>
      <c r="I25" s="4">
        <v>50106</v>
      </c>
      <c r="J25" s="4">
        <v>50212</v>
      </c>
      <c r="K25" s="4">
        <v>50337</v>
      </c>
      <c r="L25" s="4">
        <v>50439</v>
      </c>
      <c r="M25" s="4">
        <v>50561</v>
      </c>
      <c r="N25" s="4">
        <v>50696</v>
      </c>
      <c r="O25" s="4">
        <v>50696</v>
      </c>
      <c r="P25" s="4">
        <v>50817</v>
      </c>
      <c r="Q25" s="4">
        <v>50933</v>
      </c>
      <c r="R25" s="4">
        <v>51051</v>
      </c>
      <c r="S25" s="4">
        <v>51187</v>
      </c>
      <c r="T25" s="4">
        <v>51319</v>
      </c>
      <c r="U25" s="4">
        <v>51344</v>
      </c>
      <c r="V25" s="4">
        <v>51344</v>
      </c>
      <c r="W25" s="4">
        <v>51515</v>
      </c>
      <c r="X25" s="4">
        <v>51678</v>
      </c>
      <c r="Y25" s="4">
        <v>51832</v>
      </c>
      <c r="Z25" s="4">
        <v>51980</v>
      </c>
      <c r="AA25" s="4">
        <v>52160</v>
      </c>
      <c r="AB25" s="4">
        <v>52169</v>
      </c>
      <c r="AC25" s="4">
        <v>52169</v>
      </c>
      <c r="AD25" s="4">
        <v>52169</v>
      </c>
      <c r="AE25" s="4">
        <v>52358</v>
      </c>
      <c r="AF25" s="4">
        <v>52550</v>
      </c>
      <c r="AG25" s="4">
        <v>52686</v>
      </c>
      <c r="AH25" s="128">
        <v>52866</v>
      </c>
      <c r="AI25" s="128">
        <v>52906</v>
      </c>
      <c r="AJ25" s="57">
        <f t="shared" si="1"/>
        <v>3075</v>
      </c>
    </row>
    <row r="26" spans="1:36">
      <c r="A26" s="4"/>
      <c r="B26" s="4"/>
      <c r="C26" s="142" t="s">
        <v>22</v>
      </c>
      <c r="D26" s="58">
        <v>1909</v>
      </c>
      <c r="E26" s="4">
        <v>1909</v>
      </c>
      <c r="F26" s="4">
        <v>1909</v>
      </c>
      <c r="G26" s="4">
        <v>1909</v>
      </c>
      <c r="H26" s="4">
        <v>1909</v>
      </c>
      <c r="I26" s="4">
        <v>1909</v>
      </c>
      <c r="J26" s="4">
        <v>1909</v>
      </c>
      <c r="K26" s="4">
        <v>1909</v>
      </c>
      <c r="L26" s="4">
        <v>1909</v>
      </c>
      <c r="M26" s="4">
        <v>1909</v>
      </c>
      <c r="N26" s="4">
        <v>1909</v>
      </c>
      <c r="O26" s="4">
        <v>1909</v>
      </c>
      <c r="P26" s="4">
        <v>1909</v>
      </c>
      <c r="Q26" s="4">
        <v>1909</v>
      </c>
      <c r="R26" s="4">
        <v>1909</v>
      </c>
      <c r="S26" s="4">
        <v>1909</v>
      </c>
      <c r="T26" s="4">
        <v>1909</v>
      </c>
      <c r="U26" s="4">
        <v>1909</v>
      </c>
      <c r="V26" s="4">
        <v>1909</v>
      </c>
      <c r="W26" s="4">
        <v>1909</v>
      </c>
      <c r="X26" s="4">
        <v>1909</v>
      </c>
      <c r="Y26" s="4">
        <v>1909</v>
      </c>
      <c r="Z26" s="4">
        <v>1909</v>
      </c>
      <c r="AA26" s="4">
        <v>1909</v>
      </c>
      <c r="AB26" s="4">
        <v>1909</v>
      </c>
      <c r="AC26" s="4">
        <v>1909</v>
      </c>
      <c r="AD26" s="4">
        <v>1909</v>
      </c>
      <c r="AE26" s="4">
        <v>1909</v>
      </c>
      <c r="AF26" s="4">
        <v>1909</v>
      </c>
      <c r="AG26" s="4">
        <v>1909</v>
      </c>
      <c r="AH26" s="58">
        <v>1909</v>
      </c>
      <c r="AI26" s="58">
        <v>1911</v>
      </c>
      <c r="AJ26" s="57">
        <f t="shared" si="1"/>
        <v>2</v>
      </c>
    </row>
    <row r="27" spans="1:36">
      <c r="A27" s="4">
        <v>3</v>
      </c>
      <c r="B27" s="4" t="s">
        <v>129</v>
      </c>
      <c r="C27" s="141" t="s">
        <v>121</v>
      </c>
      <c r="D27" s="58">
        <v>61348</v>
      </c>
      <c r="E27" s="4">
        <v>61462</v>
      </c>
      <c r="F27" s="4">
        <v>61643</v>
      </c>
      <c r="G27" s="4">
        <v>61826</v>
      </c>
      <c r="H27" s="4">
        <v>62019</v>
      </c>
      <c r="I27" s="4">
        <v>62207</v>
      </c>
      <c r="J27" s="4">
        <v>62379</v>
      </c>
      <c r="K27" s="4">
        <v>62571</v>
      </c>
      <c r="L27" s="4">
        <v>62755</v>
      </c>
      <c r="M27" s="4">
        <v>62940</v>
      </c>
      <c r="N27" s="4">
        <v>63129</v>
      </c>
      <c r="O27" s="4">
        <v>63316</v>
      </c>
      <c r="P27" s="4">
        <v>63513</v>
      </c>
      <c r="Q27" s="4">
        <v>63698</v>
      </c>
      <c r="R27" s="4">
        <v>63883</v>
      </c>
      <c r="S27" s="4">
        <v>64023</v>
      </c>
      <c r="T27" s="4">
        <v>64218</v>
      </c>
      <c r="U27" s="4">
        <v>64320</v>
      </c>
      <c r="V27" s="4">
        <v>64320</v>
      </c>
      <c r="W27" s="4">
        <v>64476</v>
      </c>
      <c r="X27" s="4">
        <v>64662</v>
      </c>
      <c r="Y27" s="4">
        <v>64838</v>
      </c>
      <c r="Z27" s="4">
        <v>65003</v>
      </c>
      <c r="AA27" s="4">
        <v>65158</v>
      </c>
      <c r="AB27" s="4">
        <v>65332</v>
      </c>
      <c r="AC27" s="4">
        <v>65380</v>
      </c>
      <c r="AD27" s="4">
        <v>65380</v>
      </c>
      <c r="AE27" s="4">
        <v>65510</v>
      </c>
      <c r="AF27" s="4">
        <v>65667</v>
      </c>
      <c r="AG27" s="4">
        <v>65778</v>
      </c>
      <c r="AH27" s="58">
        <v>65894</v>
      </c>
      <c r="AI27" s="58">
        <v>65921</v>
      </c>
      <c r="AJ27" s="57">
        <f t="shared" si="1"/>
        <v>4573</v>
      </c>
    </row>
    <row r="28" spans="1:36">
      <c r="A28" s="4"/>
      <c r="B28" s="4"/>
      <c r="C28" s="142" t="s">
        <v>22</v>
      </c>
      <c r="D28" s="58">
        <v>2065</v>
      </c>
      <c r="E28" s="4">
        <v>2065</v>
      </c>
      <c r="F28" s="4">
        <v>2065</v>
      </c>
      <c r="G28" s="4">
        <v>2065</v>
      </c>
      <c r="H28" s="4">
        <v>2065</v>
      </c>
      <c r="I28" s="4">
        <v>2065</v>
      </c>
      <c r="J28" s="4">
        <v>2065</v>
      </c>
      <c r="K28" s="4">
        <v>2065</v>
      </c>
      <c r="L28" s="4">
        <v>2065</v>
      </c>
      <c r="M28" s="4">
        <v>2065</v>
      </c>
      <c r="N28" s="4">
        <v>2065</v>
      </c>
      <c r="O28" s="4">
        <v>2065</v>
      </c>
      <c r="P28" s="4">
        <v>2065</v>
      </c>
      <c r="Q28" s="4">
        <v>2065</v>
      </c>
      <c r="R28" s="4">
        <v>2065</v>
      </c>
      <c r="S28" s="4">
        <v>2065</v>
      </c>
      <c r="T28" s="4">
        <v>2065</v>
      </c>
      <c r="U28" s="4">
        <v>2065</v>
      </c>
      <c r="V28" s="4">
        <v>2065</v>
      </c>
      <c r="W28" s="4">
        <v>2065</v>
      </c>
      <c r="X28" s="4">
        <v>2065</v>
      </c>
      <c r="Y28" s="4">
        <v>2065</v>
      </c>
      <c r="Z28" s="4">
        <v>2065</v>
      </c>
      <c r="AA28" s="4">
        <v>2065</v>
      </c>
      <c r="AB28" s="4">
        <v>2065</v>
      </c>
      <c r="AC28" s="4">
        <v>2065</v>
      </c>
      <c r="AD28" s="4">
        <v>2065</v>
      </c>
      <c r="AE28" s="4">
        <v>2065</v>
      </c>
      <c r="AF28" s="4">
        <v>2065</v>
      </c>
      <c r="AG28" s="4">
        <v>2065</v>
      </c>
      <c r="AH28" s="58">
        <v>2065</v>
      </c>
      <c r="AI28" s="58">
        <v>2068</v>
      </c>
      <c r="AJ28" s="57">
        <f t="shared" si="1"/>
        <v>3</v>
      </c>
    </row>
    <row r="29" spans="1:36">
      <c r="A29" s="4">
        <v>4</v>
      </c>
      <c r="B29" s="4" t="s">
        <v>129</v>
      </c>
      <c r="C29" s="141" t="s">
        <v>122</v>
      </c>
      <c r="D29" s="128">
        <v>41608</v>
      </c>
      <c r="E29" s="4">
        <v>41614</v>
      </c>
      <c r="F29" s="4">
        <v>41801</v>
      </c>
      <c r="G29" s="4">
        <v>41801</v>
      </c>
      <c r="H29" s="4">
        <v>41803</v>
      </c>
      <c r="I29" s="4">
        <v>41944</v>
      </c>
      <c r="J29" s="4">
        <v>42061</v>
      </c>
      <c r="K29" s="4">
        <v>42189</v>
      </c>
      <c r="L29" s="4">
        <v>42289</v>
      </c>
      <c r="M29" s="4">
        <v>42385</v>
      </c>
      <c r="N29" s="4">
        <v>42438</v>
      </c>
      <c r="O29" s="4">
        <v>42438</v>
      </c>
      <c r="P29" s="4">
        <v>42517</v>
      </c>
      <c r="Q29" s="4">
        <v>42592</v>
      </c>
      <c r="R29" s="4">
        <v>42660</v>
      </c>
      <c r="S29" s="4">
        <v>42767</v>
      </c>
      <c r="T29" s="4">
        <v>42819</v>
      </c>
      <c r="U29" s="4">
        <v>42819</v>
      </c>
      <c r="V29" s="4">
        <v>42819</v>
      </c>
      <c r="W29" s="4">
        <v>42952</v>
      </c>
      <c r="X29" s="4">
        <v>43006</v>
      </c>
      <c r="Y29" s="4">
        <v>43051</v>
      </c>
      <c r="Z29" s="4">
        <v>43093</v>
      </c>
      <c r="AA29" s="4">
        <v>43139</v>
      </c>
      <c r="AB29" s="4">
        <v>43139</v>
      </c>
      <c r="AC29" s="4">
        <v>43139</v>
      </c>
      <c r="AD29" s="4">
        <v>43139</v>
      </c>
      <c r="AE29" s="4">
        <v>43253</v>
      </c>
      <c r="AF29" s="4">
        <v>43300</v>
      </c>
      <c r="AG29" s="4">
        <v>43397</v>
      </c>
      <c r="AH29" s="128">
        <v>43502</v>
      </c>
      <c r="AI29" s="128">
        <v>43502</v>
      </c>
      <c r="AJ29" s="57">
        <f t="shared" si="1"/>
        <v>1894</v>
      </c>
    </row>
    <row r="30" spans="1:36">
      <c r="A30" s="4"/>
      <c r="B30" s="4"/>
      <c r="C30" s="142" t="s">
        <v>22</v>
      </c>
      <c r="D30" s="58">
        <v>1786</v>
      </c>
      <c r="E30" s="4">
        <v>1786</v>
      </c>
      <c r="F30" s="4">
        <v>1786</v>
      </c>
      <c r="G30" s="4">
        <v>1786</v>
      </c>
      <c r="H30" s="4">
        <v>1786</v>
      </c>
      <c r="I30" s="4">
        <v>1786</v>
      </c>
      <c r="J30" s="4">
        <v>1786</v>
      </c>
      <c r="K30" s="4">
        <v>1786</v>
      </c>
      <c r="L30" s="4">
        <v>1786</v>
      </c>
      <c r="M30" s="4">
        <v>1786</v>
      </c>
      <c r="N30" s="4">
        <v>1786</v>
      </c>
      <c r="O30" s="4">
        <v>1786</v>
      </c>
      <c r="P30" s="4">
        <v>1786</v>
      </c>
      <c r="Q30" s="4">
        <v>1786</v>
      </c>
      <c r="R30" s="4">
        <v>1786</v>
      </c>
      <c r="S30" s="4">
        <v>1786</v>
      </c>
      <c r="T30" s="4">
        <v>1786</v>
      </c>
      <c r="U30" s="4">
        <v>1786</v>
      </c>
      <c r="V30" s="4">
        <v>1786</v>
      </c>
      <c r="W30" s="4">
        <v>1786</v>
      </c>
      <c r="X30" s="4">
        <v>1786</v>
      </c>
      <c r="Y30" s="4">
        <v>1786</v>
      </c>
      <c r="Z30" s="4">
        <v>1786</v>
      </c>
      <c r="AA30" s="4">
        <v>1786</v>
      </c>
      <c r="AB30" s="4">
        <v>1786</v>
      </c>
      <c r="AC30" s="4">
        <v>1786</v>
      </c>
      <c r="AD30" s="4">
        <v>1786</v>
      </c>
      <c r="AE30" s="4">
        <v>1786</v>
      </c>
      <c r="AF30" s="4">
        <v>1786</v>
      </c>
      <c r="AG30" s="4">
        <v>1786</v>
      </c>
      <c r="AH30" s="58">
        <v>1786</v>
      </c>
      <c r="AI30" s="58">
        <v>1788</v>
      </c>
      <c r="AJ30" s="57">
        <f t="shared" si="1"/>
        <v>2</v>
      </c>
    </row>
    <row r="31" spans="1:36">
      <c r="A31" s="564"/>
      <c r="B31" s="504"/>
      <c r="C31" s="504"/>
      <c r="D31" s="504"/>
      <c r="E31" s="504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4"/>
      <c r="AH31" s="504"/>
      <c r="AI31" s="504"/>
      <c r="AJ31" s="501"/>
    </row>
    <row r="32" spans="1:36">
      <c r="A32" s="4">
        <v>1</v>
      </c>
      <c r="B32" s="4" t="s">
        <v>129</v>
      </c>
      <c r="C32" s="141" t="s">
        <v>123</v>
      </c>
      <c r="D32" s="207">
        <v>388786</v>
      </c>
      <c r="E32" s="44">
        <v>388786</v>
      </c>
      <c r="F32" s="150">
        <v>388989</v>
      </c>
      <c r="G32" s="150">
        <v>388997</v>
      </c>
      <c r="H32" s="150">
        <v>388997</v>
      </c>
      <c r="I32" s="44">
        <v>389234</v>
      </c>
      <c r="J32" s="150">
        <v>389479</v>
      </c>
      <c r="K32" s="150">
        <v>389717</v>
      </c>
      <c r="L32" s="150">
        <v>389974</v>
      </c>
      <c r="M32" s="44">
        <v>390145</v>
      </c>
      <c r="N32" s="150">
        <v>390320</v>
      </c>
      <c r="O32" s="150">
        <v>390320</v>
      </c>
      <c r="P32" s="150">
        <v>390507</v>
      </c>
      <c r="Q32" s="44">
        <v>390801</v>
      </c>
      <c r="R32" s="150">
        <v>391035</v>
      </c>
      <c r="S32" s="150">
        <v>391137</v>
      </c>
      <c r="T32" s="150">
        <v>391284</v>
      </c>
      <c r="U32" s="44">
        <v>391340</v>
      </c>
      <c r="V32" s="150">
        <v>391340</v>
      </c>
      <c r="W32" s="150">
        <v>391655</v>
      </c>
      <c r="X32" s="150">
        <v>392070</v>
      </c>
      <c r="Y32" s="44">
        <v>392394</v>
      </c>
      <c r="Z32" s="150">
        <v>392730</v>
      </c>
      <c r="AA32" s="150">
        <v>392957</v>
      </c>
      <c r="AB32" s="150">
        <v>393032</v>
      </c>
      <c r="AC32" s="44">
        <v>393033</v>
      </c>
      <c r="AD32" s="150">
        <v>393033</v>
      </c>
      <c r="AE32" s="150">
        <v>393302</v>
      </c>
      <c r="AF32" s="150">
        <v>393652</v>
      </c>
      <c r="AG32" s="44">
        <v>393962</v>
      </c>
      <c r="AH32" s="207">
        <v>394254</v>
      </c>
      <c r="AI32" s="207">
        <v>394335</v>
      </c>
      <c r="AJ32" s="57">
        <f>AI32-D32</f>
        <v>5549</v>
      </c>
    </row>
    <row r="33" spans="1:37">
      <c r="A33" s="4">
        <v>2</v>
      </c>
      <c r="B33" s="4" t="s">
        <v>129</v>
      </c>
      <c r="C33" s="141" t="s">
        <v>124</v>
      </c>
      <c r="D33" s="207">
        <v>364801</v>
      </c>
      <c r="E33" s="150">
        <v>364801</v>
      </c>
      <c r="F33" s="150">
        <v>364942</v>
      </c>
      <c r="G33" s="150">
        <v>364942</v>
      </c>
      <c r="H33" s="150">
        <v>364942</v>
      </c>
      <c r="I33" s="150">
        <v>365152</v>
      </c>
      <c r="J33" s="150">
        <v>365356</v>
      </c>
      <c r="K33" s="150">
        <v>365548</v>
      </c>
      <c r="L33" s="150">
        <v>365752</v>
      </c>
      <c r="M33" s="150">
        <v>365874</v>
      </c>
      <c r="N33" s="150">
        <v>366053</v>
      </c>
      <c r="O33" s="150">
        <v>366084</v>
      </c>
      <c r="P33" s="150">
        <v>366288</v>
      </c>
      <c r="Q33" s="150">
        <v>366462</v>
      </c>
      <c r="R33" s="150">
        <v>366716</v>
      </c>
      <c r="S33" s="150">
        <v>366938</v>
      </c>
      <c r="T33" s="150">
        <v>367126</v>
      </c>
      <c r="U33" s="150">
        <v>367174</v>
      </c>
      <c r="V33" s="150">
        <v>367174</v>
      </c>
      <c r="W33" s="150">
        <v>367527</v>
      </c>
      <c r="X33" s="150">
        <v>367906</v>
      </c>
      <c r="Y33" s="150">
        <v>367906</v>
      </c>
      <c r="Z33" s="150">
        <v>368686</v>
      </c>
      <c r="AA33" s="150">
        <v>368931</v>
      </c>
      <c r="AB33" s="150">
        <v>369007</v>
      </c>
      <c r="AC33" s="150">
        <v>369007</v>
      </c>
      <c r="AD33" s="150">
        <v>369007</v>
      </c>
      <c r="AE33" s="150">
        <v>369310</v>
      </c>
      <c r="AF33" s="150">
        <v>369718</v>
      </c>
      <c r="AG33" s="150">
        <v>369986</v>
      </c>
      <c r="AH33" s="207">
        <v>370271</v>
      </c>
      <c r="AI33" s="207">
        <v>370360</v>
      </c>
      <c r="AJ33" s="57">
        <f>AI33-D33</f>
        <v>5559</v>
      </c>
    </row>
    <row r="34" spans="1:37">
      <c r="A34" s="4">
        <v>3</v>
      </c>
      <c r="B34" s="4" t="s">
        <v>129</v>
      </c>
      <c r="C34" s="141" t="s">
        <v>125</v>
      </c>
      <c r="D34" s="207">
        <v>391409</v>
      </c>
      <c r="E34" s="150">
        <v>391409</v>
      </c>
      <c r="F34" s="150">
        <v>391825</v>
      </c>
      <c r="G34" s="150">
        <v>392013</v>
      </c>
      <c r="H34" s="150">
        <v>392117</v>
      </c>
      <c r="I34" s="150">
        <v>392377</v>
      </c>
      <c r="J34" s="150">
        <v>392724</v>
      </c>
      <c r="K34" s="150">
        <v>393049</v>
      </c>
      <c r="L34" s="150">
        <v>393382</v>
      </c>
      <c r="M34" s="150">
        <v>393636</v>
      </c>
      <c r="N34" s="150">
        <v>393926</v>
      </c>
      <c r="O34" s="150">
        <v>394110</v>
      </c>
      <c r="P34" s="150">
        <v>394364</v>
      </c>
      <c r="Q34" s="150">
        <v>394683</v>
      </c>
      <c r="R34" s="150">
        <v>395014</v>
      </c>
      <c r="S34" s="150">
        <v>395146</v>
      </c>
      <c r="T34" s="150">
        <v>395378</v>
      </c>
      <c r="U34" s="150">
        <v>395602</v>
      </c>
      <c r="V34" s="150">
        <v>395602</v>
      </c>
      <c r="W34" s="150">
        <v>395861</v>
      </c>
      <c r="X34" s="150">
        <v>396223</v>
      </c>
      <c r="Y34" s="150">
        <v>396901</v>
      </c>
      <c r="Z34" s="150">
        <v>396936</v>
      </c>
      <c r="AA34" s="150">
        <v>397229</v>
      </c>
      <c r="AB34" s="150">
        <v>397522</v>
      </c>
      <c r="AC34" s="150">
        <v>397668</v>
      </c>
      <c r="AD34" s="150">
        <v>397668</v>
      </c>
      <c r="AE34" s="150">
        <v>397838</v>
      </c>
      <c r="AF34" s="150">
        <v>398215</v>
      </c>
      <c r="AG34" s="150">
        <v>398464</v>
      </c>
      <c r="AH34" s="207">
        <v>398786</v>
      </c>
      <c r="AI34" s="207">
        <v>398878</v>
      </c>
      <c r="AJ34" s="57">
        <f>AI34-D34</f>
        <v>7469</v>
      </c>
    </row>
    <row r="35" spans="1:37">
      <c r="A35" s="4">
        <v>4</v>
      </c>
      <c r="B35" s="4" t="s">
        <v>129</v>
      </c>
      <c r="C35" s="141" t="s">
        <v>126</v>
      </c>
      <c r="D35" s="207">
        <v>421615</v>
      </c>
      <c r="E35" s="150">
        <v>421615</v>
      </c>
      <c r="F35" s="150">
        <v>421903</v>
      </c>
      <c r="G35" s="150">
        <v>421937</v>
      </c>
      <c r="H35" s="150">
        <v>421937</v>
      </c>
      <c r="I35" s="150">
        <v>422256</v>
      </c>
      <c r="J35" s="150">
        <v>422450</v>
      </c>
      <c r="K35" s="150">
        <v>422666</v>
      </c>
      <c r="L35" s="150">
        <v>422851</v>
      </c>
      <c r="M35" s="150">
        <v>423008</v>
      </c>
      <c r="N35" s="150">
        <v>423199</v>
      </c>
      <c r="O35" s="150">
        <v>423243</v>
      </c>
      <c r="P35" s="202">
        <v>423479</v>
      </c>
      <c r="Q35" s="150">
        <v>423759</v>
      </c>
      <c r="R35" s="150">
        <v>423963</v>
      </c>
      <c r="S35" s="150">
        <v>424174</v>
      </c>
      <c r="T35" s="150">
        <v>424406</v>
      </c>
      <c r="U35" s="150">
        <v>424463</v>
      </c>
      <c r="V35" s="150">
        <v>424463</v>
      </c>
      <c r="W35" s="150">
        <v>424998</v>
      </c>
      <c r="X35" s="150">
        <v>425394</v>
      </c>
      <c r="Y35" s="150">
        <v>425852</v>
      </c>
      <c r="Z35" s="150">
        <v>426330</v>
      </c>
      <c r="AA35" s="150">
        <v>426609</v>
      </c>
      <c r="AB35" s="150">
        <v>426674</v>
      </c>
      <c r="AC35" s="150">
        <v>426688</v>
      </c>
      <c r="AD35" s="150">
        <v>426688</v>
      </c>
      <c r="AE35" s="150">
        <v>427118</v>
      </c>
      <c r="AF35" s="150">
        <v>427494</v>
      </c>
      <c r="AG35" s="150">
        <v>427900</v>
      </c>
      <c r="AH35" s="207">
        <v>428345</v>
      </c>
      <c r="AI35" s="207">
        <v>428437</v>
      </c>
      <c r="AJ35" s="57">
        <f>AI35-D35</f>
        <v>6822</v>
      </c>
    </row>
    <row r="36" spans="1:37">
      <c r="A36" s="180"/>
      <c r="B36" s="180"/>
      <c r="C36" s="143"/>
      <c r="D36" s="180"/>
      <c r="E36" s="13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6"/>
      <c r="AD36" s="180"/>
      <c r="AE36" s="180"/>
      <c r="AF36" s="180"/>
      <c r="AG36" s="180"/>
      <c r="AH36" s="180"/>
      <c r="AI36" s="180"/>
      <c r="AJ36" s="181">
        <f>SUM(AJ32:AJ35)</f>
        <v>25399</v>
      </c>
      <c r="AK36">
        <f>AJ36*40%</f>
        <v>10159.6</v>
      </c>
    </row>
    <row r="37" spans="1:37">
      <c r="A37" s="14"/>
      <c r="B37" s="137"/>
      <c r="C37" s="144"/>
      <c r="D37" s="138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7">
      <c r="A38" s="93"/>
      <c r="B38" s="534" t="s">
        <v>127</v>
      </c>
      <c r="C38" s="504"/>
      <c r="D38" s="501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</row>
    <row r="39" spans="1:37">
      <c r="A39" s="94"/>
      <c r="B39" s="538" t="s">
        <v>128</v>
      </c>
      <c r="C39" s="504"/>
      <c r="D39" s="501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</row>
    <row r="40" spans="1:37">
      <c r="A40" s="529" t="s">
        <v>99</v>
      </c>
      <c r="B40" s="529" t="s">
        <v>100</v>
      </c>
      <c r="C40" s="529" t="s">
        <v>101</v>
      </c>
      <c r="D40" s="517"/>
      <c r="E40" s="51">
        <v>46023</v>
      </c>
      <c r="F40" s="95">
        <f t="shared" ref="F40:AH40" si="2">F2</f>
        <v>46024</v>
      </c>
      <c r="G40" s="95">
        <f t="shared" si="2"/>
        <v>46025</v>
      </c>
      <c r="H40" s="95">
        <f t="shared" si="2"/>
        <v>46026</v>
      </c>
      <c r="I40" s="95">
        <f t="shared" si="2"/>
        <v>46027</v>
      </c>
      <c r="J40" s="95">
        <f t="shared" si="2"/>
        <v>46028</v>
      </c>
      <c r="K40" s="95">
        <f t="shared" si="2"/>
        <v>46029</v>
      </c>
      <c r="L40" s="95">
        <f t="shared" si="2"/>
        <v>46030</v>
      </c>
      <c r="M40" s="95">
        <f t="shared" si="2"/>
        <v>46031</v>
      </c>
      <c r="N40" s="95">
        <f t="shared" si="2"/>
        <v>46032</v>
      </c>
      <c r="O40" s="95">
        <f t="shared" si="2"/>
        <v>46033</v>
      </c>
      <c r="P40" s="95">
        <f t="shared" si="2"/>
        <v>46034</v>
      </c>
      <c r="Q40" s="95">
        <f t="shared" si="2"/>
        <v>46035</v>
      </c>
      <c r="R40" s="95">
        <f t="shared" si="2"/>
        <v>46036</v>
      </c>
      <c r="S40" s="95">
        <f t="shared" si="2"/>
        <v>46037</v>
      </c>
      <c r="T40" s="95">
        <f t="shared" si="2"/>
        <v>46038</v>
      </c>
      <c r="U40" s="95">
        <f t="shared" si="2"/>
        <v>46039</v>
      </c>
      <c r="V40" s="95">
        <f t="shared" si="2"/>
        <v>46040</v>
      </c>
      <c r="W40" s="95">
        <f t="shared" si="2"/>
        <v>46041</v>
      </c>
      <c r="X40" s="95">
        <f t="shared" si="2"/>
        <v>46042</v>
      </c>
      <c r="Y40" s="95">
        <f t="shared" si="2"/>
        <v>46043</v>
      </c>
      <c r="Z40" s="95">
        <f t="shared" si="2"/>
        <v>46044</v>
      </c>
      <c r="AA40" s="95">
        <f t="shared" si="2"/>
        <v>46045</v>
      </c>
      <c r="AB40" s="95">
        <f t="shared" si="2"/>
        <v>46046</v>
      </c>
      <c r="AC40" s="95">
        <f t="shared" si="2"/>
        <v>46047</v>
      </c>
      <c r="AD40" s="95">
        <f t="shared" si="2"/>
        <v>46048</v>
      </c>
      <c r="AE40" s="95">
        <f t="shared" si="2"/>
        <v>46049</v>
      </c>
      <c r="AF40" s="95">
        <f t="shared" si="2"/>
        <v>46050</v>
      </c>
      <c r="AG40" s="95">
        <f t="shared" si="2"/>
        <v>46051</v>
      </c>
      <c r="AH40" s="95">
        <f t="shared" si="2"/>
        <v>46052</v>
      </c>
      <c r="AI40" s="51">
        <v>46022</v>
      </c>
      <c r="AJ40" s="529" t="s">
        <v>1</v>
      </c>
    </row>
    <row r="41" spans="1:37">
      <c r="A41" s="508"/>
      <c r="B41" s="508"/>
      <c r="C41" s="518"/>
      <c r="D41" s="519"/>
      <c r="E41" s="96" t="s">
        <v>109</v>
      </c>
      <c r="F41" s="96" t="s">
        <v>103</v>
      </c>
      <c r="G41" s="96" t="s">
        <v>104</v>
      </c>
      <c r="H41" s="96" t="s">
        <v>105</v>
      </c>
      <c r="I41" s="96" t="s">
        <v>106</v>
      </c>
      <c r="J41" s="96" t="s">
        <v>107</v>
      </c>
      <c r="K41" s="96" t="s">
        <v>108</v>
      </c>
      <c r="L41" s="96" t="s">
        <v>109</v>
      </c>
      <c r="M41" s="96" t="s">
        <v>103</v>
      </c>
      <c r="N41" s="96" t="s">
        <v>104</v>
      </c>
      <c r="O41" s="96" t="s">
        <v>105</v>
      </c>
      <c r="P41" s="96" t="s">
        <v>106</v>
      </c>
      <c r="Q41" s="96" t="s">
        <v>107</v>
      </c>
      <c r="R41" s="96" t="s">
        <v>108</v>
      </c>
      <c r="S41" s="96" t="s">
        <v>109</v>
      </c>
      <c r="T41" s="96" t="s">
        <v>103</v>
      </c>
      <c r="U41" s="96" t="s">
        <v>104</v>
      </c>
      <c r="V41" s="96" t="s">
        <v>105</v>
      </c>
      <c r="W41" s="96" t="s">
        <v>106</v>
      </c>
      <c r="X41" s="96" t="s">
        <v>107</v>
      </c>
      <c r="Y41" s="96" t="s">
        <v>108</v>
      </c>
      <c r="Z41" s="96" t="s">
        <v>109</v>
      </c>
      <c r="AA41" s="96" t="s">
        <v>103</v>
      </c>
      <c r="AB41" s="96" t="s">
        <v>104</v>
      </c>
      <c r="AC41" s="96" t="s">
        <v>105</v>
      </c>
      <c r="AD41" s="96" t="s">
        <v>106</v>
      </c>
      <c r="AE41" s="96" t="s">
        <v>107</v>
      </c>
      <c r="AF41" s="96" t="s">
        <v>108</v>
      </c>
      <c r="AG41" s="96" t="s">
        <v>109</v>
      </c>
      <c r="AH41" s="96" t="s">
        <v>103</v>
      </c>
      <c r="AI41" s="96" t="s">
        <v>104</v>
      </c>
      <c r="AJ41" s="508"/>
    </row>
    <row r="42" spans="1:37">
      <c r="A42" s="508"/>
      <c r="B42" s="508"/>
      <c r="C42" s="518"/>
      <c r="D42" s="519"/>
      <c r="E42" s="97" t="s">
        <v>110</v>
      </c>
      <c r="F42" s="97" t="s">
        <v>110</v>
      </c>
      <c r="G42" s="97" t="s">
        <v>110</v>
      </c>
      <c r="H42" s="97" t="s">
        <v>110</v>
      </c>
      <c r="I42" s="97" t="s">
        <v>110</v>
      </c>
      <c r="J42" s="97" t="s">
        <v>110</v>
      </c>
      <c r="K42" s="97" t="s">
        <v>110</v>
      </c>
      <c r="L42" s="97" t="s">
        <v>110</v>
      </c>
      <c r="M42" s="97" t="s">
        <v>110</v>
      </c>
      <c r="N42" s="97" t="s">
        <v>110</v>
      </c>
      <c r="O42" s="97" t="s">
        <v>110</v>
      </c>
      <c r="P42" s="97" t="s">
        <v>110</v>
      </c>
      <c r="Q42" s="97" t="s">
        <v>110</v>
      </c>
      <c r="R42" s="97" t="s">
        <v>110</v>
      </c>
      <c r="S42" s="97" t="s">
        <v>110</v>
      </c>
      <c r="T42" s="97" t="s">
        <v>110</v>
      </c>
      <c r="U42" s="97" t="s">
        <v>110</v>
      </c>
      <c r="V42" s="97" t="s">
        <v>110</v>
      </c>
      <c r="W42" s="97" t="s">
        <v>110</v>
      </c>
      <c r="X42" s="97" t="s">
        <v>110</v>
      </c>
      <c r="Y42" s="97" t="s">
        <v>110</v>
      </c>
      <c r="Z42" s="97" t="s">
        <v>110</v>
      </c>
      <c r="AA42" s="97" t="s">
        <v>110</v>
      </c>
      <c r="AB42" s="97" t="s">
        <v>110</v>
      </c>
      <c r="AC42" s="97" t="s">
        <v>110</v>
      </c>
      <c r="AD42" s="97" t="s">
        <v>110</v>
      </c>
      <c r="AE42" s="97" t="s">
        <v>110</v>
      </c>
      <c r="AF42" s="97" t="s">
        <v>110</v>
      </c>
      <c r="AG42" s="97" t="s">
        <v>110</v>
      </c>
      <c r="AH42" s="95" t="str">
        <f>AH4</f>
        <v>Time</v>
      </c>
      <c r="AI42" s="52" t="s">
        <v>110</v>
      </c>
      <c r="AJ42" s="508"/>
    </row>
    <row r="43" spans="1:37">
      <c r="A43" s="509"/>
      <c r="B43" s="509"/>
      <c r="C43" s="520"/>
      <c r="D43" s="521"/>
      <c r="E43" s="98">
        <v>0.33333333333333331</v>
      </c>
      <c r="F43" s="98">
        <v>0.33333333333333331</v>
      </c>
      <c r="G43" s="98">
        <v>0.33333333333333331</v>
      </c>
      <c r="H43" s="98">
        <v>0.33333333333333331</v>
      </c>
      <c r="I43" s="98">
        <v>0.33333333333333331</v>
      </c>
      <c r="J43" s="98">
        <v>0.33333333333333331</v>
      </c>
      <c r="K43" s="98">
        <v>0.33333333333333331</v>
      </c>
      <c r="L43" s="98">
        <v>0.33333333333333331</v>
      </c>
      <c r="M43" s="98">
        <v>0.33333333333333331</v>
      </c>
      <c r="N43" s="98">
        <v>0.33333333333333331</v>
      </c>
      <c r="O43" s="98">
        <v>0.33333333333333331</v>
      </c>
      <c r="P43" s="98">
        <v>0.33333333333333331</v>
      </c>
      <c r="Q43" s="98">
        <v>0.33333333333333331</v>
      </c>
      <c r="R43" s="98">
        <v>0.33333333333333331</v>
      </c>
      <c r="S43" s="98">
        <v>0.33333333333333331</v>
      </c>
      <c r="T43" s="98">
        <v>0.33333333333333331</v>
      </c>
      <c r="U43" s="98">
        <v>0.33333333333333331</v>
      </c>
      <c r="V43" s="98">
        <v>0.33333333333333331</v>
      </c>
      <c r="W43" s="98">
        <v>0.33333333333333331</v>
      </c>
      <c r="X43" s="98">
        <v>0.33333333333333331</v>
      </c>
      <c r="Y43" s="98">
        <v>0.33333333333333331</v>
      </c>
      <c r="Z43" s="98">
        <v>0.33333333333333331</v>
      </c>
      <c r="AA43" s="98">
        <v>0.33333333333333331</v>
      </c>
      <c r="AB43" s="98">
        <v>0.33333333333333331</v>
      </c>
      <c r="AC43" s="98">
        <v>0.33333333333333331</v>
      </c>
      <c r="AD43" s="98">
        <v>0.33333333333333331</v>
      </c>
      <c r="AE43" s="98">
        <v>0.33333333333333331</v>
      </c>
      <c r="AF43" s="98">
        <v>0.33333333333333331</v>
      </c>
      <c r="AG43" s="98">
        <v>0.33333333333333331</v>
      </c>
      <c r="AH43" s="98">
        <v>0.33333333333333331</v>
      </c>
      <c r="AI43" s="53">
        <v>0.33333333333333331</v>
      </c>
      <c r="AJ43" s="509"/>
    </row>
    <row r="44" spans="1:37" ht="15" customHeight="1">
      <c r="A44" s="2">
        <v>1</v>
      </c>
      <c r="B44" s="2" t="s">
        <v>129</v>
      </c>
      <c r="C44" s="503" t="s">
        <v>111</v>
      </c>
      <c r="D44" s="501"/>
      <c r="E44" s="20">
        <f t="shared" ref="E44:AI44" si="3">E6-D6</f>
        <v>324</v>
      </c>
      <c r="F44" s="20">
        <f t="shared" si="3"/>
        <v>232</v>
      </c>
      <c r="G44" s="20">
        <f t="shared" si="3"/>
        <v>206</v>
      </c>
      <c r="H44" s="20">
        <f t="shared" si="3"/>
        <v>217</v>
      </c>
      <c r="I44" s="20">
        <f t="shared" si="3"/>
        <v>233</v>
      </c>
      <c r="J44" s="20">
        <f t="shared" si="3"/>
        <v>256</v>
      </c>
      <c r="K44" s="20">
        <f t="shared" si="3"/>
        <v>253</v>
      </c>
      <c r="L44" s="20">
        <f t="shared" si="3"/>
        <v>235</v>
      </c>
      <c r="M44" s="20">
        <f t="shared" si="3"/>
        <v>243</v>
      </c>
      <c r="N44" s="20">
        <f t="shared" si="3"/>
        <v>211</v>
      </c>
      <c r="O44" s="20">
        <f t="shared" si="3"/>
        <v>207</v>
      </c>
      <c r="P44" s="20">
        <f t="shared" si="3"/>
        <v>258</v>
      </c>
      <c r="Q44" s="20">
        <f t="shared" si="3"/>
        <v>254</v>
      </c>
      <c r="R44" s="20">
        <f t="shared" si="3"/>
        <v>247</v>
      </c>
      <c r="S44" s="20">
        <f t="shared" si="3"/>
        <v>249</v>
      </c>
      <c r="T44" s="20">
        <f t="shared" si="3"/>
        <v>237</v>
      </c>
      <c r="U44" s="20">
        <f t="shared" si="3"/>
        <v>203</v>
      </c>
      <c r="V44" s="20">
        <f t="shared" si="3"/>
        <v>222</v>
      </c>
      <c r="W44" s="20">
        <f t="shared" si="3"/>
        <v>241</v>
      </c>
      <c r="X44" s="20">
        <f t="shared" si="3"/>
        <v>272</v>
      </c>
      <c r="Y44" s="20">
        <f t="shared" si="3"/>
        <v>253</v>
      </c>
      <c r="Z44" s="20">
        <f t="shared" si="3"/>
        <v>274</v>
      </c>
      <c r="AA44" s="20">
        <f t="shared" si="3"/>
        <v>246</v>
      </c>
      <c r="AB44" s="20">
        <f t="shared" si="3"/>
        <v>221</v>
      </c>
      <c r="AC44" s="20">
        <f t="shared" si="3"/>
        <v>183</v>
      </c>
      <c r="AD44" s="20">
        <f t="shared" si="3"/>
        <v>210</v>
      </c>
      <c r="AE44" s="20">
        <f t="shared" si="3"/>
        <v>262</v>
      </c>
      <c r="AF44" s="20">
        <f t="shared" si="3"/>
        <v>233</v>
      </c>
      <c r="AG44" s="20">
        <f t="shared" si="3"/>
        <v>292</v>
      </c>
      <c r="AH44" s="20">
        <f t="shared" si="3"/>
        <v>237</v>
      </c>
      <c r="AI44" s="20">
        <f t="shared" si="3"/>
        <v>110</v>
      </c>
      <c r="AJ44" s="21">
        <f t="shared" ref="AJ44:AJ59" si="4">SUM(E44:AI44)</f>
        <v>7321</v>
      </c>
    </row>
    <row r="45" spans="1:37" ht="15" customHeight="1">
      <c r="A45" s="2"/>
      <c r="B45" s="2"/>
      <c r="C45" s="531" t="s">
        <v>22</v>
      </c>
      <c r="D45" s="501"/>
      <c r="E45" s="20">
        <f t="shared" ref="E45:AI45" si="5">E7-D7</f>
        <v>0</v>
      </c>
      <c r="F45" s="20">
        <f t="shared" si="5"/>
        <v>0</v>
      </c>
      <c r="G45" s="20">
        <f t="shared" si="5"/>
        <v>0</v>
      </c>
      <c r="H45" s="20">
        <f t="shared" si="5"/>
        <v>0</v>
      </c>
      <c r="I45" s="20">
        <f t="shared" si="5"/>
        <v>0</v>
      </c>
      <c r="J45" s="20">
        <f t="shared" si="5"/>
        <v>0</v>
      </c>
      <c r="K45" s="20">
        <f t="shared" si="5"/>
        <v>0</v>
      </c>
      <c r="L45" s="20">
        <f t="shared" si="5"/>
        <v>2</v>
      </c>
      <c r="M45" s="20">
        <f t="shared" si="5"/>
        <v>0</v>
      </c>
      <c r="N45" s="20">
        <f t="shared" si="5"/>
        <v>0</v>
      </c>
      <c r="O45" s="20">
        <f t="shared" si="5"/>
        <v>0</v>
      </c>
      <c r="P45" s="20">
        <f t="shared" si="5"/>
        <v>0</v>
      </c>
      <c r="Q45" s="20">
        <f t="shared" si="5"/>
        <v>0</v>
      </c>
      <c r="R45" s="20">
        <f t="shared" si="5"/>
        <v>0</v>
      </c>
      <c r="S45" s="20">
        <f t="shared" si="5"/>
        <v>0</v>
      </c>
      <c r="T45" s="20">
        <f t="shared" si="5"/>
        <v>0</v>
      </c>
      <c r="U45" s="20">
        <f t="shared" si="5"/>
        <v>0</v>
      </c>
      <c r="V45" s="20">
        <f t="shared" si="5"/>
        <v>0</v>
      </c>
      <c r="W45" s="20">
        <f t="shared" si="5"/>
        <v>0</v>
      </c>
      <c r="X45" s="20">
        <f t="shared" si="5"/>
        <v>0</v>
      </c>
      <c r="Y45" s="20">
        <f t="shared" si="5"/>
        <v>0</v>
      </c>
      <c r="Z45" s="20">
        <f t="shared" si="5"/>
        <v>0</v>
      </c>
      <c r="AA45" s="20">
        <f t="shared" si="5"/>
        <v>0</v>
      </c>
      <c r="AB45" s="20">
        <f t="shared" si="5"/>
        <v>0</v>
      </c>
      <c r="AC45" s="20">
        <f t="shared" si="5"/>
        <v>0</v>
      </c>
      <c r="AD45" s="20">
        <f t="shared" si="5"/>
        <v>0</v>
      </c>
      <c r="AE45" s="20">
        <f t="shared" si="5"/>
        <v>0</v>
      </c>
      <c r="AF45" s="20">
        <f t="shared" si="5"/>
        <v>0</v>
      </c>
      <c r="AG45" s="20">
        <f t="shared" si="5"/>
        <v>0</v>
      </c>
      <c r="AH45" s="20">
        <f t="shared" si="5"/>
        <v>0</v>
      </c>
      <c r="AI45" s="20">
        <f t="shared" si="5"/>
        <v>0</v>
      </c>
      <c r="AJ45" s="21">
        <f t="shared" si="4"/>
        <v>2</v>
      </c>
    </row>
    <row r="46" spans="1:37" ht="15" customHeight="1">
      <c r="A46" s="2">
        <v>2</v>
      </c>
      <c r="B46" s="2" t="s">
        <v>129</v>
      </c>
      <c r="C46" s="503" t="s">
        <v>112</v>
      </c>
      <c r="D46" s="501"/>
      <c r="E46" s="20">
        <f t="shared" ref="E46:AI46" si="6">E8-D8</f>
        <v>0</v>
      </c>
      <c r="F46" s="20">
        <f t="shared" si="6"/>
        <v>0</v>
      </c>
      <c r="G46" s="20">
        <f t="shared" si="6"/>
        <v>0</v>
      </c>
      <c r="H46" s="20">
        <f t="shared" si="6"/>
        <v>0</v>
      </c>
      <c r="I46" s="20">
        <f t="shared" si="6"/>
        <v>0</v>
      </c>
      <c r="J46" s="20">
        <f t="shared" si="6"/>
        <v>0</v>
      </c>
      <c r="K46" s="20">
        <f t="shared" si="6"/>
        <v>0</v>
      </c>
      <c r="L46" s="20">
        <f t="shared" si="6"/>
        <v>0</v>
      </c>
      <c r="M46" s="20">
        <f t="shared" si="6"/>
        <v>0</v>
      </c>
      <c r="N46" s="20">
        <f t="shared" si="6"/>
        <v>0</v>
      </c>
      <c r="O46" s="20">
        <f t="shared" si="6"/>
        <v>0</v>
      </c>
      <c r="P46" s="20">
        <f t="shared" si="6"/>
        <v>0</v>
      </c>
      <c r="Q46" s="20">
        <f t="shared" si="6"/>
        <v>0</v>
      </c>
      <c r="R46" s="20">
        <f t="shared" si="6"/>
        <v>0</v>
      </c>
      <c r="S46" s="20">
        <f t="shared" si="6"/>
        <v>0</v>
      </c>
      <c r="T46" s="20">
        <f t="shared" si="6"/>
        <v>0</v>
      </c>
      <c r="U46" s="20">
        <f t="shared" si="6"/>
        <v>0</v>
      </c>
      <c r="V46" s="20">
        <f t="shared" si="6"/>
        <v>0</v>
      </c>
      <c r="W46" s="20">
        <f t="shared" si="6"/>
        <v>0</v>
      </c>
      <c r="X46" s="20">
        <f t="shared" si="6"/>
        <v>0</v>
      </c>
      <c r="Y46" s="20">
        <f t="shared" si="6"/>
        <v>0</v>
      </c>
      <c r="Z46" s="20">
        <f t="shared" si="6"/>
        <v>0</v>
      </c>
      <c r="AA46" s="20">
        <f t="shared" si="6"/>
        <v>0</v>
      </c>
      <c r="AB46" s="20">
        <f t="shared" si="6"/>
        <v>0</v>
      </c>
      <c r="AC46" s="20">
        <f t="shared" si="6"/>
        <v>0</v>
      </c>
      <c r="AD46" s="20">
        <f t="shared" si="6"/>
        <v>0</v>
      </c>
      <c r="AE46" s="20">
        <f t="shared" si="6"/>
        <v>0</v>
      </c>
      <c r="AF46" s="20">
        <f t="shared" si="6"/>
        <v>0</v>
      </c>
      <c r="AG46" s="20">
        <f t="shared" si="6"/>
        <v>0</v>
      </c>
      <c r="AH46" s="20">
        <f t="shared" si="6"/>
        <v>0</v>
      </c>
      <c r="AI46" s="20">
        <f t="shared" si="6"/>
        <v>0</v>
      </c>
      <c r="AJ46" s="21">
        <f t="shared" si="4"/>
        <v>0</v>
      </c>
    </row>
    <row r="47" spans="1:37" ht="15" customHeight="1">
      <c r="A47" s="2"/>
      <c r="B47" s="2"/>
      <c r="C47" s="531" t="s">
        <v>22</v>
      </c>
      <c r="D47" s="501"/>
      <c r="E47" s="20">
        <f t="shared" ref="E47:AI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0">
        <f t="shared" si="7"/>
        <v>0</v>
      </c>
      <c r="AH47" s="20">
        <f t="shared" si="7"/>
        <v>0</v>
      </c>
      <c r="AI47" s="20">
        <f t="shared" si="7"/>
        <v>0</v>
      </c>
      <c r="AJ47" s="21">
        <f t="shared" si="4"/>
        <v>0</v>
      </c>
    </row>
    <row r="48" spans="1:37" ht="15" customHeight="1">
      <c r="A48" s="2">
        <v>3</v>
      </c>
      <c r="B48" s="2" t="s">
        <v>129</v>
      </c>
      <c r="C48" s="503" t="s">
        <v>113</v>
      </c>
      <c r="D48" s="501"/>
      <c r="E48" s="20">
        <f t="shared" ref="E48:AI48" si="8">E10-D10</f>
        <v>446</v>
      </c>
      <c r="F48" s="20">
        <f t="shared" si="8"/>
        <v>321</v>
      </c>
      <c r="G48" s="20">
        <f t="shared" si="8"/>
        <v>278</v>
      </c>
      <c r="H48" s="20">
        <f t="shared" si="8"/>
        <v>287</v>
      </c>
      <c r="I48" s="20">
        <f t="shared" si="8"/>
        <v>341</v>
      </c>
      <c r="J48" s="20">
        <f t="shared" si="8"/>
        <v>368</v>
      </c>
      <c r="K48" s="20">
        <f t="shared" si="8"/>
        <v>275</v>
      </c>
      <c r="L48" s="20">
        <f t="shared" si="8"/>
        <v>424</v>
      </c>
      <c r="M48" s="20">
        <f t="shared" si="8"/>
        <v>347</v>
      </c>
      <c r="N48" s="20">
        <f t="shared" si="8"/>
        <v>288</v>
      </c>
      <c r="O48" s="20">
        <f t="shared" si="8"/>
        <v>275</v>
      </c>
      <c r="P48" s="20">
        <f t="shared" si="8"/>
        <v>373</v>
      </c>
      <c r="Q48" s="20">
        <f t="shared" si="8"/>
        <v>361</v>
      </c>
      <c r="R48" s="20">
        <f t="shared" si="8"/>
        <v>352</v>
      </c>
      <c r="S48" s="20">
        <f t="shared" si="8"/>
        <v>360</v>
      </c>
      <c r="T48" s="20">
        <f t="shared" si="8"/>
        <v>337</v>
      </c>
      <c r="U48" s="20">
        <f t="shared" si="8"/>
        <v>272</v>
      </c>
      <c r="V48" s="20">
        <f t="shared" si="8"/>
        <v>291</v>
      </c>
      <c r="W48" s="20">
        <f t="shared" si="8"/>
        <v>358</v>
      </c>
      <c r="X48" s="20">
        <f t="shared" si="8"/>
        <v>393</v>
      </c>
      <c r="Y48" s="20">
        <f t="shared" si="8"/>
        <v>371</v>
      </c>
      <c r="Z48" s="20">
        <f t="shared" si="8"/>
        <v>405</v>
      </c>
      <c r="AA48" s="20">
        <f t="shared" si="8"/>
        <v>345</v>
      </c>
      <c r="AB48" s="20">
        <f t="shared" si="8"/>
        <v>297</v>
      </c>
      <c r="AC48" s="20">
        <f t="shared" si="8"/>
        <v>242</v>
      </c>
      <c r="AD48" s="20">
        <f t="shared" si="8"/>
        <v>280</v>
      </c>
      <c r="AE48" s="20">
        <f t="shared" si="8"/>
        <v>377</v>
      </c>
      <c r="AF48" s="20">
        <f t="shared" si="8"/>
        <v>373</v>
      </c>
      <c r="AG48" s="20">
        <f t="shared" si="8"/>
        <v>391</v>
      </c>
      <c r="AH48" s="20">
        <f t="shared" si="8"/>
        <v>344</v>
      </c>
      <c r="AI48" s="20">
        <f t="shared" si="8"/>
        <v>140</v>
      </c>
      <c r="AJ48" s="21">
        <f t="shared" si="4"/>
        <v>10312</v>
      </c>
    </row>
    <row r="49" spans="1:36" ht="15" customHeight="1">
      <c r="A49" s="2"/>
      <c r="B49" s="2"/>
      <c r="C49" s="531" t="s">
        <v>22</v>
      </c>
      <c r="D49" s="501"/>
      <c r="E49" s="20">
        <f t="shared" ref="E49:AI49" si="9">E11-D11</f>
        <v>0</v>
      </c>
      <c r="F49" s="20">
        <f t="shared" si="9"/>
        <v>0</v>
      </c>
      <c r="G49" s="20">
        <f t="shared" si="9"/>
        <v>0</v>
      </c>
      <c r="H49" s="20">
        <f t="shared" si="9"/>
        <v>0</v>
      </c>
      <c r="I49" s="20">
        <f t="shared" si="9"/>
        <v>0</v>
      </c>
      <c r="J49" s="20">
        <f t="shared" si="9"/>
        <v>0</v>
      </c>
      <c r="K49" s="20">
        <f t="shared" si="9"/>
        <v>0</v>
      </c>
      <c r="L49" s="20">
        <f t="shared" si="9"/>
        <v>3</v>
      </c>
      <c r="M49" s="20">
        <f t="shared" si="9"/>
        <v>0</v>
      </c>
      <c r="N49" s="20">
        <f t="shared" si="9"/>
        <v>0</v>
      </c>
      <c r="O49" s="20">
        <f t="shared" si="9"/>
        <v>0</v>
      </c>
      <c r="P49" s="20">
        <f t="shared" si="9"/>
        <v>0</v>
      </c>
      <c r="Q49" s="20">
        <f t="shared" si="9"/>
        <v>0</v>
      </c>
      <c r="R49" s="20">
        <f t="shared" si="9"/>
        <v>0</v>
      </c>
      <c r="S49" s="20">
        <f t="shared" si="9"/>
        <v>0</v>
      </c>
      <c r="T49" s="20">
        <f t="shared" si="9"/>
        <v>0</v>
      </c>
      <c r="U49" s="20">
        <f t="shared" si="9"/>
        <v>0</v>
      </c>
      <c r="V49" s="20">
        <f t="shared" si="9"/>
        <v>0</v>
      </c>
      <c r="W49" s="20">
        <f t="shared" si="9"/>
        <v>0</v>
      </c>
      <c r="X49" s="20">
        <f t="shared" si="9"/>
        <v>0</v>
      </c>
      <c r="Y49" s="20">
        <f t="shared" si="9"/>
        <v>0</v>
      </c>
      <c r="Z49" s="20">
        <f t="shared" si="9"/>
        <v>0</v>
      </c>
      <c r="AA49" s="20">
        <f t="shared" si="9"/>
        <v>0</v>
      </c>
      <c r="AB49" s="20">
        <f t="shared" si="9"/>
        <v>0</v>
      </c>
      <c r="AC49" s="20">
        <f t="shared" si="9"/>
        <v>0</v>
      </c>
      <c r="AD49" s="20">
        <f t="shared" si="9"/>
        <v>0</v>
      </c>
      <c r="AE49" s="20">
        <f t="shared" si="9"/>
        <v>0</v>
      </c>
      <c r="AF49" s="20">
        <f t="shared" si="9"/>
        <v>0</v>
      </c>
      <c r="AG49" s="20">
        <f t="shared" si="9"/>
        <v>0</v>
      </c>
      <c r="AH49" s="20">
        <f t="shared" si="9"/>
        <v>0</v>
      </c>
      <c r="AI49" s="20">
        <f t="shared" si="9"/>
        <v>0</v>
      </c>
      <c r="AJ49" s="21">
        <f t="shared" si="4"/>
        <v>3</v>
      </c>
    </row>
    <row r="50" spans="1:36" ht="15" customHeight="1">
      <c r="A50" s="2">
        <v>4</v>
      </c>
      <c r="B50" s="2" t="s">
        <v>129</v>
      </c>
      <c r="C50" s="503" t="s">
        <v>114</v>
      </c>
      <c r="D50" s="501"/>
      <c r="E50" s="20">
        <f t="shared" ref="E50:AI50" si="10">E12-D12</f>
        <v>0</v>
      </c>
      <c r="F50" s="20">
        <f t="shared" si="10"/>
        <v>0</v>
      </c>
      <c r="G50" s="20">
        <f t="shared" si="10"/>
        <v>0</v>
      </c>
      <c r="H50" s="20">
        <f t="shared" si="10"/>
        <v>0</v>
      </c>
      <c r="I50" s="20">
        <f t="shared" si="10"/>
        <v>0</v>
      </c>
      <c r="J50" s="20">
        <f t="shared" si="10"/>
        <v>0</v>
      </c>
      <c r="K50" s="20">
        <f t="shared" si="10"/>
        <v>0</v>
      </c>
      <c r="L50" s="20">
        <f t="shared" si="10"/>
        <v>0</v>
      </c>
      <c r="M50" s="20">
        <f t="shared" si="10"/>
        <v>0</v>
      </c>
      <c r="N50" s="20">
        <f t="shared" si="10"/>
        <v>0</v>
      </c>
      <c r="O50" s="20">
        <f t="shared" si="10"/>
        <v>0</v>
      </c>
      <c r="P50" s="20">
        <f t="shared" si="10"/>
        <v>0</v>
      </c>
      <c r="Q50" s="20">
        <f t="shared" si="10"/>
        <v>0</v>
      </c>
      <c r="R50" s="20">
        <f t="shared" si="10"/>
        <v>0</v>
      </c>
      <c r="S50" s="20">
        <f t="shared" si="10"/>
        <v>0</v>
      </c>
      <c r="T50" s="20">
        <f t="shared" si="10"/>
        <v>0</v>
      </c>
      <c r="U50" s="20">
        <f t="shared" si="10"/>
        <v>0</v>
      </c>
      <c r="V50" s="20">
        <f t="shared" si="10"/>
        <v>0</v>
      </c>
      <c r="W50" s="20">
        <f t="shared" si="10"/>
        <v>0</v>
      </c>
      <c r="X50" s="20">
        <f t="shared" si="10"/>
        <v>0</v>
      </c>
      <c r="Y50" s="20">
        <f t="shared" si="10"/>
        <v>0</v>
      </c>
      <c r="Z50" s="20">
        <f t="shared" si="10"/>
        <v>0</v>
      </c>
      <c r="AA50" s="20">
        <f t="shared" si="10"/>
        <v>0</v>
      </c>
      <c r="AB50" s="20">
        <f t="shared" si="10"/>
        <v>0</v>
      </c>
      <c r="AC50" s="20">
        <f t="shared" si="10"/>
        <v>0</v>
      </c>
      <c r="AD50" s="20">
        <f t="shared" si="10"/>
        <v>0</v>
      </c>
      <c r="AE50" s="20">
        <f t="shared" si="10"/>
        <v>0</v>
      </c>
      <c r="AF50" s="20">
        <f t="shared" si="10"/>
        <v>0</v>
      </c>
      <c r="AG50" s="20">
        <f t="shared" si="10"/>
        <v>0</v>
      </c>
      <c r="AH50" s="20">
        <f t="shared" si="10"/>
        <v>0</v>
      </c>
      <c r="AI50" s="20">
        <f t="shared" si="10"/>
        <v>0</v>
      </c>
      <c r="AJ50" s="21">
        <f t="shared" si="4"/>
        <v>0</v>
      </c>
    </row>
    <row r="51" spans="1:36" ht="15" customHeight="1">
      <c r="A51" s="2"/>
      <c r="B51" s="2"/>
      <c r="C51" s="531" t="s">
        <v>22</v>
      </c>
      <c r="D51" s="501"/>
      <c r="E51" s="20">
        <f t="shared" ref="E51:AI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0">
        <f t="shared" si="11"/>
        <v>0</v>
      </c>
      <c r="AH51" s="20">
        <f t="shared" si="11"/>
        <v>0</v>
      </c>
      <c r="AI51" s="20">
        <f t="shared" si="11"/>
        <v>0</v>
      </c>
      <c r="AJ51" s="21">
        <f t="shared" si="4"/>
        <v>0</v>
      </c>
    </row>
    <row r="52" spans="1:36" ht="15" customHeight="1">
      <c r="A52" s="2">
        <v>5</v>
      </c>
      <c r="B52" s="2" t="s">
        <v>129</v>
      </c>
      <c r="C52" s="503" t="s">
        <v>115</v>
      </c>
      <c r="D52" s="501"/>
      <c r="E52" s="20">
        <f t="shared" ref="E52:AI52" si="12">E14-D14</f>
        <v>250</v>
      </c>
      <c r="F52" s="20">
        <f t="shared" si="12"/>
        <v>211</v>
      </c>
      <c r="G52" s="20">
        <f t="shared" si="12"/>
        <v>168</v>
      </c>
      <c r="H52" s="20">
        <f t="shared" si="12"/>
        <v>170</v>
      </c>
      <c r="I52" s="20">
        <f t="shared" si="12"/>
        <v>238</v>
      </c>
      <c r="J52" s="20">
        <f t="shared" si="12"/>
        <v>255</v>
      </c>
      <c r="K52" s="20">
        <f t="shared" si="12"/>
        <v>254</v>
      </c>
      <c r="L52" s="20">
        <f t="shared" si="12"/>
        <v>241</v>
      </c>
      <c r="M52" s="20">
        <f t="shared" si="12"/>
        <v>234</v>
      </c>
      <c r="N52" s="20">
        <f t="shared" si="12"/>
        <v>162</v>
      </c>
      <c r="O52" s="20">
        <f t="shared" si="12"/>
        <v>164</v>
      </c>
      <c r="P52" s="20">
        <f t="shared" si="12"/>
        <v>263</v>
      </c>
      <c r="Q52" s="20">
        <f t="shared" si="12"/>
        <v>248</v>
      </c>
      <c r="R52" s="20">
        <f t="shared" si="12"/>
        <v>241</v>
      </c>
      <c r="S52" s="20">
        <f t="shared" si="12"/>
        <v>241</v>
      </c>
      <c r="T52" s="20">
        <f t="shared" si="12"/>
        <v>228</v>
      </c>
      <c r="U52" s="20">
        <f t="shared" si="12"/>
        <v>161</v>
      </c>
      <c r="V52" s="20">
        <f t="shared" si="12"/>
        <v>165</v>
      </c>
      <c r="W52" s="20">
        <f t="shared" si="12"/>
        <v>242</v>
      </c>
      <c r="X52" s="20">
        <f t="shared" si="12"/>
        <v>261</v>
      </c>
      <c r="Y52" s="20">
        <f t="shared" si="12"/>
        <v>257</v>
      </c>
      <c r="Z52" s="20">
        <f t="shared" si="12"/>
        <v>272</v>
      </c>
      <c r="AA52" s="20">
        <f t="shared" si="12"/>
        <v>233</v>
      </c>
      <c r="AB52" s="20">
        <f t="shared" si="12"/>
        <v>170</v>
      </c>
      <c r="AC52" s="20">
        <f t="shared" si="12"/>
        <v>137</v>
      </c>
      <c r="AD52" s="20">
        <f t="shared" si="12"/>
        <v>131</v>
      </c>
      <c r="AE52" s="20">
        <f t="shared" si="12"/>
        <v>251</v>
      </c>
      <c r="AF52" s="20">
        <f t="shared" si="12"/>
        <v>255</v>
      </c>
      <c r="AG52" s="20">
        <f t="shared" si="12"/>
        <v>274</v>
      </c>
      <c r="AH52" s="20">
        <f t="shared" si="12"/>
        <v>258</v>
      </c>
      <c r="AI52" s="20">
        <f t="shared" si="12"/>
        <v>92</v>
      </c>
      <c r="AJ52" s="21">
        <f t="shared" si="4"/>
        <v>6727</v>
      </c>
    </row>
    <row r="53" spans="1:36" ht="15" customHeight="1">
      <c r="A53" s="2"/>
      <c r="B53" s="2"/>
      <c r="C53" s="531" t="s">
        <v>22</v>
      </c>
      <c r="D53" s="501"/>
      <c r="E53" s="20">
        <f t="shared" ref="E53:AI53" si="13">E15-D15</f>
        <v>0</v>
      </c>
      <c r="F53" s="20">
        <f t="shared" si="13"/>
        <v>0</v>
      </c>
      <c r="G53" s="20">
        <f t="shared" si="13"/>
        <v>0</v>
      </c>
      <c r="H53" s="20">
        <f t="shared" si="13"/>
        <v>0</v>
      </c>
      <c r="I53" s="20">
        <f t="shared" si="13"/>
        <v>0</v>
      </c>
      <c r="J53" s="20">
        <f t="shared" si="13"/>
        <v>0</v>
      </c>
      <c r="K53" s="20">
        <f t="shared" si="13"/>
        <v>0</v>
      </c>
      <c r="L53" s="20">
        <f t="shared" si="13"/>
        <v>2</v>
      </c>
      <c r="M53" s="20">
        <f t="shared" si="13"/>
        <v>0</v>
      </c>
      <c r="N53" s="20">
        <f t="shared" si="13"/>
        <v>0</v>
      </c>
      <c r="O53" s="20">
        <f t="shared" si="13"/>
        <v>0</v>
      </c>
      <c r="P53" s="20">
        <f t="shared" si="13"/>
        <v>0</v>
      </c>
      <c r="Q53" s="20">
        <f t="shared" si="13"/>
        <v>0</v>
      </c>
      <c r="R53" s="20">
        <f t="shared" si="13"/>
        <v>0</v>
      </c>
      <c r="S53" s="20">
        <f t="shared" si="13"/>
        <v>0</v>
      </c>
      <c r="T53" s="20">
        <f t="shared" si="13"/>
        <v>0</v>
      </c>
      <c r="U53" s="20">
        <f t="shared" si="13"/>
        <v>0</v>
      </c>
      <c r="V53" s="20">
        <f t="shared" si="13"/>
        <v>0</v>
      </c>
      <c r="W53" s="20">
        <f t="shared" si="13"/>
        <v>0</v>
      </c>
      <c r="X53" s="20">
        <f t="shared" si="13"/>
        <v>0</v>
      </c>
      <c r="Y53" s="20">
        <f t="shared" si="13"/>
        <v>0</v>
      </c>
      <c r="Z53" s="20">
        <f t="shared" si="13"/>
        <v>0</v>
      </c>
      <c r="AA53" s="20">
        <f t="shared" si="13"/>
        <v>0</v>
      </c>
      <c r="AB53" s="20">
        <f t="shared" si="13"/>
        <v>0</v>
      </c>
      <c r="AC53" s="20">
        <f t="shared" si="13"/>
        <v>0</v>
      </c>
      <c r="AD53" s="20">
        <f t="shared" si="13"/>
        <v>0</v>
      </c>
      <c r="AE53" s="20">
        <f t="shared" si="13"/>
        <v>0</v>
      </c>
      <c r="AF53" s="20">
        <f t="shared" si="13"/>
        <v>0</v>
      </c>
      <c r="AG53" s="20">
        <f t="shared" si="13"/>
        <v>0</v>
      </c>
      <c r="AH53" s="20">
        <f t="shared" si="13"/>
        <v>0</v>
      </c>
      <c r="AI53" s="20">
        <f t="shared" si="13"/>
        <v>0</v>
      </c>
      <c r="AJ53" s="21">
        <f t="shared" si="4"/>
        <v>2</v>
      </c>
    </row>
    <row r="54" spans="1:36" ht="15" customHeight="1">
      <c r="A54" s="2">
        <v>6</v>
      </c>
      <c r="B54" s="2" t="s">
        <v>129</v>
      </c>
      <c r="C54" s="503" t="s">
        <v>116</v>
      </c>
      <c r="D54" s="501"/>
      <c r="E54" s="20">
        <f t="shared" ref="E54:AI54" si="14">E16-D16</f>
        <v>173</v>
      </c>
      <c r="F54" s="20">
        <f t="shared" si="14"/>
        <v>227</v>
      </c>
      <c r="G54" s="20">
        <f t="shared" si="14"/>
        <v>84</v>
      </c>
      <c r="H54" s="20">
        <f t="shared" si="14"/>
        <v>86</v>
      </c>
      <c r="I54" s="20">
        <f t="shared" si="14"/>
        <v>241</v>
      </c>
      <c r="J54" s="20">
        <f t="shared" si="14"/>
        <v>255</v>
      </c>
      <c r="K54" s="20">
        <f t="shared" si="14"/>
        <v>261</v>
      </c>
      <c r="L54" s="20">
        <f t="shared" si="14"/>
        <v>250</v>
      </c>
      <c r="M54" s="20">
        <f t="shared" si="14"/>
        <v>238</v>
      </c>
      <c r="N54" s="20">
        <f t="shared" si="14"/>
        <v>111</v>
      </c>
      <c r="O54" s="20">
        <f t="shared" si="14"/>
        <v>82</v>
      </c>
      <c r="P54" s="20">
        <f t="shared" si="14"/>
        <v>275</v>
      </c>
      <c r="Q54" s="20">
        <f t="shared" si="14"/>
        <v>199</v>
      </c>
      <c r="R54" s="20">
        <f t="shared" si="14"/>
        <v>303</v>
      </c>
      <c r="S54" s="20">
        <f t="shared" si="14"/>
        <v>232</v>
      </c>
      <c r="T54" s="20">
        <f t="shared" si="14"/>
        <v>232</v>
      </c>
      <c r="U54" s="20">
        <f t="shared" si="14"/>
        <v>82</v>
      </c>
      <c r="V54" s="20">
        <f t="shared" si="14"/>
        <v>96</v>
      </c>
      <c r="W54" s="20">
        <f t="shared" si="14"/>
        <v>260</v>
      </c>
      <c r="X54" s="20">
        <f t="shared" si="14"/>
        <v>272</v>
      </c>
      <c r="Y54" s="20">
        <f t="shared" si="14"/>
        <v>257</v>
      </c>
      <c r="Z54" s="20">
        <f t="shared" si="14"/>
        <v>299</v>
      </c>
      <c r="AA54" s="20">
        <f t="shared" si="14"/>
        <v>248</v>
      </c>
      <c r="AB54" s="20">
        <f t="shared" si="14"/>
        <v>105</v>
      </c>
      <c r="AC54" s="20">
        <f t="shared" si="14"/>
        <v>70</v>
      </c>
      <c r="AD54" s="20">
        <f t="shared" si="14"/>
        <v>87</v>
      </c>
      <c r="AE54" s="20">
        <f t="shared" si="14"/>
        <v>256</v>
      </c>
      <c r="AF54" s="20">
        <f t="shared" si="14"/>
        <v>283</v>
      </c>
      <c r="AG54" s="20">
        <f t="shared" si="14"/>
        <v>238</v>
      </c>
      <c r="AH54" s="20">
        <f t="shared" si="14"/>
        <v>258</v>
      </c>
      <c r="AI54" s="20">
        <f t="shared" si="14"/>
        <v>57</v>
      </c>
      <c r="AJ54" s="21">
        <f t="shared" si="4"/>
        <v>6117</v>
      </c>
    </row>
    <row r="55" spans="1:36" ht="15" customHeight="1">
      <c r="A55" s="2"/>
      <c r="B55" s="2"/>
      <c r="C55" s="531" t="s">
        <v>22</v>
      </c>
      <c r="D55" s="501"/>
      <c r="E55" s="20">
        <f t="shared" ref="E55:AI55" si="15">E17-D17</f>
        <v>0</v>
      </c>
      <c r="F55" s="20">
        <f t="shared" si="15"/>
        <v>0</v>
      </c>
      <c r="G55" s="20">
        <f t="shared" si="15"/>
        <v>0</v>
      </c>
      <c r="H55" s="20">
        <f t="shared" si="15"/>
        <v>0</v>
      </c>
      <c r="I55" s="20">
        <f t="shared" si="15"/>
        <v>0</v>
      </c>
      <c r="J55" s="20">
        <f t="shared" si="15"/>
        <v>0</v>
      </c>
      <c r="K55" s="20">
        <f t="shared" si="15"/>
        <v>0</v>
      </c>
      <c r="L55" s="20">
        <f t="shared" si="15"/>
        <v>3</v>
      </c>
      <c r="M55" s="20">
        <f t="shared" si="15"/>
        <v>0</v>
      </c>
      <c r="N55" s="20">
        <f t="shared" si="15"/>
        <v>0</v>
      </c>
      <c r="O55" s="20">
        <f t="shared" si="15"/>
        <v>0</v>
      </c>
      <c r="P55" s="20">
        <f t="shared" si="15"/>
        <v>0</v>
      </c>
      <c r="Q55" s="20">
        <f t="shared" si="15"/>
        <v>0</v>
      </c>
      <c r="R55" s="20">
        <f t="shared" si="15"/>
        <v>0</v>
      </c>
      <c r="S55" s="20">
        <f t="shared" si="15"/>
        <v>0</v>
      </c>
      <c r="T55" s="20">
        <f t="shared" si="15"/>
        <v>0</v>
      </c>
      <c r="U55" s="20">
        <f t="shared" si="15"/>
        <v>0</v>
      </c>
      <c r="V55" s="20">
        <f t="shared" si="15"/>
        <v>0</v>
      </c>
      <c r="W55" s="20">
        <f t="shared" si="15"/>
        <v>0</v>
      </c>
      <c r="X55" s="20">
        <f t="shared" si="15"/>
        <v>0</v>
      </c>
      <c r="Y55" s="20">
        <f t="shared" si="15"/>
        <v>0</v>
      </c>
      <c r="Z55" s="20">
        <f t="shared" si="15"/>
        <v>0</v>
      </c>
      <c r="AA55" s="20">
        <f t="shared" si="15"/>
        <v>0</v>
      </c>
      <c r="AB55" s="20">
        <f t="shared" si="15"/>
        <v>0</v>
      </c>
      <c r="AC55" s="20">
        <f t="shared" si="15"/>
        <v>0</v>
      </c>
      <c r="AD55" s="20">
        <f t="shared" si="15"/>
        <v>0</v>
      </c>
      <c r="AE55" s="20">
        <f t="shared" si="15"/>
        <v>0</v>
      </c>
      <c r="AF55" s="20">
        <f t="shared" si="15"/>
        <v>0</v>
      </c>
      <c r="AG55" s="20">
        <f t="shared" si="15"/>
        <v>0</v>
      </c>
      <c r="AH55" s="20">
        <f t="shared" si="15"/>
        <v>0</v>
      </c>
      <c r="AI55" s="20">
        <f t="shared" si="15"/>
        <v>0</v>
      </c>
      <c r="AJ55" s="21">
        <f t="shared" si="4"/>
        <v>3</v>
      </c>
    </row>
    <row r="56" spans="1:36" ht="15" customHeight="1">
      <c r="A56" s="2">
        <v>7</v>
      </c>
      <c r="B56" s="2" t="s">
        <v>129</v>
      </c>
      <c r="C56" s="503" t="s">
        <v>117</v>
      </c>
      <c r="D56" s="501"/>
      <c r="E56" s="20">
        <f t="shared" ref="E56:AI56" si="16">E18-D18</f>
        <v>946</v>
      </c>
      <c r="F56" s="20">
        <f t="shared" si="16"/>
        <v>720</v>
      </c>
      <c r="G56" s="20">
        <f t="shared" si="16"/>
        <v>614</v>
      </c>
      <c r="H56" s="20">
        <f t="shared" si="16"/>
        <v>584</v>
      </c>
      <c r="I56" s="20">
        <f t="shared" si="16"/>
        <v>733</v>
      </c>
      <c r="J56" s="20">
        <f t="shared" si="16"/>
        <v>815</v>
      </c>
      <c r="K56" s="20">
        <f t="shared" si="16"/>
        <v>828</v>
      </c>
      <c r="L56" s="20">
        <f t="shared" si="16"/>
        <v>769</v>
      </c>
      <c r="M56" s="20">
        <f t="shared" si="16"/>
        <v>771</v>
      </c>
      <c r="N56" s="20">
        <f t="shared" si="16"/>
        <v>594</v>
      </c>
      <c r="O56" s="20">
        <f t="shared" si="16"/>
        <v>522</v>
      </c>
      <c r="P56" s="20">
        <f t="shared" si="16"/>
        <v>821</v>
      </c>
      <c r="Q56" s="20">
        <f t="shared" si="16"/>
        <v>778</v>
      </c>
      <c r="R56" s="20">
        <f t="shared" si="16"/>
        <v>803</v>
      </c>
      <c r="S56" s="20">
        <f t="shared" si="16"/>
        <v>785</v>
      </c>
      <c r="T56" s="20">
        <f t="shared" si="16"/>
        <v>758</v>
      </c>
      <c r="U56" s="20">
        <f t="shared" si="16"/>
        <v>544</v>
      </c>
      <c r="V56" s="20">
        <f t="shared" si="16"/>
        <v>537</v>
      </c>
      <c r="W56" s="20">
        <f t="shared" si="16"/>
        <v>755</v>
      </c>
      <c r="X56" s="20">
        <f t="shared" si="16"/>
        <v>852</v>
      </c>
      <c r="Y56" s="20">
        <f t="shared" si="16"/>
        <v>799</v>
      </c>
      <c r="Z56" s="20">
        <f t="shared" si="16"/>
        <v>862</v>
      </c>
      <c r="AA56" s="20">
        <f t="shared" si="16"/>
        <v>780</v>
      </c>
      <c r="AB56" s="20">
        <f t="shared" si="16"/>
        <v>572</v>
      </c>
      <c r="AC56" s="20">
        <f t="shared" si="16"/>
        <v>465</v>
      </c>
      <c r="AD56" s="20">
        <f t="shared" si="16"/>
        <v>415</v>
      </c>
      <c r="AE56" s="20">
        <f t="shared" si="16"/>
        <v>793</v>
      </c>
      <c r="AF56" s="20">
        <f t="shared" si="16"/>
        <v>399</v>
      </c>
      <c r="AG56" s="20">
        <f t="shared" si="16"/>
        <v>1231</v>
      </c>
      <c r="AH56" s="20">
        <f t="shared" si="16"/>
        <v>765</v>
      </c>
      <c r="AI56" s="20">
        <f t="shared" si="16"/>
        <v>319</v>
      </c>
      <c r="AJ56" s="21">
        <f t="shared" si="4"/>
        <v>21929</v>
      </c>
    </row>
    <row r="57" spans="1:36" ht="15" customHeight="1">
      <c r="A57" s="2"/>
      <c r="B57" s="2"/>
      <c r="C57" s="531" t="s">
        <v>22</v>
      </c>
      <c r="D57" s="501"/>
      <c r="E57" s="20">
        <f t="shared" ref="E57:AI57" si="17">E19-D19</f>
        <v>0</v>
      </c>
      <c r="F57" s="20">
        <f t="shared" si="17"/>
        <v>0</v>
      </c>
      <c r="G57" s="20">
        <f t="shared" si="17"/>
        <v>0</v>
      </c>
      <c r="H57" s="20">
        <f t="shared" si="17"/>
        <v>0</v>
      </c>
      <c r="I57" s="20">
        <f t="shared" si="17"/>
        <v>0</v>
      </c>
      <c r="J57" s="20">
        <f t="shared" si="17"/>
        <v>0</v>
      </c>
      <c r="K57" s="20">
        <f t="shared" si="17"/>
        <v>0</v>
      </c>
      <c r="L57" s="20">
        <f t="shared" si="17"/>
        <v>7</v>
      </c>
      <c r="M57" s="20">
        <f t="shared" si="17"/>
        <v>0</v>
      </c>
      <c r="N57" s="20">
        <f t="shared" si="17"/>
        <v>0</v>
      </c>
      <c r="O57" s="20">
        <f t="shared" si="17"/>
        <v>0</v>
      </c>
      <c r="P57" s="20">
        <f t="shared" si="17"/>
        <v>0</v>
      </c>
      <c r="Q57" s="20">
        <f t="shared" si="17"/>
        <v>0</v>
      </c>
      <c r="R57" s="20">
        <f t="shared" si="17"/>
        <v>0</v>
      </c>
      <c r="S57" s="20">
        <f t="shared" si="17"/>
        <v>0</v>
      </c>
      <c r="T57" s="20">
        <f t="shared" si="17"/>
        <v>0</v>
      </c>
      <c r="U57" s="20">
        <f t="shared" si="17"/>
        <v>0</v>
      </c>
      <c r="V57" s="20">
        <f t="shared" si="17"/>
        <v>0</v>
      </c>
      <c r="W57" s="20">
        <f t="shared" si="17"/>
        <v>0</v>
      </c>
      <c r="X57" s="20">
        <f t="shared" si="17"/>
        <v>0</v>
      </c>
      <c r="Y57" s="20">
        <f t="shared" si="17"/>
        <v>0</v>
      </c>
      <c r="Z57" s="20">
        <f t="shared" si="17"/>
        <v>0</v>
      </c>
      <c r="AA57" s="20">
        <f t="shared" si="17"/>
        <v>0</v>
      </c>
      <c r="AB57" s="20">
        <f t="shared" si="17"/>
        <v>0</v>
      </c>
      <c r="AC57" s="20">
        <f t="shared" si="17"/>
        <v>0</v>
      </c>
      <c r="AD57" s="20">
        <f t="shared" si="17"/>
        <v>0</v>
      </c>
      <c r="AE57" s="20">
        <f t="shared" si="17"/>
        <v>0</v>
      </c>
      <c r="AF57" s="20">
        <f t="shared" si="17"/>
        <v>0</v>
      </c>
      <c r="AG57" s="20">
        <f t="shared" si="17"/>
        <v>0</v>
      </c>
      <c r="AH57" s="20">
        <f t="shared" si="17"/>
        <v>0</v>
      </c>
      <c r="AI57" s="20">
        <f t="shared" si="17"/>
        <v>0</v>
      </c>
      <c r="AJ57" s="21">
        <f t="shared" si="4"/>
        <v>7</v>
      </c>
    </row>
    <row r="58" spans="1:36" ht="15" customHeight="1">
      <c r="A58" s="2">
        <v>8</v>
      </c>
      <c r="B58" s="2" t="s">
        <v>129</v>
      </c>
      <c r="C58" s="503" t="s">
        <v>118</v>
      </c>
      <c r="D58" s="501"/>
      <c r="E58" s="20">
        <f t="shared" ref="E58:AI58" si="18">E20-D20</f>
        <v>158</v>
      </c>
      <c r="F58" s="20">
        <f t="shared" si="18"/>
        <v>108</v>
      </c>
      <c r="G58" s="20">
        <f t="shared" si="18"/>
        <v>99</v>
      </c>
      <c r="H58" s="20">
        <f t="shared" si="18"/>
        <v>89</v>
      </c>
      <c r="I58" s="20">
        <f t="shared" si="18"/>
        <v>105</v>
      </c>
      <c r="J58" s="20">
        <f t="shared" si="18"/>
        <v>105</v>
      </c>
      <c r="K58" s="20">
        <f t="shared" si="18"/>
        <v>126</v>
      </c>
      <c r="L58" s="20">
        <f t="shared" si="18"/>
        <v>104</v>
      </c>
      <c r="M58" s="20">
        <f t="shared" si="18"/>
        <v>116</v>
      </c>
      <c r="N58" s="20">
        <f t="shared" si="18"/>
        <v>92</v>
      </c>
      <c r="O58" s="20">
        <f t="shared" si="18"/>
        <v>91</v>
      </c>
      <c r="P58" s="20">
        <f t="shared" si="18"/>
        <v>110</v>
      </c>
      <c r="Q58" s="20">
        <f t="shared" si="18"/>
        <v>124</v>
      </c>
      <c r="R58" s="20">
        <f t="shared" si="18"/>
        <v>105</v>
      </c>
      <c r="S58" s="20">
        <f t="shared" si="18"/>
        <v>113</v>
      </c>
      <c r="T58" s="20">
        <f t="shared" si="18"/>
        <v>104</v>
      </c>
      <c r="U58" s="20">
        <f t="shared" si="18"/>
        <v>102</v>
      </c>
      <c r="V58" s="20">
        <f t="shared" si="18"/>
        <v>96</v>
      </c>
      <c r="W58" s="20">
        <f t="shared" si="18"/>
        <v>119</v>
      </c>
      <c r="X58" s="20">
        <f t="shared" si="18"/>
        <v>115</v>
      </c>
      <c r="Y58" s="20">
        <f t="shared" si="18"/>
        <v>124</v>
      </c>
      <c r="Z58" s="20">
        <f t="shared" si="18"/>
        <v>124</v>
      </c>
      <c r="AA58" s="20">
        <f t="shared" si="18"/>
        <v>117</v>
      </c>
      <c r="AB58" s="20">
        <f t="shared" si="18"/>
        <v>95</v>
      </c>
      <c r="AC58" s="20">
        <f t="shared" si="18"/>
        <v>80</v>
      </c>
      <c r="AD58" s="20">
        <f t="shared" si="18"/>
        <v>85</v>
      </c>
      <c r="AE58" s="20">
        <f t="shared" si="18"/>
        <v>122</v>
      </c>
      <c r="AF58" s="20">
        <f t="shared" si="18"/>
        <v>115</v>
      </c>
      <c r="AG58" s="20">
        <f t="shared" si="18"/>
        <v>120</v>
      </c>
      <c r="AH58" s="20">
        <f t="shared" si="18"/>
        <v>106</v>
      </c>
      <c r="AI58" s="20">
        <f t="shared" si="18"/>
        <v>63</v>
      </c>
      <c r="AJ58" s="21">
        <f t="shared" si="4"/>
        <v>3332</v>
      </c>
    </row>
    <row r="59" spans="1:36" ht="15" customHeight="1">
      <c r="A59" s="2"/>
      <c r="B59" s="2"/>
      <c r="C59" s="531" t="s">
        <v>22</v>
      </c>
      <c r="D59" s="501"/>
      <c r="E59" s="20">
        <f t="shared" ref="E59:AI59" si="19">E21-D21</f>
        <v>0</v>
      </c>
      <c r="F59" s="20">
        <f t="shared" si="19"/>
        <v>0</v>
      </c>
      <c r="G59" s="20">
        <f t="shared" si="19"/>
        <v>0</v>
      </c>
      <c r="H59" s="20">
        <f t="shared" si="19"/>
        <v>0</v>
      </c>
      <c r="I59" s="20">
        <f t="shared" si="19"/>
        <v>0</v>
      </c>
      <c r="J59" s="20">
        <f t="shared" si="19"/>
        <v>0</v>
      </c>
      <c r="K59" s="20">
        <f t="shared" si="19"/>
        <v>0</v>
      </c>
      <c r="L59" s="20">
        <f t="shared" si="19"/>
        <v>1</v>
      </c>
      <c r="M59" s="20">
        <f t="shared" si="19"/>
        <v>0</v>
      </c>
      <c r="N59" s="20">
        <f t="shared" si="19"/>
        <v>0</v>
      </c>
      <c r="O59" s="20">
        <f t="shared" si="19"/>
        <v>0</v>
      </c>
      <c r="P59" s="20">
        <f t="shared" si="19"/>
        <v>0</v>
      </c>
      <c r="Q59" s="20">
        <f t="shared" si="19"/>
        <v>0</v>
      </c>
      <c r="R59" s="20">
        <f t="shared" si="19"/>
        <v>0</v>
      </c>
      <c r="S59" s="20">
        <f t="shared" si="19"/>
        <v>0</v>
      </c>
      <c r="T59" s="20">
        <f t="shared" si="19"/>
        <v>0</v>
      </c>
      <c r="U59" s="20">
        <f t="shared" si="19"/>
        <v>0</v>
      </c>
      <c r="V59" s="20">
        <f t="shared" si="19"/>
        <v>0</v>
      </c>
      <c r="W59" s="20">
        <f t="shared" si="19"/>
        <v>0</v>
      </c>
      <c r="X59" s="20">
        <f t="shared" si="19"/>
        <v>0</v>
      </c>
      <c r="Y59" s="20">
        <f t="shared" si="19"/>
        <v>0</v>
      </c>
      <c r="Z59" s="20">
        <f t="shared" si="19"/>
        <v>0</v>
      </c>
      <c r="AA59" s="20">
        <f t="shared" si="19"/>
        <v>0</v>
      </c>
      <c r="AB59" s="20">
        <f t="shared" si="19"/>
        <v>0</v>
      </c>
      <c r="AC59" s="20">
        <f t="shared" si="19"/>
        <v>0</v>
      </c>
      <c r="AD59" s="20">
        <f t="shared" si="19"/>
        <v>0</v>
      </c>
      <c r="AE59" s="20">
        <f t="shared" si="19"/>
        <v>0</v>
      </c>
      <c r="AF59" s="20">
        <f t="shared" si="19"/>
        <v>0</v>
      </c>
      <c r="AG59" s="20">
        <f t="shared" si="19"/>
        <v>0</v>
      </c>
      <c r="AH59" s="20">
        <f t="shared" si="19"/>
        <v>0</v>
      </c>
      <c r="AI59" s="20">
        <f t="shared" si="19"/>
        <v>0</v>
      </c>
      <c r="AJ59" s="21">
        <f t="shared" si="4"/>
        <v>1</v>
      </c>
    </row>
    <row r="60" spans="1:36">
      <c r="A60" s="99"/>
      <c r="B60" s="99"/>
      <c r="C60" s="500" t="s">
        <v>130</v>
      </c>
      <c r="D60" s="501"/>
      <c r="E60" s="23">
        <f t="shared" ref="E60:AJ60" si="20">SUM(E58,E56,E54,E52,E50,E48,E46,E44)</f>
        <v>2297</v>
      </c>
      <c r="F60" s="23">
        <f t="shared" si="20"/>
        <v>1819</v>
      </c>
      <c r="G60" s="23">
        <f t="shared" si="20"/>
        <v>1449</v>
      </c>
      <c r="H60" s="23">
        <f t="shared" si="20"/>
        <v>1433</v>
      </c>
      <c r="I60" s="23">
        <f t="shared" si="20"/>
        <v>1891</v>
      </c>
      <c r="J60" s="23">
        <f t="shared" si="20"/>
        <v>2054</v>
      </c>
      <c r="K60" s="23">
        <f t="shared" si="20"/>
        <v>1997</v>
      </c>
      <c r="L60" s="23">
        <f t="shared" si="20"/>
        <v>2023</v>
      </c>
      <c r="M60" s="23">
        <f t="shared" si="20"/>
        <v>1949</v>
      </c>
      <c r="N60" s="23">
        <f t="shared" si="20"/>
        <v>1458</v>
      </c>
      <c r="O60" s="23">
        <f t="shared" si="20"/>
        <v>1341</v>
      </c>
      <c r="P60" s="23">
        <f t="shared" si="20"/>
        <v>2100</v>
      </c>
      <c r="Q60" s="23">
        <f t="shared" si="20"/>
        <v>1964</v>
      </c>
      <c r="R60" s="23">
        <f t="shared" si="20"/>
        <v>2051</v>
      </c>
      <c r="S60" s="23">
        <f t="shared" si="20"/>
        <v>1980</v>
      </c>
      <c r="T60" s="23">
        <f t="shared" si="20"/>
        <v>1896</v>
      </c>
      <c r="U60" s="23">
        <f t="shared" si="20"/>
        <v>1364</v>
      </c>
      <c r="V60" s="23">
        <f t="shared" si="20"/>
        <v>1407</v>
      </c>
      <c r="W60" s="23">
        <f t="shared" si="20"/>
        <v>1975</v>
      </c>
      <c r="X60" s="23">
        <f t="shared" si="20"/>
        <v>2165</v>
      </c>
      <c r="Y60" s="23">
        <f t="shared" si="20"/>
        <v>2061</v>
      </c>
      <c r="Z60" s="23">
        <f t="shared" si="20"/>
        <v>2236</v>
      </c>
      <c r="AA60" s="23">
        <f t="shared" si="20"/>
        <v>1969</v>
      </c>
      <c r="AB60" s="23">
        <f t="shared" si="20"/>
        <v>1460</v>
      </c>
      <c r="AC60" s="23">
        <f t="shared" si="20"/>
        <v>1177</v>
      </c>
      <c r="AD60" s="23">
        <f t="shared" si="20"/>
        <v>1208</v>
      </c>
      <c r="AE60" s="23">
        <f t="shared" si="20"/>
        <v>2061</v>
      </c>
      <c r="AF60" s="23">
        <f t="shared" si="20"/>
        <v>1658</v>
      </c>
      <c r="AG60" s="23">
        <f t="shared" si="20"/>
        <v>2546</v>
      </c>
      <c r="AH60" s="23">
        <f t="shared" si="20"/>
        <v>1968</v>
      </c>
      <c r="AI60" s="23">
        <f t="shared" si="20"/>
        <v>781</v>
      </c>
      <c r="AJ60" s="23">
        <f t="shared" si="20"/>
        <v>55738</v>
      </c>
    </row>
    <row r="61" spans="1:36">
      <c r="A61" s="99"/>
      <c r="B61" s="99"/>
      <c r="C61" s="145" t="s">
        <v>131</v>
      </c>
      <c r="D61" s="108"/>
      <c r="E61" s="23">
        <f t="shared" ref="E61:AJ61" si="21">SUM(E45,E47,E49,E51,E53,E55,E57,E59)</f>
        <v>0</v>
      </c>
      <c r="F61" s="23">
        <f t="shared" si="21"/>
        <v>0</v>
      </c>
      <c r="G61" s="23">
        <f t="shared" si="21"/>
        <v>0</v>
      </c>
      <c r="H61" s="23">
        <f t="shared" si="21"/>
        <v>0</v>
      </c>
      <c r="I61" s="23">
        <f t="shared" si="21"/>
        <v>0</v>
      </c>
      <c r="J61" s="23">
        <f t="shared" si="21"/>
        <v>0</v>
      </c>
      <c r="K61" s="23">
        <f t="shared" si="21"/>
        <v>0</v>
      </c>
      <c r="L61" s="23">
        <f t="shared" si="21"/>
        <v>18</v>
      </c>
      <c r="M61" s="23">
        <f t="shared" si="21"/>
        <v>0</v>
      </c>
      <c r="N61" s="23">
        <f t="shared" si="21"/>
        <v>0</v>
      </c>
      <c r="O61" s="23">
        <f t="shared" si="21"/>
        <v>0</v>
      </c>
      <c r="P61" s="23">
        <f t="shared" si="21"/>
        <v>0</v>
      </c>
      <c r="Q61" s="23">
        <f t="shared" si="21"/>
        <v>0</v>
      </c>
      <c r="R61" s="23">
        <f t="shared" si="21"/>
        <v>0</v>
      </c>
      <c r="S61" s="23">
        <f t="shared" si="21"/>
        <v>0</v>
      </c>
      <c r="T61" s="23">
        <f t="shared" si="21"/>
        <v>0</v>
      </c>
      <c r="U61" s="23">
        <f t="shared" si="21"/>
        <v>0</v>
      </c>
      <c r="V61" s="23">
        <f t="shared" si="21"/>
        <v>0</v>
      </c>
      <c r="W61" s="23">
        <f t="shared" si="21"/>
        <v>0</v>
      </c>
      <c r="X61" s="23">
        <f t="shared" si="21"/>
        <v>0</v>
      </c>
      <c r="Y61" s="23">
        <f t="shared" si="21"/>
        <v>0</v>
      </c>
      <c r="Z61" s="23">
        <f t="shared" si="21"/>
        <v>0</v>
      </c>
      <c r="AA61" s="23">
        <f t="shared" si="21"/>
        <v>0</v>
      </c>
      <c r="AB61" s="23">
        <f t="shared" si="21"/>
        <v>0</v>
      </c>
      <c r="AC61" s="23">
        <f t="shared" si="21"/>
        <v>0</v>
      </c>
      <c r="AD61" s="23">
        <f t="shared" si="21"/>
        <v>0</v>
      </c>
      <c r="AE61" s="23">
        <f t="shared" si="21"/>
        <v>0</v>
      </c>
      <c r="AF61" s="23">
        <f t="shared" si="21"/>
        <v>0</v>
      </c>
      <c r="AG61" s="23">
        <f t="shared" si="21"/>
        <v>0</v>
      </c>
      <c r="AH61" s="23">
        <f t="shared" si="21"/>
        <v>0</v>
      </c>
      <c r="AI61" s="23">
        <f t="shared" si="21"/>
        <v>0</v>
      </c>
      <c r="AJ61" s="23">
        <f t="shared" si="21"/>
        <v>18</v>
      </c>
    </row>
    <row r="62" spans="1:36" ht="15" customHeight="1">
      <c r="A62" s="101"/>
      <c r="B62" s="101"/>
      <c r="C62" s="539" t="s">
        <v>132</v>
      </c>
      <c r="D62" s="501"/>
      <c r="E62" s="102">
        <f t="shared" ref="E62:AI62" si="22">E60</f>
        <v>2297</v>
      </c>
      <c r="F62" s="102">
        <f t="shared" si="22"/>
        <v>1819</v>
      </c>
      <c r="G62" s="102">
        <f t="shared" si="22"/>
        <v>1449</v>
      </c>
      <c r="H62" s="102">
        <f t="shared" si="22"/>
        <v>1433</v>
      </c>
      <c r="I62" s="102">
        <f t="shared" si="22"/>
        <v>1891</v>
      </c>
      <c r="J62" s="102">
        <f t="shared" si="22"/>
        <v>2054</v>
      </c>
      <c r="K62" s="102">
        <f t="shared" si="22"/>
        <v>1997</v>
      </c>
      <c r="L62" s="102">
        <f t="shared" si="22"/>
        <v>2023</v>
      </c>
      <c r="M62" s="102">
        <f t="shared" si="22"/>
        <v>1949</v>
      </c>
      <c r="N62" s="102">
        <f t="shared" si="22"/>
        <v>1458</v>
      </c>
      <c r="O62" s="102">
        <f t="shared" si="22"/>
        <v>1341</v>
      </c>
      <c r="P62" s="102">
        <f t="shared" si="22"/>
        <v>2100</v>
      </c>
      <c r="Q62" s="102">
        <f t="shared" si="22"/>
        <v>1964</v>
      </c>
      <c r="R62" s="102">
        <f t="shared" si="22"/>
        <v>2051</v>
      </c>
      <c r="S62" s="102">
        <f t="shared" si="22"/>
        <v>1980</v>
      </c>
      <c r="T62" s="102">
        <f t="shared" si="22"/>
        <v>1896</v>
      </c>
      <c r="U62" s="102">
        <f t="shared" si="22"/>
        <v>1364</v>
      </c>
      <c r="V62" s="102">
        <f t="shared" si="22"/>
        <v>1407</v>
      </c>
      <c r="W62" s="102">
        <f t="shared" si="22"/>
        <v>1975</v>
      </c>
      <c r="X62" s="102">
        <f t="shared" si="22"/>
        <v>2165</v>
      </c>
      <c r="Y62" s="102">
        <f t="shared" si="22"/>
        <v>2061</v>
      </c>
      <c r="Z62" s="102">
        <f t="shared" si="22"/>
        <v>2236</v>
      </c>
      <c r="AA62" s="102">
        <f t="shared" si="22"/>
        <v>1969</v>
      </c>
      <c r="AB62" s="102">
        <f t="shared" si="22"/>
        <v>1460</v>
      </c>
      <c r="AC62" s="102">
        <f t="shared" si="22"/>
        <v>1177</v>
      </c>
      <c r="AD62" s="102">
        <f t="shared" si="22"/>
        <v>1208</v>
      </c>
      <c r="AE62" s="102">
        <f t="shared" si="22"/>
        <v>2061</v>
      </c>
      <c r="AF62" s="102">
        <f t="shared" si="22"/>
        <v>1658</v>
      </c>
      <c r="AG62" s="102">
        <f t="shared" si="22"/>
        <v>2546</v>
      </c>
      <c r="AH62" s="102">
        <f t="shared" si="22"/>
        <v>1968</v>
      </c>
      <c r="AI62" s="102">
        <f t="shared" si="22"/>
        <v>781</v>
      </c>
      <c r="AJ62" s="21">
        <f>SUM(E62:AI62)</f>
        <v>55738</v>
      </c>
    </row>
    <row r="63" spans="1:36">
      <c r="A63" s="94"/>
      <c r="B63" s="27"/>
      <c r="C63" s="146"/>
      <c r="D63" s="10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</row>
    <row r="64" spans="1:36">
      <c r="A64" s="28" t="s">
        <v>133</v>
      </c>
      <c r="B64" s="28" t="s">
        <v>100</v>
      </c>
      <c r="C64" s="523" t="s">
        <v>101</v>
      </c>
      <c r="D64" s="501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</row>
    <row r="65" spans="1:38" ht="15" customHeight="1">
      <c r="A65" s="2">
        <v>1</v>
      </c>
      <c r="B65" s="2" t="s">
        <v>129</v>
      </c>
      <c r="C65" s="506" t="s">
        <v>119</v>
      </c>
      <c r="D65" s="501"/>
      <c r="E65" s="102">
        <f t="shared" ref="E65:AI65" si="23">E23-D23</f>
        <v>72</v>
      </c>
      <c r="F65" s="102">
        <f t="shared" si="23"/>
        <v>78</v>
      </c>
      <c r="G65" s="102">
        <f t="shared" si="23"/>
        <v>1</v>
      </c>
      <c r="H65" s="102">
        <f t="shared" si="23"/>
        <v>1</v>
      </c>
      <c r="I65" s="102">
        <f t="shared" si="23"/>
        <v>132</v>
      </c>
      <c r="J65" s="102">
        <f t="shared" si="23"/>
        <v>158</v>
      </c>
      <c r="K65" s="102">
        <f t="shared" si="23"/>
        <v>174</v>
      </c>
      <c r="L65" s="102">
        <f t="shared" si="23"/>
        <v>169</v>
      </c>
      <c r="M65" s="102">
        <f t="shared" si="23"/>
        <v>185</v>
      </c>
      <c r="N65" s="102">
        <f t="shared" si="23"/>
        <v>134</v>
      </c>
      <c r="O65" s="102">
        <f t="shared" si="23"/>
        <v>0</v>
      </c>
      <c r="P65" s="102">
        <f t="shared" si="23"/>
        <v>131</v>
      </c>
      <c r="Q65" s="102">
        <f t="shared" si="23"/>
        <v>164</v>
      </c>
      <c r="R65" s="102">
        <f t="shared" si="23"/>
        <v>148</v>
      </c>
      <c r="S65" s="102">
        <f t="shared" si="23"/>
        <v>102</v>
      </c>
      <c r="T65" s="102">
        <f t="shared" si="23"/>
        <v>114</v>
      </c>
      <c r="U65" s="102">
        <f t="shared" si="23"/>
        <v>16</v>
      </c>
      <c r="V65" s="102">
        <f t="shared" si="23"/>
        <v>0</v>
      </c>
      <c r="W65" s="102">
        <f t="shared" si="23"/>
        <v>154</v>
      </c>
      <c r="X65" s="102">
        <f t="shared" si="23"/>
        <v>176</v>
      </c>
      <c r="Y65" s="102">
        <f t="shared" si="23"/>
        <v>190</v>
      </c>
      <c r="Z65" s="102">
        <f t="shared" si="23"/>
        <v>194</v>
      </c>
      <c r="AA65" s="102">
        <f t="shared" si="23"/>
        <v>168</v>
      </c>
      <c r="AB65" s="102">
        <f t="shared" si="23"/>
        <v>5</v>
      </c>
      <c r="AC65" s="102">
        <f t="shared" si="23"/>
        <v>41</v>
      </c>
      <c r="AD65" s="102">
        <f t="shared" si="23"/>
        <v>0</v>
      </c>
      <c r="AE65" s="102">
        <f t="shared" si="23"/>
        <v>150</v>
      </c>
      <c r="AF65" s="102">
        <f t="shared" si="23"/>
        <v>170</v>
      </c>
      <c r="AG65" s="102">
        <f t="shared" si="23"/>
        <v>130</v>
      </c>
      <c r="AH65" s="102">
        <f t="shared" si="23"/>
        <v>162</v>
      </c>
      <c r="AI65" s="102">
        <f t="shared" si="23"/>
        <v>90</v>
      </c>
      <c r="AJ65" s="21">
        <f t="shared" ref="AJ65:AJ72" si="24">SUM(E65:AI65)</f>
        <v>3409</v>
      </c>
    </row>
    <row r="66" spans="1:38" ht="15" customHeight="1">
      <c r="A66" s="2"/>
      <c r="B66" s="2"/>
      <c r="C66" s="532" t="s">
        <v>22</v>
      </c>
      <c r="D66" s="501"/>
      <c r="E66" s="102">
        <f t="shared" ref="E66:AI66" si="25">E24-D24</f>
        <v>0</v>
      </c>
      <c r="F66" s="102">
        <f t="shared" si="25"/>
        <v>0</v>
      </c>
      <c r="G66" s="102">
        <f t="shared" si="25"/>
        <v>0</v>
      </c>
      <c r="H66" s="102">
        <f t="shared" si="25"/>
        <v>0</v>
      </c>
      <c r="I66" s="102">
        <f t="shared" si="25"/>
        <v>0</v>
      </c>
      <c r="J66" s="102">
        <f t="shared" si="25"/>
        <v>0</v>
      </c>
      <c r="K66" s="102">
        <f t="shared" si="25"/>
        <v>0</v>
      </c>
      <c r="L66" s="102">
        <f t="shared" si="25"/>
        <v>0</v>
      </c>
      <c r="M66" s="102">
        <f t="shared" si="25"/>
        <v>0</v>
      </c>
      <c r="N66" s="102">
        <f t="shared" si="25"/>
        <v>0</v>
      </c>
      <c r="O66" s="102">
        <f t="shared" si="25"/>
        <v>0</v>
      </c>
      <c r="P66" s="102">
        <f t="shared" si="25"/>
        <v>0</v>
      </c>
      <c r="Q66" s="102">
        <f t="shared" si="25"/>
        <v>0</v>
      </c>
      <c r="R66" s="102">
        <f t="shared" si="25"/>
        <v>0</v>
      </c>
      <c r="S66" s="102">
        <f t="shared" si="25"/>
        <v>0</v>
      </c>
      <c r="T66" s="102">
        <f t="shared" si="25"/>
        <v>0</v>
      </c>
      <c r="U66" s="102">
        <f t="shared" si="25"/>
        <v>0</v>
      </c>
      <c r="V66" s="102">
        <f t="shared" si="25"/>
        <v>0</v>
      </c>
      <c r="W66" s="102">
        <f t="shared" si="25"/>
        <v>0</v>
      </c>
      <c r="X66" s="102">
        <f t="shared" si="25"/>
        <v>0</v>
      </c>
      <c r="Y66" s="102">
        <f t="shared" si="25"/>
        <v>0</v>
      </c>
      <c r="Z66" s="102">
        <f t="shared" si="25"/>
        <v>0</v>
      </c>
      <c r="AA66" s="102">
        <f t="shared" si="25"/>
        <v>0</v>
      </c>
      <c r="AB66" s="102">
        <f t="shared" si="25"/>
        <v>0</v>
      </c>
      <c r="AC66" s="102">
        <f t="shared" si="25"/>
        <v>0</v>
      </c>
      <c r="AD66" s="102">
        <f t="shared" si="25"/>
        <v>0</v>
      </c>
      <c r="AE66" s="102">
        <f t="shared" si="25"/>
        <v>0</v>
      </c>
      <c r="AF66" s="102">
        <f t="shared" si="25"/>
        <v>0</v>
      </c>
      <c r="AG66" s="102">
        <f t="shared" si="25"/>
        <v>0</v>
      </c>
      <c r="AH66" s="102">
        <f t="shared" si="25"/>
        <v>0</v>
      </c>
      <c r="AI66" s="102">
        <f t="shared" si="25"/>
        <v>2</v>
      </c>
      <c r="AJ66" s="21">
        <f t="shared" si="24"/>
        <v>2</v>
      </c>
    </row>
    <row r="67" spans="1:38" ht="15" customHeight="1">
      <c r="A67" s="2">
        <v>2</v>
      </c>
      <c r="B67" s="2" t="s">
        <v>129</v>
      </c>
      <c r="C67" s="506" t="s">
        <v>120</v>
      </c>
      <c r="D67" s="501"/>
      <c r="E67" s="102">
        <f t="shared" ref="E67:AI67" si="26">E25-D25</f>
        <v>67</v>
      </c>
      <c r="F67" s="102">
        <f t="shared" si="26"/>
        <v>77</v>
      </c>
      <c r="G67" s="102">
        <f t="shared" si="26"/>
        <v>0</v>
      </c>
      <c r="H67" s="102">
        <f t="shared" si="26"/>
        <v>1</v>
      </c>
      <c r="I67" s="102">
        <f t="shared" si="26"/>
        <v>130</v>
      </c>
      <c r="J67" s="102">
        <f t="shared" si="26"/>
        <v>106</v>
      </c>
      <c r="K67" s="102">
        <f t="shared" si="26"/>
        <v>125</v>
      </c>
      <c r="L67" s="102">
        <f t="shared" si="26"/>
        <v>102</v>
      </c>
      <c r="M67" s="102">
        <f t="shared" si="26"/>
        <v>122</v>
      </c>
      <c r="N67" s="102">
        <f t="shared" si="26"/>
        <v>135</v>
      </c>
      <c r="O67" s="102">
        <f t="shared" si="26"/>
        <v>0</v>
      </c>
      <c r="P67" s="102">
        <f t="shared" si="26"/>
        <v>121</v>
      </c>
      <c r="Q67" s="102">
        <f t="shared" si="26"/>
        <v>116</v>
      </c>
      <c r="R67" s="102">
        <f t="shared" si="26"/>
        <v>118</v>
      </c>
      <c r="S67" s="102">
        <f t="shared" si="26"/>
        <v>136</v>
      </c>
      <c r="T67" s="102">
        <f t="shared" si="26"/>
        <v>132</v>
      </c>
      <c r="U67" s="102">
        <f t="shared" si="26"/>
        <v>25</v>
      </c>
      <c r="V67" s="102">
        <f t="shared" si="26"/>
        <v>0</v>
      </c>
      <c r="W67" s="102">
        <f t="shared" si="26"/>
        <v>171</v>
      </c>
      <c r="X67" s="102">
        <f t="shared" si="26"/>
        <v>163</v>
      </c>
      <c r="Y67" s="102">
        <f t="shared" si="26"/>
        <v>154</v>
      </c>
      <c r="Z67" s="102">
        <f t="shared" si="26"/>
        <v>148</v>
      </c>
      <c r="AA67" s="102">
        <f t="shared" si="26"/>
        <v>180</v>
      </c>
      <c r="AB67" s="102">
        <f t="shared" si="26"/>
        <v>9</v>
      </c>
      <c r="AC67" s="102">
        <f t="shared" si="26"/>
        <v>0</v>
      </c>
      <c r="AD67" s="102">
        <f t="shared" si="26"/>
        <v>0</v>
      </c>
      <c r="AE67" s="102">
        <f t="shared" si="26"/>
        <v>189</v>
      </c>
      <c r="AF67" s="102">
        <f t="shared" si="26"/>
        <v>192</v>
      </c>
      <c r="AG67" s="102">
        <f t="shared" si="26"/>
        <v>136</v>
      </c>
      <c r="AH67" s="102">
        <f t="shared" si="26"/>
        <v>180</v>
      </c>
      <c r="AI67" s="102">
        <f t="shared" si="26"/>
        <v>40</v>
      </c>
      <c r="AJ67" s="21">
        <f t="shared" si="24"/>
        <v>3075</v>
      </c>
    </row>
    <row r="68" spans="1:38" ht="15" customHeight="1">
      <c r="A68" s="2"/>
      <c r="B68" s="2"/>
      <c r="C68" s="532" t="s">
        <v>22</v>
      </c>
      <c r="D68" s="501"/>
      <c r="E68" s="102">
        <f t="shared" ref="E68:AI68" si="27">E26-D26</f>
        <v>0</v>
      </c>
      <c r="F68" s="102">
        <f t="shared" si="27"/>
        <v>0</v>
      </c>
      <c r="G68" s="102">
        <f t="shared" si="27"/>
        <v>0</v>
      </c>
      <c r="H68" s="102">
        <f t="shared" si="27"/>
        <v>0</v>
      </c>
      <c r="I68" s="102">
        <f t="shared" si="27"/>
        <v>0</v>
      </c>
      <c r="J68" s="102">
        <f t="shared" si="27"/>
        <v>0</v>
      </c>
      <c r="K68" s="102">
        <f t="shared" si="27"/>
        <v>0</v>
      </c>
      <c r="L68" s="102">
        <f t="shared" si="27"/>
        <v>0</v>
      </c>
      <c r="M68" s="102">
        <f t="shared" si="27"/>
        <v>0</v>
      </c>
      <c r="N68" s="102">
        <f t="shared" si="27"/>
        <v>0</v>
      </c>
      <c r="O68" s="102">
        <f t="shared" si="27"/>
        <v>0</v>
      </c>
      <c r="P68" s="102">
        <f t="shared" si="27"/>
        <v>0</v>
      </c>
      <c r="Q68" s="102">
        <f t="shared" si="27"/>
        <v>0</v>
      </c>
      <c r="R68" s="102">
        <f t="shared" si="27"/>
        <v>0</v>
      </c>
      <c r="S68" s="102">
        <f t="shared" si="27"/>
        <v>0</v>
      </c>
      <c r="T68" s="102">
        <f t="shared" si="27"/>
        <v>0</v>
      </c>
      <c r="U68" s="102">
        <f t="shared" si="27"/>
        <v>0</v>
      </c>
      <c r="V68" s="102">
        <f t="shared" si="27"/>
        <v>0</v>
      </c>
      <c r="W68" s="102">
        <f t="shared" si="27"/>
        <v>0</v>
      </c>
      <c r="X68" s="102">
        <f t="shared" si="27"/>
        <v>0</v>
      </c>
      <c r="Y68" s="102">
        <f t="shared" si="27"/>
        <v>0</v>
      </c>
      <c r="Z68" s="102">
        <f t="shared" si="27"/>
        <v>0</v>
      </c>
      <c r="AA68" s="102">
        <f t="shared" si="27"/>
        <v>0</v>
      </c>
      <c r="AB68" s="102">
        <f t="shared" si="27"/>
        <v>0</v>
      </c>
      <c r="AC68" s="102">
        <f t="shared" si="27"/>
        <v>0</v>
      </c>
      <c r="AD68" s="102">
        <f t="shared" si="27"/>
        <v>0</v>
      </c>
      <c r="AE68" s="102">
        <f t="shared" si="27"/>
        <v>0</v>
      </c>
      <c r="AF68" s="102">
        <f t="shared" si="27"/>
        <v>0</v>
      </c>
      <c r="AG68" s="102">
        <f t="shared" si="27"/>
        <v>0</v>
      </c>
      <c r="AH68" s="102">
        <f t="shared" si="27"/>
        <v>0</v>
      </c>
      <c r="AI68" s="102">
        <f t="shared" si="27"/>
        <v>2</v>
      </c>
      <c r="AJ68" s="21">
        <f t="shared" si="24"/>
        <v>2</v>
      </c>
      <c r="AK68" s="115" t="s">
        <v>20</v>
      </c>
      <c r="AL68" s="116">
        <f>AJ60</f>
        <v>55738</v>
      </c>
    </row>
    <row r="69" spans="1:38" ht="15" customHeight="1">
      <c r="A69" s="2">
        <v>3</v>
      </c>
      <c r="B69" s="2" t="s">
        <v>129</v>
      </c>
      <c r="C69" s="506" t="s">
        <v>121</v>
      </c>
      <c r="D69" s="501"/>
      <c r="E69" s="102">
        <f t="shared" ref="E69:AI69" si="28">E27-D27</f>
        <v>114</v>
      </c>
      <c r="F69" s="102">
        <f t="shared" si="28"/>
        <v>181</v>
      </c>
      <c r="G69" s="102">
        <f t="shared" si="28"/>
        <v>183</v>
      </c>
      <c r="H69" s="102">
        <f t="shared" si="28"/>
        <v>193</v>
      </c>
      <c r="I69" s="102">
        <f t="shared" si="28"/>
        <v>188</v>
      </c>
      <c r="J69" s="102">
        <f t="shared" si="28"/>
        <v>172</v>
      </c>
      <c r="K69" s="102">
        <f t="shared" si="28"/>
        <v>192</v>
      </c>
      <c r="L69" s="102">
        <f t="shared" si="28"/>
        <v>184</v>
      </c>
      <c r="M69" s="102">
        <f t="shared" si="28"/>
        <v>185</v>
      </c>
      <c r="N69" s="102">
        <f t="shared" si="28"/>
        <v>189</v>
      </c>
      <c r="O69" s="102">
        <f t="shared" si="28"/>
        <v>187</v>
      </c>
      <c r="P69" s="102">
        <f t="shared" si="28"/>
        <v>197</v>
      </c>
      <c r="Q69" s="102">
        <f t="shared" si="28"/>
        <v>185</v>
      </c>
      <c r="R69" s="102">
        <f t="shared" si="28"/>
        <v>185</v>
      </c>
      <c r="S69" s="102">
        <f t="shared" si="28"/>
        <v>140</v>
      </c>
      <c r="T69" s="102">
        <f t="shared" si="28"/>
        <v>195</v>
      </c>
      <c r="U69" s="102">
        <f t="shared" si="28"/>
        <v>102</v>
      </c>
      <c r="V69" s="102">
        <f t="shared" si="28"/>
        <v>0</v>
      </c>
      <c r="W69" s="102">
        <f t="shared" si="28"/>
        <v>156</v>
      </c>
      <c r="X69" s="102">
        <f t="shared" si="28"/>
        <v>186</v>
      </c>
      <c r="Y69" s="102">
        <f t="shared" si="28"/>
        <v>176</v>
      </c>
      <c r="Z69" s="102">
        <f t="shared" si="28"/>
        <v>165</v>
      </c>
      <c r="AA69" s="102">
        <f t="shared" si="28"/>
        <v>155</v>
      </c>
      <c r="AB69" s="102">
        <f t="shared" si="28"/>
        <v>174</v>
      </c>
      <c r="AC69" s="102">
        <f t="shared" si="28"/>
        <v>48</v>
      </c>
      <c r="AD69" s="102">
        <f t="shared" si="28"/>
        <v>0</v>
      </c>
      <c r="AE69" s="102">
        <f t="shared" si="28"/>
        <v>130</v>
      </c>
      <c r="AF69" s="102">
        <f t="shared" si="28"/>
        <v>157</v>
      </c>
      <c r="AG69" s="102">
        <f t="shared" si="28"/>
        <v>111</v>
      </c>
      <c r="AH69" s="102">
        <f t="shared" si="28"/>
        <v>116</v>
      </c>
      <c r="AI69" s="102">
        <f t="shared" si="28"/>
        <v>27</v>
      </c>
      <c r="AJ69" s="21">
        <f t="shared" si="24"/>
        <v>4573</v>
      </c>
      <c r="AK69" s="115" t="s">
        <v>21</v>
      </c>
      <c r="AL69" s="116">
        <f>AJ73</f>
        <v>12951</v>
      </c>
    </row>
    <row r="70" spans="1:38" ht="15" customHeight="1">
      <c r="A70" s="2"/>
      <c r="B70" s="2"/>
      <c r="C70" s="532" t="s">
        <v>22</v>
      </c>
      <c r="D70" s="501"/>
      <c r="E70" s="102">
        <f t="shared" ref="E70:AI70" si="29">E28-D28</f>
        <v>0</v>
      </c>
      <c r="F70" s="102">
        <f t="shared" si="29"/>
        <v>0</v>
      </c>
      <c r="G70" s="102">
        <f t="shared" si="29"/>
        <v>0</v>
      </c>
      <c r="H70" s="102">
        <f t="shared" si="29"/>
        <v>0</v>
      </c>
      <c r="I70" s="102">
        <f t="shared" si="29"/>
        <v>0</v>
      </c>
      <c r="J70" s="102">
        <f t="shared" si="29"/>
        <v>0</v>
      </c>
      <c r="K70" s="102">
        <f t="shared" si="29"/>
        <v>0</v>
      </c>
      <c r="L70" s="102">
        <f t="shared" si="29"/>
        <v>0</v>
      </c>
      <c r="M70" s="102">
        <f t="shared" si="29"/>
        <v>0</v>
      </c>
      <c r="N70" s="102">
        <f t="shared" si="29"/>
        <v>0</v>
      </c>
      <c r="O70" s="102">
        <f t="shared" si="29"/>
        <v>0</v>
      </c>
      <c r="P70" s="102">
        <f t="shared" si="29"/>
        <v>0</v>
      </c>
      <c r="Q70" s="102">
        <f t="shared" si="29"/>
        <v>0</v>
      </c>
      <c r="R70" s="102">
        <f t="shared" si="29"/>
        <v>0</v>
      </c>
      <c r="S70" s="102">
        <f t="shared" si="29"/>
        <v>0</v>
      </c>
      <c r="T70" s="102">
        <f t="shared" si="29"/>
        <v>0</v>
      </c>
      <c r="U70" s="102">
        <f t="shared" si="29"/>
        <v>0</v>
      </c>
      <c r="V70" s="102">
        <f t="shared" si="29"/>
        <v>0</v>
      </c>
      <c r="W70" s="102">
        <f t="shared" si="29"/>
        <v>0</v>
      </c>
      <c r="X70" s="102">
        <f t="shared" si="29"/>
        <v>0</v>
      </c>
      <c r="Y70" s="102">
        <f t="shared" si="29"/>
        <v>0</v>
      </c>
      <c r="Z70" s="102">
        <f t="shared" si="29"/>
        <v>0</v>
      </c>
      <c r="AA70" s="102">
        <f t="shared" si="29"/>
        <v>0</v>
      </c>
      <c r="AB70" s="102">
        <f t="shared" si="29"/>
        <v>0</v>
      </c>
      <c r="AC70" s="102">
        <f t="shared" si="29"/>
        <v>0</v>
      </c>
      <c r="AD70" s="102">
        <f t="shared" si="29"/>
        <v>0</v>
      </c>
      <c r="AE70" s="102">
        <f t="shared" si="29"/>
        <v>0</v>
      </c>
      <c r="AF70" s="102">
        <f t="shared" si="29"/>
        <v>0</v>
      </c>
      <c r="AG70" s="102">
        <f t="shared" si="29"/>
        <v>0</v>
      </c>
      <c r="AH70" s="102">
        <f t="shared" si="29"/>
        <v>0</v>
      </c>
      <c r="AI70" s="102">
        <f t="shared" si="29"/>
        <v>3</v>
      </c>
      <c r="AJ70" s="21">
        <f t="shared" si="24"/>
        <v>3</v>
      </c>
      <c r="AK70" s="115" t="s">
        <v>23</v>
      </c>
      <c r="AL70" s="116">
        <f>AJ79*40%</f>
        <v>10159.6</v>
      </c>
    </row>
    <row r="71" spans="1:38" ht="15" customHeight="1">
      <c r="A71" s="2">
        <v>4</v>
      </c>
      <c r="B71" s="2" t="s">
        <v>129</v>
      </c>
      <c r="C71" s="506" t="s">
        <v>122</v>
      </c>
      <c r="D71" s="501"/>
      <c r="E71" s="102">
        <f t="shared" ref="E71:AI71" si="30">E29-D29</f>
        <v>6</v>
      </c>
      <c r="F71" s="102">
        <f t="shared" si="30"/>
        <v>187</v>
      </c>
      <c r="G71" s="102">
        <f t="shared" si="30"/>
        <v>0</v>
      </c>
      <c r="H71" s="102">
        <f t="shared" si="30"/>
        <v>2</v>
      </c>
      <c r="I71" s="102">
        <f t="shared" si="30"/>
        <v>141</v>
      </c>
      <c r="J71" s="102">
        <f t="shared" si="30"/>
        <v>117</v>
      </c>
      <c r="K71" s="102">
        <f t="shared" si="30"/>
        <v>128</v>
      </c>
      <c r="L71" s="102">
        <f t="shared" si="30"/>
        <v>100</v>
      </c>
      <c r="M71" s="102">
        <f t="shared" si="30"/>
        <v>96</v>
      </c>
      <c r="N71" s="102">
        <f t="shared" si="30"/>
        <v>53</v>
      </c>
      <c r="O71" s="102">
        <f t="shared" si="30"/>
        <v>0</v>
      </c>
      <c r="P71" s="102">
        <f t="shared" si="30"/>
        <v>79</v>
      </c>
      <c r="Q71" s="102">
        <f t="shared" si="30"/>
        <v>75</v>
      </c>
      <c r="R71" s="102">
        <f t="shared" si="30"/>
        <v>68</v>
      </c>
      <c r="S71" s="102">
        <f t="shared" si="30"/>
        <v>107</v>
      </c>
      <c r="T71" s="102">
        <f t="shared" si="30"/>
        <v>52</v>
      </c>
      <c r="U71" s="102">
        <f t="shared" si="30"/>
        <v>0</v>
      </c>
      <c r="V71" s="102">
        <f t="shared" si="30"/>
        <v>0</v>
      </c>
      <c r="W71" s="102">
        <f t="shared" si="30"/>
        <v>133</v>
      </c>
      <c r="X71" s="102">
        <f t="shared" si="30"/>
        <v>54</v>
      </c>
      <c r="Y71" s="102">
        <f t="shared" si="30"/>
        <v>45</v>
      </c>
      <c r="Z71" s="102">
        <f t="shared" si="30"/>
        <v>42</v>
      </c>
      <c r="AA71" s="102">
        <f t="shared" si="30"/>
        <v>46</v>
      </c>
      <c r="AB71" s="102">
        <f t="shared" si="30"/>
        <v>0</v>
      </c>
      <c r="AC71" s="102">
        <f t="shared" si="30"/>
        <v>0</v>
      </c>
      <c r="AD71" s="102">
        <f t="shared" si="30"/>
        <v>0</v>
      </c>
      <c r="AE71" s="102">
        <f t="shared" si="30"/>
        <v>114</v>
      </c>
      <c r="AF71" s="102">
        <f t="shared" si="30"/>
        <v>47</v>
      </c>
      <c r="AG71" s="102">
        <f t="shared" si="30"/>
        <v>97</v>
      </c>
      <c r="AH71" s="102">
        <f t="shared" si="30"/>
        <v>105</v>
      </c>
      <c r="AI71" s="102">
        <f t="shared" si="30"/>
        <v>0</v>
      </c>
      <c r="AJ71" s="21">
        <f t="shared" si="24"/>
        <v>1894</v>
      </c>
      <c r="AK71" s="117" t="s">
        <v>22</v>
      </c>
      <c r="AL71" s="118">
        <f>AJ74+AJ61</f>
        <v>27</v>
      </c>
    </row>
    <row r="72" spans="1:38" ht="15" customHeight="1">
      <c r="A72" s="2"/>
      <c r="B72" s="2"/>
      <c r="C72" s="532" t="s">
        <v>22</v>
      </c>
      <c r="D72" s="501"/>
      <c r="E72" s="102">
        <f t="shared" ref="E72:AI72" si="31">E30-D30</f>
        <v>0</v>
      </c>
      <c r="F72" s="102">
        <f t="shared" si="31"/>
        <v>0</v>
      </c>
      <c r="G72" s="102">
        <f t="shared" si="31"/>
        <v>0</v>
      </c>
      <c r="H72" s="102">
        <f t="shared" si="31"/>
        <v>0</v>
      </c>
      <c r="I72" s="102">
        <f t="shared" si="31"/>
        <v>0</v>
      </c>
      <c r="J72" s="102">
        <f t="shared" si="31"/>
        <v>0</v>
      </c>
      <c r="K72" s="102">
        <f t="shared" si="31"/>
        <v>0</v>
      </c>
      <c r="L72" s="102">
        <f t="shared" si="31"/>
        <v>0</v>
      </c>
      <c r="M72" s="102">
        <f t="shared" si="31"/>
        <v>0</v>
      </c>
      <c r="N72" s="102">
        <f t="shared" si="31"/>
        <v>0</v>
      </c>
      <c r="O72" s="102">
        <f t="shared" si="31"/>
        <v>0</v>
      </c>
      <c r="P72" s="102">
        <f t="shared" si="31"/>
        <v>0</v>
      </c>
      <c r="Q72" s="102">
        <f t="shared" si="31"/>
        <v>0</v>
      </c>
      <c r="R72" s="102">
        <f t="shared" si="31"/>
        <v>0</v>
      </c>
      <c r="S72" s="102">
        <f t="shared" si="31"/>
        <v>0</v>
      </c>
      <c r="T72" s="102">
        <f t="shared" si="31"/>
        <v>0</v>
      </c>
      <c r="U72" s="102">
        <f t="shared" si="31"/>
        <v>0</v>
      </c>
      <c r="V72" s="102">
        <f t="shared" si="31"/>
        <v>0</v>
      </c>
      <c r="W72" s="102">
        <f t="shared" si="31"/>
        <v>0</v>
      </c>
      <c r="X72" s="102">
        <f t="shared" si="31"/>
        <v>0</v>
      </c>
      <c r="Y72" s="102">
        <f t="shared" si="31"/>
        <v>0</v>
      </c>
      <c r="Z72" s="102">
        <f t="shared" si="31"/>
        <v>0</v>
      </c>
      <c r="AA72" s="102">
        <f t="shared" si="31"/>
        <v>0</v>
      </c>
      <c r="AB72" s="102">
        <f t="shared" si="31"/>
        <v>0</v>
      </c>
      <c r="AC72" s="102">
        <f t="shared" si="31"/>
        <v>0</v>
      </c>
      <c r="AD72" s="102">
        <f t="shared" si="31"/>
        <v>0</v>
      </c>
      <c r="AE72" s="102">
        <f t="shared" si="31"/>
        <v>0</v>
      </c>
      <c r="AF72" s="102">
        <f t="shared" si="31"/>
        <v>0</v>
      </c>
      <c r="AG72" s="102">
        <f t="shared" si="31"/>
        <v>0</v>
      </c>
      <c r="AH72" s="102">
        <f t="shared" si="31"/>
        <v>0</v>
      </c>
      <c r="AI72" s="102">
        <f t="shared" si="31"/>
        <v>2</v>
      </c>
      <c r="AJ72" s="21">
        <f t="shared" si="24"/>
        <v>2</v>
      </c>
    </row>
    <row r="73" spans="1:38">
      <c r="A73" s="99"/>
      <c r="B73" s="99"/>
      <c r="C73" s="500" t="s">
        <v>134</v>
      </c>
      <c r="D73" s="501"/>
      <c r="E73" s="23">
        <f t="shared" ref="E73:AJ73" si="32">SUM(E65,E67,E69,E71)</f>
        <v>259</v>
      </c>
      <c r="F73" s="23">
        <f t="shared" si="32"/>
        <v>523</v>
      </c>
      <c r="G73" s="23">
        <f t="shared" si="32"/>
        <v>184</v>
      </c>
      <c r="H73" s="23">
        <f t="shared" si="32"/>
        <v>197</v>
      </c>
      <c r="I73" s="23">
        <f t="shared" si="32"/>
        <v>591</v>
      </c>
      <c r="J73" s="23">
        <f t="shared" si="32"/>
        <v>553</v>
      </c>
      <c r="K73" s="23">
        <f t="shared" si="32"/>
        <v>619</v>
      </c>
      <c r="L73" s="23">
        <f t="shared" si="32"/>
        <v>555</v>
      </c>
      <c r="M73" s="23">
        <f t="shared" si="32"/>
        <v>588</v>
      </c>
      <c r="N73" s="23">
        <f t="shared" si="32"/>
        <v>511</v>
      </c>
      <c r="O73" s="23">
        <f t="shared" si="32"/>
        <v>187</v>
      </c>
      <c r="P73" s="23">
        <f t="shared" si="32"/>
        <v>528</v>
      </c>
      <c r="Q73" s="23">
        <f t="shared" si="32"/>
        <v>540</v>
      </c>
      <c r="R73" s="23">
        <f t="shared" si="32"/>
        <v>519</v>
      </c>
      <c r="S73" s="23">
        <f t="shared" si="32"/>
        <v>485</v>
      </c>
      <c r="T73" s="23">
        <f t="shared" si="32"/>
        <v>493</v>
      </c>
      <c r="U73" s="23">
        <f t="shared" si="32"/>
        <v>143</v>
      </c>
      <c r="V73" s="23">
        <f t="shared" si="32"/>
        <v>0</v>
      </c>
      <c r="W73" s="23">
        <f t="shared" si="32"/>
        <v>614</v>
      </c>
      <c r="X73" s="23">
        <f t="shared" si="32"/>
        <v>579</v>
      </c>
      <c r="Y73" s="23">
        <f t="shared" si="32"/>
        <v>565</v>
      </c>
      <c r="Z73" s="23">
        <f t="shared" si="32"/>
        <v>549</v>
      </c>
      <c r="AA73" s="23">
        <f t="shared" si="32"/>
        <v>549</v>
      </c>
      <c r="AB73" s="23">
        <f t="shared" si="32"/>
        <v>188</v>
      </c>
      <c r="AC73" s="23">
        <f t="shared" si="32"/>
        <v>89</v>
      </c>
      <c r="AD73" s="23">
        <f t="shared" si="32"/>
        <v>0</v>
      </c>
      <c r="AE73" s="23">
        <f t="shared" si="32"/>
        <v>583</v>
      </c>
      <c r="AF73" s="23">
        <f t="shared" si="32"/>
        <v>566</v>
      </c>
      <c r="AG73" s="23">
        <f t="shared" si="32"/>
        <v>474</v>
      </c>
      <c r="AH73" s="23">
        <f t="shared" si="32"/>
        <v>563</v>
      </c>
      <c r="AI73" s="23">
        <f t="shared" si="32"/>
        <v>157</v>
      </c>
      <c r="AJ73" s="23">
        <f t="shared" si="32"/>
        <v>12951</v>
      </c>
    </row>
    <row r="74" spans="1:38">
      <c r="A74" s="99"/>
      <c r="B74" s="99"/>
      <c r="C74" s="513" t="s">
        <v>135</v>
      </c>
      <c r="D74" s="501"/>
      <c r="E74" s="23">
        <f t="shared" ref="E74:AJ74" si="33">SUM(E66,E68,E70,E72)</f>
        <v>0</v>
      </c>
      <c r="F74" s="23">
        <f t="shared" si="33"/>
        <v>0</v>
      </c>
      <c r="G74" s="23">
        <f t="shared" si="33"/>
        <v>0</v>
      </c>
      <c r="H74" s="23">
        <f t="shared" si="33"/>
        <v>0</v>
      </c>
      <c r="I74" s="23">
        <f t="shared" si="33"/>
        <v>0</v>
      </c>
      <c r="J74" s="23">
        <f t="shared" si="33"/>
        <v>0</v>
      </c>
      <c r="K74" s="23">
        <f t="shared" si="33"/>
        <v>0</v>
      </c>
      <c r="L74" s="23">
        <f t="shared" si="33"/>
        <v>0</v>
      </c>
      <c r="M74" s="23">
        <f t="shared" si="33"/>
        <v>0</v>
      </c>
      <c r="N74" s="23">
        <f t="shared" si="33"/>
        <v>0</v>
      </c>
      <c r="O74" s="23">
        <f t="shared" si="33"/>
        <v>0</v>
      </c>
      <c r="P74" s="23">
        <f t="shared" si="33"/>
        <v>0</v>
      </c>
      <c r="Q74" s="23">
        <f t="shared" si="33"/>
        <v>0</v>
      </c>
      <c r="R74" s="23">
        <f t="shared" si="33"/>
        <v>0</v>
      </c>
      <c r="S74" s="23">
        <f t="shared" si="33"/>
        <v>0</v>
      </c>
      <c r="T74" s="23">
        <f t="shared" si="33"/>
        <v>0</v>
      </c>
      <c r="U74" s="23">
        <f t="shared" si="33"/>
        <v>0</v>
      </c>
      <c r="V74" s="23">
        <f t="shared" si="33"/>
        <v>0</v>
      </c>
      <c r="W74" s="23">
        <f t="shared" si="33"/>
        <v>0</v>
      </c>
      <c r="X74" s="23">
        <f t="shared" si="33"/>
        <v>0</v>
      </c>
      <c r="Y74" s="23">
        <f t="shared" si="33"/>
        <v>0</v>
      </c>
      <c r="Z74" s="23">
        <f t="shared" si="33"/>
        <v>0</v>
      </c>
      <c r="AA74" s="23">
        <f t="shared" si="33"/>
        <v>0</v>
      </c>
      <c r="AB74" s="23">
        <f t="shared" si="33"/>
        <v>0</v>
      </c>
      <c r="AC74" s="23">
        <f t="shared" si="33"/>
        <v>0</v>
      </c>
      <c r="AD74" s="23">
        <f t="shared" si="33"/>
        <v>0</v>
      </c>
      <c r="AE74" s="23">
        <f t="shared" si="33"/>
        <v>0</v>
      </c>
      <c r="AF74" s="23">
        <f t="shared" si="33"/>
        <v>0</v>
      </c>
      <c r="AG74" s="23">
        <f t="shared" si="33"/>
        <v>0</v>
      </c>
      <c r="AH74" s="23">
        <f t="shared" si="33"/>
        <v>0</v>
      </c>
      <c r="AI74" s="23">
        <f t="shared" si="33"/>
        <v>9</v>
      </c>
      <c r="AJ74" s="23">
        <f t="shared" si="33"/>
        <v>9</v>
      </c>
    </row>
    <row r="75" spans="1:38" ht="15" customHeight="1">
      <c r="A75" s="2">
        <v>1</v>
      </c>
      <c r="B75" s="2" t="s">
        <v>129</v>
      </c>
      <c r="C75" s="503" t="s">
        <v>123</v>
      </c>
      <c r="D75" s="501"/>
      <c r="E75" s="102">
        <f t="shared" ref="E75:AI75" si="34">E32-D32</f>
        <v>0</v>
      </c>
      <c r="F75" s="102">
        <f t="shared" si="34"/>
        <v>203</v>
      </c>
      <c r="G75" s="102">
        <f t="shared" si="34"/>
        <v>8</v>
      </c>
      <c r="H75" s="102">
        <f t="shared" si="34"/>
        <v>0</v>
      </c>
      <c r="I75" s="102">
        <f t="shared" si="34"/>
        <v>237</v>
      </c>
      <c r="J75" s="102">
        <f t="shared" si="34"/>
        <v>245</v>
      </c>
      <c r="K75" s="102">
        <f t="shared" si="34"/>
        <v>238</v>
      </c>
      <c r="L75" s="102">
        <f t="shared" si="34"/>
        <v>257</v>
      </c>
      <c r="M75" s="102">
        <f t="shared" si="34"/>
        <v>171</v>
      </c>
      <c r="N75" s="102">
        <f t="shared" si="34"/>
        <v>175</v>
      </c>
      <c r="O75" s="102">
        <f t="shared" si="34"/>
        <v>0</v>
      </c>
      <c r="P75" s="102">
        <f t="shared" si="34"/>
        <v>187</v>
      </c>
      <c r="Q75" s="102">
        <f t="shared" si="34"/>
        <v>294</v>
      </c>
      <c r="R75" s="102">
        <f t="shared" si="34"/>
        <v>234</v>
      </c>
      <c r="S75" s="102">
        <f t="shared" si="34"/>
        <v>102</v>
      </c>
      <c r="T75" s="102">
        <f t="shared" si="34"/>
        <v>147</v>
      </c>
      <c r="U75" s="102">
        <f t="shared" si="34"/>
        <v>56</v>
      </c>
      <c r="V75" s="102">
        <f t="shared" si="34"/>
        <v>0</v>
      </c>
      <c r="W75" s="102">
        <f t="shared" si="34"/>
        <v>315</v>
      </c>
      <c r="X75" s="102">
        <f t="shared" si="34"/>
        <v>415</v>
      </c>
      <c r="Y75" s="102">
        <f t="shared" si="34"/>
        <v>324</v>
      </c>
      <c r="Z75" s="102">
        <f t="shared" si="34"/>
        <v>336</v>
      </c>
      <c r="AA75" s="102">
        <f t="shared" si="34"/>
        <v>227</v>
      </c>
      <c r="AB75" s="102">
        <f t="shared" si="34"/>
        <v>75</v>
      </c>
      <c r="AC75" s="102">
        <f t="shared" si="34"/>
        <v>1</v>
      </c>
      <c r="AD75" s="102">
        <f t="shared" si="34"/>
        <v>0</v>
      </c>
      <c r="AE75" s="102">
        <f t="shared" si="34"/>
        <v>269</v>
      </c>
      <c r="AF75" s="102">
        <f t="shared" si="34"/>
        <v>350</v>
      </c>
      <c r="AG75" s="102">
        <f t="shared" si="34"/>
        <v>310</v>
      </c>
      <c r="AH75" s="102">
        <f t="shared" si="34"/>
        <v>292</v>
      </c>
      <c r="AI75" s="102">
        <f t="shared" si="34"/>
        <v>81</v>
      </c>
      <c r="AJ75" s="21">
        <f>SUM(E75:AI75)</f>
        <v>5549</v>
      </c>
    </row>
    <row r="76" spans="1:38" ht="15" customHeight="1">
      <c r="A76" s="2">
        <v>2</v>
      </c>
      <c r="B76" s="2" t="s">
        <v>129</v>
      </c>
      <c r="C76" s="503" t="s">
        <v>124</v>
      </c>
      <c r="D76" s="501"/>
      <c r="E76" s="102">
        <f t="shared" ref="E76:AI76" si="35">E33-D33</f>
        <v>0</v>
      </c>
      <c r="F76" s="102">
        <f t="shared" si="35"/>
        <v>141</v>
      </c>
      <c r="G76" s="102">
        <f t="shared" si="35"/>
        <v>0</v>
      </c>
      <c r="H76" s="102">
        <f t="shared" si="35"/>
        <v>0</v>
      </c>
      <c r="I76" s="102">
        <f t="shared" si="35"/>
        <v>210</v>
      </c>
      <c r="J76" s="102">
        <f t="shared" si="35"/>
        <v>204</v>
      </c>
      <c r="K76" s="102">
        <f t="shared" si="35"/>
        <v>192</v>
      </c>
      <c r="L76" s="102">
        <f t="shared" si="35"/>
        <v>204</v>
      </c>
      <c r="M76" s="102">
        <f t="shared" si="35"/>
        <v>122</v>
      </c>
      <c r="N76" s="102">
        <f t="shared" si="35"/>
        <v>179</v>
      </c>
      <c r="O76" s="102">
        <f t="shared" si="35"/>
        <v>31</v>
      </c>
      <c r="P76" s="102">
        <f t="shared" si="35"/>
        <v>204</v>
      </c>
      <c r="Q76" s="102">
        <f t="shared" si="35"/>
        <v>174</v>
      </c>
      <c r="R76" s="102">
        <f t="shared" si="35"/>
        <v>254</v>
      </c>
      <c r="S76" s="102">
        <f t="shared" si="35"/>
        <v>222</v>
      </c>
      <c r="T76" s="102">
        <f t="shared" si="35"/>
        <v>188</v>
      </c>
      <c r="U76" s="102">
        <f t="shared" si="35"/>
        <v>48</v>
      </c>
      <c r="V76" s="102">
        <f t="shared" si="35"/>
        <v>0</v>
      </c>
      <c r="W76" s="102">
        <f t="shared" si="35"/>
        <v>353</v>
      </c>
      <c r="X76" s="102">
        <f t="shared" si="35"/>
        <v>379</v>
      </c>
      <c r="Y76" s="102">
        <f t="shared" si="35"/>
        <v>0</v>
      </c>
      <c r="Z76" s="102">
        <f t="shared" si="35"/>
        <v>780</v>
      </c>
      <c r="AA76" s="102">
        <f t="shared" si="35"/>
        <v>245</v>
      </c>
      <c r="AB76" s="102">
        <f t="shared" si="35"/>
        <v>76</v>
      </c>
      <c r="AC76" s="102">
        <f t="shared" si="35"/>
        <v>0</v>
      </c>
      <c r="AD76" s="102">
        <f t="shared" si="35"/>
        <v>0</v>
      </c>
      <c r="AE76" s="102">
        <f t="shared" si="35"/>
        <v>303</v>
      </c>
      <c r="AF76" s="102">
        <f t="shared" si="35"/>
        <v>408</v>
      </c>
      <c r="AG76" s="102">
        <f t="shared" si="35"/>
        <v>268</v>
      </c>
      <c r="AH76" s="102">
        <f t="shared" si="35"/>
        <v>285</v>
      </c>
      <c r="AI76" s="102">
        <f t="shared" si="35"/>
        <v>89</v>
      </c>
      <c r="AJ76" s="21">
        <f>SUM(E76:AI76)</f>
        <v>5559</v>
      </c>
    </row>
    <row r="77" spans="1:38" ht="15" customHeight="1">
      <c r="A77" s="2">
        <v>3</v>
      </c>
      <c r="B77" s="2" t="s">
        <v>129</v>
      </c>
      <c r="C77" s="503" t="s">
        <v>125</v>
      </c>
      <c r="D77" s="501"/>
      <c r="E77" s="102">
        <f t="shared" ref="E77:AI77" si="36">E34-D34</f>
        <v>0</v>
      </c>
      <c r="F77" s="102">
        <f t="shared" si="36"/>
        <v>416</v>
      </c>
      <c r="G77" s="102">
        <f t="shared" si="36"/>
        <v>188</v>
      </c>
      <c r="H77" s="102">
        <f t="shared" si="36"/>
        <v>104</v>
      </c>
      <c r="I77" s="102">
        <f t="shared" si="36"/>
        <v>260</v>
      </c>
      <c r="J77" s="102">
        <f t="shared" si="36"/>
        <v>347</v>
      </c>
      <c r="K77" s="102">
        <f t="shared" si="36"/>
        <v>325</v>
      </c>
      <c r="L77" s="102">
        <f t="shared" si="36"/>
        <v>333</v>
      </c>
      <c r="M77" s="102">
        <f t="shared" si="36"/>
        <v>254</v>
      </c>
      <c r="N77" s="102">
        <f t="shared" si="36"/>
        <v>290</v>
      </c>
      <c r="O77" s="102">
        <f t="shared" si="36"/>
        <v>184</v>
      </c>
      <c r="P77" s="102">
        <f t="shared" si="36"/>
        <v>254</v>
      </c>
      <c r="Q77" s="102">
        <f t="shared" si="36"/>
        <v>319</v>
      </c>
      <c r="R77" s="102">
        <f t="shared" si="36"/>
        <v>331</v>
      </c>
      <c r="S77" s="102">
        <f t="shared" si="36"/>
        <v>132</v>
      </c>
      <c r="T77" s="102">
        <f t="shared" si="36"/>
        <v>232</v>
      </c>
      <c r="U77" s="102">
        <f t="shared" si="36"/>
        <v>224</v>
      </c>
      <c r="V77" s="102">
        <f t="shared" si="36"/>
        <v>0</v>
      </c>
      <c r="W77" s="102">
        <f t="shared" si="36"/>
        <v>259</v>
      </c>
      <c r="X77" s="102">
        <f t="shared" si="36"/>
        <v>362</v>
      </c>
      <c r="Y77" s="102">
        <f t="shared" si="36"/>
        <v>678</v>
      </c>
      <c r="Z77" s="102">
        <f t="shared" si="36"/>
        <v>35</v>
      </c>
      <c r="AA77" s="102">
        <f t="shared" si="36"/>
        <v>293</v>
      </c>
      <c r="AB77" s="102">
        <f t="shared" si="36"/>
        <v>293</v>
      </c>
      <c r="AC77" s="102">
        <f t="shared" si="36"/>
        <v>146</v>
      </c>
      <c r="AD77" s="102">
        <f t="shared" si="36"/>
        <v>0</v>
      </c>
      <c r="AE77" s="102">
        <f t="shared" si="36"/>
        <v>170</v>
      </c>
      <c r="AF77" s="102">
        <f t="shared" si="36"/>
        <v>377</v>
      </c>
      <c r="AG77" s="102">
        <f t="shared" si="36"/>
        <v>249</v>
      </c>
      <c r="AH77" s="102">
        <f t="shared" si="36"/>
        <v>322</v>
      </c>
      <c r="AI77" s="102">
        <f t="shared" si="36"/>
        <v>92</v>
      </c>
      <c r="AJ77" s="21">
        <f>SUM(E77:AI77)</f>
        <v>7469</v>
      </c>
    </row>
    <row r="78" spans="1:38" ht="15" customHeight="1">
      <c r="A78" s="2">
        <v>4</v>
      </c>
      <c r="B78" s="2" t="s">
        <v>129</v>
      </c>
      <c r="C78" s="503" t="s">
        <v>126</v>
      </c>
      <c r="D78" s="501"/>
      <c r="E78" s="102">
        <f t="shared" ref="E78:AI78" si="37">E35-D35</f>
        <v>0</v>
      </c>
      <c r="F78" s="102">
        <f t="shared" si="37"/>
        <v>288</v>
      </c>
      <c r="G78" s="102">
        <f t="shared" si="37"/>
        <v>34</v>
      </c>
      <c r="H78" s="102">
        <f t="shared" si="37"/>
        <v>0</v>
      </c>
      <c r="I78" s="102">
        <f t="shared" si="37"/>
        <v>319</v>
      </c>
      <c r="J78" s="102">
        <f t="shared" si="37"/>
        <v>194</v>
      </c>
      <c r="K78" s="102">
        <f t="shared" si="37"/>
        <v>216</v>
      </c>
      <c r="L78" s="102">
        <f t="shared" si="37"/>
        <v>185</v>
      </c>
      <c r="M78" s="102">
        <f t="shared" si="37"/>
        <v>157</v>
      </c>
      <c r="N78" s="102">
        <f t="shared" si="37"/>
        <v>191</v>
      </c>
      <c r="O78" s="102">
        <f t="shared" si="37"/>
        <v>44</v>
      </c>
      <c r="P78" s="102">
        <f t="shared" si="37"/>
        <v>236</v>
      </c>
      <c r="Q78" s="102">
        <f t="shared" si="37"/>
        <v>280</v>
      </c>
      <c r="R78" s="102">
        <f t="shared" si="37"/>
        <v>204</v>
      </c>
      <c r="S78" s="102">
        <f t="shared" si="37"/>
        <v>211</v>
      </c>
      <c r="T78" s="102">
        <f t="shared" si="37"/>
        <v>232</v>
      </c>
      <c r="U78" s="102">
        <f t="shared" si="37"/>
        <v>57</v>
      </c>
      <c r="V78" s="102">
        <f t="shared" si="37"/>
        <v>0</v>
      </c>
      <c r="W78" s="102">
        <f t="shared" si="37"/>
        <v>535</v>
      </c>
      <c r="X78" s="102">
        <f t="shared" si="37"/>
        <v>396</v>
      </c>
      <c r="Y78" s="102">
        <f t="shared" si="37"/>
        <v>458</v>
      </c>
      <c r="Z78" s="102">
        <f t="shared" si="37"/>
        <v>478</v>
      </c>
      <c r="AA78" s="102">
        <f t="shared" si="37"/>
        <v>279</v>
      </c>
      <c r="AB78" s="102">
        <f t="shared" si="37"/>
        <v>65</v>
      </c>
      <c r="AC78" s="102">
        <f t="shared" si="37"/>
        <v>14</v>
      </c>
      <c r="AD78" s="102">
        <f t="shared" si="37"/>
        <v>0</v>
      </c>
      <c r="AE78" s="102">
        <f t="shared" si="37"/>
        <v>430</v>
      </c>
      <c r="AF78" s="102">
        <f t="shared" si="37"/>
        <v>376</v>
      </c>
      <c r="AG78" s="102">
        <f t="shared" si="37"/>
        <v>406</v>
      </c>
      <c r="AH78" s="102">
        <f t="shared" si="37"/>
        <v>445</v>
      </c>
      <c r="AI78" s="102">
        <f t="shared" si="37"/>
        <v>92</v>
      </c>
      <c r="AJ78" s="21">
        <f>SUM(E78:AI78)</f>
        <v>6822</v>
      </c>
    </row>
    <row r="79" spans="1:38" ht="23.25" customHeight="1">
      <c r="A79" s="99"/>
      <c r="B79" s="99"/>
      <c r="C79" s="500" t="s">
        <v>136</v>
      </c>
      <c r="D79" s="501"/>
      <c r="E79" s="23">
        <f t="shared" ref="E79:AJ79" si="38">SUM(E75:E78)</f>
        <v>0</v>
      </c>
      <c r="F79" s="23">
        <f t="shared" si="38"/>
        <v>1048</v>
      </c>
      <c r="G79" s="23">
        <f t="shared" si="38"/>
        <v>230</v>
      </c>
      <c r="H79" s="23">
        <f t="shared" si="38"/>
        <v>104</v>
      </c>
      <c r="I79" s="23">
        <f t="shared" si="38"/>
        <v>1026</v>
      </c>
      <c r="J79" s="23">
        <f t="shared" si="38"/>
        <v>990</v>
      </c>
      <c r="K79" s="23">
        <f t="shared" si="38"/>
        <v>971</v>
      </c>
      <c r="L79" s="23">
        <f t="shared" si="38"/>
        <v>979</v>
      </c>
      <c r="M79" s="23">
        <f t="shared" si="38"/>
        <v>704</v>
      </c>
      <c r="N79" s="23">
        <f t="shared" si="38"/>
        <v>835</v>
      </c>
      <c r="O79" s="23">
        <f t="shared" si="38"/>
        <v>259</v>
      </c>
      <c r="P79" s="23">
        <f t="shared" si="38"/>
        <v>881</v>
      </c>
      <c r="Q79" s="23">
        <f t="shared" si="38"/>
        <v>1067</v>
      </c>
      <c r="R79" s="23">
        <f t="shared" si="38"/>
        <v>1023</v>
      </c>
      <c r="S79" s="23">
        <f t="shared" si="38"/>
        <v>667</v>
      </c>
      <c r="T79" s="23">
        <f t="shared" si="38"/>
        <v>799</v>
      </c>
      <c r="U79" s="23">
        <f t="shared" si="38"/>
        <v>385</v>
      </c>
      <c r="V79" s="23">
        <f t="shared" si="38"/>
        <v>0</v>
      </c>
      <c r="W79" s="23">
        <f t="shared" si="38"/>
        <v>1462</v>
      </c>
      <c r="X79" s="23">
        <f t="shared" si="38"/>
        <v>1552</v>
      </c>
      <c r="Y79" s="23">
        <f t="shared" si="38"/>
        <v>1460</v>
      </c>
      <c r="Z79" s="23">
        <f t="shared" si="38"/>
        <v>1629</v>
      </c>
      <c r="AA79" s="23">
        <f t="shared" si="38"/>
        <v>1044</v>
      </c>
      <c r="AB79" s="23">
        <f t="shared" si="38"/>
        <v>509</v>
      </c>
      <c r="AC79" s="23">
        <f t="shared" si="38"/>
        <v>161</v>
      </c>
      <c r="AD79" s="23">
        <f t="shared" si="38"/>
        <v>0</v>
      </c>
      <c r="AE79" s="23">
        <f t="shared" si="38"/>
        <v>1172</v>
      </c>
      <c r="AF79" s="23">
        <f t="shared" si="38"/>
        <v>1511</v>
      </c>
      <c r="AG79" s="23">
        <f t="shared" si="38"/>
        <v>1233</v>
      </c>
      <c r="AH79" s="23">
        <f t="shared" si="38"/>
        <v>1344</v>
      </c>
      <c r="AI79" s="23">
        <f t="shared" si="38"/>
        <v>354</v>
      </c>
      <c r="AJ79" s="217">
        <f t="shared" si="38"/>
        <v>25399</v>
      </c>
    </row>
    <row r="83" spans="1:65" ht="26.25" customHeight="1">
      <c r="A83" s="573"/>
      <c r="B83" s="526"/>
      <c r="C83" s="526"/>
      <c r="D83" s="527"/>
      <c r="E83" s="582" t="s">
        <v>162</v>
      </c>
      <c r="F83" s="526"/>
      <c r="G83" s="526"/>
      <c r="H83" s="526"/>
      <c r="I83" s="526"/>
      <c r="J83" s="526"/>
      <c r="K83" s="526"/>
      <c r="L83" s="526"/>
      <c r="M83" s="526"/>
      <c r="N83" s="526"/>
      <c r="O83" s="526"/>
      <c r="P83" s="526"/>
      <c r="Q83" s="526"/>
      <c r="R83" s="526"/>
      <c r="S83" s="526"/>
      <c r="T83" s="526"/>
      <c r="U83" s="526"/>
      <c r="V83" s="526"/>
      <c r="W83" s="526"/>
      <c r="X83" s="526"/>
      <c r="Y83" s="526"/>
      <c r="Z83" s="526"/>
      <c r="AA83" s="526"/>
      <c r="AB83" s="526"/>
      <c r="AC83" s="526"/>
      <c r="AD83" s="526"/>
      <c r="AE83" s="526"/>
      <c r="AF83" s="526"/>
      <c r="AG83" s="526"/>
      <c r="AH83" s="526"/>
      <c r="AI83" s="527"/>
    </row>
    <row r="84" spans="1:65">
      <c r="A84" s="510" t="s">
        <v>99</v>
      </c>
      <c r="B84" s="510" t="s">
        <v>100</v>
      </c>
      <c r="C84" s="580" t="s">
        <v>101</v>
      </c>
      <c r="D84" s="572" t="s">
        <v>102</v>
      </c>
      <c r="E84" s="51">
        <v>46023</v>
      </c>
      <c r="F84" s="51">
        <v>46024</v>
      </c>
      <c r="G84" s="51">
        <v>46025</v>
      </c>
      <c r="H84" s="51">
        <v>46026</v>
      </c>
      <c r="I84" s="51">
        <v>46027</v>
      </c>
      <c r="J84" s="51">
        <v>46028</v>
      </c>
      <c r="K84" s="51">
        <v>46029</v>
      </c>
      <c r="L84" s="51">
        <v>46030</v>
      </c>
      <c r="M84" s="51">
        <v>46031</v>
      </c>
      <c r="N84" s="51">
        <v>46032</v>
      </c>
      <c r="O84" s="51">
        <v>46033</v>
      </c>
      <c r="P84" s="51">
        <v>46034</v>
      </c>
      <c r="Q84" s="51">
        <v>46035</v>
      </c>
      <c r="R84" s="51">
        <v>46036</v>
      </c>
      <c r="S84" s="51">
        <v>46037</v>
      </c>
      <c r="T84" s="51">
        <v>46038</v>
      </c>
      <c r="U84" s="51">
        <v>46039</v>
      </c>
      <c r="V84" s="51">
        <v>46040</v>
      </c>
      <c r="W84" s="51">
        <v>46041</v>
      </c>
      <c r="X84" s="51">
        <v>46042</v>
      </c>
      <c r="Y84" s="51">
        <v>46043</v>
      </c>
      <c r="Z84" s="51">
        <v>46044</v>
      </c>
      <c r="AA84" s="51">
        <v>46045</v>
      </c>
      <c r="AB84" s="51">
        <v>46046</v>
      </c>
      <c r="AC84" s="51">
        <v>46047</v>
      </c>
      <c r="AD84" s="51">
        <v>46048</v>
      </c>
      <c r="AE84" s="51">
        <v>46049</v>
      </c>
      <c r="AF84" s="51">
        <v>46050</v>
      </c>
      <c r="AG84" s="51">
        <v>46051</v>
      </c>
      <c r="AH84" s="51">
        <v>46052</v>
      </c>
      <c r="AI84" s="51">
        <v>46053</v>
      </c>
    </row>
    <row r="85" spans="1:65">
      <c r="A85" s="511"/>
      <c r="B85" s="511"/>
      <c r="C85" s="511"/>
      <c r="D85" s="511"/>
      <c r="E85" s="96" t="s">
        <v>109</v>
      </c>
      <c r="F85" s="96" t="s">
        <v>103</v>
      </c>
      <c r="G85" s="96" t="s">
        <v>104</v>
      </c>
      <c r="H85" s="96" t="s">
        <v>105</v>
      </c>
      <c r="I85" s="96" t="s">
        <v>106</v>
      </c>
      <c r="J85" s="96" t="s">
        <v>107</v>
      </c>
      <c r="K85" s="96" t="s">
        <v>108</v>
      </c>
      <c r="L85" s="96" t="s">
        <v>109</v>
      </c>
      <c r="M85" s="96" t="s">
        <v>103</v>
      </c>
      <c r="N85" s="96" t="s">
        <v>104</v>
      </c>
      <c r="O85" s="96" t="s">
        <v>105</v>
      </c>
      <c r="P85" s="96" t="s">
        <v>106</v>
      </c>
      <c r="Q85" s="96" t="s">
        <v>107</v>
      </c>
      <c r="R85" s="96" t="s">
        <v>108</v>
      </c>
      <c r="S85" s="96" t="s">
        <v>109</v>
      </c>
      <c r="T85" s="96" t="s">
        <v>103</v>
      </c>
      <c r="U85" s="96" t="s">
        <v>104</v>
      </c>
      <c r="V85" s="96" t="s">
        <v>105</v>
      </c>
      <c r="W85" s="96" t="s">
        <v>106</v>
      </c>
      <c r="X85" s="96" t="s">
        <v>107</v>
      </c>
      <c r="Y85" s="96" t="s">
        <v>108</v>
      </c>
      <c r="Z85" s="96" t="s">
        <v>109</v>
      </c>
      <c r="AA85" s="96" t="s">
        <v>103</v>
      </c>
      <c r="AB85" s="96" t="s">
        <v>104</v>
      </c>
      <c r="AC85" s="96" t="s">
        <v>105</v>
      </c>
      <c r="AD85" s="96" t="s">
        <v>106</v>
      </c>
      <c r="AE85" s="96" t="s">
        <v>107</v>
      </c>
      <c r="AF85" s="96" t="s">
        <v>108</v>
      </c>
      <c r="AG85" s="96" t="s">
        <v>109</v>
      </c>
      <c r="AH85" s="96" t="s">
        <v>103</v>
      </c>
      <c r="AI85" s="96" t="s">
        <v>104</v>
      </c>
    </row>
    <row r="86" spans="1:65">
      <c r="A86" s="511"/>
      <c r="B86" s="511"/>
      <c r="C86" s="511"/>
      <c r="D86" s="511"/>
      <c r="E86" s="52" t="s">
        <v>110</v>
      </c>
      <c r="F86" s="52" t="s">
        <v>110</v>
      </c>
      <c r="G86" s="52" t="s">
        <v>110</v>
      </c>
      <c r="H86" s="52" t="s">
        <v>110</v>
      </c>
      <c r="I86" s="52" t="s">
        <v>110</v>
      </c>
      <c r="J86" s="52" t="s">
        <v>110</v>
      </c>
      <c r="K86" s="52" t="s">
        <v>110</v>
      </c>
      <c r="L86" s="52" t="s">
        <v>110</v>
      </c>
      <c r="M86" s="52" t="s">
        <v>110</v>
      </c>
      <c r="N86" s="52" t="s">
        <v>110</v>
      </c>
      <c r="O86" s="52" t="s">
        <v>110</v>
      </c>
      <c r="P86" s="52" t="s">
        <v>110</v>
      </c>
      <c r="Q86" s="52" t="s">
        <v>110</v>
      </c>
      <c r="R86" s="52" t="s">
        <v>110</v>
      </c>
      <c r="S86" s="52" t="s">
        <v>110</v>
      </c>
      <c r="T86" s="52" t="s">
        <v>110</v>
      </c>
      <c r="U86" s="52" t="s">
        <v>110</v>
      </c>
      <c r="V86" s="52" t="s">
        <v>110</v>
      </c>
      <c r="W86" s="52" t="s">
        <v>110</v>
      </c>
      <c r="X86" s="52" t="s">
        <v>110</v>
      </c>
      <c r="Y86" s="52" t="s">
        <v>110</v>
      </c>
      <c r="Z86" s="52" t="s">
        <v>110</v>
      </c>
      <c r="AA86" s="52" t="s">
        <v>110</v>
      </c>
      <c r="AB86" s="52" t="s">
        <v>110</v>
      </c>
      <c r="AC86" s="52" t="s">
        <v>110</v>
      </c>
      <c r="AD86" s="52" t="s">
        <v>110</v>
      </c>
      <c r="AE86" s="52" t="s">
        <v>110</v>
      </c>
      <c r="AF86" s="52" t="s">
        <v>110</v>
      </c>
      <c r="AG86" s="52" t="s">
        <v>110</v>
      </c>
      <c r="AH86" s="52" t="s">
        <v>110</v>
      </c>
      <c r="AI86" s="52" t="s">
        <v>110</v>
      </c>
    </row>
    <row r="87" spans="1:65">
      <c r="A87" s="512"/>
      <c r="B87" s="512"/>
      <c r="C87" s="512"/>
      <c r="D87" s="512"/>
      <c r="E87" s="199">
        <v>0.33333333333333331</v>
      </c>
      <c r="F87" s="199">
        <v>0.33333333333333331</v>
      </c>
      <c r="G87" s="199">
        <v>0.33333333333333331</v>
      </c>
      <c r="H87" s="199">
        <v>0.33333333333333331</v>
      </c>
      <c r="I87" s="199">
        <v>0.33333333333333331</v>
      </c>
      <c r="J87" s="199">
        <v>0.33333333333333331</v>
      </c>
      <c r="K87" s="199">
        <v>0.33333333333333331</v>
      </c>
      <c r="L87" s="199">
        <v>0.33333333333333331</v>
      </c>
      <c r="M87" s="199">
        <v>0.33333333333333331</v>
      </c>
      <c r="N87" s="199">
        <v>0.33333333333333331</v>
      </c>
      <c r="O87" s="199">
        <v>0.33333333333333331</v>
      </c>
      <c r="P87" s="199">
        <v>0.33333333333333331</v>
      </c>
      <c r="Q87" s="199">
        <v>0.33333333333333331</v>
      </c>
      <c r="R87" s="199">
        <v>0.33333333333333331</v>
      </c>
      <c r="S87" s="199">
        <v>0.33333333333333331</v>
      </c>
      <c r="T87" s="199">
        <v>0.33333333333333331</v>
      </c>
      <c r="U87" s="199">
        <v>0.33333333333333331</v>
      </c>
      <c r="V87" s="199">
        <v>0.33333333333333331</v>
      </c>
      <c r="W87" s="199">
        <v>0.33333333333333331</v>
      </c>
      <c r="X87" s="199">
        <v>0.33333333333333331</v>
      </c>
      <c r="Y87" s="199">
        <v>0.33333333333333331</v>
      </c>
      <c r="Z87" s="199">
        <v>0.33333333333333331</v>
      </c>
      <c r="AA87" s="199">
        <v>0.33333333333333331</v>
      </c>
      <c r="AB87" s="199">
        <v>0.33333333333333331</v>
      </c>
      <c r="AC87" s="199">
        <v>0.33333333333333331</v>
      </c>
      <c r="AD87" s="199">
        <v>0.33333333333333331</v>
      </c>
      <c r="AE87" s="199">
        <v>0.33333333333333331</v>
      </c>
      <c r="AF87" s="199">
        <v>0.33333333333333331</v>
      </c>
      <c r="AG87" s="199">
        <v>0.33333333333333331</v>
      </c>
      <c r="AH87" s="199">
        <v>0.33333333333333331</v>
      </c>
      <c r="AI87" s="199">
        <v>0.33333333333333331</v>
      </c>
    </row>
    <row r="88" spans="1:65">
      <c r="A88" s="184">
        <v>1</v>
      </c>
      <c r="B88" s="219" t="s">
        <v>150</v>
      </c>
      <c r="C88" s="219" t="s">
        <v>151</v>
      </c>
      <c r="D88" s="219">
        <v>1703</v>
      </c>
      <c r="E88" s="219">
        <v>1703</v>
      </c>
      <c r="F88" s="219">
        <v>1703</v>
      </c>
      <c r="G88" s="219">
        <v>1703</v>
      </c>
      <c r="H88" s="219">
        <v>1703</v>
      </c>
      <c r="I88" s="219">
        <v>1724</v>
      </c>
      <c r="J88" s="219">
        <v>1750</v>
      </c>
      <c r="K88" s="219">
        <v>1774</v>
      </c>
      <c r="L88" s="219">
        <v>1797</v>
      </c>
      <c r="M88" s="219">
        <v>1808</v>
      </c>
      <c r="N88" s="219">
        <v>1808</v>
      </c>
      <c r="O88" s="219">
        <v>1808</v>
      </c>
      <c r="P88" s="219">
        <v>1808</v>
      </c>
      <c r="Q88" s="219">
        <v>1833</v>
      </c>
      <c r="R88" s="219">
        <v>1833</v>
      </c>
      <c r="S88" s="219">
        <v>1846</v>
      </c>
      <c r="T88" s="219">
        <v>1868</v>
      </c>
      <c r="U88" s="219">
        <v>1868</v>
      </c>
      <c r="V88" s="219">
        <v>1868</v>
      </c>
      <c r="W88" s="219">
        <v>1868</v>
      </c>
      <c r="X88" s="219">
        <v>1875</v>
      </c>
      <c r="Y88" s="219">
        <v>1903</v>
      </c>
      <c r="Z88" s="219">
        <v>1918</v>
      </c>
      <c r="AA88" s="219">
        <v>1918</v>
      </c>
      <c r="AB88" s="219">
        <v>1918</v>
      </c>
      <c r="AC88" s="219">
        <v>1918</v>
      </c>
      <c r="AD88" s="219">
        <v>1918</v>
      </c>
      <c r="AE88" s="219">
        <v>1918</v>
      </c>
      <c r="AF88" s="219">
        <v>1918</v>
      </c>
      <c r="AG88" s="219">
        <v>1942</v>
      </c>
      <c r="AH88" s="219">
        <v>1942</v>
      </c>
      <c r="AI88" s="219">
        <v>1942</v>
      </c>
      <c r="AJ88" s="220"/>
      <c r="AK88" s="220"/>
      <c r="AL88" s="220"/>
      <c r="AM88" s="220"/>
      <c r="AN88" s="220"/>
      <c r="AO88" s="220"/>
      <c r="AP88" s="220"/>
      <c r="AQ88" s="220"/>
      <c r="AR88" s="220"/>
      <c r="AS88" s="220"/>
      <c r="AT88" s="220"/>
      <c r="AU88" s="220"/>
      <c r="AV88" s="220"/>
      <c r="AW88" s="220"/>
      <c r="AX88" s="220"/>
      <c r="AY88" s="220"/>
      <c r="AZ88" s="220"/>
      <c r="BA88" s="220"/>
      <c r="BB88" s="220"/>
      <c r="BC88" s="220"/>
      <c r="BD88" s="220"/>
      <c r="BE88" s="220"/>
      <c r="BF88" s="220"/>
      <c r="BG88" s="220"/>
      <c r="BH88" s="220"/>
      <c r="BI88" s="220"/>
      <c r="BJ88" s="220"/>
      <c r="BK88" s="220"/>
      <c r="BL88" s="220"/>
      <c r="BM88" s="220"/>
    </row>
    <row r="90" spans="1:65">
      <c r="A90" s="529" t="s">
        <v>99</v>
      </c>
      <c r="B90" s="529" t="s">
        <v>100</v>
      </c>
      <c r="C90" s="529" t="s">
        <v>101</v>
      </c>
      <c r="D90" s="517"/>
      <c r="E90" s="95">
        <f t="shared" ref="E90:AI90" si="39">E84</f>
        <v>46023</v>
      </c>
      <c r="F90" s="95">
        <f t="shared" si="39"/>
        <v>46024</v>
      </c>
      <c r="G90" s="95">
        <f t="shared" si="39"/>
        <v>46025</v>
      </c>
      <c r="H90" s="95">
        <f t="shared" si="39"/>
        <v>46026</v>
      </c>
      <c r="I90" s="95">
        <f t="shared" si="39"/>
        <v>46027</v>
      </c>
      <c r="J90" s="95">
        <f t="shared" si="39"/>
        <v>46028</v>
      </c>
      <c r="K90" s="95">
        <f t="shared" si="39"/>
        <v>46029</v>
      </c>
      <c r="L90" s="95">
        <f t="shared" si="39"/>
        <v>46030</v>
      </c>
      <c r="M90" s="95">
        <f t="shared" si="39"/>
        <v>46031</v>
      </c>
      <c r="N90" s="95">
        <f t="shared" si="39"/>
        <v>46032</v>
      </c>
      <c r="O90" s="95">
        <f t="shared" si="39"/>
        <v>46033</v>
      </c>
      <c r="P90" s="95">
        <f t="shared" si="39"/>
        <v>46034</v>
      </c>
      <c r="Q90" s="95">
        <f t="shared" si="39"/>
        <v>46035</v>
      </c>
      <c r="R90" s="95">
        <f t="shared" si="39"/>
        <v>46036</v>
      </c>
      <c r="S90" s="95">
        <f t="shared" si="39"/>
        <v>46037</v>
      </c>
      <c r="T90" s="95">
        <f t="shared" si="39"/>
        <v>46038</v>
      </c>
      <c r="U90" s="95">
        <f t="shared" si="39"/>
        <v>46039</v>
      </c>
      <c r="V90" s="95">
        <f t="shared" si="39"/>
        <v>46040</v>
      </c>
      <c r="W90" s="95">
        <f t="shared" si="39"/>
        <v>46041</v>
      </c>
      <c r="X90" s="95">
        <f t="shared" si="39"/>
        <v>46042</v>
      </c>
      <c r="Y90" s="95">
        <f t="shared" si="39"/>
        <v>46043</v>
      </c>
      <c r="Z90" s="95">
        <f t="shared" si="39"/>
        <v>46044</v>
      </c>
      <c r="AA90" s="95">
        <f t="shared" si="39"/>
        <v>46045</v>
      </c>
      <c r="AB90" s="95">
        <f t="shared" si="39"/>
        <v>46046</v>
      </c>
      <c r="AC90" s="95">
        <f t="shared" si="39"/>
        <v>46047</v>
      </c>
      <c r="AD90" s="95">
        <f t="shared" si="39"/>
        <v>46048</v>
      </c>
      <c r="AE90" s="95">
        <f t="shared" si="39"/>
        <v>46049</v>
      </c>
      <c r="AF90" s="95">
        <f t="shared" si="39"/>
        <v>46050</v>
      </c>
      <c r="AG90" s="95">
        <f t="shared" si="39"/>
        <v>46051</v>
      </c>
      <c r="AH90" s="95">
        <f t="shared" si="39"/>
        <v>46052</v>
      </c>
      <c r="AI90" s="95">
        <f t="shared" si="39"/>
        <v>46053</v>
      </c>
      <c r="AJ90" s="529" t="s">
        <v>1</v>
      </c>
    </row>
    <row r="91" spans="1:65">
      <c r="A91" s="508"/>
      <c r="B91" s="508"/>
      <c r="C91" s="518"/>
      <c r="D91" s="519"/>
      <c r="E91" s="96" t="s">
        <v>109</v>
      </c>
      <c r="F91" s="96" t="s">
        <v>103</v>
      </c>
      <c r="G91" s="96" t="s">
        <v>104</v>
      </c>
      <c r="H91" s="96" t="s">
        <v>105</v>
      </c>
      <c r="I91" s="96" t="s">
        <v>106</v>
      </c>
      <c r="J91" s="96" t="s">
        <v>107</v>
      </c>
      <c r="K91" s="96" t="s">
        <v>108</v>
      </c>
      <c r="L91" s="96" t="s">
        <v>109</v>
      </c>
      <c r="M91" s="96" t="s">
        <v>103</v>
      </c>
      <c r="N91" s="96" t="s">
        <v>104</v>
      </c>
      <c r="O91" s="96" t="s">
        <v>105</v>
      </c>
      <c r="P91" s="96" t="s">
        <v>106</v>
      </c>
      <c r="Q91" s="96" t="s">
        <v>107</v>
      </c>
      <c r="R91" s="96" t="s">
        <v>108</v>
      </c>
      <c r="S91" s="96" t="s">
        <v>109</v>
      </c>
      <c r="T91" s="96" t="s">
        <v>103</v>
      </c>
      <c r="U91" s="96" t="s">
        <v>104</v>
      </c>
      <c r="V91" s="96" t="s">
        <v>105</v>
      </c>
      <c r="W91" s="96" t="s">
        <v>106</v>
      </c>
      <c r="X91" s="96" t="s">
        <v>107</v>
      </c>
      <c r="Y91" s="96" t="s">
        <v>108</v>
      </c>
      <c r="Z91" s="96" t="s">
        <v>109</v>
      </c>
      <c r="AA91" s="96" t="s">
        <v>103</v>
      </c>
      <c r="AB91" s="96" t="s">
        <v>104</v>
      </c>
      <c r="AC91" s="96" t="s">
        <v>105</v>
      </c>
      <c r="AD91" s="96" t="s">
        <v>106</v>
      </c>
      <c r="AE91" s="96" t="s">
        <v>107</v>
      </c>
      <c r="AF91" s="96" t="s">
        <v>108</v>
      </c>
      <c r="AG91" s="96" t="s">
        <v>109</v>
      </c>
      <c r="AH91" s="96" t="s">
        <v>103</v>
      </c>
      <c r="AI91" s="96" t="s">
        <v>104</v>
      </c>
      <c r="AJ91" s="508"/>
    </row>
    <row r="92" spans="1:65">
      <c r="A92" s="508"/>
      <c r="B92" s="508"/>
      <c r="C92" s="518"/>
      <c r="D92" s="519"/>
      <c r="E92" s="97" t="s">
        <v>110</v>
      </c>
      <c r="F92" s="97" t="s">
        <v>110</v>
      </c>
      <c r="G92" s="97" t="s">
        <v>110</v>
      </c>
      <c r="H92" s="97" t="s">
        <v>110</v>
      </c>
      <c r="I92" s="97" t="s">
        <v>110</v>
      </c>
      <c r="J92" s="97" t="s">
        <v>110</v>
      </c>
      <c r="K92" s="97" t="s">
        <v>110</v>
      </c>
      <c r="L92" s="97" t="s">
        <v>110</v>
      </c>
      <c r="M92" s="97" t="s">
        <v>110</v>
      </c>
      <c r="N92" s="97" t="s">
        <v>110</v>
      </c>
      <c r="O92" s="97" t="s">
        <v>110</v>
      </c>
      <c r="P92" s="97" t="s">
        <v>110</v>
      </c>
      <c r="Q92" s="97" t="s">
        <v>110</v>
      </c>
      <c r="R92" s="97" t="s">
        <v>110</v>
      </c>
      <c r="S92" s="97" t="s">
        <v>110</v>
      </c>
      <c r="T92" s="97" t="s">
        <v>110</v>
      </c>
      <c r="U92" s="97" t="s">
        <v>110</v>
      </c>
      <c r="V92" s="97" t="s">
        <v>110</v>
      </c>
      <c r="W92" s="97" t="s">
        <v>110</v>
      </c>
      <c r="X92" s="97" t="s">
        <v>110</v>
      </c>
      <c r="Y92" s="97" t="s">
        <v>110</v>
      </c>
      <c r="Z92" s="97" t="s">
        <v>110</v>
      </c>
      <c r="AA92" s="97" t="s">
        <v>110</v>
      </c>
      <c r="AB92" s="97" t="s">
        <v>110</v>
      </c>
      <c r="AC92" s="97" t="s">
        <v>110</v>
      </c>
      <c r="AD92" s="97" t="s">
        <v>110</v>
      </c>
      <c r="AE92" s="97" t="s">
        <v>110</v>
      </c>
      <c r="AF92" s="97" t="s">
        <v>110</v>
      </c>
      <c r="AG92" s="97" t="s">
        <v>110</v>
      </c>
      <c r="AH92" s="97" t="s">
        <v>110</v>
      </c>
      <c r="AI92" s="97" t="s">
        <v>110</v>
      </c>
      <c r="AJ92" s="508"/>
    </row>
    <row r="93" spans="1:65">
      <c r="A93" s="509"/>
      <c r="B93" s="509"/>
      <c r="C93" s="520"/>
      <c r="D93" s="521"/>
      <c r="E93" s="98">
        <v>0.33333333333333331</v>
      </c>
      <c r="F93" s="98">
        <v>0.33333333333333331</v>
      </c>
      <c r="G93" s="98">
        <v>0.33333333333333331</v>
      </c>
      <c r="H93" s="98">
        <v>0.33333333333333331</v>
      </c>
      <c r="I93" s="98">
        <v>0.33333333333333331</v>
      </c>
      <c r="J93" s="98">
        <v>0.33333333333333331</v>
      </c>
      <c r="K93" s="98">
        <v>0.33333333333333331</v>
      </c>
      <c r="L93" s="98">
        <v>0.33333333333333331</v>
      </c>
      <c r="M93" s="98">
        <v>0.33333333333333331</v>
      </c>
      <c r="N93" s="98">
        <v>0.33333333333333331</v>
      </c>
      <c r="O93" s="98">
        <v>0.33333333333333331</v>
      </c>
      <c r="P93" s="98">
        <v>0.33333333333333331</v>
      </c>
      <c r="Q93" s="98">
        <v>0.33333333333333331</v>
      </c>
      <c r="R93" s="98">
        <v>0.33333333333333331</v>
      </c>
      <c r="S93" s="98">
        <v>0.33333333333333331</v>
      </c>
      <c r="T93" s="98">
        <v>0.33333333333333331</v>
      </c>
      <c r="U93" s="98">
        <v>0.33333333333333331</v>
      </c>
      <c r="V93" s="98">
        <v>0.33333333333333331</v>
      </c>
      <c r="W93" s="98">
        <v>0.33333333333333331</v>
      </c>
      <c r="X93" s="98">
        <v>0.33333333333333331</v>
      </c>
      <c r="Y93" s="98">
        <v>0.33333333333333331</v>
      </c>
      <c r="Z93" s="98">
        <v>0.33333333333333331</v>
      </c>
      <c r="AA93" s="98">
        <v>0.33333333333333331</v>
      </c>
      <c r="AB93" s="98">
        <v>0.33333333333333331</v>
      </c>
      <c r="AC93" s="98">
        <v>0.33333333333333331</v>
      </c>
      <c r="AD93" s="98">
        <v>0.33333333333333331</v>
      </c>
      <c r="AE93" s="98">
        <v>0.33333333333333331</v>
      </c>
      <c r="AF93" s="98">
        <v>0.33333333333333331</v>
      </c>
      <c r="AG93" s="98">
        <v>0.33333333333333331</v>
      </c>
      <c r="AH93" s="98">
        <v>0.33333333333333331</v>
      </c>
      <c r="AI93" s="98">
        <v>0.33333333333333331</v>
      </c>
      <c r="AJ93" s="509"/>
    </row>
    <row r="94" spans="1:65">
      <c r="A94" s="221">
        <v>1</v>
      </c>
      <c r="B94" s="218" t="s">
        <v>150</v>
      </c>
      <c r="C94" s="506" t="s">
        <v>151</v>
      </c>
      <c r="D94" s="501"/>
      <c r="E94" s="20">
        <f t="shared" ref="E94:AH94" si="40">E88-D88</f>
        <v>0</v>
      </c>
      <c r="F94" s="20">
        <f t="shared" si="40"/>
        <v>0</v>
      </c>
      <c r="G94" s="20">
        <f t="shared" si="40"/>
        <v>0</v>
      </c>
      <c r="H94" s="20">
        <f t="shared" si="40"/>
        <v>0</v>
      </c>
      <c r="I94" s="20">
        <f t="shared" si="40"/>
        <v>21</v>
      </c>
      <c r="J94" s="20">
        <f t="shared" si="40"/>
        <v>26</v>
      </c>
      <c r="K94" s="20">
        <f t="shared" si="40"/>
        <v>24</v>
      </c>
      <c r="L94" s="20">
        <f t="shared" si="40"/>
        <v>23</v>
      </c>
      <c r="M94" s="20">
        <f t="shared" si="40"/>
        <v>11</v>
      </c>
      <c r="N94" s="20">
        <f t="shared" si="40"/>
        <v>0</v>
      </c>
      <c r="O94" s="20">
        <f t="shared" si="40"/>
        <v>0</v>
      </c>
      <c r="P94" s="20">
        <f t="shared" si="40"/>
        <v>0</v>
      </c>
      <c r="Q94" s="20">
        <f t="shared" si="40"/>
        <v>25</v>
      </c>
      <c r="R94" s="20">
        <f t="shared" si="40"/>
        <v>0</v>
      </c>
      <c r="S94" s="20">
        <f t="shared" si="40"/>
        <v>13</v>
      </c>
      <c r="T94" s="20">
        <f t="shared" si="40"/>
        <v>22</v>
      </c>
      <c r="U94" s="20">
        <f t="shared" si="40"/>
        <v>0</v>
      </c>
      <c r="V94" s="20">
        <f t="shared" si="40"/>
        <v>0</v>
      </c>
      <c r="W94" s="20">
        <f t="shared" si="40"/>
        <v>0</v>
      </c>
      <c r="X94" s="20">
        <f t="shared" si="40"/>
        <v>7</v>
      </c>
      <c r="Y94" s="20">
        <f t="shared" si="40"/>
        <v>28</v>
      </c>
      <c r="Z94" s="20">
        <f t="shared" si="40"/>
        <v>15</v>
      </c>
      <c r="AA94" s="20">
        <f t="shared" si="40"/>
        <v>0</v>
      </c>
      <c r="AB94" s="20">
        <f t="shared" si="40"/>
        <v>0</v>
      </c>
      <c r="AC94" s="20">
        <f t="shared" si="40"/>
        <v>0</v>
      </c>
      <c r="AD94" s="20">
        <f t="shared" si="40"/>
        <v>0</v>
      </c>
      <c r="AE94" s="20">
        <f t="shared" si="40"/>
        <v>0</v>
      </c>
      <c r="AF94" s="20">
        <f t="shared" si="40"/>
        <v>0</v>
      </c>
      <c r="AG94" s="20">
        <f t="shared" si="40"/>
        <v>24</v>
      </c>
      <c r="AH94" s="20">
        <f t="shared" si="40"/>
        <v>0</v>
      </c>
      <c r="AI94" s="20"/>
      <c r="AJ94" s="20">
        <f>SUM(E94:AH94)</f>
        <v>239</v>
      </c>
      <c r="AK94" s="222"/>
      <c r="AL94" s="222"/>
      <c r="AM94" s="222"/>
      <c r="AN94" s="222"/>
      <c r="AO94" s="222"/>
      <c r="AP94" s="222"/>
      <c r="AQ94" s="222"/>
      <c r="AR94" s="222"/>
      <c r="AS94" s="222"/>
      <c r="AT94" s="222"/>
      <c r="AU94" s="222"/>
      <c r="AV94" s="222"/>
      <c r="AW94" s="222"/>
      <c r="AX94" s="222"/>
      <c r="AY94" s="222"/>
      <c r="AZ94" s="222"/>
      <c r="BA94" s="222"/>
      <c r="BB94" s="222"/>
      <c r="BC94" s="222"/>
      <c r="BD94" s="222"/>
      <c r="BE94" s="222"/>
      <c r="BF94" s="222"/>
      <c r="BG94" s="222"/>
      <c r="BH94" s="222"/>
      <c r="BI94" s="222"/>
      <c r="BJ94" s="222"/>
      <c r="BK94" s="222"/>
      <c r="BL94" s="222"/>
      <c r="BM94" s="222"/>
    </row>
  </sheetData>
  <mergeCells count="59">
    <mergeCell ref="AJ90:AJ93"/>
    <mergeCell ref="C40:D43"/>
    <mergeCell ref="C58:D58"/>
    <mergeCell ref="C45:D45"/>
    <mergeCell ref="AJ2:AJ5"/>
    <mergeCell ref="C74:D74"/>
    <mergeCell ref="C77:D77"/>
    <mergeCell ref="AJ40:AJ43"/>
    <mergeCell ref="D84:D87"/>
    <mergeCell ref="C62:D62"/>
    <mergeCell ref="C68:D68"/>
    <mergeCell ref="B2:B5"/>
    <mergeCell ref="C64:D64"/>
    <mergeCell ref="C79:D79"/>
    <mergeCell ref="B38:D38"/>
    <mergeCell ref="D2:D5"/>
    <mergeCell ref="C73:D73"/>
    <mergeCell ref="C72:D72"/>
    <mergeCell ref="C67:D67"/>
    <mergeCell ref="C57:D57"/>
    <mergeCell ref="C66:D66"/>
    <mergeCell ref="C53:D53"/>
    <mergeCell ref="B39:D39"/>
    <mergeCell ref="C78:D78"/>
    <mergeCell ref="C69:D69"/>
    <mergeCell ref="C49:D49"/>
    <mergeCell ref="A84:A87"/>
    <mergeCell ref="A90:A93"/>
    <mergeCell ref="C84:C87"/>
    <mergeCell ref="C90:D93"/>
    <mergeCell ref="A1:AJ1"/>
    <mergeCell ref="C47:D47"/>
    <mergeCell ref="C54:D54"/>
    <mergeCell ref="A83:D83"/>
    <mergeCell ref="A40:A43"/>
    <mergeCell ref="B84:B87"/>
    <mergeCell ref="A22:AJ22"/>
    <mergeCell ref="B40:B43"/>
    <mergeCell ref="A2:A5"/>
    <mergeCell ref="C2:C5"/>
    <mergeCell ref="E83:AI83"/>
    <mergeCell ref="A31:AJ31"/>
    <mergeCell ref="C44:D44"/>
    <mergeCell ref="C75:D75"/>
    <mergeCell ref="C56:D56"/>
    <mergeCell ref="C59:D59"/>
    <mergeCell ref="C46:D46"/>
    <mergeCell ref="C60:D60"/>
    <mergeCell ref="C51:D51"/>
    <mergeCell ref="C71:D71"/>
    <mergeCell ref="C52:D52"/>
    <mergeCell ref="C70:D70"/>
    <mergeCell ref="C48:D48"/>
    <mergeCell ref="B90:B93"/>
    <mergeCell ref="C94:D94"/>
    <mergeCell ref="C65:D65"/>
    <mergeCell ref="C55:D55"/>
    <mergeCell ref="C50:D50"/>
    <mergeCell ref="C76:D7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N94"/>
  <sheetViews>
    <sheetView topLeftCell="N1" workbookViewId="0">
      <selection activeCell="T19" sqref="T19"/>
    </sheetView>
  </sheetViews>
  <sheetFormatPr defaultColWidth="34" defaultRowHeight="14.5"/>
  <cols>
    <col min="1" max="1" width="14" style="143" customWidth="1"/>
    <col min="2" max="2" width="27" style="143" bestFit="1" customWidth="1"/>
    <col min="3" max="3" width="32" style="143" customWidth="1"/>
    <col min="4" max="4" width="20" style="143" customWidth="1"/>
    <col min="5" max="5" width="34" style="143" customWidth="1"/>
    <col min="6" max="35" width="23" customWidth="1"/>
    <col min="36" max="37" width="18" customWidth="1"/>
    <col min="38" max="66" width="14" customWidth="1"/>
    <col min="67" max="67" width="34" style="143" customWidth="1"/>
    <col min="68" max="16384" width="34" style="143"/>
  </cols>
  <sheetData>
    <row r="1" spans="1:66" ht="26.25" customHeight="1">
      <c r="A1" s="585" t="s">
        <v>163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  <c r="AI1" s="526"/>
      <c r="AJ1" s="526"/>
      <c r="AK1" s="526"/>
      <c r="AL1" s="526"/>
      <c r="AM1" s="526"/>
      <c r="AN1" s="526"/>
      <c r="AO1" s="526"/>
      <c r="AP1" s="526"/>
      <c r="AQ1" s="526"/>
      <c r="AR1" s="526"/>
      <c r="AS1" s="526"/>
      <c r="AT1" s="526"/>
      <c r="AU1" s="526"/>
      <c r="AV1" s="526"/>
      <c r="AW1" s="526"/>
      <c r="AX1" s="526"/>
      <c r="AY1" s="526"/>
      <c r="AZ1" s="526"/>
      <c r="BA1" s="526"/>
      <c r="BB1" s="526"/>
      <c r="BC1" s="526"/>
      <c r="BD1" s="526"/>
      <c r="BE1" s="526"/>
      <c r="BF1" s="526"/>
      <c r="BG1" s="526"/>
      <c r="BH1" s="526"/>
      <c r="BI1" s="526"/>
      <c r="BJ1" s="526"/>
      <c r="BK1" s="526"/>
      <c r="BL1" s="526"/>
      <c r="BM1" s="527"/>
      <c r="BN1" s="223"/>
    </row>
    <row r="2" spans="1:66">
      <c r="A2" s="586" t="s">
        <v>99</v>
      </c>
      <c r="B2" s="586" t="s">
        <v>100</v>
      </c>
      <c r="C2" s="580" t="s">
        <v>101</v>
      </c>
      <c r="D2" s="593" t="s">
        <v>102</v>
      </c>
      <c r="E2" s="224">
        <v>45992</v>
      </c>
      <c r="F2" s="224">
        <v>45993</v>
      </c>
      <c r="G2" s="224">
        <v>45994</v>
      </c>
      <c r="H2" s="224">
        <v>45995</v>
      </c>
      <c r="I2" s="224">
        <v>45996</v>
      </c>
      <c r="J2" s="224">
        <v>45997</v>
      </c>
      <c r="K2" s="224">
        <v>45998</v>
      </c>
      <c r="L2" s="224">
        <v>45999</v>
      </c>
      <c r="M2" s="224">
        <v>46000</v>
      </c>
      <c r="N2" s="224">
        <v>46001</v>
      </c>
      <c r="O2" s="224">
        <v>46002</v>
      </c>
      <c r="P2" s="224">
        <v>46003</v>
      </c>
      <c r="Q2" s="224">
        <v>46004</v>
      </c>
      <c r="R2" s="224">
        <v>46005</v>
      </c>
      <c r="S2" s="224">
        <v>46006</v>
      </c>
      <c r="T2" s="224">
        <v>46007</v>
      </c>
      <c r="U2" s="224">
        <v>46008</v>
      </c>
      <c r="V2" s="224">
        <v>46009</v>
      </c>
      <c r="W2" s="224">
        <v>46010</v>
      </c>
      <c r="X2" s="224">
        <v>46011</v>
      </c>
      <c r="Y2" s="224">
        <v>46012</v>
      </c>
      <c r="Z2" s="224">
        <v>46013</v>
      </c>
      <c r="AA2" s="224">
        <v>46014</v>
      </c>
      <c r="AB2" s="224">
        <v>46015</v>
      </c>
      <c r="AC2" s="224">
        <v>46016</v>
      </c>
      <c r="AD2" s="224">
        <v>46017</v>
      </c>
      <c r="AE2" s="224">
        <v>46018</v>
      </c>
      <c r="AF2" s="224">
        <v>46019</v>
      </c>
      <c r="AG2" s="224">
        <v>46020</v>
      </c>
      <c r="AH2" s="224">
        <v>46021</v>
      </c>
      <c r="AI2" s="224">
        <v>46022</v>
      </c>
      <c r="AJ2" s="595" t="s">
        <v>1</v>
      </c>
    </row>
    <row r="3" spans="1:66">
      <c r="A3" s="511"/>
      <c r="B3" s="511"/>
      <c r="C3" s="511"/>
      <c r="D3" s="511"/>
      <c r="E3" s="225" t="s">
        <v>106</v>
      </c>
      <c r="F3" s="225" t="s">
        <v>107</v>
      </c>
      <c r="G3" s="225" t="s">
        <v>108</v>
      </c>
      <c r="H3" s="225" t="s">
        <v>109</v>
      </c>
      <c r="I3" s="225" t="s">
        <v>103</v>
      </c>
      <c r="J3" s="225" t="s">
        <v>104</v>
      </c>
      <c r="K3" s="225" t="s">
        <v>105</v>
      </c>
      <c r="L3" s="225" t="s">
        <v>106</v>
      </c>
      <c r="M3" s="225" t="s">
        <v>107</v>
      </c>
      <c r="N3" s="225" t="s">
        <v>108</v>
      </c>
      <c r="O3" s="225" t="s">
        <v>109</v>
      </c>
      <c r="P3" s="225" t="s">
        <v>103</v>
      </c>
      <c r="Q3" s="225" t="s">
        <v>104</v>
      </c>
      <c r="R3" s="225" t="s">
        <v>105</v>
      </c>
      <c r="S3" s="225" t="s">
        <v>106</v>
      </c>
      <c r="T3" s="225" t="s">
        <v>107</v>
      </c>
      <c r="U3" s="225" t="s">
        <v>108</v>
      </c>
      <c r="V3" s="225" t="s">
        <v>109</v>
      </c>
      <c r="W3" s="225" t="s">
        <v>103</v>
      </c>
      <c r="X3" s="225" t="s">
        <v>104</v>
      </c>
      <c r="Y3" s="225" t="s">
        <v>105</v>
      </c>
      <c r="Z3" s="225" t="s">
        <v>106</v>
      </c>
      <c r="AA3" s="225" t="s">
        <v>107</v>
      </c>
      <c r="AB3" s="225" t="s">
        <v>108</v>
      </c>
      <c r="AC3" s="225" t="s">
        <v>109</v>
      </c>
      <c r="AD3" s="225" t="s">
        <v>103</v>
      </c>
      <c r="AE3" s="225" t="s">
        <v>104</v>
      </c>
      <c r="AF3" s="225" t="s">
        <v>105</v>
      </c>
      <c r="AG3" s="225" t="s">
        <v>106</v>
      </c>
      <c r="AH3" s="225" t="s">
        <v>107</v>
      </c>
      <c r="AI3" s="225" t="s">
        <v>108</v>
      </c>
      <c r="AJ3" s="511"/>
    </row>
    <row r="4" spans="1:66">
      <c r="A4" s="511"/>
      <c r="B4" s="511"/>
      <c r="C4" s="511"/>
      <c r="D4" s="511"/>
      <c r="E4" s="226" t="s">
        <v>110</v>
      </c>
      <c r="F4" s="226" t="s">
        <v>110</v>
      </c>
      <c r="G4" s="226" t="s">
        <v>110</v>
      </c>
      <c r="H4" s="226" t="s">
        <v>110</v>
      </c>
      <c r="I4" s="226" t="s">
        <v>110</v>
      </c>
      <c r="J4" s="226" t="s">
        <v>110</v>
      </c>
      <c r="K4" s="226" t="s">
        <v>110</v>
      </c>
      <c r="L4" s="226" t="s">
        <v>110</v>
      </c>
      <c r="M4" s="226" t="s">
        <v>110</v>
      </c>
      <c r="N4" s="226" t="s">
        <v>110</v>
      </c>
      <c r="O4" s="226" t="s">
        <v>110</v>
      </c>
      <c r="P4" s="226" t="s">
        <v>110</v>
      </c>
      <c r="Q4" s="226" t="s">
        <v>110</v>
      </c>
      <c r="R4" s="226" t="s">
        <v>110</v>
      </c>
      <c r="S4" s="226" t="s">
        <v>110</v>
      </c>
      <c r="T4" s="226" t="s">
        <v>110</v>
      </c>
      <c r="U4" s="226" t="s">
        <v>110</v>
      </c>
      <c r="V4" s="226" t="s">
        <v>110</v>
      </c>
      <c r="W4" s="226" t="s">
        <v>110</v>
      </c>
      <c r="X4" s="226" t="s">
        <v>110</v>
      </c>
      <c r="Y4" s="226" t="s">
        <v>110</v>
      </c>
      <c r="Z4" s="226" t="s">
        <v>110</v>
      </c>
      <c r="AA4" s="226" t="s">
        <v>110</v>
      </c>
      <c r="AB4" s="226" t="s">
        <v>110</v>
      </c>
      <c r="AC4" s="226" t="s">
        <v>110</v>
      </c>
      <c r="AD4" s="226" t="s">
        <v>110</v>
      </c>
      <c r="AE4" s="226" t="s">
        <v>110</v>
      </c>
      <c r="AF4" s="226" t="s">
        <v>110</v>
      </c>
      <c r="AG4" s="226" t="s">
        <v>110</v>
      </c>
      <c r="AH4" s="226" t="s">
        <v>110</v>
      </c>
      <c r="AI4" s="226" t="s">
        <v>110</v>
      </c>
      <c r="AJ4" s="511"/>
    </row>
    <row r="5" spans="1:66">
      <c r="A5" s="512"/>
      <c r="B5" s="512"/>
      <c r="C5" s="512"/>
      <c r="D5" s="512"/>
      <c r="E5" s="227">
        <v>0.33333333333333331</v>
      </c>
      <c r="F5" s="227">
        <v>0.33333333333333331</v>
      </c>
      <c r="G5" s="227">
        <v>0.33333333333333331</v>
      </c>
      <c r="H5" s="227">
        <v>0.33333333333333331</v>
      </c>
      <c r="I5" s="227">
        <v>0.33333333333333331</v>
      </c>
      <c r="J5" s="227">
        <v>0.33333333333333331</v>
      </c>
      <c r="K5" s="227">
        <v>0.33333333333333331</v>
      </c>
      <c r="L5" s="227">
        <v>0.33333333333333331</v>
      </c>
      <c r="M5" s="227">
        <v>0.33333333333333331</v>
      </c>
      <c r="N5" s="227">
        <v>0.33333333333333331</v>
      </c>
      <c r="O5" s="227">
        <v>0.33333333333333331</v>
      </c>
      <c r="P5" s="227">
        <v>0.33333333333333331</v>
      </c>
      <c r="Q5" s="227">
        <v>0.33333333333333331</v>
      </c>
      <c r="R5" s="227">
        <v>0.33333333333333331</v>
      </c>
      <c r="S5" s="227">
        <v>0.33333333333333331</v>
      </c>
      <c r="T5" s="227">
        <v>0.33333333333333331</v>
      </c>
      <c r="U5" s="227">
        <v>0.33333333333333331</v>
      </c>
      <c r="V5" s="227">
        <v>0.33333333333333331</v>
      </c>
      <c r="W5" s="227">
        <v>0.33333333333333331</v>
      </c>
      <c r="X5" s="227">
        <v>0.33333333333333331</v>
      </c>
      <c r="Y5" s="227">
        <v>0.33333333333333331</v>
      </c>
      <c r="Z5" s="227">
        <v>0.33333333333333331</v>
      </c>
      <c r="AA5" s="227">
        <v>0.33333333333333331</v>
      </c>
      <c r="AB5" s="228">
        <v>0.33333333333333331</v>
      </c>
      <c r="AC5" s="227">
        <v>0.33333333333333331</v>
      </c>
      <c r="AD5" s="227">
        <v>0.33333333333333331</v>
      </c>
      <c r="AE5" s="227">
        <v>0.33333333333333331</v>
      </c>
      <c r="AF5" s="227">
        <v>0.33333333333333331</v>
      </c>
      <c r="AG5" s="227">
        <v>0.33333333333333331</v>
      </c>
      <c r="AH5" s="227">
        <v>0.33333333333333331</v>
      </c>
      <c r="AI5" s="227">
        <v>0.33333333333333331</v>
      </c>
      <c r="AJ5" s="512"/>
    </row>
    <row r="6" spans="1:66">
      <c r="A6" s="229">
        <v>1</v>
      </c>
      <c r="B6" s="230" t="s">
        <v>129</v>
      </c>
      <c r="C6" s="139" t="s">
        <v>111</v>
      </c>
      <c r="D6" s="231">
        <v>160014</v>
      </c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32"/>
      <c r="P6" s="233"/>
      <c r="Q6" s="229"/>
      <c r="R6" s="234"/>
      <c r="S6" s="230"/>
      <c r="T6" s="230"/>
      <c r="U6" s="230"/>
      <c r="V6" s="235"/>
      <c r="W6" s="230"/>
      <c r="X6" s="230"/>
      <c r="Y6" s="230"/>
      <c r="Z6" s="230"/>
      <c r="AA6" s="232"/>
      <c r="AB6" s="232"/>
      <c r="AC6" s="232"/>
      <c r="AD6" s="230"/>
      <c r="AE6" s="230"/>
      <c r="AF6" s="230"/>
      <c r="AG6" s="229"/>
      <c r="AH6" s="236"/>
      <c r="AI6" s="236">
        <v>167218</v>
      </c>
      <c r="AJ6" s="237">
        <v>7204</v>
      </c>
    </row>
    <row r="7" spans="1:66">
      <c r="A7" s="238"/>
      <c r="B7" s="238"/>
      <c r="C7" s="140" t="s">
        <v>22</v>
      </c>
      <c r="D7" s="239">
        <v>4279</v>
      </c>
      <c r="E7" s="240"/>
      <c r="F7" s="240"/>
      <c r="G7" s="240"/>
      <c r="H7" s="240"/>
      <c r="I7" s="240"/>
      <c r="J7" s="240"/>
      <c r="K7" s="240"/>
      <c r="L7" s="240"/>
      <c r="M7" s="240"/>
      <c r="N7" s="238"/>
      <c r="O7" s="238"/>
      <c r="P7" s="238"/>
      <c r="Q7" s="238"/>
      <c r="R7" s="238"/>
      <c r="S7" s="238"/>
      <c r="T7" s="238"/>
      <c r="U7" s="238"/>
      <c r="V7" s="238"/>
      <c r="W7" s="238"/>
      <c r="X7" s="238"/>
      <c r="Y7" s="238"/>
      <c r="Z7" s="238"/>
      <c r="AA7" s="238"/>
      <c r="AB7" s="238"/>
      <c r="AC7" s="238"/>
      <c r="AD7" s="238"/>
      <c r="AE7" s="238"/>
      <c r="AF7" s="238"/>
      <c r="AG7" s="238"/>
      <c r="AH7" s="240"/>
      <c r="AI7" s="291">
        <v>4281</v>
      </c>
      <c r="AJ7" s="237">
        <f>AH7-D7</f>
        <v>-4279</v>
      </c>
    </row>
    <row r="8" spans="1:66">
      <c r="A8" s="230">
        <v>2</v>
      </c>
      <c r="B8" s="230" t="s">
        <v>129</v>
      </c>
      <c r="C8" s="141" t="s">
        <v>112</v>
      </c>
      <c r="D8" s="241">
        <v>1956</v>
      </c>
      <c r="E8" s="232"/>
      <c r="F8" s="232"/>
      <c r="G8" s="232"/>
      <c r="H8" s="232"/>
      <c r="I8" s="232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0"/>
      <c r="Y8" s="230"/>
      <c r="Z8" s="230"/>
      <c r="AA8" s="230"/>
      <c r="AB8" s="230"/>
      <c r="AC8" s="230"/>
      <c r="AD8" s="230"/>
      <c r="AE8" s="230"/>
      <c r="AF8" s="230"/>
      <c r="AG8" s="230"/>
      <c r="AH8" s="232"/>
      <c r="AI8" s="232">
        <v>1956</v>
      </c>
      <c r="AJ8" s="237">
        <f>AH8-D8</f>
        <v>-1956</v>
      </c>
    </row>
    <row r="9" spans="1:66">
      <c r="A9" s="230"/>
      <c r="B9" s="230"/>
      <c r="C9" s="140" t="s">
        <v>22</v>
      </c>
      <c r="D9" s="241">
        <v>28.6</v>
      </c>
      <c r="E9" s="232"/>
      <c r="F9" s="232"/>
      <c r="G9" s="232"/>
      <c r="H9" s="232"/>
      <c r="I9" s="232"/>
      <c r="J9" s="232"/>
      <c r="K9" s="232"/>
      <c r="L9" s="232"/>
      <c r="M9" s="232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  <c r="AA9" s="230"/>
      <c r="AB9" s="230"/>
      <c r="AC9" s="230"/>
      <c r="AD9" s="230"/>
      <c r="AE9" s="230"/>
      <c r="AF9" s="230"/>
      <c r="AG9" s="230"/>
      <c r="AH9" s="232"/>
      <c r="AI9" s="232">
        <v>28.6</v>
      </c>
      <c r="AJ9" s="237">
        <f>AH9-D9</f>
        <v>-28.6</v>
      </c>
    </row>
    <row r="10" spans="1:66">
      <c r="A10" s="230">
        <v>3</v>
      </c>
      <c r="B10" s="230" t="s">
        <v>129</v>
      </c>
      <c r="C10" s="141" t="s">
        <v>113</v>
      </c>
      <c r="D10" s="239">
        <v>232941</v>
      </c>
      <c r="E10" s="230"/>
      <c r="F10" s="230"/>
      <c r="G10" s="230"/>
      <c r="H10" s="230"/>
      <c r="I10" s="230"/>
      <c r="J10" s="230"/>
      <c r="K10" s="230"/>
      <c r="L10" s="230"/>
      <c r="M10" s="230"/>
      <c r="N10" s="230"/>
      <c r="O10" s="230"/>
      <c r="P10" s="230"/>
      <c r="Q10" s="230"/>
      <c r="R10" s="230"/>
      <c r="S10" s="230"/>
      <c r="T10" s="230"/>
      <c r="U10" s="230"/>
      <c r="V10" s="230"/>
      <c r="W10" s="230"/>
      <c r="X10" s="230"/>
      <c r="Y10" s="230"/>
      <c r="Z10" s="230"/>
      <c r="AA10" s="232"/>
      <c r="AB10" s="232"/>
      <c r="AC10" s="232"/>
      <c r="AD10" s="230"/>
      <c r="AE10" s="238"/>
      <c r="AF10" s="238"/>
      <c r="AG10" s="238"/>
      <c r="AH10" s="240"/>
      <c r="AI10" s="240">
        <v>243129</v>
      </c>
      <c r="AJ10" s="237">
        <v>10188</v>
      </c>
    </row>
    <row r="11" spans="1:66">
      <c r="A11" s="230"/>
      <c r="B11" s="230"/>
      <c r="C11" s="140" t="s">
        <v>22</v>
      </c>
      <c r="D11" s="241">
        <v>6406</v>
      </c>
      <c r="E11" s="232"/>
      <c r="F11" s="232"/>
      <c r="G11" s="232"/>
      <c r="H11" s="232"/>
      <c r="I11" s="232"/>
      <c r="J11" s="232"/>
      <c r="K11" s="232"/>
      <c r="L11" s="232"/>
      <c r="M11" s="232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2"/>
      <c r="AI11" s="293">
        <v>6407</v>
      </c>
      <c r="AJ11" s="237">
        <f>AH11-D11</f>
        <v>-6406</v>
      </c>
    </row>
    <row r="12" spans="1:66">
      <c r="A12" s="230">
        <v>4</v>
      </c>
      <c r="B12" s="230" t="s">
        <v>129</v>
      </c>
      <c r="C12" s="141" t="s">
        <v>114</v>
      </c>
      <c r="D12" s="241">
        <v>0</v>
      </c>
      <c r="E12" s="232"/>
      <c r="F12" s="232"/>
      <c r="G12" s="232"/>
      <c r="H12" s="232"/>
      <c r="I12" s="232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2"/>
      <c r="AI12" s="232">
        <v>0</v>
      </c>
      <c r="AJ12" s="237">
        <f>AH12-D12</f>
        <v>0</v>
      </c>
    </row>
    <row r="13" spans="1:66">
      <c r="A13" s="230"/>
      <c r="B13" s="230"/>
      <c r="C13" s="140" t="s">
        <v>22</v>
      </c>
      <c r="D13" s="242">
        <v>0</v>
      </c>
      <c r="E13" s="243"/>
      <c r="F13" s="243"/>
      <c r="G13" s="243"/>
      <c r="H13" s="243"/>
      <c r="I13" s="243"/>
      <c r="J13" s="230"/>
      <c r="K13" s="230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230"/>
      <c r="X13" s="230"/>
      <c r="Y13" s="230"/>
      <c r="Z13" s="230"/>
      <c r="AA13" s="230"/>
      <c r="AB13" s="230"/>
      <c r="AC13" s="230"/>
      <c r="AD13" s="230"/>
      <c r="AE13" s="230"/>
      <c r="AF13" s="230"/>
      <c r="AG13" s="230"/>
      <c r="AH13" s="232"/>
      <c r="AI13" s="232">
        <v>0</v>
      </c>
      <c r="AJ13" s="237">
        <f>AH13-D13</f>
        <v>0</v>
      </c>
    </row>
    <row r="14" spans="1:66">
      <c r="A14" s="230">
        <v>5</v>
      </c>
      <c r="B14" s="230" t="s">
        <v>129</v>
      </c>
      <c r="C14" s="213" t="s">
        <v>115</v>
      </c>
      <c r="D14" s="244">
        <v>117671</v>
      </c>
      <c r="E14" s="234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45"/>
      <c r="V14" s="230"/>
      <c r="W14" s="230"/>
      <c r="X14" s="230"/>
      <c r="Y14" s="230"/>
      <c r="Z14" s="230"/>
      <c r="AA14" s="232"/>
      <c r="AB14" s="232"/>
      <c r="AC14" s="232"/>
      <c r="AD14" s="230"/>
      <c r="AE14" s="245"/>
      <c r="AF14" s="245"/>
      <c r="AG14" s="245"/>
      <c r="AH14" s="246"/>
      <c r="AI14" s="246">
        <v>124335</v>
      </c>
      <c r="AJ14" s="237">
        <f>AH14-D14</f>
        <v>-117671</v>
      </c>
    </row>
    <row r="15" spans="1:66">
      <c r="A15" s="230"/>
      <c r="B15" s="230"/>
      <c r="C15" s="214" t="s">
        <v>22</v>
      </c>
      <c r="D15" s="244">
        <v>3277</v>
      </c>
      <c r="E15" s="247"/>
      <c r="F15" s="247"/>
      <c r="G15" s="247"/>
      <c r="H15" s="247"/>
      <c r="I15" s="247"/>
      <c r="J15" s="247"/>
      <c r="K15" s="247"/>
      <c r="L15" s="247"/>
      <c r="M15" s="247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  <c r="AE15" s="248"/>
      <c r="AF15" s="248"/>
      <c r="AG15" s="248"/>
      <c r="AH15" s="243"/>
      <c r="AI15" s="294">
        <v>3278</v>
      </c>
      <c r="AJ15" s="237">
        <f>AH15-D15</f>
        <v>-3277</v>
      </c>
    </row>
    <row r="16" spans="1:66">
      <c r="A16" s="230">
        <v>6</v>
      </c>
      <c r="B16" s="230" t="s">
        <v>129</v>
      </c>
      <c r="C16" s="213" t="s">
        <v>142</v>
      </c>
      <c r="D16" s="244">
        <v>135314</v>
      </c>
      <c r="E16" s="249"/>
      <c r="F16" s="232"/>
      <c r="G16" s="229"/>
      <c r="H16" s="234"/>
      <c r="I16" s="230"/>
      <c r="J16" s="230"/>
      <c r="K16" s="232"/>
      <c r="L16" s="250"/>
      <c r="M16" s="233"/>
      <c r="N16" s="233"/>
      <c r="O16" s="233"/>
      <c r="P16" s="233"/>
      <c r="Q16" s="251"/>
      <c r="R16" s="233"/>
      <c r="S16" s="234"/>
      <c r="T16" s="230"/>
      <c r="U16" s="230"/>
      <c r="V16" s="230"/>
      <c r="W16" s="230"/>
      <c r="X16" s="230"/>
      <c r="Y16" s="230"/>
      <c r="Z16" s="230"/>
      <c r="AA16" s="232"/>
      <c r="AB16" s="232"/>
      <c r="AC16" s="232"/>
      <c r="AD16" s="232"/>
      <c r="AE16" s="229"/>
      <c r="AF16" s="229"/>
      <c r="AG16" s="229"/>
      <c r="AH16" s="236"/>
      <c r="AI16" s="236">
        <v>141339</v>
      </c>
      <c r="AJ16" s="237">
        <v>6664</v>
      </c>
    </row>
    <row r="17" spans="1:40">
      <c r="A17" s="230"/>
      <c r="B17" s="230"/>
      <c r="C17" s="214" t="s">
        <v>22</v>
      </c>
      <c r="D17" s="244">
        <v>4262</v>
      </c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  <c r="Q17" s="252"/>
      <c r="R17" s="252"/>
      <c r="S17" s="252"/>
      <c r="T17" s="252"/>
      <c r="U17" s="252"/>
      <c r="V17" s="252"/>
      <c r="W17" s="252"/>
      <c r="X17" s="252"/>
      <c r="Y17" s="252"/>
      <c r="Z17" s="252"/>
      <c r="AA17" s="252"/>
      <c r="AB17" s="252"/>
      <c r="AC17" s="252"/>
      <c r="AD17" s="252"/>
      <c r="AE17" s="252"/>
      <c r="AF17" s="252"/>
      <c r="AG17" s="252"/>
      <c r="AH17" s="253"/>
      <c r="AI17" s="295">
        <v>4262</v>
      </c>
      <c r="AJ17" s="237">
        <f>AH17-D17</f>
        <v>-4262</v>
      </c>
    </row>
    <row r="18" spans="1:40">
      <c r="A18" s="230">
        <v>7</v>
      </c>
      <c r="B18" s="230" t="s">
        <v>129</v>
      </c>
      <c r="C18" s="141" t="s">
        <v>117</v>
      </c>
      <c r="D18" s="239">
        <v>442589</v>
      </c>
      <c r="E18" s="230"/>
      <c r="F18" s="230"/>
      <c r="G18" s="230"/>
      <c r="H18" s="230"/>
      <c r="I18" s="230"/>
      <c r="J18" s="230"/>
      <c r="K18" s="230"/>
      <c r="L18" s="230"/>
      <c r="M18" s="230"/>
      <c r="N18" s="254"/>
      <c r="O18" s="230"/>
      <c r="P18" s="230"/>
      <c r="Q18" s="230"/>
      <c r="R18" s="238"/>
      <c r="S18" s="254"/>
      <c r="T18" s="230"/>
      <c r="U18" s="230"/>
      <c r="V18" s="230"/>
      <c r="W18" s="230"/>
      <c r="X18" s="245"/>
      <c r="Y18" s="230"/>
      <c r="Z18" s="230"/>
      <c r="AA18" s="232"/>
      <c r="AB18" s="232"/>
      <c r="AC18" s="232"/>
      <c r="AD18" s="232"/>
      <c r="AE18" s="229"/>
      <c r="AF18" s="255"/>
      <c r="AG18" s="238"/>
      <c r="AH18" s="240"/>
      <c r="AI18" s="240">
        <v>464366</v>
      </c>
      <c r="AJ18" s="237">
        <v>21777</v>
      </c>
    </row>
    <row r="19" spans="1:40">
      <c r="A19" s="230"/>
      <c r="B19" s="230"/>
      <c r="C19" s="140" t="s">
        <v>22</v>
      </c>
      <c r="D19" s="241">
        <v>11604</v>
      </c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2"/>
      <c r="AI19" s="293">
        <v>11607</v>
      </c>
      <c r="AJ19" s="237">
        <f>AH19-D19</f>
        <v>-11604</v>
      </c>
    </row>
    <row r="20" spans="1:40">
      <c r="A20" s="230">
        <v>8</v>
      </c>
      <c r="B20" s="230" t="s">
        <v>129</v>
      </c>
      <c r="C20" s="141" t="s">
        <v>118</v>
      </c>
      <c r="D20" s="239">
        <v>87969</v>
      </c>
      <c r="E20" s="230"/>
      <c r="F20" s="230"/>
      <c r="G20" s="230"/>
      <c r="H20" s="230"/>
      <c r="I20" s="230"/>
      <c r="J20" s="230"/>
      <c r="K20" s="230"/>
      <c r="L20" s="230"/>
      <c r="M20" s="230"/>
      <c r="N20" s="230"/>
      <c r="O20" s="230"/>
      <c r="P20" s="230"/>
      <c r="Q20" s="230"/>
      <c r="R20" s="230"/>
      <c r="S20" s="230"/>
      <c r="T20" s="230"/>
      <c r="U20" s="230"/>
      <c r="V20" s="230"/>
      <c r="W20" s="230"/>
      <c r="X20" s="230"/>
      <c r="Y20" s="230"/>
      <c r="Z20" s="230"/>
      <c r="AA20" s="238"/>
      <c r="AB20" s="238"/>
      <c r="AC20" s="230"/>
      <c r="AD20" s="230"/>
      <c r="AE20" s="238"/>
      <c r="AF20" s="238"/>
      <c r="AG20" s="238"/>
      <c r="AH20" s="240"/>
      <c r="AI20" s="240">
        <v>91210</v>
      </c>
      <c r="AJ20" s="237">
        <v>3241</v>
      </c>
    </row>
    <row r="21" spans="1:40">
      <c r="A21" s="230"/>
      <c r="B21" s="230"/>
      <c r="C21" s="140" t="s">
        <v>22</v>
      </c>
      <c r="D21" s="241">
        <v>2212</v>
      </c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0"/>
      <c r="S21" s="230"/>
      <c r="T21" s="230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/>
      <c r="AG21" s="230"/>
      <c r="AH21" s="232"/>
      <c r="AI21" s="293">
        <v>2213</v>
      </c>
      <c r="AJ21" s="237">
        <f>AH21-D21</f>
        <v>-2212</v>
      </c>
    </row>
    <row r="22" spans="1:40" ht="14.5" customHeight="1">
      <c r="A22" s="587"/>
      <c r="B22" s="504"/>
      <c r="C22" s="504"/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4"/>
      <c r="W22" s="504"/>
      <c r="X22" s="504"/>
      <c r="Y22" s="504"/>
      <c r="Z22" s="504"/>
      <c r="AA22" s="504"/>
      <c r="AB22" s="504"/>
      <c r="AC22" s="504"/>
      <c r="AD22" s="504"/>
      <c r="AE22" s="504"/>
      <c r="AF22" s="504"/>
      <c r="AG22" s="504"/>
      <c r="AH22" s="504"/>
      <c r="AI22" s="504"/>
      <c r="AJ22" s="501"/>
      <c r="AN22" s="292"/>
    </row>
    <row r="23" spans="1:40">
      <c r="A23" s="230">
        <v>1</v>
      </c>
      <c r="B23" s="230" t="s">
        <v>129</v>
      </c>
      <c r="C23" s="141" t="s">
        <v>119</v>
      </c>
      <c r="D23" s="239">
        <v>43073</v>
      </c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0"/>
      <c r="S23" s="230"/>
      <c r="T23" s="230"/>
      <c r="U23" s="230"/>
      <c r="V23" s="230"/>
      <c r="W23" s="230"/>
      <c r="X23" s="230"/>
      <c r="Y23" s="230"/>
      <c r="Z23" s="230"/>
      <c r="AA23" s="230"/>
      <c r="AB23" s="230"/>
      <c r="AC23" s="230"/>
      <c r="AD23" s="230"/>
      <c r="AE23" s="230"/>
      <c r="AF23" s="230"/>
      <c r="AG23" s="230"/>
      <c r="AH23" s="240"/>
      <c r="AI23" s="240">
        <v>45884</v>
      </c>
      <c r="AJ23" s="237">
        <v>2811</v>
      </c>
    </row>
    <row r="24" spans="1:40">
      <c r="A24" s="230"/>
      <c r="B24" s="230"/>
      <c r="C24" s="142" t="s">
        <v>22</v>
      </c>
      <c r="D24" s="241">
        <v>1921</v>
      </c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30"/>
      <c r="R24" s="230"/>
      <c r="S24" s="245"/>
      <c r="T24" s="245"/>
      <c r="U24" s="245"/>
      <c r="V24" s="245"/>
      <c r="W24" s="245"/>
      <c r="X24" s="245"/>
      <c r="Y24" s="245"/>
      <c r="Z24" s="245"/>
      <c r="AA24" s="245"/>
      <c r="AB24" s="245"/>
      <c r="AC24" s="245"/>
      <c r="AD24" s="245"/>
      <c r="AE24" s="245"/>
      <c r="AF24" s="230"/>
      <c r="AG24" s="230"/>
      <c r="AH24" s="232"/>
      <c r="AI24" s="232">
        <v>1921</v>
      </c>
      <c r="AJ24" s="237">
        <f>AH24-D24</f>
        <v>-1921</v>
      </c>
    </row>
    <row r="25" spans="1:40">
      <c r="A25" s="230">
        <v>2</v>
      </c>
      <c r="B25" s="230" t="s">
        <v>129</v>
      </c>
      <c r="C25" s="141" t="s">
        <v>120</v>
      </c>
      <c r="D25" s="239">
        <v>47109</v>
      </c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30"/>
      <c r="R25" s="230"/>
      <c r="S25" s="230"/>
      <c r="T25" s="230"/>
      <c r="U25" s="230"/>
      <c r="V25" s="230"/>
      <c r="W25" s="230"/>
      <c r="X25" s="230"/>
      <c r="Y25" s="230"/>
      <c r="Z25" s="230"/>
      <c r="AA25" s="230"/>
      <c r="AB25" s="230"/>
      <c r="AC25" s="230"/>
      <c r="AD25" s="230"/>
      <c r="AE25" s="230"/>
      <c r="AF25" s="230"/>
      <c r="AG25" s="230"/>
      <c r="AH25" s="240"/>
      <c r="AI25" s="240">
        <v>49831</v>
      </c>
      <c r="AJ25" s="237">
        <v>2722</v>
      </c>
    </row>
    <row r="26" spans="1:40">
      <c r="A26" s="230"/>
      <c r="B26" s="230"/>
      <c r="C26" s="142" t="s">
        <v>22</v>
      </c>
      <c r="D26" s="241">
        <v>1909</v>
      </c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230"/>
      <c r="Z26" s="230"/>
      <c r="AA26" s="230"/>
      <c r="AB26" s="230"/>
      <c r="AC26" s="230"/>
      <c r="AD26" s="230"/>
      <c r="AE26" s="230"/>
      <c r="AF26" s="230"/>
      <c r="AG26" s="230"/>
      <c r="AH26" s="232"/>
      <c r="AI26" s="232">
        <v>1909</v>
      </c>
      <c r="AJ26" s="237">
        <f>AH26-D26</f>
        <v>-1909</v>
      </c>
    </row>
    <row r="27" spans="1:40">
      <c r="A27" s="230">
        <v>3</v>
      </c>
      <c r="B27" s="230" t="s">
        <v>129</v>
      </c>
      <c r="C27" s="141" t="s">
        <v>121</v>
      </c>
      <c r="D27" s="241">
        <v>55482</v>
      </c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0"/>
      <c r="S27" s="230"/>
      <c r="T27" s="230"/>
      <c r="U27" s="230"/>
      <c r="V27" s="230"/>
      <c r="W27" s="230"/>
      <c r="X27" s="230"/>
      <c r="Y27" s="230"/>
      <c r="Z27" s="230"/>
      <c r="AA27" s="230"/>
      <c r="AB27" s="230"/>
      <c r="AC27" s="230"/>
      <c r="AD27" s="230"/>
      <c r="AE27" s="230"/>
      <c r="AF27" s="230"/>
      <c r="AG27" s="230"/>
      <c r="AH27" s="232"/>
      <c r="AI27" s="232">
        <v>61348</v>
      </c>
      <c r="AJ27" s="237">
        <v>5866</v>
      </c>
    </row>
    <row r="28" spans="1:40">
      <c r="A28" s="230"/>
      <c r="B28" s="230"/>
      <c r="C28" s="142" t="s">
        <v>22</v>
      </c>
      <c r="D28" s="241">
        <v>2065</v>
      </c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30"/>
      <c r="R28" s="230"/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30"/>
      <c r="AE28" s="230"/>
      <c r="AF28" s="230"/>
      <c r="AG28" s="230"/>
      <c r="AH28" s="232"/>
      <c r="AI28" s="232">
        <v>2065</v>
      </c>
      <c r="AJ28" s="237">
        <f>AH28-D28</f>
        <v>-2065</v>
      </c>
    </row>
    <row r="29" spans="1:40">
      <c r="A29" s="230">
        <v>4</v>
      </c>
      <c r="B29" s="230" t="s">
        <v>129</v>
      </c>
      <c r="C29" s="141" t="s">
        <v>122</v>
      </c>
      <c r="D29" s="239">
        <v>39556</v>
      </c>
      <c r="E29" s="230"/>
      <c r="F29" s="230"/>
      <c r="G29" s="230"/>
      <c r="H29" s="230"/>
      <c r="I29" s="230"/>
      <c r="J29" s="230"/>
      <c r="K29" s="230"/>
      <c r="L29" s="230"/>
      <c r="M29" s="230"/>
      <c r="N29" s="230"/>
      <c r="O29" s="230"/>
      <c r="P29" s="230"/>
      <c r="Q29" s="230"/>
      <c r="R29" s="230"/>
      <c r="S29" s="230"/>
      <c r="T29" s="230"/>
      <c r="U29" s="230"/>
      <c r="V29" s="230"/>
      <c r="W29" s="230"/>
      <c r="X29" s="230"/>
      <c r="Y29" s="230"/>
      <c r="Z29" s="230"/>
      <c r="AA29" s="230"/>
      <c r="AB29" s="230"/>
      <c r="AC29" s="230"/>
      <c r="AD29" s="230"/>
      <c r="AE29" s="230"/>
      <c r="AF29" s="230"/>
      <c r="AG29" s="230"/>
      <c r="AH29" s="240"/>
      <c r="AI29" s="240">
        <v>41608</v>
      </c>
      <c r="AJ29" s="237">
        <v>2052</v>
      </c>
    </row>
    <row r="30" spans="1:40">
      <c r="A30" s="230"/>
      <c r="B30" s="230"/>
      <c r="C30" s="142" t="s">
        <v>22</v>
      </c>
      <c r="D30" s="241">
        <v>1786</v>
      </c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2"/>
      <c r="AI30" s="232">
        <v>1786</v>
      </c>
      <c r="AJ30" s="237">
        <f>AH30-D30</f>
        <v>-1786</v>
      </c>
    </row>
    <row r="31" spans="1:40" ht="14.5" customHeight="1">
      <c r="A31" s="587"/>
      <c r="B31" s="504"/>
      <c r="C31" s="504"/>
      <c r="D31" s="504"/>
      <c r="E31" s="504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4"/>
      <c r="AH31" s="504"/>
      <c r="AI31" s="504"/>
      <c r="AJ31" s="501"/>
    </row>
    <row r="32" spans="1:40">
      <c r="A32" s="230">
        <v>1</v>
      </c>
      <c r="B32" s="230" t="s">
        <v>129</v>
      </c>
      <c r="C32" s="141" t="s">
        <v>123</v>
      </c>
      <c r="D32" s="256">
        <v>381319</v>
      </c>
      <c r="E32" s="257"/>
      <c r="F32" s="258"/>
      <c r="G32" s="258"/>
      <c r="H32" s="258"/>
      <c r="I32" s="257"/>
      <c r="J32" s="258"/>
      <c r="K32" s="258"/>
      <c r="L32" s="258"/>
      <c r="M32" s="257"/>
      <c r="N32" s="258"/>
      <c r="O32" s="258"/>
      <c r="P32" s="258"/>
      <c r="Q32" s="257"/>
      <c r="R32" s="258"/>
      <c r="S32" s="258"/>
      <c r="T32" s="258"/>
      <c r="U32" s="257"/>
      <c r="V32" s="258"/>
      <c r="W32" s="258"/>
      <c r="X32" s="258"/>
      <c r="Y32" s="257"/>
      <c r="Z32" s="258"/>
      <c r="AA32" s="258"/>
      <c r="AB32" s="258"/>
      <c r="AC32" s="257"/>
      <c r="AD32" s="258"/>
      <c r="AE32" s="258"/>
      <c r="AF32" s="258"/>
      <c r="AG32" s="257"/>
      <c r="AH32" s="259"/>
      <c r="AI32" s="259">
        <v>388786</v>
      </c>
      <c r="AJ32" s="237">
        <v>7467</v>
      </c>
    </row>
    <row r="33" spans="1:37">
      <c r="A33" s="230">
        <v>2</v>
      </c>
      <c r="B33" s="230" t="s">
        <v>129</v>
      </c>
      <c r="C33" s="141" t="s">
        <v>124</v>
      </c>
      <c r="D33" s="256">
        <v>358128</v>
      </c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8"/>
      <c r="P33" s="258"/>
      <c r="Q33" s="258"/>
      <c r="R33" s="258"/>
      <c r="S33" s="258"/>
      <c r="T33" s="258"/>
      <c r="U33" s="258"/>
      <c r="V33" s="258"/>
      <c r="W33" s="258"/>
      <c r="X33" s="258"/>
      <c r="Y33" s="258"/>
      <c r="Z33" s="258"/>
      <c r="AA33" s="258"/>
      <c r="AB33" s="258"/>
      <c r="AC33" s="258"/>
      <c r="AD33" s="258"/>
      <c r="AE33" s="258"/>
      <c r="AF33" s="258"/>
      <c r="AG33" s="258"/>
      <c r="AH33" s="259"/>
      <c r="AI33" s="259">
        <v>364801</v>
      </c>
      <c r="AJ33" s="237">
        <v>6673</v>
      </c>
    </row>
    <row r="34" spans="1:37">
      <c r="A34" s="230">
        <v>3</v>
      </c>
      <c r="B34" s="230" t="s">
        <v>129</v>
      </c>
      <c r="C34" s="141" t="s">
        <v>125</v>
      </c>
      <c r="D34" s="256">
        <v>379512</v>
      </c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8"/>
      <c r="P34" s="258"/>
      <c r="Q34" s="258"/>
      <c r="R34" s="258"/>
      <c r="S34" s="258"/>
      <c r="T34" s="258"/>
      <c r="U34" s="258"/>
      <c r="V34" s="258"/>
      <c r="W34" s="258"/>
      <c r="X34" s="258"/>
      <c r="Y34" s="258"/>
      <c r="Z34" s="258"/>
      <c r="AA34" s="258"/>
      <c r="AB34" s="258"/>
      <c r="AC34" s="258"/>
      <c r="AD34" s="258"/>
      <c r="AE34" s="258"/>
      <c r="AF34" s="258"/>
      <c r="AG34" s="258"/>
      <c r="AH34" s="259"/>
      <c r="AI34" s="259">
        <v>391409</v>
      </c>
      <c r="AJ34" s="237">
        <v>11897</v>
      </c>
    </row>
    <row r="35" spans="1:37">
      <c r="A35" s="230">
        <v>4</v>
      </c>
      <c r="B35" s="230" t="s">
        <v>129</v>
      </c>
      <c r="C35" s="141" t="s">
        <v>126</v>
      </c>
      <c r="D35" s="256">
        <v>412336</v>
      </c>
      <c r="E35" s="258"/>
      <c r="F35" s="258"/>
      <c r="G35" s="258"/>
      <c r="H35" s="258"/>
      <c r="I35" s="258"/>
      <c r="J35" s="258"/>
      <c r="K35" s="258"/>
      <c r="L35" s="258"/>
      <c r="M35" s="258"/>
      <c r="N35" s="258"/>
      <c r="O35" s="258"/>
      <c r="P35" s="260"/>
      <c r="Q35" s="258"/>
      <c r="R35" s="258"/>
      <c r="S35" s="258"/>
      <c r="T35" s="258"/>
      <c r="U35" s="258"/>
      <c r="V35" s="258"/>
      <c r="W35" s="258"/>
      <c r="X35" s="258"/>
      <c r="Y35" s="258"/>
      <c r="Z35" s="258"/>
      <c r="AA35" s="258"/>
      <c r="AB35" s="258"/>
      <c r="AC35" s="258"/>
      <c r="AD35" s="258"/>
      <c r="AE35" s="258"/>
      <c r="AF35" s="258"/>
      <c r="AG35" s="258"/>
      <c r="AH35" s="259"/>
      <c r="AI35" s="259">
        <v>421615</v>
      </c>
      <c r="AJ35" s="237">
        <v>9279</v>
      </c>
    </row>
    <row r="36" spans="1:37">
      <c r="E36" s="261"/>
      <c r="AC36" s="262"/>
      <c r="AJ36" s="263">
        <f>SUM(AJ32:AJ35)</f>
        <v>35316</v>
      </c>
      <c r="AK36" s="143">
        <f>AJ36*40%</f>
        <v>14126.400000000001</v>
      </c>
    </row>
    <row r="37" spans="1:37">
      <c r="A37" s="264"/>
      <c r="B37" s="265"/>
      <c r="C37" s="144"/>
      <c r="D37" s="266"/>
      <c r="E37" s="264"/>
      <c r="F37" s="264"/>
      <c r="G37" s="264"/>
      <c r="H37" s="264"/>
      <c r="I37" s="264"/>
      <c r="J37" s="264"/>
      <c r="K37" s="264"/>
      <c r="L37" s="264"/>
      <c r="M37" s="264"/>
      <c r="N37" s="264"/>
      <c r="O37" s="264"/>
      <c r="P37" s="264"/>
      <c r="Q37" s="264"/>
      <c r="R37" s="264"/>
      <c r="S37" s="264"/>
      <c r="T37" s="264"/>
      <c r="U37" s="264"/>
      <c r="V37" s="264"/>
      <c r="W37" s="264"/>
      <c r="X37" s="264"/>
      <c r="Y37" s="264"/>
      <c r="Z37" s="264"/>
      <c r="AA37" s="264"/>
      <c r="AB37" s="264"/>
      <c r="AC37" s="264"/>
      <c r="AD37" s="264"/>
      <c r="AE37" s="264"/>
      <c r="AF37" s="264"/>
      <c r="AG37" s="264"/>
      <c r="AH37" s="264"/>
      <c r="AI37" s="264"/>
      <c r="AJ37" s="264"/>
    </row>
    <row r="38" spans="1:37" ht="14.5" customHeight="1">
      <c r="A38" s="267"/>
      <c r="B38" s="592" t="s">
        <v>127</v>
      </c>
      <c r="C38" s="504"/>
      <c r="D38" s="501"/>
      <c r="E38" s="267"/>
      <c r="F38" s="267"/>
      <c r="G38" s="267"/>
      <c r="H38" s="267"/>
      <c r="I38" s="267"/>
      <c r="J38" s="267"/>
      <c r="K38" s="267"/>
      <c r="L38" s="267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267"/>
      <c r="AE38" s="267"/>
      <c r="AF38" s="267"/>
      <c r="AG38" s="267"/>
      <c r="AH38" s="267"/>
      <c r="AI38" s="267"/>
      <c r="AJ38" s="267"/>
    </row>
    <row r="39" spans="1:37" ht="14.5" customHeight="1">
      <c r="A39" s="268"/>
      <c r="B39" s="594" t="s">
        <v>128</v>
      </c>
      <c r="C39" s="504"/>
      <c r="D39" s="501"/>
      <c r="E39" s="268"/>
      <c r="F39" s="268"/>
      <c r="G39" s="268"/>
      <c r="H39" s="268"/>
      <c r="I39" s="268"/>
      <c r="J39" s="268"/>
      <c r="K39" s="268"/>
      <c r="L39" s="268"/>
      <c r="M39" s="268"/>
      <c r="N39" s="268"/>
      <c r="O39" s="268"/>
      <c r="P39" s="268"/>
      <c r="Q39" s="268"/>
      <c r="R39" s="268"/>
      <c r="S39" s="268"/>
      <c r="T39" s="268"/>
      <c r="U39" s="268"/>
      <c r="V39" s="268"/>
      <c r="W39" s="268"/>
      <c r="X39" s="268"/>
      <c r="Y39" s="268"/>
      <c r="Z39" s="268"/>
      <c r="AA39" s="268"/>
      <c r="AB39" s="268"/>
      <c r="AC39" s="268"/>
      <c r="AD39" s="268"/>
      <c r="AE39" s="268"/>
      <c r="AF39" s="268"/>
      <c r="AG39" s="268"/>
      <c r="AH39" s="268"/>
      <c r="AI39" s="268"/>
      <c r="AJ39" s="268"/>
    </row>
    <row r="40" spans="1:37">
      <c r="A40" s="583" t="s">
        <v>99</v>
      </c>
      <c r="B40" s="583" t="s">
        <v>100</v>
      </c>
      <c r="C40" s="583" t="s">
        <v>101</v>
      </c>
      <c r="D40" s="517"/>
      <c r="E40" s="269">
        <f t="shared" ref="E40:AH40" si="0">E2</f>
        <v>45992</v>
      </c>
      <c r="F40" s="269">
        <f t="shared" si="0"/>
        <v>45993</v>
      </c>
      <c r="G40" s="269">
        <f t="shared" si="0"/>
        <v>45994</v>
      </c>
      <c r="H40" s="269">
        <f t="shared" si="0"/>
        <v>45995</v>
      </c>
      <c r="I40" s="269">
        <f t="shared" si="0"/>
        <v>45996</v>
      </c>
      <c r="J40" s="269">
        <f t="shared" si="0"/>
        <v>45997</v>
      </c>
      <c r="K40" s="269">
        <f t="shared" si="0"/>
        <v>45998</v>
      </c>
      <c r="L40" s="269">
        <f t="shared" si="0"/>
        <v>45999</v>
      </c>
      <c r="M40" s="269">
        <f t="shared" si="0"/>
        <v>46000</v>
      </c>
      <c r="N40" s="269">
        <f t="shared" si="0"/>
        <v>46001</v>
      </c>
      <c r="O40" s="269">
        <f t="shared" si="0"/>
        <v>46002</v>
      </c>
      <c r="P40" s="269">
        <f t="shared" si="0"/>
        <v>46003</v>
      </c>
      <c r="Q40" s="269">
        <f t="shared" si="0"/>
        <v>46004</v>
      </c>
      <c r="R40" s="269">
        <f t="shared" si="0"/>
        <v>46005</v>
      </c>
      <c r="S40" s="269">
        <f t="shared" si="0"/>
        <v>46006</v>
      </c>
      <c r="T40" s="269">
        <f t="shared" si="0"/>
        <v>46007</v>
      </c>
      <c r="U40" s="269">
        <f t="shared" si="0"/>
        <v>46008</v>
      </c>
      <c r="V40" s="269">
        <f t="shared" si="0"/>
        <v>46009</v>
      </c>
      <c r="W40" s="269">
        <f t="shared" si="0"/>
        <v>46010</v>
      </c>
      <c r="X40" s="269">
        <f t="shared" si="0"/>
        <v>46011</v>
      </c>
      <c r="Y40" s="269">
        <f t="shared" si="0"/>
        <v>46012</v>
      </c>
      <c r="Z40" s="269">
        <f t="shared" si="0"/>
        <v>46013</v>
      </c>
      <c r="AA40" s="269">
        <f t="shared" si="0"/>
        <v>46014</v>
      </c>
      <c r="AB40" s="269">
        <f t="shared" si="0"/>
        <v>46015</v>
      </c>
      <c r="AC40" s="269">
        <f t="shared" si="0"/>
        <v>46016</v>
      </c>
      <c r="AD40" s="269">
        <f t="shared" si="0"/>
        <v>46017</v>
      </c>
      <c r="AE40" s="269">
        <f t="shared" si="0"/>
        <v>46018</v>
      </c>
      <c r="AF40" s="269">
        <f t="shared" si="0"/>
        <v>46019</v>
      </c>
      <c r="AG40" s="269">
        <f t="shared" si="0"/>
        <v>46020</v>
      </c>
      <c r="AH40" s="269">
        <f t="shared" si="0"/>
        <v>46021</v>
      </c>
      <c r="AI40" s="224">
        <v>46022</v>
      </c>
      <c r="AJ40" s="583" t="s">
        <v>1</v>
      </c>
    </row>
    <row r="41" spans="1:37">
      <c r="A41" s="508"/>
      <c r="B41" s="508"/>
      <c r="C41" s="518"/>
      <c r="D41" s="519"/>
      <c r="E41" s="225" t="s">
        <v>106</v>
      </c>
      <c r="F41" s="225" t="s">
        <v>107</v>
      </c>
      <c r="G41" s="225" t="s">
        <v>108</v>
      </c>
      <c r="H41" s="225" t="s">
        <v>109</v>
      </c>
      <c r="I41" s="225" t="s">
        <v>103</v>
      </c>
      <c r="J41" s="225" t="s">
        <v>104</v>
      </c>
      <c r="K41" s="225" t="s">
        <v>105</v>
      </c>
      <c r="L41" s="225" t="s">
        <v>106</v>
      </c>
      <c r="M41" s="225" t="s">
        <v>107</v>
      </c>
      <c r="N41" s="225" t="s">
        <v>108</v>
      </c>
      <c r="O41" s="225" t="s">
        <v>109</v>
      </c>
      <c r="P41" s="225" t="s">
        <v>103</v>
      </c>
      <c r="Q41" s="225" t="s">
        <v>104</v>
      </c>
      <c r="R41" s="225" t="s">
        <v>105</v>
      </c>
      <c r="S41" s="225" t="s">
        <v>106</v>
      </c>
      <c r="T41" s="225" t="s">
        <v>107</v>
      </c>
      <c r="U41" s="225" t="s">
        <v>108</v>
      </c>
      <c r="V41" s="225" t="s">
        <v>109</v>
      </c>
      <c r="W41" s="225" t="s">
        <v>103</v>
      </c>
      <c r="X41" s="225" t="s">
        <v>104</v>
      </c>
      <c r="Y41" s="225" t="s">
        <v>105</v>
      </c>
      <c r="Z41" s="225" t="s">
        <v>106</v>
      </c>
      <c r="AA41" s="225" t="s">
        <v>107</v>
      </c>
      <c r="AB41" s="225" t="s">
        <v>108</v>
      </c>
      <c r="AC41" s="225" t="s">
        <v>109</v>
      </c>
      <c r="AD41" s="225" t="s">
        <v>103</v>
      </c>
      <c r="AE41" s="225" t="s">
        <v>104</v>
      </c>
      <c r="AF41" s="225" t="s">
        <v>105</v>
      </c>
      <c r="AG41" s="225" t="s">
        <v>106</v>
      </c>
      <c r="AH41" s="225" t="s">
        <v>107</v>
      </c>
      <c r="AI41" s="225" t="s">
        <v>108</v>
      </c>
      <c r="AJ41" s="508"/>
    </row>
    <row r="42" spans="1:37">
      <c r="A42" s="508"/>
      <c r="B42" s="508"/>
      <c r="C42" s="518"/>
      <c r="D42" s="519"/>
      <c r="E42" s="270" t="s">
        <v>110</v>
      </c>
      <c r="F42" s="270" t="s">
        <v>110</v>
      </c>
      <c r="G42" s="270" t="s">
        <v>110</v>
      </c>
      <c r="H42" s="270" t="s">
        <v>110</v>
      </c>
      <c r="I42" s="270" t="s">
        <v>110</v>
      </c>
      <c r="J42" s="270" t="s">
        <v>110</v>
      </c>
      <c r="K42" s="270" t="s">
        <v>110</v>
      </c>
      <c r="L42" s="270" t="s">
        <v>110</v>
      </c>
      <c r="M42" s="270" t="s">
        <v>110</v>
      </c>
      <c r="N42" s="270" t="s">
        <v>110</v>
      </c>
      <c r="O42" s="270" t="s">
        <v>110</v>
      </c>
      <c r="P42" s="270" t="s">
        <v>110</v>
      </c>
      <c r="Q42" s="270" t="s">
        <v>110</v>
      </c>
      <c r="R42" s="270" t="s">
        <v>110</v>
      </c>
      <c r="S42" s="270" t="s">
        <v>110</v>
      </c>
      <c r="T42" s="270" t="s">
        <v>110</v>
      </c>
      <c r="U42" s="270" t="s">
        <v>110</v>
      </c>
      <c r="V42" s="270" t="s">
        <v>110</v>
      </c>
      <c r="W42" s="270" t="s">
        <v>110</v>
      </c>
      <c r="X42" s="270" t="s">
        <v>110</v>
      </c>
      <c r="Y42" s="270" t="s">
        <v>110</v>
      </c>
      <c r="Z42" s="270" t="s">
        <v>110</v>
      </c>
      <c r="AA42" s="270" t="s">
        <v>110</v>
      </c>
      <c r="AB42" s="270" t="s">
        <v>110</v>
      </c>
      <c r="AC42" s="270" t="s">
        <v>110</v>
      </c>
      <c r="AD42" s="270" t="s">
        <v>110</v>
      </c>
      <c r="AE42" s="270" t="s">
        <v>110</v>
      </c>
      <c r="AF42" s="270" t="s">
        <v>110</v>
      </c>
      <c r="AG42" s="270" t="s">
        <v>110</v>
      </c>
      <c r="AH42" s="269" t="str">
        <f>AH4</f>
        <v>Time</v>
      </c>
      <c r="AI42" s="226" t="s">
        <v>110</v>
      </c>
      <c r="AJ42" s="508"/>
    </row>
    <row r="43" spans="1:37">
      <c r="A43" s="509"/>
      <c r="B43" s="509"/>
      <c r="C43" s="520"/>
      <c r="D43" s="521"/>
      <c r="E43" s="271">
        <v>0.33333333333333331</v>
      </c>
      <c r="F43" s="271">
        <v>0.33333333333333331</v>
      </c>
      <c r="G43" s="271">
        <v>0.33333333333333331</v>
      </c>
      <c r="H43" s="271">
        <v>0.33333333333333331</v>
      </c>
      <c r="I43" s="271">
        <v>0.33333333333333331</v>
      </c>
      <c r="J43" s="271">
        <v>0.33333333333333331</v>
      </c>
      <c r="K43" s="271">
        <v>0.33333333333333331</v>
      </c>
      <c r="L43" s="271">
        <v>0.33333333333333331</v>
      </c>
      <c r="M43" s="271">
        <v>0.33333333333333331</v>
      </c>
      <c r="N43" s="271">
        <v>0.33333333333333331</v>
      </c>
      <c r="O43" s="271">
        <v>0.33333333333333331</v>
      </c>
      <c r="P43" s="271">
        <v>0.33333333333333331</v>
      </c>
      <c r="Q43" s="271">
        <v>0.33333333333333331</v>
      </c>
      <c r="R43" s="271">
        <v>0.33333333333333331</v>
      </c>
      <c r="S43" s="271">
        <v>0.33333333333333331</v>
      </c>
      <c r="T43" s="271">
        <v>0.33333333333333331</v>
      </c>
      <c r="U43" s="271">
        <v>0.33333333333333331</v>
      </c>
      <c r="V43" s="271">
        <v>0.33333333333333331</v>
      </c>
      <c r="W43" s="271">
        <v>0.33333333333333331</v>
      </c>
      <c r="X43" s="271">
        <v>0.33333333333333331</v>
      </c>
      <c r="Y43" s="271">
        <v>0.33333333333333331</v>
      </c>
      <c r="Z43" s="271">
        <v>0.33333333333333331</v>
      </c>
      <c r="AA43" s="271">
        <v>0.33333333333333331</v>
      </c>
      <c r="AB43" s="271">
        <v>0.33333333333333331</v>
      </c>
      <c r="AC43" s="271">
        <v>0.33333333333333331</v>
      </c>
      <c r="AD43" s="271">
        <v>0.33333333333333331</v>
      </c>
      <c r="AE43" s="271">
        <v>0.33333333333333331</v>
      </c>
      <c r="AF43" s="271">
        <v>0.33333333333333331</v>
      </c>
      <c r="AG43" s="271">
        <v>0.33333333333333331</v>
      </c>
      <c r="AH43" s="271">
        <v>0.33333333333333331</v>
      </c>
      <c r="AI43" s="227">
        <v>0.33333333333333331</v>
      </c>
      <c r="AJ43" s="509"/>
    </row>
    <row r="44" spans="1:37" ht="13.5" customHeight="1">
      <c r="A44" s="230">
        <v>1</v>
      </c>
      <c r="B44" s="230" t="s">
        <v>129</v>
      </c>
      <c r="C44" s="587" t="s">
        <v>111</v>
      </c>
      <c r="D44" s="501"/>
      <c r="E44" s="272">
        <f t="shared" ref="E44:AH44" si="1">E6-D6</f>
        <v>-160014</v>
      </c>
      <c r="F44" s="272">
        <f t="shared" si="1"/>
        <v>0</v>
      </c>
      <c r="G44" s="272">
        <f t="shared" si="1"/>
        <v>0</v>
      </c>
      <c r="H44" s="272">
        <f t="shared" si="1"/>
        <v>0</v>
      </c>
      <c r="I44" s="272">
        <f t="shared" si="1"/>
        <v>0</v>
      </c>
      <c r="J44" s="272">
        <f t="shared" si="1"/>
        <v>0</v>
      </c>
      <c r="K44" s="272">
        <f t="shared" si="1"/>
        <v>0</v>
      </c>
      <c r="L44" s="272">
        <f t="shared" si="1"/>
        <v>0</v>
      </c>
      <c r="M44" s="272">
        <f t="shared" si="1"/>
        <v>0</v>
      </c>
      <c r="N44" s="272">
        <f t="shared" si="1"/>
        <v>0</v>
      </c>
      <c r="O44" s="272">
        <f t="shared" si="1"/>
        <v>0</v>
      </c>
      <c r="P44" s="272">
        <f t="shared" si="1"/>
        <v>0</v>
      </c>
      <c r="Q44" s="272">
        <f t="shared" si="1"/>
        <v>0</v>
      </c>
      <c r="R44" s="272">
        <f t="shared" si="1"/>
        <v>0</v>
      </c>
      <c r="S44" s="272">
        <f t="shared" si="1"/>
        <v>0</v>
      </c>
      <c r="T44" s="272">
        <f t="shared" si="1"/>
        <v>0</v>
      </c>
      <c r="U44" s="272">
        <f t="shared" si="1"/>
        <v>0</v>
      </c>
      <c r="V44" s="272">
        <f t="shared" si="1"/>
        <v>0</v>
      </c>
      <c r="W44" s="272">
        <f t="shared" si="1"/>
        <v>0</v>
      </c>
      <c r="X44" s="272">
        <f t="shared" si="1"/>
        <v>0</v>
      </c>
      <c r="Y44" s="272">
        <f t="shared" si="1"/>
        <v>0</v>
      </c>
      <c r="Z44" s="272">
        <f t="shared" si="1"/>
        <v>0</v>
      </c>
      <c r="AA44" s="272">
        <f t="shared" si="1"/>
        <v>0</v>
      </c>
      <c r="AB44" s="272">
        <f t="shared" si="1"/>
        <v>0</v>
      </c>
      <c r="AC44" s="272">
        <f t="shared" si="1"/>
        <v>0</v>
      </c>
      <c r="AD44" s="272">
        <f t="shared" si="1"/>
        <v>0</v>
      </c>
      <c r="AE44" s="272">
        <f t="shared" si="1"/>
        <v>0</v>
      </c>
      <c r="AF44" s="272">
        <f t="shared" si="1"/>
        <v>0</v>
      </c>
      <c r="AG44" s="272">
        <f t="shared" si="1"/>
        <v>0</v>
      </c>
      <c r="AH44" s="272">
        <f t="shared" si="1"/>
        <v>0</v>
      </c>
      <c r="AI44" s="272">
        <f t="shared" ref="AI44:AI59" si="2">AI6-D6</f>
        <v>7204</v>
      </c>
      <c r="AJ44" s="273">
        <f t="shared" ref="AJ44:AJ61" si="3">SUM(E44:AI44)</f>
        <v>-152810</v>
      </c>
    </row>
    <row r="45" spans="1:37" ht="13.5" customHeight="1">
      <c r="A45" s="230"/>
      <c r="B45" s="230"/>
      <c r="C45" s="584" t="s">
        <v>22</v>
      </c>
      <c r="D45" s="501"/>
      <c r="E45" s="272">
        <f t="shared" ref="E45:AH45" si="4">E7-D7</f>
        <v>-4279</v>
      </c>
      <c r="F45" s="272">
        <f t="shared" si="4"/>
        <v>0</v>
      </c>
      <c r="G45" s="272">
        <f t="shared" si="4"/>
        <v>0</v>
      </c>
      <c r="H45" s="272">
        <f t="shared" si="4"/>
        <v>0</v>
      </c>
      <c r="I45" s="272">
        <f t="shared" si="4"/>
        <v>0</v>
      </c>
      <c r="J45" s="272">
        <f t="shared" si="4"/>
        <v>0</v>
      </c>
      <c r="K45" s="272">
        <f t="shared" si="4"/>
        <v>0</v>
      </c>
      <c r="L45" s="272">
        <f t="shared" si="4"/>
        <v>0</v>
      </c>
      <c r="M45" s="272">
        <f t="shared" si="4"/>
        <v>0</v>
      </c>
      <c r="N45" s="272">
        <f t="shared" si="4"/>
        <v>0</v>
      </c>
      <c r="O45" s="272">
        <f t="shared" si="4"/>
        <v>0</v>
      </c>
      <c r="P45" s="272">
        <f t="shared" si="4"/>
        <v>0</v>
      </c>
      <c r="Q45" s="272">
        <f t="shared" si="4"/>
        <v>0</v>
      </c>
      <c r="R45" s="272">
        <f t="shared" si="4"/>
        <v>0</v>
      </c>
      <c r="S45" s="272">
        <f t="shared" si="4"/>
        <v>0</v>
      </c>
      <c r="T45" s="272">
        <f t="shared" si="4"/>
        <v>0</v>
      </c>
      <c r="U45" s="272">
        <f t="shared" si="4"/>
        <v>0</v>
      </c>
      <c r="V45" s="272">
        <f t="shared" si="4"/>
        <v>0</v>
      </c>
      <c r="W45" s="272">
        <f t="shared" si="4"/>
        <v>0</v>
      </c>
      <c r="X45" s="272">
        <f t="shared" si="4"/>
        <v>0</v>
      </c>
      <c r="Y45" s="272">
        <f t="shared" si="4"/>
        <v>0</v>
      </c>
      <c r="Z45" s="272">
        <f t="shared" si="4"/>
        <v>0</v>
      </c>
      <c r="AA45" s="272">
        <f t="shared" si="4"/>
        <v>0</v>
      </c>
      <c r="AB45" s="272">
        <f t="shared" si="4"/>
        <v>0</v>
      </c>
      <c r="AC45" s="272">
        <f t="shared" si="4"/>
        <v>0</v>
      </c>
      <c r="AD45" s="272">
        <f t="shared" si="4"/>
        <v>0</v>
      </c>
      <c r="AE45" s="272">
        <f t="shared" si="4"/>
        <v>0</v>
      </c>
      <c r="AF45" s="272">
        <f t="shared" si="4"/>
        <v>0</v>
      </c>
      <c r="AG45" s="272">
        <f t="shared" si="4"/>
        <v>0</v>
      </c>
      <c r="AH45" s="272">
        <f t="shared" si="4"/>
        <v>0</v>
      </c>
      <c r="AI45" s="272">
        <f t="shared" si="2"/>
        <v>2</v>
      </c>
      <c r="AJ45" s="273">
        <f t="shared" si="3"/>
        <v>-4277</v>
      </c>
    </row>
    <row r="46" spans="1:37" ht="13.5" customHeight="1">
      <c r="A46" s="230">
        <v>2</v>
      </c>
      <c r="B46" s="230" t="s">
        <v>129</v>
      </c>
      <c r="C46" s="587" t="s">
        <v>112</v>
      </c>
      <c r="D46" s="501"/>
      <c r="E46" s="272">
        <f t="shared" ref="E46:AH46" si="5">E8-D8</f>
        <v>-1956</v>
      </c>
      <c r="F46" s="272">
        <f t="shared" si="5"/>
        <v>0</v>
      </c>
      <c r="G46" s="272">
        <f t="shared" si="5"/>
        <v>0</v>
      </c>
      <c r="H46" s="272">
        <f t="shared" si="5"/>
        <v>0</v>
      </c>
      <c r="I46" s="272">
        <f t="shared" si="5"/>
        <v>0</v>
      </c>
      <c r="J46" s="272">
        <f t="shared" si="5"/>
        <v>0</v>
      </c>
      <c r="K46" s="272">
        <f t="shared" si="5"/>
        <v>0</v>
      </c>
      <c r="L46" s="272">
        <f t="shared" si="5"/>
        <v>0</v>
      </c>
      <c r="M46" s="272">
        <f t="shared" si="5"/>
        <v>0</v>
      </c>
      <c r="N46" s="272">
        <f t="shared" si="5"/>
        <v>0</v>
      </c>
      <c r="O46" s="272">
        <f t="shared" si="5"/>
        <v>0</v>
      </c>
      <c r="P46" s="272">
        <f t="shared" si="5"/>
        <v>0</v>
      </c>
      <c r="Q46" s="272">
        <f t="shared" si="5"/>
        <v>0</v>
      </c>
      <c r="R46" s="272">
        <f t="shared" si="5"/>
        <v>0</v>
      </c>
      <c r="S46" s="272">
        <f t="shared" si="5"/>
        <v>0</v>
      </c>
      <c r="T46" s="272">
        <f t="shared" si="5"/>
        <v>0</v>
      </c>
      <c r="U46" s="272">
        <f t="shared" si="5"/>
        <v>0</v>
      </c>
      <c r="V46" s="272">
        <f t="shared" si="5"/>
        <v>0</v>
      </c>
      <c r="W46" s="272">
        <f t="shared" si="5"/>
        <v>0</v>
      </c>
      <c r="X46" s="272">
        <f t="shared" si="5"/>
        <v>0</v>
      </c>
      <c r="Y46" s="272">
        <f t="shared" si="5"/>
        <v>0</v>
      </c>
      <c r="Z46" s="272">
        <f t="shared" si="5"/>
        <v>0</v>
      </c>
      <c r="AA46" s="272">
        <f t="shared" si="5"/>
        <v>0</v>
      </c>
      <c r="AB46" s="272">
        <f t="shared" si="5"/>
        <v>0</v>
      </c>
      <c r="AC46" s="272">
        <f t="shared" si="5"/>
        <v>0</v>
      </c>
      <c r="AD46" s="272">
        <f t="shared" si="5"/>
        <v>0</v>
      </c>
      <c r="AE46" s="272">
        <f t="shared" si="5"/>
        <v>0</v>
      </c>
      <c r="AF46" s="272">
        <f t="shared" si="5"/>
        <v>0</v>
      </c>
      <c r="AG46" s="272">
        <f t="shared" si="5"/>
        <v>0</v>
      </c>
      <c r="AH46" s="272">
        <f t="shared" si="5"/>
        <v>0</v>
      </c>
      <c r="AI46" s="272">
        <f t="shared" si="2"/>
        <v>0</v>
      </c>
      <c r="AJ46" s="273">
        <f t="shared" si="3"/>
        <v>-1956</v>
      </c>
    </row>
    <row r="47" spans="1:37" ht="13.5" customHeight="1">
      <c r="A47" s="230"/>
      <c r="B47" s="230"/>
      <c r="C47" s="584" t="s">
        <v>22</v>
      </c>
      <c r="D47" s="501"/>
      <c r="E47" s="272">
        <f t="shared" ref="E47:AH47" si="6">E9-D9</f>
        <v>-28.6</v>
      </c>
      <c r="F47" s="272">
        <f t="shared" si="6"/>
        <v>0</v>
      </c>
      <c r="G47" s="272">
        <f t="shared" si="6"/>
        <v>0</v>
      </c>
      <c r="H47" s="272">
        <f t="shared" si="6"/>
        <v>0</v>
      </c>
      <c r="I47" s="272">
        <f t="shared" si="6"/>
        <v>0</v>
      </c>
      <c r="J47" s="272">
        <f t="shared" si="6"/>
        <v>0</v>
      </c>
      <c r="K47" s="272">
        <f t="shared" si="6"/>
        <v>0</v>
      </c>
      <c r="L47" s="272">
        <f t="shared" si="6"/>
        <v>0</v>
      </c>
      <c r="M47" s="272">
        <f t="shared" si="6"/>
        <v>0</v>
      </c>
      <c r="N47" s="272">
        <f t="shared" si="6"/>
        <v>0</v>
      </c>
      <c r="O47" s="272">
        <f t="shared" si="6"/>
        <v>0</v>
      </c>
      <c r="P47" s="272">
        <f t="shared" si="6"/>
        <v>0</v>
      </c>
      <c r="Q47" s="272">
        <f t="shared" si="6"/>
        <v>0</v>
      </c>
      <c r="R47" s="272">
        <f t="shared" si="6"/>
        <v>0</v>
      </c>
      <c r="S47" s="272">
        <f t="shared" si="6"/>
        <v>0</v>
      </c>
      <c r="T47" s="272">
        <f t="shared" si="6"/>
        <v>0</v>
      </c>
      <c r="U47" s="272">
        <f t="shared" si="6"/>
        <v>0</v>
      </c>
      <c r="V47" s="272">
        <f t="shared" si="6"/>
        <v>0</v>
      </c>
      <c r="W47" s="272">
        <f t="shared" si="6"/>
        <v>0</v>
      </c>
      <c r="X47" s="272">
        <f t="shared" si="6"/>
        <v>0</v>
      </c>
      <c r="Y47" s="272">
        <f t="shared" si="6"/>
        <v>0</v>
      </c>
      <c r="Z47" s="272">
        <f t="shared" si="6"/>
        <v>0</v>
      </c>
      <c r="AA47" s="272">
        <f t="shared" si="6"/>
        <v>0</v>
      </c>
      <c r="AB47" s="272">
        <f t="shared" si="6"/>
        <v>0</v>
      </c>
      <c r="AC47" s="272">
        <f t="shared" si="6"/>
        <v>0</v>
      </c>
      <c r="AD47" s="272">
        <f t="shared" si="6"/>
        <v>0</v>
      </c>
      <c r="AE47" s="272">
        <f t="shared" si="6"/>
        <v>0</v>
      </c>
      <c r="AF47" s="272">
        <f t="shared" si="6"/>
        <v>0</v>
      </c>
      <c r="AG47" s="272">
        <f t="shared" si="6"/>
        <v>0</v>
      </c>
      <c r="AH47" s="272">
        <f t="shared" si="6"/>
        <v>0</v>
      </c>
      <c r="AI47" s="272">
        <f t="shared" si="2"/>
        <v>0</v>
      </c>
      <c r="AJ47" s="273">
        <f t="shared" si="3"/>
        <v>-28.6</v>
      </c>
    </row>
    <row r="48" spans="1:37" ht="13.5" customHeight="1">
      <c r="A48" s="230">
        <v>3</v>
      </c>
      <c r="B48" s="230" t="s">
        <v>129</v>
      </c>
      <c r="C48" s="587" t="s">
        <v>113</v>
      </c>
      <c r="D48" s="501"/>
      <c r="E48" s="272">
        <f t="shared" ref="E48:AH48" si="7">E10-D10</f>
        <v>-232941</v>
      </c>
      <c r="F48" s="272">
        <f t="shared" si="7"/>
        <v>0</v>
      </c>
      <c r="G48" s="272">
        <f t="shared" si="7"/>
        <v>0</v>
      </c>
      <c r="H48" s="272">
        <f t="shared" si="7"/>
        <v>0</v>
      </c>
      <c r="I48" s="272">
        <f t="shared" si="7"/>
        <v>0</v>
      </c>
      <c r="J48" s="272">
        <f t="shared" si="7"/>
        <v>0</v>
      </c>
      <c r="K48" s="272">
        <f t="shared" si="7"/>
        <v>0</v>
      </c>
      <c r="L48" s="272">
        <f t="shared" si="7"/>
        <v>0</v>
      </c>
      <c r="M48" s="272">
        <f t="shared" si="7"/>
        <v>0</v>
      </c>
      <c r="N48" s="272">
        <f t="shared" si="7"/>
        <v>0</v>
      </c>
      <c r="O48" s="272">
        <f t="shared" si="7"/>
        <v>0</v>
      </c>
      <c r="P48" s="272">
        <f t="shared" si="7"/>
        <v>0</v>
      </c>
      <c r="Q48" s="272">
        <f t="shared" si="7"/>
        <v>0</v>
      </c>
      <c r="R48" s="272">
        <f t="shared" si="7"/>
        <v>0</v>
      </c>
      <c r="S48" s="272">
        <f t="shared" si="7"/>
        <v>0</v>
      </c>
      <c r="T48" s="272">
        <f t="shared" si="7"/>
        <v>0</v>
      </c>
      <c r="U48" s="272">
        <f t="shared" si="7"/>
        <v>0</v>
      </c>
      <c r="V48" s="272">
        <f t="shared" si="7"/>
        <v>0</v>
      </c>
      <c r="W48" s="272">
        <f t="shared" si="7"/>
        <v>0</v>
      </c>
      <c r="X48" s="272">
        <f t="shared" si="7"/>
        <v>0</v>
      </c>
      <c r="Y48" s="272">
        <f t="shared" si="7"/>
        <v>0</v>
      </c>
      <c r="Z48" s="272">
        <f t="shared" si="7"/>
        <v>0</v>
      </c>
      <c r="AA48" s="272">
        <f t="shared" si="7"/>
        <v>0</v>
      </c>
      <c r="AB48" s="272">
        <f t="shared" si="7"/>
        <v>0</v>
      </c>
      <c r="AC48" s="272">
        <f t="shared" si="7"/>
        <v>0</v>
      </c>
      <c r="AD48" s="272">
        <f t="shared" si="7"/>
        <v>0</v>
      </c>
      <c r="AE48" s="272">
        <f t="shared" si="7"/>
        <v>0</v>
      </c>
      <c r="AF48" s="272">
        <f t="shared" si="7"/>
        <v>0</v>
      </c>
      <c r="AG48" s="272">
        <f t="shared" si="7"/>
        <v>0</v>
      </c>
      <c r="AH48" s="272">
        <f t="shared" si="7"/>
        <v>0</v>
      </c>
      <c r="AI48" s="272">
        <f t="shared" si="2"/>
        <v>10188</v>
      </c>
      <c r="AJ48" s="273">
        <f t="shared" si="3"/>
        <v>-222753</v>
      </c>
    </row>
    <row r="49" spans="1:36" ht="13.5" customHeight="1">
      <c r="A49" s="230"/>
      <c r="B49" s="230"/>
      <c r="C49" s="584" t="s">
        <v>22</v>
      </c>
      <c r="D49" s="501"/>
      <c r="E49" s="272">
        <f t="shared" ref="E49:AH49" si="8">E11-D11</f>
        <v>-6406</v>
      </c>
      <c r="F49" s="272">
        <f t="shared" si="8"/>
        <v>0</v>
      </c>
      <c r="G49" s="272">
        <f t="shared" si="8"/>
        <v>0</v>
      </c>
      <c r="H49" s="272">
        <f t="shared" si="8"/>
        <v>0</v>
      </c>
      <c r="I49" s="272">
        <f t="shared" si="8"/>
        <v>0</v>
      </c>
      <c r="J49" s="272">
        <f t="shared" si="8"/>
        <v>0</v>
      </c>
      <c r="K49" s="272">
        <f t="shared" si="8"/>
        <v>0</v>
      </c>
      <c r="L49" s="272">
        <f t="shared" si="8"/>
        <v>0</v>
      </c>
      <c r="M49" s="272">
        <f t="shared" si="8"/>
        <v>0</v>
      </c>
      <c r="N49" s="272">
        <f t="shared" si="8"/>
        <v>0</v>
      </c>
      <c r="O49" s="272">
        <f t="shared" si="8"/>
        <v>0</v>
      </c>
      <c r="P49" s="272">
        <f t="shared" si="8"/>
        <v>0</v>
      </c>
      <c r="Q49" s="272">
        <f t="shared" si="8"/>
        <v>0</v>
      </c>
      <c r="R49" s="272">
        <f t="shared" si="8"/>
        <v>0</v>
      </c>
      <c r="S49" s="272">
        <f t="shared" si="8"/>
        <v>0</v>
      </c>
      <c r="T49" s="272">
        <f t="shared" si="8"/>
        <v>0</v>
      </c>
      <c r="U49" s="272">
        <f t="shared" si="8"/>
        <v>0</v>
      </c>
      <c r="V49" s="272">
        <f t="shared" si="8"/>
        <v>0</v>
      </c>
      <c r="W49" s="272">
        <f t="shared" si="8"/>
        <v>0</v>
      </c>
      <c r="X49" s="272">
        <f t="shared" si="8"/>
        <v>0</v>
      </c>
      <c r="Y49" s="272">
        <f t="shared" si="8"/>
        <v>0</v>
      </c>
      <c r="Z49" s="272">
        <f t="shared" si="8"/>
        <v>0</v>
      </c>
      <c r="AA49" s="272">
        <f t="shared" si="8"/>
        <v>0</v>
      </c>
      <c r="AB49" s="272">
        <f t="shared" si="8"/>
        <v>0</v>
      </c>
      <c r="AC49" s="272">
        <f t="shared" si="8"/>
        <v>0</v>
      </c>
      <c r="AD49" s="272">
        <f t="shared" si="8"/>
        <v>0</v>
      </c>
      <c r="AE49" s="272">
        <f t="shared" si="8"/>
        <v>0</v>
      </c>
      <c r="AF49" s="272">
        <f t="shared" si="8"/>
        <v>0</v>
      </c>
      <c r="AG49" s="272">
        <f t="shared" si="8"/>
        <v>0</v>
      </c>
      <c r="AH49" s="272">
        <f t="shared" si="8"/>
        <v>0</v>
      </c>
      <c r="AI49" s="272">
        <f t="shared" si="2"/>
        <v>1</v>
      </c>
      <c r="AJ49" s="273">
        <f t="shared" si="3"/>
        <v>-6405</v>
      </c>
    </row>
    <row r="50" spans="1:36" ht="13.5" customHeight="1">
      <c r="A50" s="230">
        <v>4</v>
      </c>
      <c r="B50" s="230" t="s">
        <v>129</v>
      </c>
      <c r="C50" s="587" t="s">
        <v>114</v>
      </c>
      <c r="D50" s="501"/>
      <c r="E50" s="272">
        <f t="shared" ref="E50:AH50" si="9">E12-D12</f>
        <v>0</v>
      </c>
      <c r="F50" s="272">
        <f t="shared" si="9"/>
        <v>0</v>
      </c>
      <c r="G50" s="272">
        <f t="shared" si="9"/>
        <v>0</v>
      </c>
      <c r="H50" s="272">
        <f t="shared" si="9"/>
        <v>0</v>
      </c>
      <c r="I50" s="272">
        <f t="shared" si="9"/>
        <v>0</v>
      </c>
      <c r="J50" s="272">
        <f t="shared" si="9"/>
        <v>0</v>
      </c>
      <c r="K50" s="272">
        <f t="shared" si="9"/>
        <v>0</v>
      </c>
      <c r="L50" s="272">
        <f t="shared" si="9"/>
        <v>0</v>
      </c>
      <c r="M50" s="272">
        <f t="shared" si="9"/>
        <v>0</v>
      </c>
      <c r="N50" s="272">
        <f t="shared" si="9"/>
        <v>0</v>
      </c>
      <c r="O50" s="272">
        <f t="shared" si="9"/>
        <v>0</v>
      </c>
      <c r="P50" s="272">
        <f t="shared" si="9"/>
        <v>0</v>
      </c>
      <c r="Q50" s="272">
        <f t="shared" si="9"/>
        <v>0</v>
      </c>
      <c r="R50" s="272">
        <f t="shared" si="9"/>
        <v>0</v>
      </c>
      <c r="S50" s="272">
        <f t="shared" si="9"/>
        <v>0</v>
      </c>
      <c r="T50" s="272">
        <f t="shared" si="9"/>
        <v>0</v>
      </c>
      <c r="U50" s="272">
        <f t="shared" si="9"/>
        <v>0</v>
      </c>
      <c r="V50" s="272">
        <f t="shared" si="9"/>
        <v>0</v>
      </c>
      <c r="W50" s="272">
        <f t="shared" si="9"/>
        <v>0</v>
      </c>
      <c r="X50" s="272">
        <f t="shared" si="9"/>
        <v>0</v>
      </c>
      <c r="Y50" s="272">
        <f t="shared" si="9"/>
        <v>0</v>
      </c>
      <c r="Z50" s="272">
        <f t="shared" si="9"/>
        <v>0</v>
      </c>
      <c r="AA50" s="272">
        <f t="shared" si="9"/>
        <v>0</v>
      </c>
      <c r="AB50" s="272">
        <f t="shared" si="9"/>
        <v>0</v>
      </c>
      <c r="AC50" s="272">
        <f t="shared" si="9"/>
        <v>0</v>
      </c>
      <c r="AD50" s="272">
        <f t="shared" si="9"/>
        <v>0</v>
      </c>
      <c r="AE50" s="272">
        <f t="shared" si="9"/>
        <v>0</v>
      </c>
      <c r="AF50" s="272">
        <f t="shared" si="9"/>
        <v>0</v>
      </c>
      <c r="AG50" s="272">
        <f t="shared" si="9"/>
        <v>0</v>
      </c>
      <c r="AH50" s="272">
        <f t="shared" si="9"/>
        <v>0</v>
      </c>
      <c r="AI50" s="272">
        <f t="shared" si="2"/>
        <v>0</v>
      </c>
      <c r="AJ50" s="273">
        <f t="shared" si="3"/>
        <v>0</v>
      </c>
    </row>
    <row r="51" spans="1:36" ht="13.5" customHeight="1">
      <c r="A51" s="230"/>
      <c r="B51" s="230"/>
      <c r="C51" s="584" t="s">
        <v>22</v>
      </c>
      <c r="D51" s="501"/>
      <c r="E51" s="272">
        <f t="shared" ref="E51:AH51" si="10">E13-D13</f>
        <v>0</v>
      </c>
      <c r="F51" s="272">
        <f t="shared" si="10"/>
        <v>0</v>
      </c>
      <c r="G51" s="272">
        <f t="shared" si="10"/>
        <v>0</v>
      </c>
      <c r="H51" s="272">
        <f t="shared" si="10"/>
        <v>0</v>
      </c>
      <c r="I51" s="272">
        <f t="shared" si="10"/>
        <v>0</v>
      </c>
      <c r="J51" s="272">
        <f t="shared" si="10"/>
        <v>0</v>
      </c>
      <c r="K51" s="272">
        <f t="shared" si="10"/>
        <v>0</v>
      </c>
      <c r="L51" s="272">
        <f t="shared" si="10"/>
        <v>0</v>
      </c>
      <c r="M51" s="272">
        <f t="shared" si="10"/>
        <v>0</v>
      </c>
      <c r="N51" s="272">
        <f t="shared" si="10"/>
        <v>0</v>
      </c>
      <c r="O51" s="272">
        <f t="shared" si="10"/>
        <v>0</v>
      </c>
      <c r="P51" s="272">
        <f t="shared" si="10"/>
        <v>0</v>
      </c>
      <c r="Q51" s="272">
        <f t="shared" si="10"/>
        <v>0</v>
      </c>
      <c r="R51" s="272">
        <f t="shared" si="10"/>
        <v>0</v>
      </c>
      <c r="S51" s="272">
        <f t="shared" si="10"/>
        <v>0</v>
      </c>
      <c r="T51" s="272">
        <f t="shared" si="10"/>
        <v>0</v>
      </c>
      <c r="U51" s="272">
        <f t="shared" si="10"/>
        <v>0</v>
      </c>
      <c r="V51" s="272">
        <f t="shared" si="10"/>
        <v>0</v>
      </c>
      <c r="W51" s="272">
        <f t="shared" si="10"/>
        <v>0</v>
      </c>
      <c r="X51" s="272">
        <f t="shared" si="10"/>
        <v>0</v>
      </c>
      <c r="Y51" s="272">
        <f t="shared" si="10"/>
        <v>0</v>
      </c>
      <c r="Z51" s="272">
        <f t="shared" si="10"/>
        <v>0</v>
      </c>
      <c r="AA51" s="272">
        <f t="shared" si="10"/>
        <v>0</v>
      </c>
      <c r="AB51" s="272">
        <f t="shared" si="10"/>
        <v>0</v>
      </c>
      <c r="AC51" s="272">
        <f t="shared" si="10"/>
        <v>0</v>
      </c>
      <c r="AD51" s="272">
        <f t="shared" si="10"/>
        <v>0</v>
      </c>
      <c r="AE51" s="272">
        <f t="shared" si="10"/>
        <v>0</v>
      </c>
      <c r="AF51" s="272">
        <f t="shared" si="10"/>
        <v>0</v>
      </c>
      <c r="AG51" s="272">
        <f t="shared" si="10"/>
        <v>0</v>
      </c>
      <c r="AH51" s="272">
        <f t="shared" si="10"/>
        <v>0</v>
      </c>
      <c r="AI51" s="272">
        <f t="shared" si="2"/>
        <v>0</v>
      </c>
      <c r="AJ51" s="273">
        <f t="shared" si="3"/>
        <v>0</v>
      </c>
    </row>
    <row r="52" spans="1:36" ht="13.5" customHeight="1">
      <c r="A52" s="230">
        <v>5</v>
      </c>
      <c r="B52" s="230" t="s">
        <v>129</v>
      </c>
      <c r="C52" s="587" t="s">
        <v>115</v>
      </c>
      <c r="D52" s="501"/>
      <c r="E52" s="272">
        <f t="shared" ref="E52:AH52" si="11">E14-D14</f>
        <v>-117671</v>
      </c>
      <c r="F52" s="272">
        <f t="shared" si="11"/>
        <v>0</v>
      </c>
      <c r="G52" s="272">
        <f t="shared" si="11"/>
        <v>0</v>
      </c>
      <c r="H52" s="272">
        <f t="shared" si="11"/>
        <v>0</v>
      </c>
      <c r="I52" s="272">
        <f t="shared" si="11"/>
        <v>0</v>
      </c>
      <c r="J52" s="272">
        <f t="shared" si="11"/>
        <v>0</v>
      </c>
      <c r="K52" s="272">
        <f t="shared" si="11"/>
        <v>0</v>
      </c>
      <c r="L52" s="272">
        <f t="shared" si="11"/>
        <v>0</v>
      </c>
      <c r="M52" s="272">
        <f t="shared" si="11"/>
        <v>0</v>
      </c>
      <c r="N52" s="272">
        <f t="shared" si="11"/>
        <v>0</v>
      </c>
      <c r="O52" s="272">
        <f t="shared" si="11"/>
        <v>0</v>
      </c>
      <c r="P52" s="272">
        <f t="shared" si="11"/>
        <v>0</v>
      </c>
      <c r="Q52" s="272">
        <f t="shared" si="11"/>
        <v>0</v>
      </c>
      <c r="R52" s="272">
        <f t="shared" si="11"/>
        <v>0</v>
      </c>
      <c r="S52" s="272">
        <f t="shared" si="11"/>
        <v>0</v>
      </c>
      <c r="T52" s="272">
        <f t="shared" si="11"/>
        <v>0</v>
      </c>
      <c r="U52" s="272">
        <f t="shared" si="11"/>
        <v>0</v>
      </c>
      <c r="V52" s="272">
        <f t="shared" si="11"/>
        <v>0</v>
      </c>
      <c r="W52" s="272">
        <f t="shared" si="11"/>
        <v>0</v>
      </c>
      <c r="X52" s="272">
        <f t="shared" si="11"/>
        <v>0</v>
      </c>
      <c r="Y52" s="272">
        <f t="shared" si="11"/>
        <v>0</v>
      </c>
      <c r="Z52" s="272">
        <f t="shared" si="11"/>
        <v>0</v>
      </c>
      <c r="AA52" s="272">
        <f t="shared" si="11"/>
        <v>0</v>
      </c>
      <c r="AB52" s="272">
        <f t="shared" si="11"/>
        <v>0</v>
      </c>
      <c r="AC52" s="272">
        <f t="shared" si="11"/>
        <v>0</v>
      </c>
      <c r="AD52" s="272">
        <f t="shared" si="11"/>
        <v>0</v>
      </c>
      <c r="AE52" s="272">
        <f t="shared" si="11"/>
        <v>0</v>
      </c>
      <c r="AF52" s="272">
        <f t="shared" si="11"/>
        <v>0</v>
      </c>
      <c r="AG52" s="272">
        <f t="shared" si="11"/>
        <v>0</v>
      </c>
      <c r="AH52" s="272">
        <f t="shared" si="11"/>
        <v>0</v>
      </c>
      <c r="AI52" s="272">
        <f t="shared" si="2"/>
        <v>6664</v>
      </c>
      <c r="AJ52" s="273">
        <f t="shared" si="3"/>
        <v>-111007</v>
      </c>
    </row>
    <row r="53" spans="1:36" ht="13.5" customHeight="1">
      <c r="A53" s="230"/>
      <c r="B53" s="230"/>
      <c r="C53" s="584" t="s">
        <v>22</v>
      </c>
      <c r="D53" s="501"/>
      <c r="E53" s="272">
        <f t="shared" ref="E53:AH53" si="12">E15-D15</f>
        <v>-3277</v>
      </c>
      <c r="F53" s="272">
        <f t="shared" si="12"/>
        <v>0</v>
      </c>
      <c r="G53" s="272">
        <f t="shared" si="12"/>
        <v>0</v>
      </c>
      <c r="H53" s="272">
        <f t="shared" si="12"/>
        <v>0</v>
      </c>
      <c r="I53" s="272">
        <f t="shared" si="12"/>
        <v>0</v>
      </c>
      <c r="J53" s="272">
        <f t="shared" si="12"/>
        <v>0</v>
      </c>
      <c r="K53" s="272">
        <f t="shared" si="12"/>
        <v>0</v>
      </c>
      <c r="L53" s="272">
        <f t="shared" si="12"/>
        <v>0</v>
      </c>
      <c r="M53" s="272">
        <f t="shared" si="12"/>
        <v>0</v>
      </c>
      <c r="N53" s="272">
        <f t="shared" si="12"/>
        <v>0</v>
      </c>
      <c r="O53" s="272">
        <f t="shared" si="12"/>
        <v>0</v>
      </c>
      <c r="P53" s="272">
        <f t="shared" si="12"/>
        <v>0</v>
      </c>
      <c r="Q53" s="272">
        <f t="shared" si="12"/>
        <v>0</v>
      </c>
      <c r="R53" s="272">
        <f t="shared" si="12"/>
        <v>0</v>
      </c>
      <c r="S53" s="272">
        <f t="shared" si="12"/>
        <v>0</v>
      </c>
      <c r="T53" s="272">
        <f t="shared" si="12"/>
        <v>0</v>
      </c>
      <c r="U53" s="272">
        <f t="shared" si="12"/>
        <v>0</v>
      </c>
      <c r="V53" s="272">
        <f t="shared" si="12"/>
        <v>0</v>
      </c>
      <c r="W53" s="272">
        <f t="shared" si="12"/>
        <v>0</v>
      </c>
      <c r="X53" s="272">
        <f t="shared" si="12"/>
        <v>0</v>
      </c>
      <c r="Y53" s="272">
        <f t="shared" si="12"/>
        <v>0</v>
      </c>
      <c r="Z53" s="272">
        <f t="shared" si="12"/>
        <v>0</v>
      </c>
      <c r="AA53" s="272">
        <f t="shared" si="12"/>
        <v>0</v>
      </c>
      <c r="AB53" s="272">
        <f t="shared" si="12"/>
        <v>0</v>
      </c>
      <c r="AC53" s="272">
        <f t="shared" si="12"/>
        <v>0</v>
      </c>
      <c r="AD53" s="272">
        <f t="shared" si="12"/>
        <v>0</v>
      </c>
      <c r="AE53" s="272">
        <f t="shared" si="12"/>
        <v>0</v>
      </c>
      <c r="AF53" s="272">
        <f t="shared" si="12"/>
        <v>0</v>
      </c>
      <c r="AG53" s="272">
        <f t="shared" si="12"/>
        <v>0</v>
      </c>
      <c r="AH53" s="272">
        <f t="shared" si="12"/>
        <v>0</v>
      </c>
      <c r="AI53" s="272">
        <f t="shared" si="2"/>
        <v>1</v>
      </c>
      <c r="AJ53" s="273">
        <f t="shared" si="3"/>
        <v>-3276</v>
      </c>
    </row>
    <row r="54" spans="1:36" ht="13.5" customHeight="1">
      <c r="A54" s="230">
        <v>6</v>
      </c>
      <c r="B54" s="230" t="s">
        <v>129</v>
      </c>
      <c r="C54" s="587" t="s">
        <v>116</v>
      </c>
      <c r="D54" s="501"/>
      <c r="E54" s="272">
        <f t="shared" ref="E54:AH54" si="13">E16-D16</f>
        <v>-135314</v>
      </c>
      <c r="F54" s="272">
        <f t="shared" si="13"/>
        <v>0</v>
      </c>
      <c r="G54" s="272">
        <f t="shared" si="13"/>
        <v>0</v>
      </c>
      <c r="H54" s="272">
        <f t="shared" si="13"/>
        <v>0</v>
      </c>
      <c r="I54" s="272">
        <f t="shared" si="13"/>
        <v>0</v>
      </c>
      <c r="J54" s="272">
        <f t="shared" si="13"/>
        <v>0</v>
      </c>
      <c r="K54" s="272">
        <f t="shared" si="13"/>
        <v>0</v>
      </c>
      <c r="L54" s="272">
        <f t="shared" si="13"/>
        <v>0</v>
      </c>
      <c r="M54" s="272">
        <f t="shared" si="13"/>
        <v>0</v>
      </c>
      <c r="N54" s="272">
        <f t="shared" si="13"/>
        <v>0</v>
      </c>
      <c r="O54" s="272">
        <f t="shared" si="13"/>
        <v>0</v>
      </c>
      <c r="P54" s="272">
        <f t="shared" si="13"/>
        <v>0</v>
      </c>
      <c r="Q54" s="272">
        <f t="shared" si="13"/>
        <v>0</v>
      </c>
      <c r="R54" s="272">
        <f t="shared" si="13"/>
        <v>0</v>
      </c>
      <c r="S54" s="272">
        <f t="shared" si="13"/>
        <v>0</v>
      </c>
      <c r="T54" s="272">
        <f t="shared" si="13"/>
        <v>0</v>
      </c>
      <c r="U54" s="272">
        <f t="shared" si="13"/>
        <v>0</v>
      </c>
      <c r="V54" s="272">
        <f t="shared" si="13"/>
        <v>0</v>
      </c>
      <c r="W54" s="272">
        <f t="shared" si="13"/>
        <v>0</v>
      </c>
      <c r="X54" s="272">
        <f t="shared" si="13"/>
        <v>0</v>
      </c>
      <c r="Y54" s="272">
        <f t="shared" si="13"/>
        <v>0</v>
      </c>
      <c r="Z54" s="272">
        <f t="shared" si="13"/>
        <v>0</v>
      </c>
      <c r="AA54" s="272">
        <f t="shared" si="13"/>
        <v>0</v>
      </c>
      <c r="AB54" s="272">
        <f t="shared" si="13"/>
        <v>0</v>
      </c>
      <c r="AC54" s="272">
        <f t="shared" si="13"/>
        <v>0</v>
      </c>
      <c r="AD54" s="272">
        <f t="shared" si="13"/>
        <v>0</v>
      </c>
      <c r="AE54" s="272">
        <f t="shared" si="13"/>
        <v>0</v>
      </c>
      <c r="AF54" s="272">
        <f t="shared" si="13"/>
        <v>0</v>
      </c>
      <c r="AG54" s="272">
        <f t="shared" si="13"/>
        <v>0</v>
      </c>
      <c r="AH54" s="272">
        <f t="shared" si="13"/>
        <v>0</v>
      </c>
      <c r="AI54" s="272">
        <f t="shared" si="2"/>
        <v>6025</v>
      </c>
      <c r="AJ54" s="273">
        <f t="shared" si="3"/>
        <v>-129289</v>
      </c>
    </row>
    <row r="55" spans="1:36" ht="13.5" customHeight="1">
      <c r="A55" s="230"/>
      <c r="B55" s="230"/>
      <c r="C55" s="584" t="s">
        <v>22</v>
      </c>
      <c r="D55" s="501"/>
      <c r="E55" s="272">
        <f t="shared" ref="E55:AH55" si="14">E17-D17</f>
        <v>-4262</v>
      </c>
      <c r="F55" s="272">
        <f t="shared" si="14"/>
        <v>0</v>
      </c>
      <c r="G55" s="272">
        <f t="shared" si="14"/>
        <v>0</v>
      </c>
      <c r="H55" s="272">
        <f t="shared" si="14"/>
        <v>0</v>
      </c>
      <c r="I55" s="272">
        <f t="shared" si="14"/>
        <v>0</v>
      </c>
      <c r="J55" s="272">
        <f t="shared" si="14"/>
        <v>0</v>
      </c>
      <c r="K55" s="272">
        <f t="shared" si="14"/>
        <v>0</v>
      </c>
      <c r="L55" s="272">
        <f t="shared" si="14"/>
        <v>0</v>
      </c>
      <c r="M55" s="272">
        <f t="shared" si="14"/>
        <v>0</v>
      </c>
      <c r="N55" s="272">
        <f t="shared" si="14"/>
        <v>0</v>
      </c>
      <c r="O55" s="272">
        <f t="shared" si="14"/>
        <v>0</v>
      </c>
      <c r="P55" s="272">
        <f t="shared" si="14"/>
        <v>0</v>
      </c>
      <c r="Q55" s="272">
        <f t="shared" si="14"/>
        <v>0</v>
      </c>
      <c r="R55" s="272">
        <f t="shared" si="14"/>
        <v>0</v>
      </c>
      <c r="S55" s="272">
        <f t="shared" si="14"/>
        <v>0</v>
      </c>
      <c r="T55" s="272">
        <f t="shared" si="14"/>
        <v>0</v>
      </c>
      <c r="U55" s="272">
        <f t="shared" si="14"/>
        <v>0</v>
      </c>
      <c r="V55" s="272">
        <f t="shared" si="14"/>
        <v>0</v>
      </c>
      <c r="W55" s="272">
        <f t="shared" si="14"/>
        <v>0</v>
      </c>
      <c r="X55" s="272">
        <f t="shared" si="14"/>
        <v>0</v>
      </c>
      <c r="Y55" s="272">
        <f t="shared" si="14"/>
        <v>0</v>
      </c>
      <c r="Z55" s="272">
        <f t="shared" si="14"/>
        <v>0</v>
      </c>
      <c r="AA55" s="272">
        <f t="shared" si="14"/>
        <v>0</v>
      </c>
      <c r="AB55" s="272">
        <f t="shared" si="14"/>
        <v>0</v>
      </c>
      <c r="AC55" s="272">
        <f t="shared" si="14"/>
        <v>0</v>
      </c>
      <c r="AD55" s="272">
        <f t="shared" si="14"/>
        <v>0</v>
      </c>
      <c r="AE55" s="272">
        <f t="shared" si="14"/>
        <v>0</v>
      </c>
      <c r="AF55" s="272">
        <f t="shared" si="14"/>
        <v>0</v>
      </c>
      <c r="AG55" s="272">
        <f t="shared" si="14"/>
        <v>0</v>
      </c>
      <c r="AH55" s="272">
        <f t="shared" si="14"/>
        <v>0</v>
      </c>
      <c r="AI55" s="272">
        <f t="shared" si="2"/>
        <v>0</v>
      </c>
      <c r="AJ55" s="273">
        <f t="shared" si="3"/>
        <v>-4262</v>
      </c>
    </row>
    <row r="56" spans="1:36" ht="13.5" customHeight="1">
      <c r="A56" s="230">
        <v>7</v>
      </c>
      <c r="B56" s="230" t="s">
        <v>129</v>
      </c>
      <c r="C56" s="587" t="s">
        <v>117</v>
      </c>
      <c r="D56" s="501"/>
      <c r="E56" s="272">
        <f t="shared" ref="E56:AH56" si="15">E18-D18</f>
        <v>-442589</v>
      </c>
      <c r="F56" s="272">
        <f t="shared" si="15"/>
        <v>0</v>
      </c>
      <c r="G56" s="272">
        <f t="shared" si="15"/>
        <v>0</v>
      </c>
      <c r="H56" s="272">
        <f t="shared" si="15"/>
        <v>0</v>
      </c>
      <c r="I56" s="272">
        <f t="shared" si="15"/>
        <v>0</v>
      </c>
      <c r="J56" s="272">
        <f t="shared" si="15"/>
        <v>0</v>
      </c>
      <c r="K56" s="272">
        <f t="shared" si="15"/>
        <v>0</v>
      </c>
      <c r="L56" s="272">
        <f t="shared" si="15"/>
        <v>0</v>
      </c>
      <c r="M56" s="272">
        <f t="shared" si="15"/>
        <v>0</v>
      </c>
      <c r="N56" s="272">
        <f t="shared" si="15"/>
        <v>0</v>
      </c>
      <c r="O56" s="272">
        <f t="shared" si="15"/>
        <v>0</v>
      </c>
      <c r="P56" s="272">
        <f t="shared" si="15"/>
        <v>0</v>
      </c>
      <c r="Q56" s="272">
        <f t="shared" si="15"/>
        <v>0</v>
      </c>
      <c r="R56" s="272">
        <f t="shared" si="15"/>
        <v>0</v>
      </c>
      <c r="S56" s="272">
        <f t="shared" si="15"/>
        <v>0</v>
      </c>
      <c r="T56" s="272">
        <f t="shared" si="15"/>
        <v>0</v>
      </c>
      <c r="U56" s="272">
        <f t="shared" si="15"/>
        <v>0</v>
      </c>
      <c r="V56" s="272">
        <f t="shared" si="15"/>
        <v>0</v>
      </c>
      <c r="W56" s="272">
        <f t="shared" si="15"/>
        <v>0</v>
      </c>
      <c r="X56" s="272">
        <f t="shared" si="15"/>
        <v>0</v>
      </c>
      <c r="Y56" s="272">
        <f t="shared" si="15"/>
        <v>0</v>
      </c>
      <c r="Z56" s="272">
        <f t="shared" si="15"/>
        <v>0</v>
      </c>
      <c r="AA56" s="272">
        <f t="shared" si="15"/>
        <v>0</v>
      </c>
      <c r="AB56" s="272">
        <f t="shared" si="15"/>
        <v>0</v>
      </c>
      <c r="AC56" s="272">
        <f t="shared" si="15"/>
        <v>0</v>
      </c>
      <c r="AD56" s="272">
        <f t="shared" si="15"/>
        <v>0</v>
      </c>
      <c r="AE56" s="272">
        <f t="shared" si="15"/>
        <v>0</v>
      </c>
      <c r="AF56" s="272">
        <f t="shared" si="15"/>
        <v>0</v>
      </c>
      <c r="AG56" s="272">
        <f t="shared" si="15"/>
        <v>0</v>
      </c>
      <c r="AH56" s="272">
        <f t="shared" si="15"/>
        <v>0</v>
      </c>
      <c r="AI56" s="272">
        <f t="shared" si="2"/>
        <v>21777</v>
      </c>
      <c r="AJ56" s="273">
        <f t="shared" si="3"/>
        <v>-420812</v>
      </c>
    </row>
    <row r="57" spans="1:36" ht="13.5" customHeight="1">
      <c r="A57" s="230"/>
      <c r="B57" s="230"/>
      <c r="C57" s="584" t="s">
        <v>22</v>
      </c>
      <c r="D57" s="501"/>
      <c r="E57" s="272">
        <f t="shared" ref="E57:AH57" si="16">E19-D19</f>
        <v>-11604</v>
      </c>
      <c r="F57" s="272">
        <f t="shared" si="16"/>
        <v>0</v>
      </c>
      <c r="G57" s="272">
        <f t="shared" si="16"/>
        <v>0</v>
      </c>
      <c r="H57" s="272">
        <f t="shared" si="16"/>
        <v>0</v>
      </c>
      <c r="I57" s="272">
        <f t="shared" si="16"/>
        <v>0</v>
      </c>
      <c r="J57" s="272">
        <f t="shared" si="16"/>
        <v>0</v>
      </c>
      <c r="K57" s="272">
        <f t="shared" si="16"/>
        <v>0</v>
      </c>
      <c r="L57" s="272">
        <f t="shared" si="16"/>
        <v>0</v>
      </c>
      <c r="M57" s="272">
        <f t="shared" si="16"/>
        <v>0</v>
      </c>
      <c r="N57" s="272">
        <f t="shared" si="16"/>
        <v>0</v>
      </c>
      <c r="O57" s="272">
        <f t="shared" si="16"/>
        <v>0</v>
      </c>
      <c r="P57" s="272">
        <f t="shared" si="16"/>
        <v>0</v>
      </c>
      <c r="Q57" s="272">
        <f t="shared" si="16"/>
        <v>0</v>
      </c>
      <c r="R57" s="272">
        <f t="shared" si="16"/>
        <v>0</v>
      </c>
      <c r="S57" s="272">
        <f t="shared" si="16"/>
        <v>0</v>
      </c>
      <c r="T57" s="272">
        <f t="shared" si="16"/>
        <v>0</v>
      </c>
      <c r="U57" s="272">
        <f t="shared" si="16"/>
        <v>0</v>
      </c>
      <c r="V57" s="272">
        <f t="shared" si="16"/>
        <v>0</v>
      </c>
      <c r="W57" s="272">
        <f t="shared" si="16"/>
        <v>0</v>
      </c>
      <c r="X57" s="272">
        <f t="shared" si="16"/>
        <v>0</v>
      </c>
      <c r="Y57" s="272">
        <f t="shared" si="16"/>
        <v>0</v>
      </c>
      <c r="Z57" s="272">
        <f t="shared" si="16"/>
        <v>0</v>
      </c>
      <c r="AA57" s="272">
        <f t="shared" si="16"/>
        <v>0</v>
      </c>
      <c r="AB57" s="272">
        <f t="shared" si="16"/>
        <v>0</v>
      </c>
      <c r="AC57" s="272">
        <f t="shared" si="16"/>
        <v>0</v>
      </c>
      <c r="AD57" s="272">
        <f t="shared" si="16"/>
        <v>0</v>
      </c>
      <c r="AE57" s="272">
        <f t="shared" si="16"/>
        <v>0</v>
      </c>
      <c r="AF57" s="272">
        <f t="shared" si="16"/>
        <v>0</v>
      </c>
      <c r="AG57" s="272">
        <f t="shared" si="16"/>
        <v>0</v>
      </c>
      <c r="AH57" s="272">
        <f t="shared" si="16"/>
        <v>0</v>
      </c>
      <c r="AI57" s="272">
        <f t="shared" si="2"/>
        <v>3</v>
      </c>
      <c r="AJ57" s="273">
        <f t="shared" si="3"/>
        <v>-11601</v>
      </c>
    </row>
    <row r="58" spans="1:36" ht="13.5" customHeight="1">
      <c r="A58" s="230">
        <v>8</v>
      </c>
      <c r="B58" s="230" t="s">
        <v>129</v>
      </c>
      <c r="C58" s="587" t="s">
        <v>118</v>
      </c>
      <c r="D58" s="501"/>
      <c r="E58" s="272">
        <f t="shared" ref="E58:AH58" si="17">E20-D20</f>
        <v>-87969</v>
      </c>
      <c r="F58" s="272">
        <f t="shared" si="17"/>
        <v>0</v>
      </c>
      <c r="G58" s="272">
        <f t="shared" si="17"/>
        <v>0</v>
      </c>
      <c r="H58" s="272">
        <f t="shared" si="17"/>
        <v>0</v>
      </c>
      <c r="I58" s="272">
        <f t="shared" si="17"/>
        <v>0</v>
      </c>
      <c r="J58" s="272">
        <f t="shared" si="17"/>
        <v>0</v>
      </c>
      <c r="K58" s="272">
        <f t="shared" si="17"/>
        <v>0</v>
      </c>
      <c r="L58" s="272">
        <f t="shared" si="17"/>
        <v>0</v>
      </c>
      <c r="M58" s="272">
        <f t="shared" si="17"/>
        <v>0</v>
      </c>
      <c r="N58" s="272">
        <f t="shared" si="17"/>
        <v>0</v>
      </c>
      <c r="O58" s="272">
        <f t="shared" si="17"/>
        <v>0</v>
      </c>
      <c r="P58" s="272">
        <f t="shared" si="17"/>
        <v>0</v>
      </c>
      <c r="Q58" s="272">
        <f t="shared" si="17"/>
        <v>0</v>
      </c>
      <c r="R58" s="272">
        <f t="shared" si="17"/>
        <v>0</v>
      </c>
      <c r="S58" s="272">
        <f t="shared" si="17"/>
        <v>0</v>
      </c>
      <c r="T58" s="272">
        <f t="shared" si="17"/>
        <v>0</v>
      </c>
      <c r="U58" s="272">
        <f t="shared" si="17"/>
        <v>0</v>
      </c>
      <c r="V58" s="272">
        <f t="shared" si="17"/>
        <v>0</v>
      </c>
      <c r="W58" s="272">
        <f t="shared" si="17"/>
        <v>0</v>
      </c>
      <c r="X58" s="272">
        <f t="shared" si="17"/>
        <v>0</v>
      </c>
      <c r="Y58" s="272">
        <f t="shared" si="17"/>
        <v>0</v>
      </c>
      <c r="Z58" s="272">
        <f t="shared" si="17"/>
        <v>0</v>
      </c>
      <c r="AA58" s="272">
        <f t="shared" si="17"/>
        <v>0</v>
      </c>
      <c r="AB58" s="272">
        <f t="shared" si="17"/>
        <v>0</v>
      </c>
      <c r="AC58" s="272">
        <f t="shared" si="17"/>
        <v>0</v>
      </c>
      <c r="AD58" s="272">
        <f t="shared" si="17"/>
        <v>0</v>
      </c>
      <c r="AE58" s="272">
        <f t="shared" si="17"/>
        <v>0</v>
      </c>
      <c r="AF58" s="272">
        <f t="shared" si="17"/>
        <v>0</v>
      </c>
      <c r="AG58" s="272">
        <f t="shared" si="17"/>
        <v>0</v>
      </c>
      <c r="AH58" s="272">
        <f t="shared" si="17"/>
        <v>0</v>
      </c>
      <c r="AI58" s="272">
        <f t="shared" si="2"/>
        <v>3241</v>
      </c>
      <c r="AJ58" s="273">
        <f t="shared" si="3"/>
        <v>-84728</v>
      </c>
    </row>
    <row r="59" spans="1:36" ht="13.5" customHeight="1">
      <c r="A59" s="230"/>
      <c r="B59" s="230"/>
      <c r="C59" s="584" t="s">
        <v>22</v>
      </c>
      <c r="D59" s="501"/>
      <c r="E59" s="272">
        <f t="shared" ref="E59:AH59" si="18">E21-D21</f>
        <v>-2212</v>
      </c>
      <c r="F59" s="272">
        <f t="shared" si="18"/>
        <v>0</v>
      </c>
      <c r="G59" s="272">
        <f t="shared" si="18"/>
        <v>0</v>
      </c>
      <c r="H59" s="272">
        <f t="shared" si="18"/>
        <v>0</v>
      </c>
      <c r="I59" s="272">
        <f t="shared" si="18"/>
        <v>0</v>
      </c>
      <c r="J59" s="272">
        <f t="shared" si="18"/>
        <v>0</v>
      </c>
      <c r="K59" s="272">
        <f t="shared" si="18"/>
        <v>0</v>
      </c>
      <c r="L59" s="272">
        <f t="shared" si="18"/>
        <v>0</v>
      </c>
      <c r="M59" s="272">
        <f t="shared" si="18"/>
        <v>0</v>
      </c>
      <c r="N59" s="272">
        <f t="shared" si="18"/>
        <v>0</v>
      </c>
      <c r="O59" s="272">
        <f t="shared" si="18"/>
        <v>0</v>
      </c>
      <c r="P59" s="272">
        <f t="shared" si="18"/>
        <v>0</v>
      </c>
      <c r="Q59" s="272">
        <f t="shared" si="18"/>
        <v>0</v>
      </c>
      <c r="R59" s="272">
        <f t="shared" si="18"/>
        <v>0</v>
      </c>
      <c r="S59" s="272">
        <f t="shared" si="18"/>
        <v>0</v>
      </c>
      <c r="T59" s="272">
        <f t="shared" si="18"/>
        <v>0</v>
      </c>
      <c r="U59" s="272">
        <f t="shared" si="18"/>
        <v>0</v>
      </c>
      <c r="V59" s="272">
        <f t="shared" si="18"/>
        <v>0</v>
      </c>
      <c r="W59" s="272">
        <f t="shared" si="18"/>
        <v>0</v>
      </c>
      <c r="X59" s="272">
        <f t="shared" si="18"/>
        <v>0</v>
      </c>
      <c r="Y59" s="272">
        <f t="shared" si="18"/>
        <v>0</v>
      </c>
      <c r="Z59" s="272">
        <f t="shared" si="18"/>
        <v>0</v>
      </c>
      <c r="AA59" s="272">
        <f t="shared" si="18"/>
        <v>0</v>
      </c>
      <c r="AB59" s="272">
        <f t="shared" si="18"/>
        <v>0</v>
      </c>
      <c r="AC59" s="272">
        <f t="shared" si="18"/>
        <v>0</v>
      </c>
      <c r="AD59" s="272">
        <f t="shared" si="18"/>
        <v>0</v>
      </c>
      <c r="AE59" s="272">
        <f t="shared" si="18"/>
        <v>0</v>
      </c>
      <c r="AF59" s="272">
        <f t="shared" si="18"/>
        <v>0</v>
      </c>
      <c r="AG59" s="272">
        <f t="shared" si="18"/>
        <v>0</v>
      </c>
      <c r="AH59" s="272">
        <f t="shared" si="18"/>
        <v>0</v>
      </c>
      <c r="AI59" s="272">
        <f t="shared" si="2"/>
        <v>1</v>
      </c>
      <c r="AJ59" s="273">
        <f t="shared" si="3"/>
        <v>-2211</v>
      </c>
    </row>
    <row r="60" spans="1:36" ht="13.5" customHeight="1">
      <c r="A60" s="274"/>
      <c r="B60" s="274"/>
      <c r="C60" s="588" t="s">
        <v>130</v>
      </c>
      <c r="D60" s="501"/>
      <c r="E60" s="275">
        <f t="shared" ref="E60:AI60" si="19">SUM(E58,E56,E54,E52,E50,E48,E46,E44)</f>
        <v>-1178454</v>
      </c>
      <c r="F60" s="275">
        <f t="shared" si="19"/>
        <v>0</v>
      </c>
      <c r="G60" s="275">
        <f t="shared" si="19"/>
        <v>0</v>
      </c>
      <c r="H60" s="275">
        <f t="shared" si="19"/>
        <v>0</v>
      </c>
      <c r="I60" s="275">
        <f t="shared" si="19"/>
        <v>0</v>
      </c>
      <c r="J60" s="275">
        <f t="shared" si="19"/>
        <v>0</v>
      </c>
      <c r="K60" s="275">
        <f t="shared" si="19"/>
        <v>0</v>
      </c>
      <c r="L60" s="275">
        <f t="shared" si="19"/>
        <v>0</v>
      </c>
      <c r="M60" s="275">
        <f t="shared" si="19"/>
        <v>0</v>
      </c>
      <c r="N60" s="275">
        <f t="shared" si="19"/>
        <v>0</v>
      </c>
      <c r="O60" s="275">
        <f t="shared" si="19"/>
        <v>0</v>
      </c>
      <c r="P60" s="275">
        <f t="shared" si="19"/>
        <v>0</v>
      </c>
      <c r="Q60" s="275">
        <f t="shared" si="19"/>
        <v>0</v>
      </c>
      <c r="R60" s="275">
        <f t="shared" si="19"/>
        <v>0</v>
      </c>
      <c r="S60" s="275">
        <f t="shared" si="19"/>
        <v>0</v>
      </c>
      <c r="T60" s="275">
        <f t="shared" si="19"/>
        <v>0</v>
      </c>
      <c r="U60" s="275">
        <f t="shared" si="19"/>
        <v>0</v>
      </c>
      <c r="V60" s="275">
        <f t="shared" si="19"/>
        <v>0</v>
      </c>
      <c r="W60" s="275">
        <f t="shared" si="19"/>
        <v>0</v>
      </c>
      <c r="X60" s="275">
        <f t="shared" si="19"/>
        <v>0</v>
      </c>
      <c r="Y60" s="275">
        <f t="shared" si="19"/>
        <v>0</v>
      </c>
      <c r="Z60" s="275">
        <f t="shared" si="19"/>
        <v>0</v>
      </c>
      <c r="AA60" s="275">
        <f t="shared" si="19"/>
        <v>0</v>
      </c>
      <c r="AB60" s="275">
        <f t="shared" si="19"/>
        <v>0</v>
      </c>
      <c r="AC60" s="275">
        <f t="shared" si="19"/>
        <v>0</v>
      </c>
      <c r="AD60" s="275">
        <f t="shared" si="19"/>
        <v>0</v>
      </c>
      <c r="AE60" s="275">
        <f t="shared" si="19"/>
        <v>0</v>
      </c>
      <c r="AF60" s="275">
        <f t="shared" si="19"/>
        <v>0</v>
      </c>
      <c r="AG60" s="275">
        <f t="shared" si="19"/>
        <v>0</v>
      </c>
      <c r="AH60" s="275">
        <f t="shared" si="19"/>
        <v>0</v>
      </c>
      <c r="AI60" s="275">
        <f t="shared" si="19"/>
        <v>55099</v>
      </c>
      <c r="AJ60" s="276">
        <f t="shared" si="3"/>
        <v>-1123355</v>
      </c>
    </row>
    <row r="61" spans="1:36" ht="13.5" customHeight="1">
      <c r="A61" s="274"/>
      <c r="B61" s="274"/>
      <c r="C61" s="145" t="s">
        <v>131</v>
      </c>
      <c r="D61" s="277"/>
      <c r="E61" s="275">
        <f t="shared" ref="E61:AG61" si="20">SUM(E45,E47,E49,E51,E53,E55,E57,E59)</f>
        <v>-32068.6</v>
      </c>
      <c r="F61" s="275">
        <f t="shared" si="20"/>
        <v>0</v>
      </c>
      <c r="G61" s="275">
        <f t="shared" si="20"/>
        <v>0</v>
      </c>
      <c r="H61" s="275">
        <f t="shared" si="20"/>
        <v>0</v>
      </c>
      <c r="I61" s="275">
        <f t="shared" si="20"/>
        <v>0</v>
      </c>
      <c r="J61" s="275">
        <f t="shared" si="20"/>
        <v>0</v>
      </c>
      <c r="K61" s="275">
        <f t="shared" si="20"/>
        <v>0</v>
      </c>
      <c r="L61" s="275">
        <f t="shared" si="20"/>
        <v>0</v>
      </c>
      <c r="M61" s="275">
        <f t="shared" si="20"/>
        <v>0</v>
      </c>
      <c r="N61" s="275">
        <f t="shared" si="20"/>
        <v>0</v>
      </c>
      <c r="O61" s="275">
        <f t="shared" si="20"/>
        <v>0</v>
      </c>
      <c r="P61" s="275">
        <f t="shared" si="20"/>
        <v>0</v>
      </c>
      <c r="Q61" s="275">
        <f t="shared" si="20"/>
        <v>0</v>
      </c>
      <c r="R61" s="275">
        <f t="shared" si="20"/>
        <v>0</v>
      </c>
      <c r="S61" s="275">
        <f t="shared" si="20"/>
        <v>0</v>
      </c>
      <c r="T61" s="275">
        <f t="shared" si="20"/>
        <v>0</v>
      </c>
      <c r="U61" s="275">
        <f t="shared" si="20"/>
        <v>0</v>
      </c>
      <c r="V61" s="275">
        <f t="shared" si="20"/>
        <v>0</v>
      </c>
      <c r="W61" s="275">
        <f t="shared" si="20"/>
        <v>0</v>
      </c>
      <c r="X61" s="275">
        <f t="shared" si="20"/>
        <v>0</v>
      </c>
      <c r="Y61" s="275">
        <f t="shared" si="20"/>
        <v>0</v>
      </c>
      <c r="Z61" s="275">
        <f t="shared" si="20"/>
        <v>0</v>
      </c>
      <c r="AA61" s="275">
        <f t="shared" si="20"/>
        <v>0</v>
      </c>
      <c r="AB61" s="275">
        <f t="shared" si="20"/>
        <v>0</v>
      </c>
      <c r="AC61" s="275">
        <f t="shared" si="20"/>
        <v>0</v>
      </c>
      <c r="AD61" s="275">
        <f t="shared" si="20"/>
        <v>0</v>
      </c>
      <c r="AE61" s="275">
        <f t="shared" si="20"/>
        <v>0</v>
      </c>
      <c r="AF61" s="275">
        <f t="shared" si="20"/>
        <v>0</v>
      </c>
      <c r="AG61" s="275">
        <f t="shared" si="20"/>
        <v>0</v>
      </c>
      <c r="AH61" s="275">
        <f>SUM(AH45,AI47,AH49,AH51,AH53,AH55,AH57,AH59)</f>
        <v>0</v>
      </c>
      <c r="AI61" s="275">
        <f>SUM(AI45,AI47,AI49,AI51,AI53,AI55,AI57,AI59)</f>
        <v>8</v>
      </c>
      <c r="AJ61" s="276">
        <f t="shared" si="3"/>
        <v>-32060.6</v>
      </c>
    </row>
    <row r="62" spans="1:36" ht="14.5" customHeight="1">
      <c r="A62" s="278"/>
      <c r="B62" s="278"/>
      <c r="C62" s="599" t="s">
        <v>132</v>
      </c>
      <c r="D62" s="501"/>
      <c r="E62" s="279">
        <f t="shared" ref="E62:AJ62" si="21">E60</f>
        <v>-1178454</v>
      </c>
      <c r="F62" s="279">
        <f t="shared" si="21"/>
        <v>0</v>
      </c>
      <c r="G62" s="279">
        <f t="shared" si="21"/>
        <v>0</v>
      </c>
      <c r="H62" s="279">
        <f t="shared" si="21"/>
        <v>0</v>
      </c>
      <c r="I62" s="279">
        <f t="shared" si="21"/>
        <v>0</v>
      </c>
      <c r="J62" s="279">
        <f t="shared" si="21"/>
        <v>0</v>
      </c>
      <c r="K62" s="279">
        <f t="shared" si="21"/>
        <v>0</v>
      </c>
      <c r="L62" s="279">
        <f t="shared" si="21"/>
        <v>0</v>
      </c>
      <c r="M62" s="279">
        <f t="shared" si="21"/>
        <v>0</v>
      </c>
      <c r="N62" s="279">
        <f t="shared" si="21"/>
        <v>0</v>
      </c>
      <c r="O62" s="279">
        <f t="shared" si="21"/>
        <v>0</v>
      </c>
      <c r="P62" s="279">
        <f t="shared" si="21"/>
        <v>0</v>
      </c>
      <c r="Q62" s="279">
        <f t="shared" si="21"/>
        <v>0</v>
      </c>
      <c r="R62" s="279">
        <f t="shared" si="21"/>
        <v>0</v>
      </c>
      <c r="S62" s="279">
        <f t="shared" si="21"/>
        <v>0</v>
      </c>
      <c r="T62" s="279">
        <f t="shared" si="21"/>
        <v>0</v>
      </c>
      <c r="U62" s="279">
        <f t="shared" si="21"/>
        <v>0</v>
      </c>
      <c r="V62" s="279">
        <f t="shared" si="21"/>
        <v>0</v>
      </c>
      <c r="W62" s="279">
        <f t="shared" si="21"/>
        <v>0</v>
      </c>
      <c r="X62" s="279">
        <f t="shared" si="21"/>
        <v>0</v>
      </c>
      <c r="Y62" s="279">
        <f t="shared" si="21"/>
        <v>0</v>
      </c>
      <c r="Z62" s="279">
        <f t="shared" si="21"/>
        <v>0</v>
      </c>
      <c r="AA62" s="279">
        <f t="shared" si="21"/>
        <v>0</v>
      </c>
      <c r="AB62" s="279">
        <f t="shared" si="21"/>
        <v>0</v>
      </c>
      <c r="AC62" s="279">
        <f t="shared" si="21"/>
        <v>0</v>
      </c>
      <c r="AD62" s="279">
        <f t="shared" si="21"/>
        <v>0</v>
      </c>
      <c r="AE62" s="279">
        <f t="shared" si="21"/>
        <v>0</v>
      </c>
      <c r="AF62" s="279">
        <f t="shared" si="21"/>
        <v>0</v>
      </c>
      <c r="AG62" s="279">
        <f t="shared" si="21"/>
        <v>0</v>
      </c>
      <c r="AH62" s="279">
        <f t="shared" si="21"/>
        <v>0</v>
      </c>
      <c r="AI62" s="279">
        <f t="shared" si="21"/>
        <v>55099</v>
      </c>
      <c r="AJ62" s="279">
        <f t="shared" si="21"/>
        <v>-1123355</v>
      </c>
    </row>
    <row r="63" spans="1:36">
      <c r="A63" s="268"/>
      <c r="B63" s="280"/>
      <c r="C63" s="146"/>
      <c r="D63" s="281"/>
      <c r="E63" s="268"/>
      <c r="F63" s="268"/>
      <c r="G63" s="268"/>
      <c r="H63" s="268"/>
      <c r="I63" s="268"/>
      <c r="J63" s="268"/>
      <c r="K63" s="268"/>
      <c r="L63" s="268"/>
      <c r="M63" s="268"/>
      <c r="N63" s="268"/>
      <c r="O63" s="268"/>
      <c r="P63" s="268"/>
      <c r="Q63" s="268"/>
      <c r="R63" s="268"/>
      <c r="S63" s="268"/>
      <c r="T63" s="268"/>
      <c r="U63" s="268"/>
      <c r="V63" s="268"/>
      <c r="W63" s="268"/>
      <c r="X63" s="268"/>
      <c r="Y63" s="268"/>
      <c r="Z63" s="268"/>
      <c r="AA63" s="268"/>
      <c r="AB63" s="268"/>
      <c r="AC63" s="268"/>
      <c r="AD63" s="268"/>
      <c r="AE63" s="268"/>
      <c r="AF63" s="268"/>
      <c r="AG63" s="268"/>
      <c r="AH63" s="268"/>
      <c r="AI63" s="268"/>
      <c r="AJ63" s="268"/>
    </row>
    <row r="64" spans="1:36" ht="14.5" customHeight="1">
      <c r="A64" s="282" t="s">
        <v>133</v>
      </c>
      <c r="B64" s="282" t="s">
        <v>100</v>
      </c>
      <c r="C64" s="597" t="s">
        <v>101</v>
      </c>
      <c r="D64" s="501"/>
      <c r="E64" s="282"/>
      <c r="F64" s="282"/>
      <c r="G64" s="282"/>
      <c r="H64" s="282"/>
      <c r="I64" s="282"/>
      <c r="J64" s="282"/>
      <c r="K64" s="282"/>
      <c r="L64" s="282"/>
      <c r="M64" s="282"/>
      <c r="N64" s="282"/>
      <c r="O64" s="282"/>
      <c r="P64" s="282"/>
      <c r="Q64" s="282"/>
      <c r="R64" s="282"/>
      <c r="S64" s="282"/>
      <c r="T64" s="282"/>
      <c r="U64" s="282"/>
      <c r="V64" s="282"/>
      <c r="W64" s="282"/>
      <c r="X64" s="282"/>
      <c r="Y64" s="282"/>
      <c r="Z64" s="282"/>
      <c r="AA64" s="282"/>
      <c r="AB64" s="282"/>
      <c r="AC64" s="282"/>
      <c r="AD64" s="282"/>
      <c r="AE64" s="282"/>
      <c r="AF64" s="282"/>
      <c r="AG64" s="282"/>
      <c r="AH64" s="282"/>
      <c r="AI64" s="282"/>
      <c r="AJ64" s="283"/>
    </row>
    <row r="65" spans="1:38" ht="13.5" customHeight="1">
      <c r="A65" s="230">
        <v>1</v>
      </c>
      <c r="B65" s="230" t="s">
        <v>129</v>
      </c>
      <c r="C65" s="589" t="s">
        <v>119</v>
      </c>
      <c r="D65" s="501"/>
      <c r="E65" s="279">
        <f t="shared" ref="E65:AH65" si="22">E23-D23</f>
        <v>-43073</v>
      </c>
      <c r="F65" s="279">
        <f t="shared" si="22"/>
        <v>0</v>
      </c>
      <c r="G65" s="279">
        <f t="shared" si="22"/>
        <v>0</v>
      </c>
      <c r="H65" s="279">
        <f t="shared" si="22"/>
        <v>0</v>
      </c>
      <c r="I65" s="279">
        <f t="shared" si="22"/>
        <v>0</v>
      </c>
      <c r="J65" s="279">
        <f t="shared" si="22"/>
        <v>0</v>
      </c>
      <c r="K65" s="279">
        <f t="shared" si="22"/>
        <v>0</v>
      </c>
      <c r="L65" s="279">
        <f t="shared" si="22"/>
        <v>0</v>
      </c>
      <c r="M65" s="279">
        <f t="shared" si="22"/>
        <v>0</v>
      </c>
      <c r="N65" s="279">
        <f t="shared" si="22"/>
        <v>0</v>
      </c>
      <c r="O65" s="279">
        <f t="shared" si="22"/>
        <v>0</v>
      </c>
      <c r="P65" s="279">
        <f t="shared" si="22"/>
        <v>0</v>
      </c>
      <c r="Q65" s="279">
        <f t="shared" si="22"/>
        <v>0</v>
      </c>
      <c r="R65" s="279">
        <f t="shared" si="22"/>
        <v>0</v>
      </c>
      <c r="S65" s="279">
        <f t="shared" si="22"/>
        <v>0</v>
      </c>
      <c r="T65" s="279">
        <f t="shared" si="22"/>
        <v>0</v>
      </c>
      <c r="U65" s="279">
        <f t="shared" si="22"/>
        <v>0</v>
      </c>
      <c r="V65" s="279">
        <f t="shared" si="22"/>
        <v>0</v>
      </c>
      <c r="W65" s="279">
        <f t="shared" si="22"/>
        <v>0</v>
      </c>
      <c r="X65" s="279">
        <f t="shared" si="22"/>
        <v>0</v>
      </c>
      <c r="Y65" s="279">
        <f t="shared" si="22"/>
        <v>0</v>
      </c>
      <c r="Z65" s="279">
        <f t="shared" si="22"/>
        <v>0</v>
      </c>
      <c r="AA65" s="279">
        <f t="shared" si="22"/>
        <v>0</v>
      </c>
      <c r="AB65" s="279">
        <f t="shared" si="22"/>
        <v>0</v>
      </c>
      <c r="AC65" s="279">
        <f t="shared" si="22"/>
        <v>0</v>
      </c>
      <c r="AD65" s="279">
        <f t="shared" si="22"/>
        <v>0</v>
      </c>
      <c r="AE65" s="279">
        <f t="shared" si="22"/>
        <v>0</v>
      </c>
      <c r="AF65" s="279">
        <f t="shared" si="22"/>
        <v>0</v>
      </c>
      <c r="AG65" s="279">
        <f t="shared" si="22"/>
        <v>0</v>
      </c>
      <c r="AH65" s="279">
        <f t="shared" si="22"/>
        <v>0</v>
      </c>
      <c r="AI65" s="279">
        <f t="shared" ref="AI65:AI72" si="23">AI23-D23</f>
        <v>2811</v>
      </c>
      <c r="AJ65" s="273">
        <f t="shared" ref="AJ65:AJ79" si="24">SUM(E65:AI65)</f>
        <v>-40262</v>
      </c>
    </row>
    <row r="66" spans="1:38" ht="14.25" customHeight="1">
      <c r="A66" s="230"/>
      <c r="B66" s="230"/>
      <c r="C66" s="590" t="s">
        <v>22</v>
      </c>
      <c r="D66" s="501"/>
      <c r="E66" s="279">
        <f t="shared" ref="E66:AH66" si="25">E24-D24</f>
        <v>-1921</v>
      </c>
      <c r="F66" s="279">
        <f t="shared" si="25"/>
        <v>0</v>
      </c>
      <c r="G66" s="279">
        <f t="shared" si="25"/>
        <v>0</v>
      </c>
      <c r="H66" s="279">
        <f t="shared" si="25"/>
        <v>0</v>
      </c>
      <c r="I66" s="279">
        <f t="shared" si="25"/>
        <v>0</v>
      </c>
      <c r="J66" s="279">
        <f t="shared" si="25"/>
        <v>0</v>
      </c>
      <c r="K66" s="279">
        <f t="shared" si="25"/>
        <v>0</v>
      </c>
      <c r="L66" s="279">
        <f t="shared" si="25"/>
        <v>0</v>
      </c>
      <c r="M66" s="279">
        <f t="shared" si="25"/>
        <v>0</v>
      </c>
      <c r="N66" s="279">
        <f t="shared" si="25"/>
        <v>0</v>
      </c>
      <c r="O66" s="279">
        <f t="shared" si="25"/>
        <v>0</v>
      </c>
      <c r="P66" s="279">
        <f t="shared" si="25"/>
        <v>0</v>
      </c>
      <c r="Q66" s="279">
        <f t="shared" si="25"/>
        <v>0</v>
      </c>
      <c r="R66" s="279">
        <f t="shared" si="25"/>
        <v>0</v>
      </c>
      <c r="S66" s="279">
        <f t="shared" si="25"/>
        <v>0</v>
      </c>
      <c r="T66" s="279">
        <f t="shared" si="25"/>
        <v>0</v>
      </c>
      <c r="U66" s="279">
        <f t="shared" si="25"/>
        <v>0</v>
      </c>
      <c r="V66" s="279">
        <f t="shared" si="25"/>
        <v>0</v>
      </c>
      <c r="W66" s="279">
        <f t="shared" si="25"/>
        <v>0</v>
      </c>
      <c r="X66" s="279">
        <f t="shared" si="25"/>
        <v>0</v>
      </c>
      <c r="Y66" s="279">
        <f t="shared" si="25"/>
        <v>0</v>
      </c>
      <c r="Z66" s="279">
        <f t="shared" si="25"/>
        <v>0</v>
      </c>
      <c r="AA66" s="279">
        <f t="shared" si="25"/>
        <v>0</v>
      </c>
      <c r="AB66" s="279">
        <f t="shared" si="25"/>
        <v>0</v>
      </c>
      <c r="AC66" s="279">
        <f t="shared" si="25"/>
        <v>0</v>
      </c>
      <c r="AD66" s="279">
        <f t="shared" si="25"/>
        <v>0</v>
      </c>
      <c r="AE66" s="279">
        <f t="shared" si="25"/>
        <v>0</v>
      </c>
      <c r="AF66" s="279">
        <f t="shared" si="25"/>
        <v>0</v>
      </c>
      <c r="AG66" s="279">
        <f t="shared" si="25"/>
        <v>0</v>
      </c>
      <c r="AH66" s="279">
        <f t="shared" si="25"/>
        <v>0</v>
      </c>
      <c r="AI66" s="279">
        <f t="shared" si="23"/>
        <v>0</v>
      </c>
      <c r="AJ66" s="273">
        <f t="shared" si="24"/>
        <v>-1921</v>
      </c>
    </row>
    <row r="67" spans="1:38" ht="13.5" customHeight="1">
      <c r="A67" s="230">
        <v>2</v>
      </c>
      <c r="B67" s="230" t="s">
        <v>129</v>
      </c>
      <c r="C67" s="589" t="s">
        <v>120</v>
      </c>
      <c r="D67" s="501"/>
      <c r="E67" s="279">
        <f t="shared" ref="E67:AH67" si="26">E25-D25</f>
        <v>-47109</v>
      </c>
      <c r="F67" s="279">
        <f t="shared" si="26"/>
        <v>0</v>
      </c>
      <c r="G67" s="279">
        <f t="shared" si="26"/>
        <v>0</v>
      </c>
      <c r="H67" s="279">
        <f t="shared" si="26"/>
        <v>0</v>
      </c>
      <c r="I67" s="279">
        <f t="shared" si="26"/>
        <v>0</v>
      </c>
      <c r="J67" s="279">
        <f t="shared" si="26"/>
        <v>0</v>
      </c>
      <c r="K67" s="279">
        <f t="shared" si="26"/>
        <v>0</v>
      </c>
      <c r="L67" s="279">
        <f t="shared" si="26"/>
        <v>0</v>
      </c>
      <c r="M67" s="279">
        <f t="shared" si="26"/>
        <v>0</v>
      </c>
      <c r="N67" s="279">
        <f t="shared" si="26"/>
        <v>0</v>
      </c>
      <c r="O67" s="279">
        <f t="shared" si="26"/>
        <v>0</v>
      </c>
      <c r="P67" s="279">
        <f t="shared" si="26"/>
        <v>0</v>
      </c>
      <c r="Q67" s="279">
        <f t="shared" si="26"/>
        <v>0</v>
      </c>
      <c r="R67" s="279">
        <f t="shared" si="26"/>
        <v>0</v>
      </c>
      <c r="S67" s="279">
        <f t="shared" si="26"/>
        <v>0</v>
      </c>
      <c r="T67" s="279">
        <f t="shared" si="26"/>
        <v>0</v>
      </c>
      <c r="U67" s="279">
        <f t="shared" si="26"/>
        <v>0</v>
      </c>
      <c r="V67" s="279">
        <f t="shared" si="26"/>
        <v>0</v>
      </c>
      <c r="W67" s="279">
        <f t="shared" si="26"/>
        <v>0</v>
      </c>
      <c r="X67" s="279">
        <f t="shared" si="26"/>
        <v>0</v>
      </c>
      <c r="Y67" s="279">
        <f t="shared" si="26"/>
        <v>0</v>
      </c>
      <c r="Z67" s="279">
        <f t="shared" si="26"/>
        <v>0</v>
      </c>
      <c r="AA67" s="279">
        <f t="shared" si="26"/>
        <v>0</v>
      </c>
      <c r="AB67" s="279">
        <f t="shared" si="26"/>
        <v>0</v>
      </c>
      <c r="AC67" s="279">
        <f t="shared" si="26"/>
        <v>0</v>
      </c>
      <c r="AD67" s="279">
        <f t="shared" si="26"/>
        <v>0</v>
      </c>
      <c r="AE67" s="279">
        <f t="shared" si="26"/>
        <v>0</v>
      </c>
      <c r="AF67" s="279">
        <f t="shared" si="26"/>
        <v>0</v>
      </c>
      <c r="AG67" s="279">
        <f t="shared" si="26"/>
        <v>0</v>
      </c>
      <c r="AH67" s="279">
        <f t="shared" si="26"/>
        <v>0</v>
      </c>
      <c r="AI67" s="279">
        <f t="shared" si="23"/>
        <v>2722</v>
      </c>
      <c r="AJ67" s="273">
        <f t="shared" si="24"/>
        <v>-44387</v>
      </c>
    </row>
    <row r="68" spans="1:38" ht="13.5" customHeight="1">
      <c r="A68" s="230"/>
      <c r="B68" s="230"/>
      <c r="C68" s="590" t="s">
        <v>22</v>
      </c>
      <c r="D68" s="501"/>
      <c r="E68" s="279">
        <f t="shared" ref="E68:AH68" si="27">E26-D26</f>
        <v>-1909</v>
      </c>
      <c r="F68" s="279">
        <f t="shared" si="27"/>
        <v>0</v>
      </c>
      <c r="G68" s="279">
        <f t="shared" si="27"/>
        <v>0</v>
      </c>
      <c r="H68" s="279">
        <f t="shared" si="27"/>
        <v>0</v>
      </c>
      <c r="I68" s="279">
        <f t="shared" si="27"/>
        <v>0</v>
      </c>
      <c r="J68" s="279">
        <f t="shared" si="27"/>
        <v>0</v>
      </c>
      <c r="K68" s="279">
        <f t="shared" si="27"/>
        <v>0</v>
      </c>
      <c r="L68" s="279">
        <f t="shared" si="27"/>
        <v>0</v>
      </c>
      <c r="M68" s="279">
        <f t="shared" si="27"/>
        <v>0</v>
      </c>
      <c r="N68" s="279">
        <f t="shared" si="27"/>
        <v>0</v>
      </c>
      <c r="O68" s="279">
        <f t="shared" si="27"/>
        <v>0</v>
      </c>
      <c r="P68" s="279">
        <f t="shared" si="27"/>
        <v>0</v>
      </c>
      <c r="Q68" s="279">
        <f t="shared" si="27"/>
        <v>0</v>
      </c>
      <c r="R68" s="279">
        <f t="shared" si="27"/>
        <v>0</v>
      </c>
      <c r="S68" s="279">
        <f t="shared" si="27"/>
        <v>0</v>
      </c>
      <c r="T68" s="279">
        <f t="shared" si="27"/>
        <v>0</v>
      </c>
      <c r="U68" s="279">
        <f t="shared" si="27"/>
        <v>0</v>
      </c>
      <c r="V68" s="279">
        <f t="shared" si="27"/>
        <v>0</v>
      </c>
      <c r="W68" s="279">
        <f t="shared" si="27"/>
        <v>0</v>
      </c>
      <c r="X68" s="279">
        <f t="shared" si="27"/>
        <v>0</v>
      </c>
      <c r="Y68" s="279">
        <f t="shared" si="27"/>
        <v>0</v>
      </c>
      <c r="Z68" s="279">
        <f t="shared" si="27"/>
        <v>0</v>
      </c>
      <c r="AA68" s="279">
        <f t="shared" si="27"/>
        <v>0</v>
      </c>
      <c r="AB68" s="279">
        <f t="shared" si="27"/>
        <v>0</v>
      </c>
      <c r="AC68" s="279">
        <f t="shared" si="27"/>
        <v>0</v>
      </c>
      <c r="AD68" s="279">
        <f t="shared" si="27"/>
        <v>0</v>
      </c>
      <c r="AE68" s="279">
        <f t="shared" si="27"/>
        <v>0</v>
      </c>
      <c r="AF68" s="279">
        <f t="shared" si="27"/>
        <v>0</v>
      </c>
      <c r="AG68" s="279">
        <f t="shared" si="27"/>
        <v>0</v>
      </c>
      <c r="AH68" s="279">
        <f t="shared" si="27"/>
        <v>0</v>
      </c>
      <c r="AI68" s="279">
        <f t="shared" si="23"/>
        <v>0</v>
      </c>
      <c r="AJ68" s="273">
        <f t="shared" si="24"/>
        <v>-1909</v>
      </c>
      <c r="AK68" t="s">
        <v>20</v>
      </c>
      <c r="AL68">
        <f>AI60</f>
        <v>55099</v>
      </c>
    </row>
    <row r="69" spans="1:38" ht="13.5" customHeight="1">
      <c r="A69" s="230">
        <v>3</v>
      </c>
      <c r="B69" s="230" t="s">
        <v>129</v>
      </c>
      <c r="C69" s="589" t="s">
        <v>121</v>
      </c>
      <c r="D69" s="501"/>
      <c r="E69" s="279">
        <f t="shared" ref="E69:AH69" si="28">E27-D27</f>
        <v>-55482</v>
      </c>
      <c r="F69" s="279">
        <f t="shared" si="28"/>
        <v>0</v>
      </c>
      <c r="G69" s="279">
        <f t="shared" si="28"/>
        <v>0</v>
      </c>
      <c r="H69" s="279">
        <f t="shared" si="28"/>
        <v>0</v>
      </c>
      <c r="I69" s="279">
        <f t="shared" si="28"/>
        <v>0</v>
      </c>
      <c r="J69" s="279">
        <f t="shared" si="28"/>
        <v>0</v>
      </c>
      <c r="K69" s="279">
        <f t="shared" si="28"/>
        <v>0</v>
      </c>
      <c r="L69" s="279">
        <f t="shared" si="28"/>
        <v>0</v>
      </c>
      <c r="M69" s="279">
        <f t="shared" si="28"/>
        <v>0</v>
      </c>
      <c r="N69" s="279">
        <f t="shared" si="28"/>
        <v>0</v>
      </c>
      <c r="O69" s="279">
        <f t="shared" si="28"/>
        <v>0</v>
      </c>
      <c r="P69" s="279">
        <f t="shared" si="28"/>
        <v>0</v>
      </c>
      <c r="Q69" s="279">
        <f t="shared" si="28"/>
        <v>0</v>
      </c>
      <c r="R69" s="279">
        <f t="shared" si="28"/>
        <v>0</v>
      </c>
      <c r="S69" s="279">
        <f t="shared" si="28"/>
        <v>0</v>
      </c>
      <c r="T69" s="279">
        <f t="shared" si="28"/>
        <v>0</v>
      </c>
      <c r="U69" s="279">
        <f t="shared" si="28"/>
        <v>0</v>
      </c>
      <c r="V69" s="279">
        <f t="shared" si="28"/>
        <v>0</v>
      </c>
      <c r="W69" s="279">
        <f t="shared" si="28"/>
        <v>0</v>
      </c>
      <c r="X69" s="279">
        <f t="shared" si="28"/>
        <v>0</v>
      </c>
      <c r="Y69" s="279">
        <f t="shared" si="28"/>
        <v>0</v>
      </c>
      <c r="Z69" s="279">
        <f t="shared" si="28"/>
        <v>0</v>
      </c>
      <c r="AA69" s="279">
        <f t="shared" si="28"/>
        <v>0</v>
      </c>
      <c r="AB69" s="279">
        <f t="shared" si="28"/>
        <v>0</v>
      </c>
      <c r="AC69" s="279">
        <f t="shared" si="28"/>
        <v>0</v>
      </c>
      <c r="AD69" s="279">
        <f t="shared" si="28"/>
        <v>0</v>
      </c>
      <c r="AE69" s="279">
        <f t="shared" si="28"/>
        <v>0</v>
      </c>
      <c r="AF69" s="279">
        <f t="shared" si="28"/>
        <v>0</v>
      </c>
      <c r="AG69" s="279">
        <f t="shared" si="28"/>
        <v>0</v>
      </c>
      <c r="AH69" s="279">
        <f t="shared" si="28"/>
        <v>0</v>
      </c>
      <c r="AI69" s="279">
        <f t="shared" si="23"/>
        <v>5866</v>
      </c>
      <c r="AJ69" s="273">
        <f t="shared" si="24"/>
        <v>-49616</v>
      </c>
      <c r="AK69" t="s">
        <v>21</v>
      </c>
      <c r="AL69">
        <f>AI73</f>
        <v>13451</v>
      </c>
    </row>
    <row r="70" spans="1:38" ht="13.5" customHeight="1">
      <c r="A70" s="230"/>
      <c r="B70" s="230"/>
      <c r="C70" s="590" t="s">
        <v>22</v>
      </c>
      <c r="D70" s="501"/>
      <c r="E70" s="279">
        <f t="shared" ref="E70:AH70" si="29">E28-D28</f>
        <v>-2065</v>
      </c>
      <c r="F70" s="279">
        <f t="shared" si="29"/>
        <v>0</v>
      </c>
      <c r="G70" s="279">
        <f t="shared" si="29"/>
        <v>0</v>
      </c>
      <c r="H70" s="279">
        <f t="shared" si="29"/>
        <v>0</v>
      </c>
      <c r="I70" s="279">
        <f t="shared" si="29"/>
        <v>0</v>
      </c>
      <c r="J70" s="279">
        <f t="shared" si="29"/>
        <v>0</v>
      </c>
      <c r="K70" s="279">
        <f t="shared" si="29"/>
        <v>0</v>
      </c>
      <c r="L70" s="279">
        <f t="shared" si="29"/>
        <v>0</v>
      </c>
      <c r="M70" s="279">
        <f t="shared" si="29"/>
        <v>0</v>
      </c>
      <c r="N70" s="279">
        <f t="shared" si="29"/>
        <v>0</v>
      </c>
      <c r="O70" s="279">
        <f t="shared" si="29"/>
        <v>0</v>
      </c>
      <c r="P70" s="279">
        <f t="shared" si="29"/>
        <v>0</v>
      </c>
      <c r="Q70" s="279">
        <f t="shared" si="29"/>
        <v>0</v>
      </c>
      <c r="R70" s="279">
        <f t="shared" si="29"/>
        <v>0</v>
      </c>
      <c r="S70" s="279">
        <f t="shared" si="29"/>
        <v>0</v>
      </c>
      <c r="T70" s="279">
        <f t="shared" si="29"/>
        <v>0</v>
      </c>
      <c r="U70" s="279">
        <f t="shared" si="29"/>
        <v>0</v>
      </c>
      <c r="V70" s="279">
        <f t="shared" si="29"/>
        <v>0</v>
      </c>
      <c r="W70" s="279">
        <f t="shared" si="29"/>
        <v>0</v>
      </c>
      <c r="X70" s="279">
        <f t="shared" si="29"/>
        <v>0</v>
      </c>
      <c r="Y70" s="279">
        <f t="shared" si="29"/>
        <v>0</v>
      </c>
      <c r="Z70" s="279">
        <f t="shared" si="29"/>
        <v>0</v>
      </c>
      <c r="AA70" s="279">
        <f t="shared" si="29"/>
        <v>0</v>
      </c>
      <c r="AB70" s="279">
        <f t="shared" si="29"/>
        <v>0</v>
      </c>
      <c r="AC70" s="279">
        <f t="shared" si="29"/>
        <v>0</v>
      </c>
      <c r="AD70" s="279">
        <f t="shared" si="29"/>
        <v>0</v>
      </c>
      <c r="AE70" s="279">
        <f t="shared" si="29"/>
        <v>0</v>
      </c>
      <c r="AF70" s="279">
        <f t="shared" si="29"/>
        <v>0</v>
      </c>
      <c r="AG70" s="279">
        <f t="shared" si="29"/>
        <v>0</v>
      </c>
      <c r="AH70" s="279">
        <f t="shared" si="29"/>
        <v>0</v>
      </c>
      <c r="AI70" s="279">
        <f t="shared" si="23"/>
        <v>0</v>
      </c>
      <c r="AJ70" s="273">
        <f t="shared" si="24"/>
        <v>-2065</v>
      </c>
      <c r="AK70" t="s">
        <v>23</v>
      </c>
      <c r="AL70">
        <f>AI79*40%</f>
        <v>14126.400000000001</v>
      </c>
    </row>
    <row r="71" spans="1:38" ht="13.5" customHeight="1">
      <c r="A71" s="230">
        <v>4</v>
      </c>
      <c r="B71" s="230" t="s">
        <v>129</v>
      </c>
      <c r="C71" s="589" t="s">
        <v>122</v>
      </c>
      <c r="D71" s="501"/>
      <c r="E71" s="279">
        <f t="shared" ref="E71:AH71" si="30">E29-D29</f>
        <v>-39556</v>
      </c>
      <c r="F71" s="279">
        <f t="shared" si="30"/>
        <v>0</v>
      </c>
      <c r="G71" s="279">
        <f t="shared" si="30"/>
        <v>0</v>
      </c>
      <c r="H71" s="279">
        <f t="shared" si="30"/>
        <v>0</v>
      </c>
      <c r="I71" s="279">
        <f t="shared" si="30"/>
        <v>0</v>
      </c>
      <c r="J71" s="279">
        <f t="shared" si="30"/>
        <v>0</v>
      </c>
      <c r="K71" s="279">
        <f t="shared" si="30"/>
        <v>0</v>
      </c>
      <c r="L71" s="279">
        <f t="shared" si="30"/>
        <v>0</v>
      </c>
      <c r="M71" s="279">
        <f t="shared" si="30"/>
        <v>0</v>
      </c>
      <c r="N71" s="279">
        <f t="shared" si="30"/>
        <v>0</v>
      </c>
      <c r="O71" s="279">
        <f t="shared" si="30"/>
        <v>0</v>
      </c>
      <c r="P71" s="279">
        <f t="shared" si="30"/>
        <v>0</v>
      </c>
      <c r="Q71" s="279">
        <f t="shared" si="30"/>
        <v>0</v>
      </c>
      <c r="R71" s="279">
        <f t="shared" si="30"/>
        <v>0</v>
      </c>
      <c r="S71" s="279">
        <f t="shared" si="30"/>
        <v>0</v>
      </c>
      <c r="T71" s="279">
        <f t="shared" si="30"/>
        <v>0</v>
      </c>
      <c r="U71" s="279">
        <f t="shared" si="30"/>
        <v>0</v>
      </c>
      <c r="V71" s="279">
        <f t="shared" si="30"/>
        <v>0</v>
      </c>
      <c r="W71" s="279">
        <f t="shared" si="30"/>
        <v>0</v>
      </c>
      <c r="X71" s="279">
        <f t="shared" si="30"/>
        <v>0</v>
      </c>
      <c r="Y71" s="279">
        <f t="shared" si="30"/>
        <v>0</v>
      </c>
      <c r="Z71" s="279">
        <f t="shared" si="30"/>
        <v>0</v>
      </c>
      <c r="AA71" s="279">
        <f t="shared" si="30"/>
        <v>0</v>
      </c>
      <c r="AB71" s="279">
        <f t="shared" si="30"/>
        <v>0</v>
      </c>
      <c r="AC71" s="279">
        <f t="shared" si="30"/>
        <v>0</v>
      </c>
      <c r="AD71" s="279">
        <f t="shared" si="30"/>
        <v>0</v>
      </c>
      <c r="AE71" s="279">
        <f t="shared" si="30"/>
        <v>0</v>
      </c>
      <c r="AF71" s="279">
        <f t="shared" si="30"/>
        <v>0</v>
      </c>
      <c r="AG71" s="279">
        <f t="shared" si="30"/>
        <v>0</v>
      </c>
      <c r="AH71" s="279">
        <f t="shared" si="30"/>
        <v>0</v>
      </c>
      <c r="AI71" s="279">
        <f t="shared" si="23"/>
        <v>2052</v>
      </c>
      <c r="AJ71" s="273">
        <f t="shared" si="24"/>
        <v>-37504</v>
      </c>
      <c r="AK71" t="s">
        <v>22</v>
      </c>
      <c r="AL71">
        <f>AI61+AI74</f>
        <v>8</v>
      </c>
    </row>
    <row r="72" spans="1:38" ht="13.5" customHeight="1">
      <c r="A72" s="230"/>
      <c r="B72" s="230"/>
      <c r="C72" s="590" t="s">
        <v>22</v>
      </c>
      <c r="D72" s="501"/>
      <c r="E72" s="279">
        <f t="shared" ref="E72:AH72" si="31">E30-D30</f>
        <v>-1786</v>
      </c>
      <c r="F72" s="279">
        <f t="shared" si="31"/>
        <v>0</v>
      </c>
      <c r="G72" s="279">
        <f t="shared" si="31"/>
        <v>0</v>
      </c>
      <c r="H72" s="279">
        <f t="shared" si="31"/>
        <v>0</v>
      </c>
      <c r="I72" s="279">
        <f t="shared" si="31"/>
        <v>0</v>
      </c>
      <c r="J72" s="279">
        <f t="shared" si="31"/>
        <v>0</v>
      </c>
      <c r="K72" s="279">
        <f t="shared" si="31"/>
        <v>0</v>
      </c>
      <c r="L72" s="279">
        <f t="shared" si="31"/>
        <v>0</v>
      </c>
      <c r="M72" s="279">
        <f t="shared" si="31"/>
        <v>0</v>
      </c>
      <c r="N72" s="279">
        <f t="shared" si="31"/>
        <v>0</v>
      </c>
      <c r="O72" s="279">
        <f t="shared" si="31"/>
        <v>0</v>
      </c>
      <c r="P72" s="279">
        <f t="shared" si="31"/>
        <v>0</v>
      </c>
      <c r="Q72" s="279">
        <f t="shared" si="31"/>
        <v>0</v>
      </c>
      <c r="R72" s="279">
        <f t="shared" si="31"/>
        <v>0</v>
      </c>
      <c r="S72" s="279">
        <f t="shared" si="31"/>
        <v>0</v>
      </c>
      <c r="T72" s="279">
        <f t="shared" si="31"/>
        <v>0</v>
      </c>
      <c r="U72" s="279">
        <f t="shared" si="31"/>
        <v>0</v>
      </c>
      <c r="V72" s="279">
        <f t="shared" si="31"/>
        <v>0</v>
      </c>
      <c r="W72" s="279">
        <f t="shared" si="31"/>
        <v>0</v>
      </c>
      <c r="X72" s="279">
        <f t="shared" si="31"/>
        <v>0</v>
      </c>
      <c r="Y72" s="279">
        <f t="shared" si="31"/>
        <v>0</v>
      </c>
      <c r="Z72" s="279">
        <f t="shared" si="31"/>
        <v>0</v>
      </c>
      <c r="AA72" s="279">
        <f t="shared" si="31"/>
        <v>0</v>
      </c>
      <c r="AB72" s="279">
        <f t="shared" si="31"/>
        <v>0</v>
      </c>
      <c r="AC72" s="279">
        <f t="shared" si="31"/>
        <v>0</v>
      </c>
      <c r="AD72" s="279">
        <f t="shared" si="31"/>
        <v>0</v>
      </c>
      <c r="AE72" s="279">
        <f t="shared" si="31"/>
        <v>0</v>
      </c>
      <c r="AF72" s="279">
        <f t="shared" si="31"/>
        <v>0</v>
      </c>
      <c r="AG72" s="279">
        <f t="shared" si="31"/>
        <v>0</v>
      </c>
      <c r="AH72" s="279">
        <f t="shared" si="31"/>
        <v>0</v>
      </c>
      <c r="AI72" s="279">
        <f t="shared" si="23"/>
        <v>0</v>
      </c>
      <c r="AJ72" s="273">
        <f t="shared" si="24"/>
        <v>-1786</v>
      </c>
    </row>
    <row r="73" spans="1:38" ht="30" customHeight="1">
      <c r="A73" s="274"/>
      <c r="B73" s="274"/>
      <c r="C73" s="588" t="s">
        <v>134</v>
      </c>
      <c r="D73" s="501"/>
      <c r="E73" s="275">
        <f t="shared" ref="E73:AI73" si="32">SUM(E65,E67,E69,E71)</f>
        <v>-185220</v>
      </c>
      <c r="F73" s="275">
        <f t="shared" si="32"/>
        <v>0</v>
      </c>
      <c r="G73" s="275">
        <f t="shared" si="32"/>
        <v>0</v>
      </c>
      <c r="H73" s="275">
        <f t="shared" si="32"/>
        <v>0</v>
      </c>
      <c r="I73" s="275">
        <f t="shared" si="32"/>
        <v>0</v>
      </c>
      <c r="J73" s="275">
        <f t="shared" si="32"/>
        <v>0</v>
      </c>
      <c r="K73" s="275">
        <f t="shared" si="32"/>
        <v>0</v>
      </c>
      <c r="L73" s="275">
        <f t="shared" si="32"/>
        <v>0</v>
      </c>
      <c r="M73" s="275">
        <f t="shared" si="32"/>
        <v>0</v>
      </c>
      <c r="N73" s="275">
        <f t="shared" si="32"/>
        <v>0</v>
      </c>
      <c r="O73" s="275">
        <f t="shared" si="32"/>
        <v>0</v>
      </c>
      <c r="P73" s="275">
        <f t="shared" si="32"/>
        <v>0</v>
      </c>
      <c r="Q73" s="275">
        <f t="shared" si="32"/>
        <v>0</v>
      </c>
      <c r="R73" s="275">
        <f t="shared" si="32"/>
        <v>0</v>
      </c>
      <c r="S73" s="275">
        <f t="shared" si="32"/>
        <v>0</v>
      </c>
      <c r="T73" s="275">
        <f t="shared" si="32"/>
        <v>0</v>
      </c>
      <c r="U73" s="275">
        <f t="shared" si="32"/>
        <v>0</v>
      </c>
      <c r="V73" s="275">
        <f t="shared" si="32"/>
        <v>0</v>
      </c>
      <c r="W73" s="275">
        <f t="shared" si="32"/>
        <v>0</v>
      </c>
      <c r="X73" s="275">
        <f t="shared" si="32"/>
        <v>0</v>
      </c>
      <c r="Y73" s="275">
        <f t="shared" si="32"/>
        <v>0</v>
      </c>
      <c r="Z73" s="275">
        <f t="shared" si="32"/>
        <v>0</v>
      </c>
      <c r="AA73" s="275">
        <f t="shared" si="32"/>
        <v>0</v>
      </c>
      <c r="AB73" s="275">
        <f t="shared" si="32"/>
        <v>0</v>
      </c>
      <c r="AC73" s="275">
        <f t="shared" si="32"/>
        <v>0</v>
      </c>
      <c r="AD73" s="275">
        <f t="shared" si="32"/>
        <v>0</v>
      </c>
      <c r="AE73" s="275">
        <f t="shared" si="32"/>
        <v>0</v>
      </c>
      <c r="AF73" s="275">
        <f t="shared" si="32"/>
        <v>0</v>
      </c>
      <c r="AG73" s="275">
        <f t="shared" si="32"/>
        <v>0</v>
      </c>
      <c r="AH73" s="275">
        <f t="shared" si="32"/>
        <v>0</v>
      </c>
      <c r="AI73" s="275">
        <f t="shared" si="32"/>
        <v>13451</v>
      </c>
      <c r="AJ73" s="276">
        <f t="shared" si="24"/>
        <v>-171769</v>
      </c>
    </row>
    <row r="74" spans="1:38" ht="24" customHeight="1">
      <c r="A74" s="274"/>
      <c r="B74" s="274"/>
      <c r="C74" s="596" t="s">
        <v>135</v>
      </c>
      <c r="D74" s="501"/>
      <c r="E74" s="275">
        <f t="shared" ref="E74:AI74" si="33">SUM(E66,E68,E70,E72)</f>
        <v>-7681</v>
      </c>
      <c r="F74" s="275">
        <f t="shared" si="33"/>
        <v>0</v>
      </c>
      <c r="G74" s="275">
        <f t="shared" si="33"/>
        <v>0</v>
      </c>
      <c r="H74" s="275">
        <f t="shared" si="33"/>
        <v>0</v>
      </c>
      <c r="I74" s="275">
        <f t="shared" si="33"/>
        <v>0</v>
      </c>
      <c r="J74" s="275">
        <f t="shared" si="33"/>
        <v>0</v>
      </c>
      <c r="K74" s="275">
        <f t="shared" si="33"/>
        <v>0</v>
      </c>
      <c r="L74" s="275">
        <f t="shared" si="33"/>
        <v>0</v>
      </c>
      <c r="M74" s="275">
        <f t="shared" si="33"/>
        <v>0</v>
      </c>
      <c r="N74" s="275">
        <f t="shared" si="33"/>
        <v>0</v>
      </c>
      <c r="O74" s="275">
        <f t="shared" si="33"/>
        <v>0</v>
      </c>
      <c r="P74" s="275">
        <f t="shared" si="33"/>
        <v>0</v>
      </c>
      <c r="Q74" s="275">
        <f t="shared" si="33"/>
        <v>0</v>
      </c>
      <c r="R74" s="275">
        <f t="shared" si="33"/>
        <v>0</v>
      </c>
      <c r="S74" s="275">
        <f t="shared" si="33"/>
        <v>0</v>
      </c>
      <c r="T74" s="275">
        <f t="shared" si="33"/>
        <v>0</v>
      </c>
      <c r="U74" s="275">
        <f t="shared" si="33"/>
        <v>0</v>
      </c>
      <c r="V74" s="275">
        <f t="shared" si="33"/>
        <v>0</v>
      </c>
      <c r="W74" s="275">
        <f t="shared" si="33"/>
        <v>0</v>
      </c>
      <c r="X74" s="275">
        <f t="shared" si="33"/>
        <v>0</v>
      </c>
      <c r="Y74" s="275">
        <f t="shared" si="33"/>
        <v>0</v>
      </c>
      <c r="Z74" s="275">
        <f t="shared" si="33"/>
        <v>0</v>
      </c>
      <c r="AA74" s="275">
        <f t="shared" si="33"/>
        <v>0</v>
      </c>
      <c r="AB74" s="275">
        <f t="shared" si="33"/>
        <v>0</v>
      </c>
      <c r="AC74" s="275">
        <f t="shared" si="33"/>
        <v>0</v>
      </c>
      <c r="AD74" s="275">
        <f t="shared" si="33"/>
        <v>0</v>
      </c>
      <c r="AE74" s="275">
        <f t="shared" si="33"/>
        <v>0</v>
      </c>
      <c r="AF74" s="275">
        <f t="shared" si="33"/>
        <v>0</v>
      </c>
      <c r="AG74" s="275">
        <f t="shared" si="33"/>
        <v>0</v>
      </c>
      <c r="AH74" s="275">
        <f t="shared" si="33"/>
        <v>0</v>
      </c>
      <c r="AI74" s="275">
        <f t="shared" si="33"/>
        <v>0</v>
      </c>
      <c r="AJ74" s="276">
        <f t="shared" si="24"/>
        <v>-7681</v>
      </c>
    </row>
    <row r="75" spans="1:38" ht="13.5" customHeight="1">
      <c r="A75" s="230">
        <v>1</v>
      </c>
      <c r="B75" s="230" t="s">
        <v>129</v>
      </c>
      <c r="C75" s="587" t="s">
        <v>123</v>
      </c>
      <c r="D75" s="501"/>
      <c r="E75" s="279">
        <f t="shared" ref="E75:AH75" si="34">E32-D32</f>
        <v>-381319</v>
      </c>
      <c r="F75" s="279">
        <f t="shared" si="34"/>
        <v>0</v>
      </c>
      <c r="G75" s="279">
        <f t="shared" si="34"/>
        <v>0</v>
      </c>
      <c r="H75" s="279">
        <f t="shared" si="34"/>
        <v>0</v>
      </c>
      <c r="I75" s="279">
        <f t="shared" si="34"/>
        <v>0</v>
      </c>
      <c r="J75" s="279">
        <f t="shared" si="34"/>
        <v>0</v>
      </c>
      <c r="K75" s="279">
        <f t="shared" si="34"/>
        <v>0</v>
      </c>
      <c r="L75" s="279">
        <f t="shared" si="34"/>
        <v>0</v>
      </c>
      <c r="M75" s="279">
        <f t="shared" si="34"/>
        <v>0</v>
      </c>
      <c r="N75" s="279">
        <f t="shared" si="34"/>
        <v>0</v>
      </c>
      <c r="O75" s="279">
        <f t="shared" si="34"/>
        <v>0</v>
      </c>
      <c r="P75" s="279">
        <f t="shared" si="34"/>
        <v>0</v>
      </c>
      <c r="Q75" s="279">
        <f t="shared" si="34"/>
        <v>0</v>
      </c>
      <c r="R75" s="279">
        <f t="shared" si="34"/>
        <v>0</v>
      </c>
      <c r="S75" s="279">
        <f t="shared" si="34"/>
        <v>0</v>
      </c>
      <c r="T75" s="279">
        <f t="shared" si="34"/>
        <v>0</v>
      </c>
      <c r="U75" s="279">
        <f t="shared" si="34"/>
        <v>0</v>
      </c>
      <c r="V75" s="279">
        <f t="shared" si="34"/>
        <v>0</v>
      </c>
      <c r="W75" s="279">
        <f t="shared" si="34"/>
        <v>0</v>
      </c>
      <c r="X75" s="279">
        <f t="shared" si="34"/>
        <v>0</v>
      </c>
      <c r="Y75" s="279">
        <f t="shared" si="34"/>
        <v>0</v>
      </c>
      <c r="Z75" s="279">
        <f t="shared" si="34"/>
        <v>0</v>
      </c>
      <c r="AA75" s="279">
        <f t="shared" si="34"/>
        <v>0</v>
      </c>
      <c r="AB75" s="279">
        <f t="shared" si="34"/>
        <v>0</v>
      </c>
      <c r="AC75" s="279">
        <f t="shared" si="34"/>
        <v>0</v>
      </c>
      <c r="AD75" s="279">
        <f t="shared" si="34"/>
        <v>0</v>
      </c>
      <c r="AE75" s="279">
        <f t="shared" si="34"/>
        <v>0</v>
      </c>
      <c r="AF75" s="279">
        <f t="shared" si="34"/>
        <v>0</v>
      </c>
      <c r="AG75" s="279">
        <f t="shared" si="34"/>
        <v>0</v>
      </c>
      <c r="AH75" s="279">
        <f t="shared" si="34"/>
        <v>0</v>
      </c>
      <c r="AI75" s="279">
        <f>AI32-D32</f>
        <v>7467</v>
      </c>
      <c r="AJ75" s="273">
        <f t="shared" si="24"/>
        <v>-373852</v>
      </c>
    </row>
    <row r="76" spans="1:38" ht="13.5" customHeight="1">
      <c r="A76" s="230">
        <v>2</v>
      </c>
      <c r="B76" s="230" t="s">
        <v>129</v>
      </c>
      <c r="C76" s="587" t="s">
        <v>124</v>
      </c>
      <c r="D76" s="501"/>
      <c r="E76" s="279">
        <f t="shared" ref="E76:AH76" si="35">E33-D33</f>
        <v>-358128</v>
      </c>
      <c r="F76" s="279">
        <f t="shared" si="35"/>
        <v>0</v>
      </c>
      <c r="G76" s="279">
        <f t="shared" si="35"/>
        <v>0</v>
      </c>
      <c r="H76" s="279">
        <f t="shared" si="35"/>
        <v>0</v>
      </c>
      <c r="I76" s="279">
        <f t="shared" si="35"/>
        <v>0</v>
      </c>
      <c r="J76" s="279">
        <f t="shared" si="35"/>
        <v>0</v>
      </c>
      <c r="K76" s="279">
        <f t="shared" si="35"/>
        <v>0</v>
      </c>
      <c r="L76" s="279">
        <f t="shared" si="35"/>
        <v>0</v>
      </c>
      <c r="M76" s="279">
        <f t="shared" si="35"/>
        <v>0</v>
      </c>
      <c r="N76" s="279">
        <f t="shared" si="35"/>
        <v>0</v>
      </c>
      <c r="O76" s="279">
        <f t="shared" si="35"/>
        <v>0</v>
      </c>
      <c r="P76" s="279">
        <f t="shared" si="35"/>
        <v>0</v>
      </c>
      <c r="Q76" s="279">
        <f t="shared" si="35"/>
        <v>0</v>
      </c>
      <c r="R76" s="279">
        <f t="shared" si="35"/>
        <v>0</v>
      </c>
      <c r="S76" s="279">
        <f t="shared" si="35"/>
        <v>0</v>
      </c>
      <c r="T76" s="279">
        <f t="shared" si="35"/>
        <v>0</v>
      </c>
      <c r="U76" s="279">
        <f t="shared" si="35"/>
        <v>0</v>
      </c>
      <c r="V76" s="279">
        <f t="shared" si="35"/>
        <v>0</v>
      </c>
      <c r="W76" s="279">
        <f t="shared" si="35"/>
        <v>0</v>
      </c>
      <c r="X76" s="279">
        <f t="shared" si="35"/>
        <v>0</v>
      </c>
      <c r="Y76" s="279">
        <f t="shared" si="35"/>
        <v>0</v>
      </c>
      <c r="Z76" s="279">
        <f t="shared" si="35"/>
        <v>0</v>
      </c>
      <c r="AA76" s="279">
        <f t="shared" si="35"/>
        <v>0</v>
      </c>
      <c r="AB76" s="279">
        <f t="shared" si="35"/>
        <v>0</v>
      </c>
      <c r="AC76" s="279">
        <f t="shared" si="35"/>
        <v>0</v>
      </c>
      <c r="AD76" s="279">
        <f t="shared" si="35"/>
        <v>0</v>
      </c>
      <c r="AE76" s="279">
        <f t="shared" si="35"/>
        <v>0</v>
      </c>
      <c r="AF76" s="279">
        <f t="shared" si="35"/>
        <v>0</v>
      </c>
      <c r="AG76" s="279">
        <f t="shared" si="35"/>
        <v>0</v>
      </c>
      <c r="AH76" s="279">
        <f t="shared" si="35"/>
        <v>0</v>
      </c>
      <c r="AI76" s="279">
        <f>AI33-D33</f>
        <v>6673</v>
      </c>
      <c r="AJ76" s="273">
        <f t="shared" si="24"/>
        <v>-351455</v>
      </c>
    </row>
    <row r="77" spans="1:38" ht="13.5" customHeight="1">
      <c r="A77" s="230">
        <v>3</v>
      </c>
      <c r="B77" s="230" t="s">
        <v>129</v>
      </c>
      <c r="C77" s="587" t="s">
        <v>125</v>
      </c>
      <c r="D77" s="501"/>
      <c r="E77" s="279">
        <f t="shared" ref="E77:AH77" si="36">E34-D34</f>
        <v>-379512</v>
      </c>
      <c r="F77" s="279">
        <f t="shared" si="36"/>
        <v>0</v>
      </c>
      <c r="G77" s="279">
        <f t="shared" si="36"/>
        <v>0</v>
      </c>
      <c r="H77" s="279">
        <f t="shared" si="36"/>
        <v>0</v>
      </c>
      <c r="I77" s="279">
        <f t="shared" si="36"/>
        <v>0</v>
      </c>
      <c r="J77" s="279">
        <f t="shared" si="36"/>
        <v>0</v>
      </c>
      <c r="K77" s="279">
        <f t="shared" si="36"/>
        <v>0</v>
      </c>
      <c r="L77" s="279">
        <f t="shared" si="36"/>
        <v>0</v>
      </c>
      <c r="M77" s="279">
        <f t="shared" si="36"/>
        <v>0</v>
      </c>
      <c r="N77" s="279">
        <f t="shared" si="36"/>
        <v>0</v>
      </c>
      <c r="O77" s="279">
        <f t="shared" si="36"/>
        <v>0</v>
      </c>
      <c r="P77" s="279">
        <f t="shared" si="36"/>
        <v>0</v>
      </c>
      <c r="Q77" s="279">
        <f t="shared" si="36"/>
        <v>0</v>
      </c>
      <c r="R77" s="279">
        <f t="shared" si="36"/>
        <v>0</v>
      </c>
      <c r="S77" s="279">
        <f t="shared" si="36"/>
        <v>0</v>
      </c>
      <c r="T77" s="279">
        <f t="shared" si="36"/>
        <v>0</v>
      </c>
      <c r="U77" s="279">
        <f t="shared" si="36"/>
        <v>0</v>
      </c>
      <c r="V77" s="279">
        <f t="shared" si="36"/>
        <v>0</v>
      </c>
      <c r="W77" s="279">
        <f t="shared" si="36"/>
        <v>0</v>
      </c>
      <c r="X77" s="279">
        <f t="shared" si="36"/>
        <v>0</v>
      </c>
      <c r="Y77" s="279">
        <f t="shared" si="36"/>
        <v>0</v>
      </c>
      <c r="Z77" s="279">
        <f t="shared" si="36"/>
        <v>0</v>
      </c>
      <c r="AA77" s="279">
        <f t="shared" si="36"/>
        <v>0</v>
      </c>
      <c r="AB77" s="279">
        <f t="shared" si="36"/>
        <v>0</v>
      </c>
      <c r="AC77" s="279">
        <f t="shared" si="36"/>
        <v>0</v>
      </c>
      <c r="AD77" s="279">
        <f t="shared" si="36"/>
        <v>0</v>
      </c>
      <c r="AE77" s="279">
        <f t="shared" si="36"/>
        <v>0</v>
      </c>
      <c r="AF77" s="279">
        <f t="shared" si="36"/>
        <v>0</v>
      </c>
      <c r="AG77" s="279">
        <f t="shared" si="36"/>
        <v>0</v>
      </c>
      <c r="AH77" s="279">
        <f t="shared" si="36"/>
        <v>0</v>
      </c>
      <c r="AI77" s="279">
        <f>AI34-D34</f>
        <v>11897</v>
      </c>
      <c r="AJ77" s="273">
        <f t="shared" si="24"/>
        <v>-367615</v>
      </c>
    </row>
    <row r="78" spans="1:38" ht="17.25" customHeight="1">
      <c r="A78" s="230">
        <v>4</v>
      </c>
      <c r="B78" s="230" t="s">
        <v>129</v>
      </c>
      <c r="C78" s="587" t="s">
        <v>126</v>
      </c>
      <c r="D78" s="501"/>
      <c r="E78" s="279">
        <f t="shared" ref="E78:AH78" si="37">E35-D35</f>
        <v>-412336</v>
      </c>
      <c r="F78" s="279">
        <f t="shared" si="37"/>
        <v>0</v>
      </c>
      <c r="G78" s="279">
        <f t="shared" si="37"/>
        <v>0</v>
      </c>
      <c r="H78" s="279">
        <f t="shared" si="37"/>
        <v>0</v>
      </c>
      <c r="I78" s="279">
        <f t="shared" si="37"/>
        <v>0</v>
      </c>
      <c r="J78" s="279">
        <f t="shared" si="37"/>
        <v>0</v>
      </c>
      <c r="K78" s="279">
        <f t="shared" si="37"/>
        <v>0</v>
      </c>
      <c r="L78" s="279">
        <f t="shared" si="37"/>
        <v>0</v>
      </c>
      <c r="M78" s="279">
        <f t="shared" si="37"/>
        <v>0</v>
      </c>
      <c r="N78" s="279">
        <f t="shared" si="37"/>
        <v>0</v>
      </c>
      <c r="O78" s="279">
        <f t="shared" si="37"/>
        <v>0</v>
      </c>
      <c r="P78" s="279">
        <f t="shared" si="37"/>
        <v>0</v>
      </c>
      <c r="Q78" s="279">
        <f t="shared" si="37"/>
        <v>0</v>
      </c>
      <c r="R78" s="279">
        <f t="shared" si="37"/>
        <v>0</v>
      </c>
      <c r="S78" s="279">
        <f t="shared" si="37"/>
        <v>0</v>
      </c>
      <c r="T78" s="279">
        <f t="shared" si="37"/>
        <v>0</v>
      </c>
      <c r="U78" s="279">
        <f t="shared" si="37"/>
        <v>0</v>
      </c>
      <c r="V78" s="279">
        <f t="shared" si="37"/>
        <v>0</v>
      </c>
      <c r="W78" s="279">
        <f t="shared" si="37"/>
        <v>0</v>
      </c>
      <c r="X78" s="279">
        <f t="shared" si="37"/>
        <v>0</v>
      </c>
      <c r="Y78" s="279">
        <f t="shared" si="37"/>
        <v>0</v>
      </c>
      <c r="Z78" s="279">
        <f t="shared" si="37"/>
        <v>0</v>
      </c>
      <c r="AA78" s="279">
        <f t="shared" si="37"/>
        <v>0</v>
      </c>
      <c r="AB78" s="279">
        <f t="shared" si="37"/>
        <v>0</v>
      </c>
      <c r="AC78" s="279">
        <f t="shared" si="37"/>
        <v>0</v>
      </c>
      <c r="AD78" s="279">
        <f t="shared" si="37"/>
        <v>0</v>
      </c>
      <c r="AE78" s="279">
        <f t="shared" si="37"/>
        <v>0</v>
      </c>
      <c r="AF78" s="279">
        <f t="shared" si="37"/>
        <v>0</v>
      </c>
      <c r="AG78" s="279">
        <f t="shared" si="37"/>
        <v>0</v>
      </c>
      <c r="AH78" s="279">
        <f t="shared" si="37"/>
        <v>0</v>
      </c>
      <c r="AI78" s="279">
        <f>AI35-D35</f>
        <v>9279</v>
      </c>
      <c r="AJ78" s="273">
        <f t="shared" si="24"/>
        <v>-403057</v>
      </c>
    </row>
    <row r="79" spans="1:38" ht="24.75" customHeight="1">
      <c r="A79" s="274"/>
      <c r="B79" s="274"/>
      <c r="C79" s="588" t="s">
        <v>136</v>
      </c>
      <c r="D79" s="501"/>
      <c r="E79" s="275">
        <f t="shared" ref="E79:AI79" si="38">SUM(E75:E78)</f>
        <v>-1531295</v>
      </c>
      <c r="F79" s="275">
        <f t="shared" si="38"/>
        <v>0</v>
      </c>
      <c r="G79" s="275">
        <f t="shared" si="38"/>
        <v>0</v>
      </c>
      <c r="H79" s="275">
        <f t="shared" si="38"/>
        <v>0</v>
      </c>
      <c r="I79" s="275">
        <f t="shared" si="38"/>
        <v>0</v>
      </c>
      <c r="J79" s="275">
        <f t="shared" si="38"/>
        <v>0</v>
      </c>
      <c r="K79" s="275">
        <f t="shared" si="38"/>
        <v>0</v>
      </c>
      <c r="L79" s="275">
        <f t="shared" si="38"/>
        <v>0</v>
      </c>
      <c r="M79" s="275">
        <f t="shared" si="38"/>
        <v>0</v>
      </c>
      <c r="N79" s="275">
        <f t="shared" si="38"/>
        <v>0</v>
      </c>
      <c r="O79" s="275">
        <f t="shared" si="38"/>
        <v>0</v>
      </c>
      <c r="P79" s="275">
        <f t="shared" si="38"/>
        <v>0</v>
      </c>
      <c r="Q79" s="275">
        <f t="shared" si="38"/>
        <v>0</v>
      </c>
      <c r="R79" s="275">
        <f t="shared" si="38"/>
        <v>0</v>
      </c>
      <c r="S79" s="275">
        <f t="shared" si="38"/>
        <v>0</v>
      </c>
      <c r="T79" s="275">
        <f t="shared" si="38"/>
        <v>0</v>
      </c>
      <c r="U79" s="275">
        <f t="shared" si="38"/>
        <v>0</v>
      </c>
      <c r="V79" s="275">
        <f t="shared" si="38"/>
        <v>0</v>
      </c>
      <c r="W79" s="275">
        <f t="shared" si="38"/>
        <v>0</v>
      </c>
      <c r="X79" s="275">
        <f t="shared" si="38"/>
        <v>0</v>
      </c>
      <c r="Y79" s="275">
        <f t="shared" si="38"/>
        <v>0</v>
      </c>
      <c r="Z79" s="275">
        <f t="shared" si="38"/>
        <v>0</v>
      </c>
      <c r="AA79" s="275">
        <f t="shared" si="38"/>
        <v>0</v>
      </c>
      <c r="AB79" s="275">
        <f t="shared" si="38"/>
        <v>0</v>
      </c>
      <c r="AC79" s="275">
        <f t="shared" si="38"/>
        <v>0</v>
      </c>
      <c r="AD79" s="275">
        <f t="shared" si="38"/>
        <v>0</v>
      </c>
      <c r="AE79" s="275">
        <f t="shared" si="38"/>
        <v>0</v>
      </c>
      <c r="AF79" s="275">
        <f t="shared" si="38"/>
        <v>0</v>
      </c>
      <c r="AG79" s="275">
        <f t="shared" si="38"/>
        <v>0</v>
      </c>
      <c r="AH79" s="275">
        <f t="shared" si="38"/>
        <v>0</v>
      </c>
      <c r="AI79" s="275">
        <f t="shared" si="38"/>
        <v>35316</v>
      </c>
      <c r="AJ79" s="284">
        <f t="shared" si="24"/>
        <v>-1495979</v>
      </c>
    </row>
    <row r="83" spans="1:36" ht="14.5" customHeight="1">
      <c r="A83" s="591"/>
      <c r="B83" s="526"/>
      <c r="C83" s="526"/>
      <c r="D83" s="527"/>
      <c r="E83" s="598" t="s">
        <v>164</v>
      </c>
      <c r="F83" s="526"/>
      <c r="G83" s="526"/>
      <c r="H83" s="526"/>
      <c r="I83" s="526"/>
      <c r="J83" s="526"/>
      <c r="K83" s="526"/>
      <c r="L83" s="526"/>
      <c r="M83" s="526"/>
      <c r="N83" s="526"/>
      <c r="O83" s="526"/>
      <c r="P83" s="526"/>
      <c r="Q83" s="526"/>
      <c r="R83" s="526"/>
      <c r="S83" s="526"/>
      <c r="T83" s="526"/>
      <c r="U83" s="526"/>
      <c r="V83" s="526"/>
      <c r="W83" s="526"/>
      <c r="X83" s="526"/>
      <c r="Y83" s="526"/>
      <c r="Z83" s="526"/>
      <c r="AA83" s="526"/>
      <c r="AB83" s="526"/>
      <c r="AC83" s="526"/>
      <c r="AD83" s="526"/>
      <c r="AE83" s="526"/>
      <c r="AF83" s="526"/>
      <c r="AG83" s="526"/>
      <c r="AH83" s="526"/>
      <c r="AI83" s="285"/>
    </row>
    <row r="84" spans="1:36">
      <c r="A84" s="586" t="s">
        <v>99</v>
      </c>
      <c r="B84" s="586" t="s">
        <v>100</v>
      </c>
      <c r="C84" s="580" t="s">
        <v>101</v>
      </c>
      <c r="D84" s="593" t="s">
        <v>102</v>
      </c>
      <c r="E84" s="224">
        <v>45992</v>
      </c>
      <c r="F84" s="224">
        <v>45993</v>
      </c>
      <c r="G84" s="224">
        <v>45994</v>
      </c>
      <c r="H84" s="224">
        <v>45995</v>
      </c>
      <c r="I84" s="224">
        <v>45996</v>
      </c>
      <c r="J84" s="224">
        <v>45997</v>
      </c>
      <c r="K84" s="224">
        <v>45998</v>
      </c>
      <c r="L84" s="224">
        <v>45999</v>
      </c>
      <c r="M84" s="224">
        <v>46000</v>
      </c>
      <c r="N84" s="224">
        <v>46001</v>
      </c>
      <c r="O84" s="224">
        <v>46002</v>
      </c>
      <c r="P84" s="224">
        <v>46003</v>
      </c>
      <c r="Q84" s="224">
        <v>46004</v>
      </c>
      <c r="R84" s="224">
        <v>46005</v>
      </c>
      <c r="S84" s="224">
        <v>46006</v>
      </c>
      <c r="T84" s="224">
        <v>46007</v>
      </c>
      <c r="U84" s="224">
        <v>46008</v>
      </c>
      <c r="V84" s="224">
        <v>46009</v>
      </c>
      <c r="W84" s="224">
        <v>46010</v>
      </c>
      <c r="X84" s="224">
        <v>46011</v>
      </c>
      <c r="Y84" s="224">
        <v>46012</v>
      </c>
      <c r="Z84" s="224">
        <v>46013</v>
      </c>
      <c r="AA84" s="224">
        <v>46014</v>
      </c>
      <c r="AB84" s="224">
        <v>46015</v>
      </c>
      <c r="AC84" s="224">
        <v>46016</v>
      </c>
      <c r="AD84" s="224">
        <v>46017</v>
      </c>
      <c r="AE84" s="224">
        <v>46018</v>
      </c>
      <c r="AF84" s="224">
        <v>46019</v>
      </c>
      <c r="AG84" s="224">
        <v>46020</v>
      </c>
      <c r="AH84" s="224">
        <v>46021</v>
      </c>
      <c r="AI84" s="224">
        <v>46022</v>
      </c>
    </row>
    <row r="85" spans="1:36">
      <c r="A85" s="511"/>
      <c r="B85" s="511"/>
      <c r="C85" s="511"/>
      <c r="D85" s="511"/>
      <c r="E85" s="225" t="s">
        <v>106</v>
      </c>
      <c r="F85" s="225" t="s">
        <v>107</v>
      </c>
      <c r="G85" s="225" t="s">
        <v>108</v>
      </c>
      <c r="H85" s="225" t="s">
        <v>109</v>
      </c>
      <c r="I85" s="225" t="s">
        <v>103</v>
      </c>
      <c r="J85" s="225" t="s">
        <v>104</v>
      </c>
      <c r="K85" s="225" t="s">
        <v>105</v>
      </c>
      <c r="L85" s="225" t="s">
        <v>106</v>
      </c>
      <c r="M85" s="225" t="s">
        <v>107</v>
      </c>
      <c r="N85" s="225" t="s">
        <v>108</v>
      </c>
      <c r="O85" s="225" t="s">
        <v>109</v>
      </c>
      <c r="P85" s="225" t="s">
        <v>103</v>
      </c>
      <c r="Q85" s="225" t="s">
        <v>104</v>
      </c>
      <c r="R85" s="225" t="s">
        <v>105</v>
      </c>
      <c r="S85" s="225" t="s">
        <v>106</v>
      </c>
      <c r="T85" s="225" t="s">
        <v>107</v>
      </c>
      <c r="U85" s="225" t="s">
        <v>108</v>
      </c>
      <c r="V85" s="225" t="s">
        <v>109</v>
      </c>
      <c r="W85" s="225" t="s">
        <v>103</v>
      </c>
      <c r="X85" s="225" t="s">
        <v>104</v>
      </c>
      <c r="Y85" s="225" t="s">
        <v>105</v>
      </c>
      <c r="Z85" s="225" t="s">
        <v>106</v>
      </c>
      <c r="AA85" s="225" t="s">
        <v>107</v>
      </c>
      <c r="AB85" s="225" t="s">
        <v>108</v>
      </c>
      <c r="AC85" s="225" t="s">
        <v>109</v>
      </c>
      <c r="AD85" s="225" t="s">
        <v>103</v>
      </c>
      <c r="AE85" s="225" t="s">
        <v>104</v>
      </c>
      <c r="AF85" s="225" t="s">
        <v>105</v>
      </c>
      <c r="AG85" s="225" t="s">
        <v>106</v>
      </c>
      <c r="AH85" s="225" t="s">
        <v>107</v>
      </c>
      <c r="AI85" s="225" t="s">
        <v>108</v>
      </c>
    </row>
    <row r="86" spans="1:36">
      <c r="A86" s="511"/>
      <c r="B86" s="511"/>
      <c r="C86" s="511"/>
      <c r="D86" s="511"/>
      <c r="E86" s="226" t="s">
        <v>110</v>
      </c>
      <c r="F86" s="226" t="s">
        <v>110</v>
      </c>
      <c r="G86" s="226" t="s">
        <v>110</v>
      </c>
      <c r="H86" s="226" t="s">
        <v>110</v>
      </c>
      <c r="I86" s="226" t="s">
        <v>110</v>
      </c>
      <c r="J86" s="226" t="s">
        <v>110</v>
      </c>
      <c r="K86" s="226" t="s">
        <v>110</v>
      </c>
      <c r="L86" s="226" t="s">
        <v>110</v>
      </c>
      <c r="M86" s="226" t="s">
        <v>110</v>
      </c>
      <c r="N86" s="226" t="s">
        <v>110</v>
      </c>
      <c r="O86" s="226" t="s">
        <v>110</v>
      </c>
      <c r="P86" s="226" t="s">
        <v>110</v>
      </c>
      <c r="Q86" s="226" t="s">
        <v>110</v>
      </c>
      <c r="R86" s="226" t="s">
        <v>110</v>
      </c>
      <c r="S86" s="226" t="s">
        <v>110</v>
      </c>
      <c r="T86" s="226" t="s">
        <v>110</v>
      </c>
      <c r="U86" s="226" t="s">
        <v>110</v>
      </c>
      <c r="V86" s="226" t="s">
        <v>110</v>
      </c>
      <c r="W86" s="226" t="s">
        <v>110</v>
      </c>
      <c r="X86" s="226" t="s">
        <v>110</v>
      </c>
      <c r="Y86" s="226" t="s">
        <v>110</v>
      </c>
      <c r="Z86" s="226" t="s">
        <v>110</v>
      </c>
      <c r="AA86" s="226" t="s">
        <v>110</v>
      </c>
      <c r="AB86" s="226" t="s">
        <v>110</v>
      </c>
      <c r="AC86" s="226" t="s">
        <v>110</v>
      </c>
      <c r="AD86" s="226" t="s">
        <v>110</v>
      </c>
      <c r="AE86" s="226" t="s">
        <v>110</v>
      </c>
      <c r="AF86" s="226" t="s">
        <v>110</v>
      </c>
      <c r="AG86" s="226" t="s">
        <v>110</v>
      </c>
      <c r="AH86" s="226" t="s">
        <v>110</v>
      </c>
      <c r="AI86" s="226" t="s">
        <v>110</v>
      </c>
    </row>
    <row r="87" spans="1:36">
      <c r="A87" s="512"/>
      <c r="B87" s="512"/>
      <c r="C87" s="512"/>
      <c r="D87" s="512"/>
      <c r="E87" s="228">
        <v>0.33333333333333331</v>
      </c>
      <c r="F87" s="228">
        <v>0.33333333333333331</v>
      </c>
      <c r="G87" s="228">
        <v>0.33333333333333331</v>
      </c>
      <c r="H87" s="228">
        <v>0.33333333333333331</v>
      </c>
      <c r="I87" s="228">
        <v>0.33333333333333331</v>
      </c>
      <c r="J87" s="228">
        <v>0.33333333333333331</v>
      </c>
      <c r="K87" s="228">
        <v>0.33333333333333331</v>
      </c>
      <c r="L87" s="228">
        <v>0.33333333333333331</v>
      </c>
      <c r="M87" s="228">
        <v>0.33333333333333331</v>
      </c>
      <c r="N87" s="228">
        <v>0.33333333333333331</v>
      </c>
      <c r="O87" s="228">
        <v>0.33333333333333331</v>
      </c>
      <c r="P87" s="228">
        <v>0.33333333333333331</v>
      </c>
      <c r="Q87" s="228">
        <v>0.33333333333333331</v>
      </c>
      <c r="R87" s="228">
        <v>0.33333333333333331</v>
      </c>
      <c r="S87" s="228">
        <v>0.33333333333333331</v>
      </c>
      <c r="T87" s="228">
        <v>0.33333333333333331</v>
      </c>
      <c r="U87" s="228">
        <v>0.33333333333333331</v>
      </c>
      <c r="V87" s="228">
        <v>0.33333333333333331</v>
      </c>
      <c r="W87" s="228">
        <v>0.33333333333333331</v>
      </c>
      <c r="X87" s="228">
        <v>0.33333333333333331</v>
      </c>
      <c r="Y87" s="228">
        <v>0.33333333333333331</v>
      </c>
      <c r="Z87" s="228">
        <v>0.33333333333333331</v>
      </c>
      <c r="AA87" s="228">
        <v>0.33333333333333331</v>
      </c>
      <c r="AB87" s="228">
        <v>0.33333333333333331</v>
      </c>
      <c r="AC87" s="228">
        <v>0.33333333333333331</v>
      </c>
      <c r="AD87" s="228">
        <v>0.33333333333333331</v>
      </c>
      <c r="AE87" s="228">
        <v>0.33333333333333331</v>
      </c>
      <c r="AF87" s="228">
        <v>0.33333333333333331</v>
      </c>
      <c r="AG87" s="228">
        <v>0.33333333333333331</v>
      </c>
      <c r="AH87" s="228">
        <v>0.33333333333333331</v>
      </c>
      <c r="AI87" s="228">
        <v>0.33333333333333331</v>
      </c>
    </row>
    <row r="88" spans="1:36" s="287" customFormat="1" ht="12" customHeight="1">
      <c r="A88" s="233">
        <v>1</v>
      </c>
      <c r="B88" s="286" t="s">
        <v>150</v>
      </c>
      <c r="C88" s="286" t="s">
        <v>151</v>
      </c>
      <c r="D88" s="286">
        <v>1528</v>
      </c>
      <c r="E88" s="286">
        <v>1550</v>
      </c>
      <c r="F88" s="286">
        <v>1550</v>
      </c>
      <c r="G88" s="286">
        <v>1562</v>
      </c>
      <c r="H88" s="286">
        <v>1578</v>
      </c>
      <c r="I88" s="286">
        <v>1600</v>
      </c>
      <c r="J88" s="286">
        <v>1600</v>
      </c>
      <c r="K88" s="286">
        <v>1600</v>
      </c>
      <c r="L88" s="286">
        <v>1620</v>
      </c>
      <c r="M88" s="286">
        <v>1620</v>
      </c>
      <c r="N88" s="286">
        <v>1645</v>
      </c>
      <c r="O88" s="286">
        <v>1671</v>
      </c>
      <c r="P88" s="286">
        <v>1682</v>
      </c>
      <c r="Q88" s="286">
        <v>1682</v>
      </c>
      <c r="R88" s="286">
        <v>1682</v>
      </c>
      <c r="S88" s="286">
        <v>1682</v>
      </c>
      <c r="T88" s="286">
        <v>1682</v>
      </c>
      <c r="U88" s="286">
        <v>1682</v>
      </c>
      <c r="V88" s="286">
        <v>1694</v>
      </c>
      <c r="W88" s="286">
        <v>1694</v>
      </c>
      <c r="X88" s="286">
        <v>1694</v>
      </c>
      <c r="Y88" s="286">
        <v>1694</v>
      </c>
      <c r="Z88" s="286">
        <v>1694</v>
      </c>
      <c r="AA88" s="286">
        <v>1694</v>
      </c>
      <c r="AB88" s="286">
        <v>1703</v>
      </c>
      <c r="AC88" s="286">
        <v>1703</v>
      </c>
      <c r="AD88" s="286">
        <v>1703</v>
      </c>
      <c r="AE88" s="286">
        <v>1703</v>
      </c>
      <c r="AF88" s="286">
        <v>1703</v>
      </c>
      <c r="AG88" s="286">
        <v>1703</v>
      </c>
      <c r="AH88" s="286">
        <v>1703</v>
      </c>
      <c r="AI88" s="286">
        <v>1703</v>
      </c>
    </row>
    <row r="90" spans="1:36">
      <c r="A90" s="583" t="s">
        <v>99</v>
      </c>
      <c r="B90" s="583" t="s">
        <v>100</v>
      </c>
      <c r="C90" s="583" t="s">
        <v>101</v>
      </c>
      <c r="D90" s="517"/>
      <c r="E90" s="269">
        <f t="shared" ref="E90:AI90" si="39">E84</f>
        <v>45992</v>
      </c>
      <c r="F90" s="269">
        <f t="shared" si="39"/>
        <v>45993</v>
      </c>
      <c r="G90" s="269">
        <f t="shared" si="39"/>
        <v>45994</v>
      </c>
      <c r="H90" s="269">
        <f t="shared" si="39"/>
        <v>45995</v>
      </c>
      <c r="I90" s="269">
        <f t="shared" si="39"/>
        <v>45996</v>
      </c>
      <c r="J90" s="269">
        <f t="shared" si="39"/>
        <v>45997</v>
      </c>
      <c r="K90" s="269">
        <f t="shared" si="39"/>
        <v>45998</v>
      </c>
      <c r="L90" s="269">
        <f t="shared" si="39"/>
        <v>45999</v>
      </c>
      <c r="M90" s="269">
        <f t="shared" si="39"/>
        <v>46000</v>
      </c>
      <c r="N90" s="269">
        <f t="shared" si="39"/>
        <v>46001</v>
      </c>
      <c r="O90" s="269">
        <f t="shared" si="39"/>
        <v>46002</v>
      </c>
      <c r="P90" s="269">
        <f t="shared" si="39"/>
        <v>46003</v>
      </c>
      <c r="Q90" s="269">
        <f t="shared" si="39"/>
        <v>46004</v>
      </c>
      <c r="R90" s="269">
        <f t="shared" si="39"/>
        <v>46005</v>
      </c>
      <c r="S90" s="269">
        <f t="shared" si="39"/>
        <v>46006</v>
      </c>
      <c r="T90" s="269">
        <f t="shared" si="39"/>
        <v>46007</v>
      </c>
      <c r="U90" s="269">
        <f t="shared" si="39"/>
        <v>46008</v>
      </c>
      <c r="V90" s="269">
        <f t="shared" si="39"/>
        <v>46009</v>
      </c>
      <c r="W90" s="269">
        <f t="shared" si="39"/>
        <v>46010</v>
      </c>
      <c r="X90" s="269">
        <f t="shared" si="39"/>
        <v>46011</v>
      </c>
      <c r="Y90" s="269">
        <f t="shared" si="39"/>
        <v>46012</v>
      </c>
      <c r="Z90" s="269">
        <f t="shared" si="39"/>
        <v>46013</v>
      </c>
      <c r="AA90" s="269">
        <f t="shared" si="39"/>
        <v>46014</v>
      </c>
      <c r="AB90" s="269">
        <f t="shared" si="39"/>
        <v>46015</v>
      </c>
      <c r="AC90" s="269">
        <f t="shared" si="39"/>
        <v>46016</v>
      </c>
      <c r="AD90" s="269">
        <f t="shared" si="39"/>
        <v>46017</v>
      </c>
      <c r="AE90" s="269">
        <f t="shared" si="39"/>
        <v>46018</v>
      </c>
      <c r="AF90" s="269">
        <f t="shared" si="39"/>
        <v>46019</v>
      </c>
      <c r="AG90" s="269">
        <f t="shared" si="39"/>
        <v>46020</v>
      </c>
      <c r="AH90" s="269">
        <f t="shared" si="39"/>
        <v>46021</v>
      </c>
      <c r="AI90" s="269">
        <f t="shared" si="39"/>
        <v>46022</v>
      </c>
      <c r="AJ90" s="583" t="s">
        <v>1</v>
      </c>
    </row>
    <row r="91" spans="1:36">
      <c r="A91" s="508"/>
      <c r="B91" s="508"/>
      <c r="C91" s="518"/>
      <c r="D91" s="519"/>
      <c r="E91" s="225" t="s">
        <v>106</v>
      </c>
      <c r="F91" s="225" t="s">
        <v>107</v>
      </c>
      <c r="G91" s="225" t="s">
        <v>108</v>
      </c>
      <c r="H91" s="225" t="s">
        <v>109</v>
      </c>
      <c r="I91" s="225" t="s">
        <v>103</v>
      </c>
      <c r="J91" s="225" t="s">
        <v>104</v>
      </c>
      <c r="K91" s="225" t="s">
        <v>105</v>
      </c>
      <c r="L91" s="225" t="s">
        <v>106</v>
      </c>
      <c r="M91" s="225" t="s">
        <v>107</v>
      </c>
      <c r="N91" s="225" t="s">
        <v>108</v>
      </c>
      <c r="O91" s="225" t="s">
        <v>109</v>
      </c>
      <c r="P91" s="225" t="s">
        <v>103</v>
      </c>
      <c r="Q91" s="225" t="s">
        <v>104</v>
      </c>
      <c r="R91" s="225" t="s">
        <v>105</v>
      </c>
      <c r="S91" s="225" t="s">
        <v>106</v>
      </c>
      <c r="T91" s="225" t="s">
        <v>107</v>
      </c>
      <c r="U91" s="225" t="s">
        <v>108</v>
      </c>
      <c r="V91" s="225" t="s">
        <v>109</v>
      </c>
      <c r="W91" s="225" t="s">
        <v>103</v>
      </c>
      <c r="X91" s="225" t="s">
        <v>104</v>
      </c>
      <c r="Y91" s="225" t="s">
        <v>105</v>
      </c>
      <c r="Z91" s="225" t="s">
        <v>106</v>
      </c>
      <c r="AA91" s="225" t="s">
        <v>107</v>
      </c>
      <c r="AB91" s="225" t="s">
        <v>108</v>
      </c>
      <c r="AC91" s="225" t="s">
        <v>109</v>
      </c>
      <c r="AD91" s="225" t="s">
        <v>103</v>
      </c>
      <c r="AE91" s="225" t="s">
        <v>104</v>
      </c>
      <c r="AF91" s="225" t="s">
        <v>105</v>
      </c>
      <c r="AG91" s="225" t="s">
        <v>106</v>
      </c>
      <c r="AH91" s="225" t="s">
        <v>107</v>
      </c>
      <c r="AI91" s="225" t="s">
        <v>108</v>
      </c>
      <c r="AJ91" s="508"/>
    </row>
    <row r="92" spans="1:36">
      <c r="A92" s="508"/>
      <c r="B92" s="508"/>
      <c r="C92" s="518"/>
      <c r="D92" s="519"/>
      <c r="E92" s="270" t="s">
        <v>110</v>
      </c>
      <c r="F92" s="270" t="s">
        <v>110</v>
      </c>
      <c r="G92" s="270" t="s">
        <v>110</v>
      </c>
      <c r="H92" s="270" t="s">
        <v>110</v>
      </c>
      <c r="I92" s="270" t="s">
        <v>110</v>
      </c>
      <c r="J92" s="270" t="s">
        <v>110</v>
      </c>
      <c r="K92" s="270" t="s">
        <v>110</v>
      </c>
      <c r="L92" s="270" t="s">
        <v>110</v>
      </c>
      <c r="M92" s="270" t="s">
        <v>110</v>
      </c>
      <c r="N92" s="270" t="s">
        <v>110</v>
      </c>
      <c r="O92" s="270" t="s">
        <v>110</v>
      </c>
      <c r="P92" s="270" t="s">
        <v>110</v>
      </c>
      <c r="Q92" s="270" t="s">
        <v>110</v>
      </c>
      <c r="R92" s="270" t="s">
        <v>110</v>
      </c>
      <c r="S92" s="270" t="s">
        <v>110</v>
      </c>
      <c r="T92" s="270" t="s">
        <v>110</v>
      </c>
      <c r="U92" s="270" t="s">
        <v>110</v>
      </c>
      <c r="V92" s="270" t="s">
        <v>110</v>
      </c>
      <c r="W92" s="270" t="s">
        <v>110</v>
      </c>
      <c r="X92" s="270" t="s">
        <v>110</v>
      </c>
      <c r="Y92" s="270" t="s">
        <v>110</v>
      </c>
      <c r="Z92" s="270" t="s">
        <v>110</v>
      </c>
      <c r="AA92" s="270" t="s">
        <v>110</v>
      </c>
      <c r="AB92" s="270" t="s">
        <v>110</v>
      </c>
      <c r="AC92" s="270" t="s">
        <v>110</v>
      </c>
      <c r="AD92" s="270" t="s">
        <v>110</v>
      </c>
      <c r="AE92" s="270" t="s">
        <v>110</v>
      </c>
      <c r="AF92" s="270" t="s">
        <v>110</v>
      </c>
      <c r="AG92" s="270" t="s">
        <v>110</v>
      </c>
      <c r="AH92" s="270" t="s">
        <v>110</v>
      </c>
      <c r="AI92" s="270" t="s">
        <v>110</v>
      </c>
      <c r="AJ92" s="508"/>
    </row>
    <row r="93" spans="1:36">
      <c r="A93" s="509"/>
      <c r="B93" s="509"/>
      <c r="C93" s="520"/>
      <c r="D93" s="521"/>
      <c r="E93" s="271">
        <v>0.33333333333333331</v>
      </c>
      <c r="F93" s="271">
        <v>0.33333333333333331</v>
      </c>
      <c r="G93" s="271">
        <v>0.33333333333333331</v>
      </c>
      <c r="H93" s="271">
        <v>0.33333333333333331</v>
      </c>
      <c r="I93" s="271">
        <v>0.33333333333333331</v>
      </c>
      <c r="J93" s="271">
        <v>0.33333333333333331</v>
      </c>
      <c r="K93" s="271">
        <v>0.33333333333333331</v>
      </c>
      <c r="L93" s="271">
        <v>0.33333333333333331</v>
      </c>
      <c r="M93" s="271">
        <v>0.33333333333333331</v>
      </c>
      <c r="N93" s="271">
        <v>0.33333333333333331</v>
      </c>
      <c r="O93" s="271">
        <v>0.33333333333333331</v>
      </c>
      <c r="P93" s="271">
        <v>0.33333333333333331</v>
      </c>
      <c r="Q93" s="271">
        <v>0.33333333333333331</v>
      </c>
      <c r="R93" s="271">
        <v>0.33333333333333331</v>
      </c>
      <c r="S93" s="271">
        <v>0.33333333333333331</v>
      </c>
      <c r="T93" s="271">
        <v>0.33333333333333331</v>
      </c>
      <c r="U93" s="271">
        <v>0.33333333333333331</v>
      </c>
      <c r="V93" s="271">
        <v>0.33333333333333331</v>
      </c>
      <c r="W93" s="271">
        <v>0.33333333333333331</v>
      </c>
      <c r="X93" s="271">
        <v>0.33333333333333331</v>
      </c>
      <c r="Y93" s="271">
        <v>0.33333333333333331</v>
      </c>
      <c r="Z93" s="271">
        <v>0.33333333333333331</v>
      </c>
      <c r="AA93" s="271">
        <v>0.33333333333333331</v>
      </c>
      <c r="AB93" s="271">
        <v>0.33333333333333331</v>
      </c>
      <c r="AC93" s="271">
        <v>0.33333333333333331</v>
      </c>
      <c r="AD93" s="271">
        <v>0.33333333333333331</v>
      </c>
      <c r="AE93" s="271">
        <v>0.33333333333333331</v>
      </c>
      <c r="AF93" s="271">
        <v>0.33333333333333331</v>
      </c>
      <c r="AG93" s="271">
        <v>0.33333333333333331</v>
      </c>
      <c r="AH93" s="271">
        <v>0.33333333333333331</v>
      </c>
      <c r="AI93" s="271">
        <v>0.33333333333333331</v>
      </c>
      <c r="AJ93" s="509"/>
    </row>
    <row r="94" spans="1:36" s="290" customFormat="1" ht="14.5" customHeight="1">
      <c r="A94" s="288">
        <v>1</v>
      </c>
      <c r="B94" s="289" t="s">
        <v>150</v>
      </c>
      <c r="C94" s="589" t="s">
        <v>151</v>
      </c>
      <c r="D94" s="501"/>
      <c r="E94" s="272">
        <f t="shared" ref="E94:AH94" si="40">E88-D88</f>
        <v>22</v>
      </c>
      <c r="F94" s="272">
        <f t="shared" si="40"/>
        <v>0</v>
      </c>
      <c r="G94" s="272">
        <f t="shared" si="40"/>
        <v>12</v>
      </c>
      <c r="H94" s="272">
        <f t="shared" si="40"/>
        <v>16</v>
      </c>
      <c r="I94" s="272">
        <f t="shared" si="40"/>
        <v>22</v>
      </c>
      <c r="J94" s="272">
        <f t="shared" si="40"/>
        <v>0</v>
      </c>
      <c r="K94" s="272">
        <f t="shared" si="40"/>
        <v>0</v>
      </c>
      <c r="L94" s="272">
        <f t="shared" si="40"/>
        <v>20</v>
      </c>
      <c r="M94" s="272">
        <f t="shared" si="40"/>
        <v>0</v>
      </c>
      <c r="N94" s="272">
        <f t="shared" si="40"/>
        <v>25</v>
      </c>
      <c r="O94" s="272">
        <f t="shared" si="40"/>
        <v>26</v>
      </c>
      <c r="P94" s="272">
        <f t="shared" si="40"/>
        <v>11</v>
      </c>
      <c r="Q94" s="272">
        <f t="shared" si="40"/>
        <v>0</v>
      </c>
      <c r="R94" s="272">
        <f t="shared" si="40"/>
        <v>0</v>
      </c>
      <c r="S94" s="272">
        <f t="shared" si="40"/>
        <v>0</v>
      </c>
      <c r="T94" s="272">
        <f t="shared" si="40"/>
        <v>0</v>
      </c>
      <c r="U94" s="272">
        <f t="shared" si="40"/>
        <v>0</v>
      </c>
      <c r="V94" s="272">
        <f t="shared" si="40"/>
        <v>12</v>
      </c>
      <c r="W94" s="272">
        <f t="shared" si="40"/>
        <v>0</v>
      </c>
      <c r="X94" s="272">
        <f t="shared" si="40"/>
        <v>0</v>
      </c>
      <c r="Y94" s="272">
        <f t="shared" si="40"/>
        <v>0</v>
      </c>
      <c r="Z94" s="272">
        <f t="shared" si="40"/>
        <v>0</v>
      </c>
      <c r="AA94" s="272">
        <f t="shared" si="40"/>
        <v>0</v>
      </c>
      <c r="AB94" s="272">
        <f t="shared" si="40"/>
        <v>9</v>
      </c>
      <c r="AC94" s="272">
        <f t="shared" si="40"/>
        <v>0</v>
      </c>
      <c r="AD94" s="272">
        <f t="shared" si="40"/>
        <v>0</v>
      </c>
      <c r="AE94" s="272">
        <f t="shared" si="40"/>
        <v>0</v>
      </c>
      <c r="AF94" s="272">
        <f t="shared" si="40"/>
        <v>0</v>
      </c>
      <c r="AG94" s="272">
        <f t="shared" si="40"/>
        <v>0</v>
      </c>
      <c r="AH94" s="272">
        <f t="shared" si="40"/>
        <v>0</v>
      </c>
      <c r="AI94" s="272"/>
      <c r="AJ94" s="272">
        <f>SUM(E94:AH94)</f>
        <v>175</v>
      </c>
    </row>
  </sheetData>
  <mergeCells count="59">
    <mergeCell ref="E83:AH83"/>
    <mergeCell ref="C62:D62"/>
    <mergeCell ref="C68:D68"/>
    <mergeCell ref="B2:B5"/>
    <mergeCell ref="C79:D79"/>
    <mergeCell ref="B38:D38"/>
    <mergeCell ref="D2:D5"/>
    <mergeCell ref="C90:D93"/>
    <mergeCell ref="A31:AJ31"/>
    <mergeCell ref="B39:D39"/>
    <mergeCell ref="AJ90:AJ93"/>
    <mergeCell ref="C40:D43"/>
    <mergeCell ref="C58:D58"/>
    <mergeCell ref="C45:D45"/>
    <mergeCell ref="AJ2:AJ5"/>
    <mergeCell ref="C74:D74"/>
    <mergeCell ref="C64:D64"/>
    <mergeCell ref="C77:D77"/>
    <mergeCell ref="AJ40:AJ43"/>
    <mergeCell ref="A84:A87"/>
    <mergeCell ref="A90:A93"/>
    <mergeCell ref="C84:C87"/>
    <mergeCell ref="C73:D73"/>
    <mergeCell ref="C47:D47"/>
    <mergeCell ref="C54:D54"/>
    <mergeCell ref="A83:D83"/>
    <mergeCell ref="B90:B93"/>
    <mergeCell ref="D84:D87"/>
    <mergeCell ref="C94:D94"/>
    <mergeCell ref="C65:D65"/>
    <mergeCell ref="C55:D55"/>
    <mergeCell ref="C50:D50"/>
    <mergeCell ref="C44:D44"/>
    <mergeCell ref="C75:D75"/>
    <mergeCell ref="C56:D56"/>
    <mergeCell ref="C72:D72"/>
    <mergeCell ref="C67:D67"/>
    <mergeCell ref="C57:D57"/>
    <mergeCell ref="C66:D66"/>
    <mergeCell ref="C53:D53"/>
    <mergeCell ref="C78:D78"/>
    <mergeCell ref="C69:D69"/>
    <mergeCell ref="C49:D49"/>
    <mergeCell ref="A40:A43"/>
    <mergeCell ref="C59:D59"/>
    <mergeCell ref="A1:BM1"/>
    <mergeCell ref="B84:B87"/>
    <mergeCell ref="C46:D46"/>
    <mergeCell ref="A22:AJ22"/>
    <mergeCell ref="B40:B43"/>
    <mergeCell ref="C60:D60"/>
    <mergeCell ref="C51:D51"/>
    <mergeCell ref="A2:A5"/>
    <mergeCell ref="C76:D76"/>
    <mergeCell ref="C71:D71"/>
    <mergeCell ref="C2:C5"/>
    <mergeCell ref="C52:D52"/>
    <mergeCell ref="C70:D70"/>
    <mergeCell ref="C48:D48"/>
  </mergeCells>
  <pageMargins left="0.7" right="0.7" top="0.75" bottom="0.75" header="0.3" footer="0.3"/>
  <pageSetup paperSize="9" orientation="portrait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K94"/>
  <sheetViews>
    <sheetView topLeftCell="AD58" workbookViewId="0">
      <selection sqref="A1:D1"/>
    </sheetView>
  </sheetViews>
  <sheetFormatPr defaultRowHeight="14.5"/>
  <cols>
    <col min="1" max="1" width="14" customWidth="1"/>
    <col min="2" max="2" width="27" bestFit="1" customWidth="1"/>
    <col min="3" max="3" width="32" customWidth="1"/>
    <col min="4" max="4" width="20" customWidth="1"/>
    <col min="5" max="5" width="34" customWidth="1"/>
    <col min="6" max="34" width="23" customWidth="1"/>
    <col min="35" max="37" width="18" customWidth="1"/>
  </cols>
  <sheetData>
    <row r="1" spans="1:35" ht="26" customHeight="1">
      <c r="A1" s="573"/>
      <c r="B1" s="526"/>
      <c r="C1" s="526"/>
      <c r="D1" s="527"/>
      <c r="E1" s="581" t="s">
        <v>165</v>
      </c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  <c r="AI1" s="50"/>
    </row>
    <row r="2" spans="1:35">
      <c r="A2" s="510" t="s">
        <v>99</v>
      </c>
      <c r="B2" s="510" t="s">
        <v>100</v>
      </c>
      <c r="C2" s="580" t="s">
        <v>101</v>
      </c>
      <c r="D2" s="572" t="s">
        <v>102</v>
      </c>
      <c r="E2" s="51">
        <v>45962</v>
      </c>
      <c r="F2" s="51">
        <v>45963</v>
      </c>
      <c r="G2" s="51">
        <v>45964</v>
      </c>
      <c r="H2" s="51">
        <v>45965</v>
      </c>
      <c r="I2" s="51">
        <v>45966</v>
      </c>
      <c r="J2" s="51">
        <v>45967</v>
      </c>
      <c r="K2" s="51">
        <v>45968</v>
      </c>
      <c r="L2" s="51">
        <v>45969</v>
      </c>
      <c r="M2" s="51">
        <v>45970</v>
      </c>
      <c r="N2" s="51">
        <v>45971</v>
      </c>
      <c r="O2" s="51">
        <v>45972</v>
      </c>
      <c r="P2" s="51">
        <v>45973</v>
      </c>
      <c r="Q2" s="51">
        <v>45974</v>
      </c>
      <c r="R2" s="51">
        <v>45975</v>
      </c>
      <c r="S2" s="51">
        <v>45976</v>
      </c>
      <c r="T2" s="51">
        <v>45977</v>
      </c>
      <c r="U2" s="51">
        <v>45978</v>
      </c>
      <c r="V2" s="51">
        <v>45979</v>
      </c>
      <c r="W2" s="51">
        <v>45980</v>
      </c>
      <c r="X2" s="51">
        <v>45981</v>
      </c>
      <c r="Y2" s="51">
        <v>45982</v>
      </c>
      <c r="Z2" s="51">
        <v>45983</v>
      </c>
      <c r="AA2" s="51">
        <v>45984</v>
      </c>
      <c r="AB2" s="51">
        <v>45985</v>
      </c>
      <c r="AC2" s="51">
        <v>45986</v>
      </c>
      <c r="AD2" s="51">
        <v>45987</v>
      </c>
      <c r="AE2" s="51">
        <v>45988</v>
      </c>
      <c r="AF2" s="51">
        <v>45989</v>
      </c>
      <c r="AG2" s="51">
        <v>45990</v>
      </c>
      <c r="AH2" s="51">
        <v>45991</v>
      </c>
      <c r="AI2" s="514" t="s">
        <v>1</v>
      </c>
    </row>
    <row r="3" spans="1:35">
      <c r="A3" s="511"/>
      <c r="B3" s="511"/>
      <c r="C3" s="511"/>
      <c r="D3" s="511"/>
      <c r="E3" s="96" t="s">
        <v>108</v>
      </c>
      <c r="F3" s="96" t="s">
        <v>109</v>
      </c>
      <c r="G3" s="96" t="s">
        <v>103</v>
      </c>
      <c r="H3" s="96" t="s">
        <v>104</v>
      </c>
      <c r="I3" s="96" t="s">
        <v>105</v>
      </c>
      <c r="J3" s="96" t="s">
        <v>106</v>
      </c>
      <c r="K3" s="96" t="s">
        <v>107</v>
      </c>
      <c r="L3" s="96" t="s">
        <v>108</v>
      </c>
      <c r="M3" s="96" t="s">
        <v>109</v>
      </c>
      <c r="N3" s="96" t="s">
        <v>103</v>
      </c>
      <c r="O3" s="96" t="s">
        <v>104</v>
      </c>
      <c r="P3" s="96" t="s">
        <v>105</v>
      </c>
      <c r="Q3" s="96" t="s">
        <v>106</v>
      </c>
      <c r="R3" s="96" t="s">
        <v>107</v>
      </c>
      <c r="S3" s="96" t="s">
        <v>108</v>
      </c>
      <c r="T3" s="96" t="s">
        <v>109</v>
      </c>
      <c r="U3" s="96" t="s">
        <v>103</v>
      </c>
      <c r="V3" s="96" t="s">
        <v>104</v>
      </c>
      <c r="W3" s="96" t="s">
        <v>105</v>
      </c>
      <c r="X3" s="96" t="s">
        <v>106</v>
      </c>
      <c r="Y3" s="96" t="s">
        <v>107</v>
      </c>
      <c r="Z3" s="96" t="s">
        <v>108</v>
      </c>
      <c r="AA3" s="96" t="s">
        <v>109</v>
      </c>
      <c r="AB3" s="96" t="s">
        <v>103</v>
      </c>
      <c r="AC3" s="96" t="s">
        <v>104</v>
      </c>
      <c r="AD3" s="96" t="s">
        <v>105</v>
      </c>
      <c r="AE3" s="96" t="s">
        <v>106</v>
      </c>
      <c r="AF3" s="96" t="s">
        <v>107</v>
      </c>
      <c r="AG3" s="96" t="s">
        <v>108</v>
      </c>
      <c r="AH3" s="96" t="s">
        <v>109</v>
      </c>
      <c r="AI3" s="511"/>
    </row>
    <row r="4" spans="1:35">
      <c r="A4" s="511"/>
      <c r="B4" s="511"/>
      <c r="C4" s="511"/>
      <c r="D4" s="511"/>
      <c r="E4" s="52" t="s">
        <v>110</v>
      </c>
      <c r="F4" s="52" t="s">
        <v>110</v>
      </c>
      <c r="G4" s="52" t="s">
        <v>110</v>
      </c>
      <c r="H4" s="52" t="s">
        <v>110</v>
      </c>
      <c r="I4" s="52" t="s">
        <v>110</v>
      </c>
      <c r="J4" s="52" t="s">
        <v>110</v>
      </c>
      <c r="K4" s="52" t="s">
        <v>110</v>
      </c>
      <c r="L4" s="52" t="s">
        <v>110</v>
      </c>
      <c r="M4" s="52" t="s">
        <v>110</v>
      </c>
      <c r="N4" s="52" t="s">
        <v>110</v>
      </c>
      <c r="O4" s="52" t="s">
        <v>110</v>
      </c>
      <c r="P4" s="52" t="s">
        <v>110</v>
      </c>
      <c r="Q4" s="52" t="s">
        <v>110</v>
      </c>
      <c r="R4" s="52" t="s">
        <v>110</v>
      </c>
      <c r="S4" s="52" t="s">
        <v>110</v>
      </c>
      <c r="T4" s="52" t="s">
        <v>110</v>
      </c>
      <c r="U4" s="52" t="s">
        <v>110</v>
      </c>
      <c r="V4" s="52" t="s">
        <v>110</v>
      </c>
      <c r="W4" s="52" t="s">
        <v>110</v>
      </c>
      <c r="X4" s="52" t="s">
        <v>110</v>
      </c>
      <c r="Y4" s="52" t="s">
        <v>110</v>
      </c>
      <c r="Z4" s="52" t="s">
        <v>110</v>
      </c>
      <c r="AA4" s="52" t="s">
        <v>110</v>
      </c>
      <c r="AB4" s="52" t="s">
        <v>110</v>
      </c>
      <c r="AC4" s="52" t="s">
        <v>110</v>
      </c>
      <c r="AD4" s="52" t="s">
        <v>110</v>
      </c>
      <c r="AE4" s="52" t="s">
        <v>110</v>
      </c>
      <c r="AF4" s="52" t="s">
        <v>110</v>
      </c>
      <c r="AG4" s="52" t="s">
        <v>110</v>
      </c>
      <c r="AH4" s="52" t="s">
        <v>110</v>
      </c>
      <c r="AI4" s="511"/>
    </row>
    <row r="5" spans="1:35">
      <c r="A5" s="512"/>
      <c r="B5" s="512"/>
      <c r="C5" s="512"/>
      <c r="D5" s="512"/>
      <c r="E5" s="53">
        <v>0.33333333333333331</v>
      </c>
      <c r="F5" s="53">
        <v>0.33333333333333331</v>
      </c>
      <c r="G5" s="53">
        <v>0.33333333333333331</v>
      </c>
      <c r="H5" s="53">
        <v>0.33333333333333331</v>
      </c>
      <c r="I5" s="53">
        <v>0.33333333333333331</v>
      </c>
      <c r="J5" s="53">
        <v>0.33333333333333331</v>
      </c>
      <c r="K5" s="53">
        <v>0.33333333333333331</v>
      </c>
      <c r="L5" s="53">
        <v>0.33333333333333331</v>
      </c>
      <c r="M5" s="53">
        <v>0.33333333333333331</v>
      </c>
      <c r="N5" s="53">
        <v>0.33333333333333331</v>
      </c>
      <c r="O5" s="53">
        <v>0.33333333333333331</v>
      </c>
      <c r="P5" s="53">
        <v>0.33333333333333331</v>
      </c>
      <c r="Q5" s="53">
        <v>0.33333333333333331</v>
      </c>
      <c r="R5" s="53">
        <v>0.33333333333333331</v>
      </c>
      <c r="S5" s="53">
        <v>0.33333333333333331</v>
      </c>
      <c r="T5" s="53">
        <v>0.33333333333333331</v>
      </c>
      <c r="U5" s="53">
        <v>0.33333333333333331</v>
      </c>
      <c r="V5" s="53">
        <v>0.33333333333333331</v>
      </c>
      <c r="W5" s="53">
        <v>0.33333333333333331</v>
      </c>
      <c r="X5" s="53">
        <v>0.33333333333333331</v>
      </c>
      <c r="Y5" s="53">
        <v>0.33333333333333331</v>
      </c>
      <c r="Z5" s="53">
        <v>0.33333333333333331</v>
      </c>
      <c r="AA5" s="53">
        <v>0.33333333333333331</v>
      </c>
      <c r="AB5" s="199">
        <v>0.33333333333333331</v>
      </c>
      <c r="AC5" s="53">
        <v>0.33333333333333331</v>
      </c>
      <c r="AD5" s="53">
        <v>0.33333333333333331</v>
      </c>
      <c r="AE5" s="53">
        <v>0.33333333333333331</v>
      </c>
      <c r="AF5" s="53">
        <v>0.33333333333333331</v>
      </c>
      <c r="AG5" s="53">
        <v>0.33333333333333331</v>
      </c>
      <c r="AH5" s="53">
        <v>0.33333333333333331</v>
      </c>
      <c r="AI5" s="512"/>
    </row>
    <row r="6" spans="1:35">
      <c r="A6" s="48">
        <v>1</v>
      </c>
      <c r="B6" s="4" t="s">
        <v>129</v>
      </c>
      <c r="C6" s="139" t="s">
        <v>111</v>
      </c>
      <c r="D6" s="209">
        <v>152751</v>
      </c>
      <c r="E6" s="48">
        <v>152969</v>
      </c>
      <c r="F6" s="48">
        <v>153180</v>
      </c>
      <c r="G6" s="48">
        <v>153462</v>
      </c>
      <c r="H6" s="48">
        <v>153738</v>
      </c>
      <c r="I6" s="48">
        <v>153964</v>
      </c>
      <c r="J6" s="48">
        <v>154249</v>
      </c>
      <c r="K6" s="48">
        <v>154547</v>
      </c>
      <c r="L6" s="48">
        <v>154735</v>
      </c>
      <c r="M6" s="48">
        <v>154928</v>
      </c>
      <c r="N6" s="48">
        <v>155230</v>
      </c>
      <c r="O6" s="58">
        <v>155506</v>
      </c>
      <c r="P6" s="184">
        <v>155775</v>
      </c>
      <c r="Q6" s="48">
        <v>156033</v>
      </c>
      <c r="R6" s="59">
        <v>156288</v>
      </c>
      <c r="S6" s="4">
        <v>156514</v>
      </c>
      <c r="T6" s="4">
        <v>156727</v>
      </c>
      <c r="U6" s="4">
        <v>156979</v>
      </c>
      <c r="V6" s="125">
        <v>157237</v>
      </c>
      <c r="W6" s="4">
        <v>157497</v>
      </c>
      <c r="X6" s="4">
        <v>157752</v>
      </c>
      <c r="Y6" s="4">
        <v>157997</v>
      </c>
      <c r="Z6" s="4">
        <v>158215</v>
      </c>
      <c r="AA6" s="58">
        <v>158425</v>
      </c>
      <c r="AB6" s="58">
        <v>158680</v>
      </c>
      <c r="AC6" s="58">
        <v>158934</v>
      </c>
      <c r="AD6" s="4">
        <v>159188</v>
      </c>
      <c r="AE6" s="4">
        <v>159441</v>
      </c>
      <c r="AF6" s="4">
        <v>159689</v>
      </c>
      <c r="AG6" s="48">
        <v>159902</v>
      </c>
      <c r="AH6" s="169">
        <v>160014</v>
      </c>
      <c r="AI6" s="57">
        <f t="shared" ref="AI6:AI21" si="0">AH6-D6</f>
        <v>7263</v>
      </c>
    </row>
    <row r="7" spans="1:35">
      <c r="A7" s="8"/>
      <c r="B7" s="8"/>
      <c r="C7" s="140" t="s">
        <v>22</v>
      </c>
      <c r="D7" s="130">
        <v>4279</v>
      </c>
      <c r="E7" s="128">
        <v>4279</v>
      </c>
      <c r="F7" s="128">
        <v>4279</v>
      </c>
      <c r="G7" s="128">
        <v>4279</v>
      </c>
      <c r="H7" s="128">
        <v>4279</v>
      </c>
      <c r="I7" s="128">
        <v>4279</v>
      </c>
      <c r="J7" s="128">
        <v>4279</v>
      </c>
      <c r="K7" s="128">
        <v>4279</v>
      </c>
      <c r="L7" s="128">
        <v>4279</v>
      </c>
      <c r="M7" s="128">
        <v>4279</v>
      </c>
      <c r="N7" s="8">
        <v>4279</v>
      </c>
      <c r="O7" s="8">
        <v>4279</v>
      </c>
      <c r="P7" s="8">
        <v>4279</v>
      </c>
      <c r="Q7" s="8">
        <v>4279</v>
      </c>
      <c r="R7" s="8">
        <v>4279</v>
      </c>
      <c r="S7" s="8">
        <v>4279</v>
      </c>
      <c r="T7" s="8">
        <v>4279</v>
      </c>
      <c r="U7" s="8">
        <v>4279</v>
      </c>
      <c r="V7" s="8">
        <v>4279</v>
      </c>
      <c r="W7" s="8">
        <v>4279</v>
      </c>
      <c r="X7" s="8">
        <v>4279</v>
      </c>
      <c r="Y7" s="8">
        <v>4279</v>
      </c>
      <c r="Z7" s="8">
        <v>4279</v>
      </c>
      <c r="AA7" s="8">
        <v>4279</v>
      </c>
      <c r="AB7" s="8">
        <v>4279</v>
      </c>
      <c r="AC7" s="8">
        <v>4279</v>
      </c>
      <c r="AD7" s="8">
        <v>4279</v>
      </c>
      <c r="AE7" s="8">
        <v>4279</v>
      </c>
      <c r="AF7" s="8">
        <v>4279</v>
      </c>
      <c r="AG7" s="8">
        <v>4279</v>
      </c>
      <c r="AH7" s="128">
        <v>4279</v>
      </c>
      <c r="AI7" s="57">
        <f t="shared" si="0"/>
        <v>0</v>
      </c>
    </row>
    <row r="8" spans="1:35">
      <c r="A8" s="4">
        <v>2</v>
      </c>
      <c r="B8" s="4" t="s">
        <v>129</v>
      </c>
      <c r="C8" s="141" t="s">
        <v>112</v>
      </c>
      <c r="D8" s="210">
        <v>1956</v>
      </c>
      <c r="E8" s="58">
        <v>1956</v>
      </c>
      <c r="F8" s="58">
        <v>1956</v>
      </c>
      <c r="G8" s="58">
        <v>1956</v>
      </c>
      <c r="H8" s="58">
        <v>1956</v>
      </c>
      <c r="I8" s="58">
        <v>1956</v>
      </c>
      <c r="J8" s="4">
        <v>1956</v>
      </c>
      <c r="K8" s="4">
        <v>1956</v>
      </c>
      <c r="L8" s="4">
        <v>1956</v>
      </c>
      <c r="M8" s="4">
        <v>1956</v>
      </c>
      <c r="N8" s="4">
        <v>1956</v>
      </c>
      <c r="O8" s="4">
        <v>1956</v>
      </c>
      <c r="P8" s="4">
        <v>1956</v>
      </c>
      <c r="Q8" s="4">
        <v>1956</v>
      </c>
      <c r="R8" s="4">
        <v>1956</v>
      </c>
      <c r="S8" s="4">
        <v>1956</v>
      </c>
      <c r="T8" s="4">
        <v>1956</v>
      </c>
      <c r="U8" s="4">
        <v>1956</v>
      </c>
      <c r="V8" s="4">
        <v>1956</v>
      </c>
      <c r="W8" s="4">
        <v>1956</v>
      </c>
      <c r="X8" s="4">
        <v>1956</v>
      </c>
      <c r="Y8" s="4">
        <v>1956</v>
      </c>
      <c r="Z8" s="4">
        <v>1956</v>
      </c>
      <c r="AA8" s="4">
        <v>1956</v>
      </c>
      <c r="AB8" s="4">
        <v>1956</v>
      </c>
      <c r="AC8" s="4">
        <v>1956</v>
      </c>
      <c r="AD8" s="4">
        <v>1956</v>
      </c>
      <c r="AE8" s="4">
        <v>1956</v>
      </c>
      <c r="AF8" s="4">
        <v>1956</v>
      </c>
      <c r="AG8" s="4">
        <v>1956</v>
      </c>
      <c r="AH8" s="58">
        <v>1956</v>
      </c>
      <c r="AI8" s="57">
        <f t="shared" si="0"/>
        <v>0</v>
      </c>
    </row>
    <row r="9" spans="1:35">
      <c r="A9" s="4"/>
      <c r="B9" s="4"/>
      <c r="C9" s="140" t="s">
        <v>22</v>
      </c>
      <c r="D9" s="210">
        <v>28.6</v>
      </c>
      <c r="E9" s="58">
        <v>28.6</v>
      </c>
      <c r="F9" s="58">
        <v>28.6</v>
      </c>
      <c r="G9" s="58">
        <v>28.6</v>
      </c>
      <c r="H9" s="58">
        <v>28.6</v>
      </c>
      <c r="I9" s="58">
        <v>28.6</v>
      </c>
      <c r="J9" s="58">
        <v>28.6</v>
      </c>
      <c r="K9" s="58">
        <v>28.6</v>
      </c>
      <c r="L9" s="58">
        <v>28.6</v>
      </c>
      <c r="M9" s="58">
        <v>28.6</v>
      </c>
      <c r="N9" s="4">
        <v>28.6</v>
      </c>
      <c r="O9" s="4">
        <v>28.6</v>
      </c>
      <c r="P9" s="4">
        <v>28.6</v>
      </c>
      <c r="Q9" s="4">
        <v>28.6</v>
      </c>
      <c r="R9" s="4">
        <v>28.6</v>
      </c>
      <c r="S9" s="4">
        <v>28.6</v>
      </c>
      <c r="T9" s="4">
        <v>28.6</v>
      </c>
      <c r="U9" s="4">
        <v>28.6</v>
      </c>
      <c r="V9" s="4">
        <v>28.6</v>
      </c>
      <c r="W9" s="4">
        <v>28.6</v>
      </c>
      <c r="X9" s="4">
        <v>28.6</v>
      </c>
      <c r="Y9" s="4">
        <v>28.6</v>
      </c>
      <c r="Z9" s="4">
        <v>28.6</v>
      </c>
      <c r="AA9" s="4">
        <v>28.6</v>
      </c>
      <c r="AB9" s="4">
        <v>28.6</v>
      </c>
      <c r="AC9" s="4">
        <v>28.6</v>
      </c>
      <c r="AD9" s="4">
        <v>28.6</v>
      </c>
      <c r="AE9" s="4">
        <v>28.6</v>
      </c>
      <c r="AF9" s="4">
        <v>28.6</v>
      </c>
      <c r="AG9" s="4">
        <v>28.6</v>
      </c>
      <c r="AH9" s="58">
        <v>28.6</v>
      </c>
      <c r="AI9" s="57">
        <f t="shared" si="0"/>
        <v>0</v>
      </c>
    </row>
    <row r="10" spans="1:35">
      <c r="A10" s="4">
        <v>3</v>
      </c>
      <c r="B10" s="4" t="s">
        <v>129</v>
      </c>
      <c r="C10" s="141" t="s">
        <v>113</v>
      </c>
      <c r="D10" s="130">
        <v>222574</v>
      </c>
      <c r="E10" s="4">
        <v>222865</v>
      </c>
      <c r="F10" s="4">
        <v>223147</v>
      </c>
      <c r="G10" s="4">
        <v>223568</v>
      </c>
      <c r="H10" s="4">
        <v>223979</v>
      </c>
      <c r="I10" s="4">
        <v>224288</v>
      </c>
      <c r="J10" s="4">
        <v>224724</v>
      </c>
      <c r="K10" s="4">
        <v>225163</v>
      </c>
      <c r="L10" s="4">
        <v>225414</v>
      </c>
      <c r="M10" s="4">
        <v>225695</v>
      </c>
      <c r="N10" s="4">
        <v>226122</v>
      </c>
      <c r="O10" s="4">
        <v>226532</v>
      </c>
      <c r="P10" s="4">
        <v>226924</v>
      </c>
      <c r="Q10" s="4">
        <v>227301</v>
      </c>
      <c r="R10" s="4">
        <v>227669</v>
      </c>
      <c r="S10" s="4">
        <v>227977</v>
      </c>
      <c r="T10" s="4">
        <v>228262</v>
      </c>
      <c r="U10" s="4">
        <v>228629</v>
      </c>
      <c r="V10" s="4">
        <v>229004</v>
      </c>
      <c r="W10" s="4">
        <v>229387</v>
      </c>
      <c r="X10" s="4">
        <v>229744</v>
      </c>
      <c r="Y10" s="4">
        <v>230108</v>
      </c>
      <c r="Z10" s="4">
        <v>230400</v>
      </c>
      <c r="AA10" s="58">
        <v>230685</v>
      </c>
      <c r="AB10" s="58">
        <v>231053</v>
      </c>
      <c r="AC10" s="58">
        <v>231420</v>
      </c>
      <c r="AD10" s="4">
        <v>231787</v>
      </c>
      <c r="AE10" s="8">
        <v>232148</v>
      </c>
      <c r="AF10" s="8">
        <v>232503</v>
      </c>
      <c r="AG10" s="8">
        <v>232792</v>
      </c>
      <c r="AH10" s="128">
        <v>232941</v>
      </c>
      <c r="AI10" s="57">
        <f t="shared" si="0"/>
        <v>10367</v>
      </c>
    </row>
    <row r="11" spans="1:35">
      <c r="A11" s="4"/>
      <c r="B11" s="4"/>
      <c r="C11" s="140" t="s">
        <v>22</v>
      </c>
      <c r="D11" s="210">
        <v>6406</v>
      </c>
      <c r="E11" s="58">
        <v>6406</v>
      </c>
      <c r="F11" s="58">
        <v>6406</v>
      </c>
      <c r="G11" s="58">
        <v>6406</v>
      </c>
      <c r="H11" s="58">
        <v>6406</v>
      </c>
      <c r="I11" s="58">
        <v>6406</v>
      </c>
      <c r="J11" s="58">
        <v>6406</v>
      </c>
      <c r="K11" s="58">
        <v>6406</v>
      </c>
      <c r="L11" s="58">
        <v>6406</v>
      </c>
      <c r="M11" s="58">
        <v>6406</v>
      </c>
      <c r="N11" s="4">
        <v>6406</v>
      </c>
      <c r="O11" s="4">
        <v>6406</v>
      </c>
      <c r="P11" s="4">
        <v>6406</v>
      </c>
      <c r="Q11" s="4">
        <v>6406</v>
      </c>
      <c r="R11" s="4">
        <v>6406</v>
      </c>
      <c r="S11" s="4">
        <v>6406</v>
      </c>
      <c r="T11" s="4">
        <v>6406</v>
      </c>
      <c r="U11" s="4">
        <v>6406</v>
      </c>
      <c r="V11" s="4">
        <v>6406</v>
      </c>
      <c r="W11" s="4">
        <v>6406</v>
      </c>
      <c r="X11" s="4">
        <v>6406</v>
      </c>
      <c r="Y11" s="4">
        <v>6406</v>
      </c>
      <c r="Z11" s="4">
        <v>6406</v>
      </c>
      <c r="AA11" s="4">
        <v>6406</v>
      </c>
      <c r="AB11" s="4">
        <v>6406</v>
      </c>
      <c r="AC11" s="4">
        <v>6406</v>
      </c>
      <c r="AD11" s="4">
        <v>6406</v>
      </c>
      <c r="AE11" s="4">
        <v>6406</v>
      </c>
      <c r="AF11" s="4">
        <v>6406</v>
      </c>
      <c r="AG11" s="4">
        <v>6406</v>
      </c>
      <c r="AH11" s="58">
        <v>6406</v>
      </c>
      <c r="AI11" s="57">
        <f t="shared" si="0"/>
        <v>0</v>
      </c>
    </row>
    <row r="12" spans="1:35">
      <c r="A12" s="4">
        <v>4</v>
      </c>
      <c r="B12" s="4" t="s">
        <v>129</v>
      </c>
      <c r="C12" s="141" t="s">
        <v>114</v>
      </c>
      <c r="D12" s="210">
        <v>0</v>
      </c>
      <c r="E12" s="58">
        <v>0</v>
      </c>
      <c r="F12" s="58">
        <v>0</v>
      </c>
      <c r="G12" s="58">
        <v>0</v>
      </c>
      <c r="H12" s="58">
        <v>0</v>
      </c>
      <c r="I12" s="58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58">
        <v>0</v>
      </c>
      <c r="AI12" s="57">
        <f t="shared" si="0"/>
        <v>0</v>
      </c>
    </row>
    <row r="13" spans="1:35">
      <c r="A13" s="4"/>
      <c r="B13" s="4"/>
      <c r="C13" s="140" t="s">
        <v>22</v>
      </c>
      <c r="D13" s="211">
        <v>0</v>
      </c>
      <c r="E13" s="205">
        <v>0</v>
      </c>
      <c r="F13" s="205">
        <v>0</v>
      </c>
      <c r="G13" s="205">
        <v>0</v>
      </c>
      <c r="H13" s="205">
        <v>0</v>
      </c>
      <c r="I13" s="205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58">
        <v>0</v>
      </c>
      <c r="AI13" s="57">
        <f t="shared" si="0"/>
        <v>0</v>
      </c>
    </row>
    <row r="14" spans="1:35">
      <c r="A14" s="4">
        <v>5</v>
      </c>
      <c r="B14" s="4" t="s">
        <v>129</v>
      </c>
      <c r="C14" s="213" t="s">
        <v>115</v>
      </c>
      <c r="D14" s="55">
        <v>110988</v>
      </c>
      <c r="E14" s="59">
        <v>111165</v>
      </c>
      <c r="F14" s="4">
        <v>111338</v>
      </c>
      <c r="G14" s="4">
        <v>111626</v>
      </c>
      <c r="H14" s="4">
        <v>111905</v>
      </c>
      <c r="I14" s="4">
        <v>112108</v>
      </c>
      <c r="J14" s="4">
        <v>112408</v>
      </c>
      <c r="K14" s="4">
        <v>112694</v>
      </c>
      <c r="L14" s="4">
        <v>112832</v>
      </c>
      <c r="M14" s="4">
        <v>112996</v>
      </c>
      <c r="N14" s="4">
        <v>113278</v>
      </c>
      <c r="O14" s="4">
        <v>113540</v>
      </c>
      <c r="P14" s="4">
        <v>113800</v>
      </c>
      <c r="Q14" s="4">
        <v>114045</v>
      </c>
      <c r="R14" s="4">
        <v>114277</v>
      </c>
      <c r="S14" s="4">
        <v>114443</v>
      </c>
      <c r="T14" s="4">
        <v>114603</v>
      </c>
      <c r="U14" s="33">
        <v>114850</v>
      </c>
      <c r="V14" s="4">
        <v>115103</v>
      </c>
      <c r="W14" s="4">
        <v>115366</v>
      </c>
      <c r="X14" s="4">
        <v>115609</v>
      </c>
      <c r="Y14" s="4">
        <v>115848</v>
      </c>
      <c r="Z14" s="4">
        <v>116019</v>
      </c>
      <c r="AA14" s="58">
        <v>116177</v>
      </c>
      <c r="AB14" s="58">
        <v>116426</v>
      </c>
      <c r="AC14" s="58">
        <v>116670</v>
      </c>
      <c r="AD14" s="4">
        <v>116922</v>
      </c>
      <c r="AE14" s="33">
        <v>117173</v>
      </c>
      <c r="AF14" s="33">
        <v>117418</v>
      </c>
      <c r="AG14" s="33">
        <v>117588</v>
      </c>
      <c r="AH14" s="200">
        <v>117671</v>
      </c>
      <c r="AI14" s="57">
        <f t="shared" si="0"/>
        <v>6683</v>
      </c>
    </row>
    <row r="15" spans="1:35">
      <c r="A15" s="4"/>
      <c r="B15" s="4"/>
      <c r="C15" s="214" t="s">
        <v>22</v>
      </c>
      <c r="D15" s="55">
        <v>3276</v>
      </c>
      <c r="E15" s="215">
        <v>3277</v>
      </c>
      <c r="F15" s="215">
        <v>3277</v>
      </c>
      <c r="G15" s="215">
        <v>3277</v>
      </c>
      <c r="H15" s="215">
        <v>3277</v>
      </c>
      <c r="I15" s="215">
        <v>3277</v>
      </c>
      <c r="J15" s="215">
        <v>3277</v>
      </c>
      <c r="K15" s="215">
        <v>3277</v>
      </c>
      <c r="L15" s="215">
        <v>3277</v>
      </c>
      <c r="M15" s="215">
        <v>3277</v>
      </c>
      <c r="N15" s="60">
        <v>3277</v>
      </c>
      <c r="O15" s="60">
        <v>3277</v>
      </c>
      <c r="P15" s="60">
        <v>3277</v>
      </c>
      <c r="Q15" s="60">
        <v>3277</v>
      </c>
      <c r="R15" s="60">
        <v>3277</v>
      </c>
      <c r="S15" s="60">
        <v>3277</v>
      </c>
      <c r="T15" s="60">
        <v>3277</v>
      </c>
      <c r="U15" s="60">
        <v>3277</v>
      </c>
      <c r="V15" s="60">
        <v>3277</v>
      </c>
      <c r="W15" s="60">
        <v>3277</v>
      </c>
      <c r="X15" s="60">
        <v>3277</v>
      </c>
      <c r="Y15" s="60">
        <v>3277</v>
      </c>
      <c r="Z15" s="60">
        <v>3277</v>
      </c>
      <c r="AA15" s="60">
        <v>3277</v>
      </c>
      <c r="AB15" s="60">
        <v>3277</v>
      </c>
      <c r="AC15" s="60">
        <v>3277</v>
      </c>
      <c r="AD15" s="60">
        <v>3277</v>
      </c>
      <c r="AE15" s="60">
        <v>3277</v>
      </c>
      <c r="AF15" s="60">
        <v>3277</v>
      </c>
      <c r="AG15" s="60">
        <v>3277</v>
      </c>
      <c r="AH15" s="205">
        <v>3277</v>
      </c>
      <c r="AI15" s="57">
        <f t="shared" si="0"/>
        <v>1</v>
      </c>
    </row>
    <row r="16" spans="1:35">
      <c r="A16" s="4">
        <v>6</v>
      </c>
      <c r="B16" s="4" t="s">
        <v>129</v>
      </c>
      <c r="C16" s="213" t="s">
        <v>142</v>
      </c>
      <c r="D16" s="55">
        <v>129622</v>
      </c>
      <c r="E16" s="216">
        <v>129731</v>
      </c>
      <c r="F16" s="58">
        <v>129821</v>
      </c>
      <c r="G16" s="48">
        <v>130068</v>
      </c>
      <c r="H16" s="59">
        <v>130324</v>
      </c>
      <c r="I16" s="4">
        <v>130444</v>
      </c>
      <c r="J16" s="4">
        <v>130717</v>
      </c>
      <c r="K16" s="58">
        <v>130967</v>
      </c>
      <c r="L16" s="127">
        <v>131059</v>
      </c>
      <c r="M16" s="178">
        <v>131129</v>
      </c>
      <c r="N16" s="178">
        <v>131383</v>
      </c>
      <c r="O16" s="178">
        <v>131622</v>
      </c>
      <c r="P16" s="178">
        <v>131875</v>
      </c>
      <c r="Q16" s="179">
        <v>132097</v>
      </c>
      <c r="R16" s="178">
        <v>132338</v>
      </c>
      <c r="S16" s="59">
        <v>132457</v>
      </c>
      <c r="T16" s="4">
        <v>132544</v>
      </c>
      <c r="U16" s="4">
        <v>132768</v>
      </c>
      <c r="V16" s="4">
        <v>133023</v>
      </c>
      <c r="W16" s="4">
        <v>133255</v>
      </c>
      <c r="X16" s="4">
        <v>133493</v>
      </c>
      <c r="Y16" s="4">
        <v>133735</v>
      </c>
      <c r="Z16" s="4">
        <v>133863</v>
      </c>
      <c r="AA16" s="58">
        <v>133939</v>
      </c>
      <c r="AB16" s="58">
        <v>134195</v>
      </c>
      <c r="AC16" s="58">
        <v>134414</v>
      </c>
      <c r="AD16" s="58">
        <v>134663</v>
      </c>
      <c r="AE16" s="48">
        <v>134904</v>
      </c>
      <c r="AF16" s="48">
        <v>135144</v>
      </c>
      <c r="AG16" s="48">
        <v>135248</v>
      </c>
      <c r="AH16" s="169">
        <v>135314</v>
      </c>
      <c r="AI16" s="57">
        <f t="shared" si="0"/>
        <v>5692</v>
      </c>
    </row>
    <row r="17" spans="1:35">
      <c r="A17" s="4"/>
      <c r="B17" s="4"/>
      <c r="C17" s="214" t="s">
        <v>22</v>
      </c>
      <c r="D17" s="55">
        <v>4262</v>
      </c>
      <c r="E17" s="129">
        <v>4262</v>
      </c>
      <c r="F17" s="129">
        <v>4262</v>
      </c>
      <c r="G17" s="129">
        <v>4262</v>
      </c>
      <c r="H17" s="129">
        <v>4262</v>
      </c>
      <c r="I17" s="129">
        <v>4262</v>
      </c>
      <c r="J17" s="129">
        <v>4262</v>
      </c>
      <c r="K17" s="129">
        <v>4262</v>
      </c>
      <c r="L17" s="129">
        <v>4262</v>
      </c>
      <c r="M17" s="129">
        <v>4262</v>
      </c>
      <c r="N17" s="129">
        <v>4262</v>
      </c>
      <c r="O17" s="129">
        <v>4262</v>
      </c>
      <c r="P17" s="129">
        <v>4262</v>
      </c>
      <c r="Q17" s="129">
        <v>4262</v>
      </c>
      <c r="R17" s="129">
        <v>4262</v>
      </c>
      <c r="S17" s="129">
        <v>4262</v>
      </c>
      <c r="T17" s="129">
        <v>4262</v>
      </c>
      <c r="U17" s="129">
        <v>4262</v>
      </c>
      <c r="V17" s="129">
        <v>4262</v>
      </c>
      <c r="W17" s="129">
        <v>4262</v>
      </c>
      <c r="X17" s="129">
        <v>4262</v>
      </c>
      <c r="Y17" s="129">
        <v>4262</v>
      </c>
      <c r="Z17" s="129">
        <v>4262</v>
      </c>
      <c r="AA17" s="129">
        <v>4262</v>
      </c>
      <c r="AB17" s="129">
        <v>4262</v>
      </c>
      <c r="AC17" s="129">
        <v>4262</v>
      </c>
      <c r="AD17" s="129">
        <v>4262</v>
      </c>
      <c r="AE17" s="129">
        <v>4262</v>
      </c>
      <c r="AF17" s="129">
        <v>4262</v>
      </c>
      <c r="AG17" s="129">
        <v>4262</v>
      </c>
      <c r="AH17" s="206">
        <v>4262</v>
      </c>
      <c r="AI17" s="57">
        <f t="shared" si="0"/>
        <v>0</v>
      </c>
    </row>
    <row r="18" spans="1:35">
      <c r="A18" s="4">
        <v>7</v>
      </c>
      <c r="B18" s="4" t="s">
        <v>129</v>
      </c>
      <c r="C18" s="141" t="s">
        <v>117</v>
      </c>
      <c r="D18" s="130">
        <v>421416</v>
      </c>
      <c r="E18" s="4">
        <v>422031</v>
      </c>
      <c r="F18" s="4">
        <v>422568</v>
      </c>
      <c r="G18" s="4">
        <v>423347</v>
      </c>
      <c r="H18" s="4">
        <v>424139</v>
      </c>
      <c r="I18" s="4">
        <v>424789</v>
      </c>
      <c r="J18" s="4">
        <v>425565</v>
      </c>
      <c r="K18" s="4">
        <v>426414</v>
      </c>
      <c r="L18" s="4">
        <v>426862</v>
      </c>
      <c r="M18" s="4">
        <v>427430</v>
      </c>
      <c r="N18" s="5">
        <v>428205</v>
      </c>
      <c r="O18" s="4">
        <v>429030</v>
      </c>
      <c r="P18" s="4">
        <v>429833</v>
      </c>
      <c r="Q18" s="4">
        <v>430631</v>
      </c>
      <c r="R18" s="8">
        <v>431414</v>
      </c>
      <c r="S18" s="5">
        <v>432104</v>
      </c>
      <c r="T18" s="4">
        <v>432614</v>
      </c>
      <c r="U18" s="4">
        <v>433383</v>
      </c>
      <c r="V18" s="4">
        <v>434195</v>
      </c>
      <c r="W18" s="4">
        <v>434998</v>
      </c>
      <c r="X18" s="33">
        <v>435812</v>
      </c>
      <c r="Y18" s="4">
        <v>436575</v>
      </c>
      <c r="Z18" s="4">
        <v>436998</v>
      </c>
      <c r="AA18" s="58">
        <v>437769</v>
      </c>
      <c r="AB18" s="58">
        <v>438561</v>
      </c>
      <c r="AC18" s="58">
        <v>439364</v>
      </c>
      <c r="AD18" s="58">
        <v>440174</v>
      </c>
      <c r="AE18" s="48">
        <v>440983</v>
      </c>
      <c r="AF18" s="201">
        <v>441784</v>
      </c>
      <c r="AG18" s="8">
        <v>442348</v>
      </c>
      <c r="AH18" s="128">
        <v>442589</v>
      </c>
      <c r="AI18" s="57">
        <f t="shared" si="0"/>
        <v>21173</v>
      </c>
    </row>
    <row r="19" spans="1:35">
      <c r="A19" s="4"/>
      <c r="B19" s="4"/>
      <c r="C19" s="140" t="s">
        <v>22</v>
      </c>
      <c r="D19" s="210">
        <v>11604</v>
      </c>
      <c r="E19" s="4">
        <v>11604</v>
      </c>
      <c r="F19" s="4">
        <v>11604</v>
      </c>
      <c r="G19" s="4">
        <v>11604</v>
      </c>
      <c r="H19" s="4">
        <v>11604</v>
      </c>
      <c r="I19" s="4">
        <v>11604</v>
      </c>
      <c r="J19" s="4">
        <v>11604</v>
      </c>
      <c r="K19" s="4">
        <v>11604</v>
      </c>
      <c r="L19" s="4">
        <v>11604</v>
      </c>
      <c r="M19" s="4">
        <v>11604</v>
      </c>
      <c r="N19" s="4">
        <v>11604</v>
      </c>
      <c r="O19" s="4">
        <v>11604</v>
      </c>
      <c r="P19" s="4">
        <v>11604</v>
      </c>
      <c r="Q19" s="4">
        <v>11604</v>
      </c>
      <c r="R19" s="4">
        <v>11604</v>
      </c>
      <c r="S19" s="4">
        <v>11604</v>
      </c>
      <c r="T19" s="4">
        <v>11604</v>
      </c>
      <c r="U19" s="4">
        <v>11604</v>
      </c>
      <c r="V19" s="4">
        <v>11604</v>
      </c>
      <c r="W19" s="4">
        <v>11604</v>
      </c>
      <c r="X19" s="4">
        <v>11604</v>
      </c>
      <c r="Y19" s="4">
        <v>11604</v>
      </c>
      <c r="Z19" s="4">
        <v>11604</v>
      </c>
      <c r="AA19" s="4">
        <v>11604</v>
      </c>
      <c r="AB19" s="4">
        <v>11604</v>
      </c>
      <c r="AC19" s="4">
        <v>11604</v>
      </c>
      <c r="AD19" s="4">
        <v>11604</v>
      </c>
      <c r="AE19" s="4">
        <v>11604</v>
      </c>
      <c r="AF19" s="4">
        <v>11604</v>
      </c>
      <c r="AG19" s="4">
        <v>11604</v>
      </c>
      <c r="AH19" s="58">
        <v>11604</v>
      </c>
      <c r="AI19" s="57">
        <f t="shared" si="0"/>
        <v>0</v>
      </c>
    </row>
    <row r="20" spans="1:35">
      <c r="A20" s="4">
        <v>8</v>
      </c>
      <c r="B20" s="4" t="s">
        <v>129</v>
      </c>
      <c r="C20" s="141" t="s">
        <v>118</v>
      </c>
      <c r="D20" s="130">
        <v>84560</v>
      </c>
      <c r="E20" s="4">
        <v>84691</v>
      </c>
      <c r="F20" s="4">
        <v>84800</v>
      </c>
      <c r="G20" s="4">
        <v>84942</v>
      </c>
      <c r="H20" s="4">
        <v>85060</v>
      </c>
      <c r="I20" s="4">
        <v>85170</v>
      </c>
      <c r="J20" s="4">
        <v>85293</v>
      </c>
      <c r="K20" s="4">
        <v>85430</v>
      </c>
      <c r="L20" s="4">
        <v>85527</v>
      </c>
      <c r="M20" s="4">
        <v>85638</v>
      </c>
      <c r="N20" s="4">
        <v>85708</v>
      </c>
      <c r="O20" s="4">
        <v>85875</v>
      </c>
      <c r="P20" s="4">
        <v>85980</v>
      </c>
      <c r="Q20" s="4">
        <v>86100</v>
      </c>
      <c r="R20" s="4">
        <v>86204</v>
      </c>
      <c r="S20" s="4">
        <v>86323</v>
      </c>
      <c r="T20" s="4">
        <v>86424</v>
      </c>
      <c r="U20" s="4">
        <v>86538</v>
      </c>
      <c r="V20" s="4">
        <v>86639</v>
      </c>
      <c r="W20" s="4">
        <v>86766</v>
      </c>
      <c r="X20" s="4">
        <v>86865</v>
      </c>
      <c r="Y20" s="4">
        <v>87007</v>
      </c>
      <c r="Z20" s="4">
        <v>87115</v>
      </c>
      <c r="AA20" s="8">
        <v>87115</v>
      </c>
      <c r="AB20" s="8">
        <v>87225</v>
      </c>
      <c r="AC20" s="4">
        <v>87456</v>
      </c>
      <c r="AD20" s="4">
        <v>87553</v>
      </c>
      <c r="AE20" s="8">
        <v>87672</v>
      </c>
      <c r="AF20" s="8">
        <v>87776</v>
      </c>
      <c r="AG20" s="8">
        <v>87878</v>
      </c>
      <c r="AH20" s="128">
        <v>87969</v>
      </c>
      <c r="AI20" s="57">
        <f t="shared" si="0"/>
        <v>3409</v>
      </c>
    </row>
    <row r="21" spans="1:35">
      <c r="A21" s="4"/>
      <c r="B21" s="4"/>
      <c r="C21" s="140" t="s">
        <v>22</v>
      </c>
      <c r="D21" s="210">
        <v>2212</v>
      </c>
      <c r="E21" s="4">
        <v>2212</v>
      </c>
      <c r="F21" s="4">
        <v>2212</v>
      </c>
      <c r="G21" s="4">
        <v>2212</v>
      </c>
      <c r="H21" s="4">
        <v>2212</v>
      </c>
      <c r="I21" s="4">
        <v>2212</v>
      </c>
      <c r="J21" s="4">
        <v>2212</v>
      </c>
      <c r="K21" s="4">
        <v>2212</v>
      </c>
      <c r="L21" s="4">
        <v>2212</v>
      </c>
      <c r="M21" s="4">
        <v>2212</v>
      </c>
      <c r="N21" s="4">
        <v>2212</v>
      </c>
      <c r="O21" s="4">
        <v>2212</v>
      </c>
      <c r="P21" s="4">
        <v>2212</v>
      </c>
      <c r="Q21" s="4">
        <v>2212</v>
      </c>
      <c r="R21" s="4">
        <v>2212</v>
      </c>
      <c r="S21" s="4">
        <v>2212</v>
      </c>
      <c r="T21" s="4">
        <v>2212</v>
      </c>
      <c r="U21" s="4">
        <v>2212</v>
      </c>
      <c r="V21" s="4">
        <v>2212</v>
      </c>
      <c r="W21" s="4">
        <v>2212</v>
      </c>
      <c r="X21" s="4">
        <v>2212</v>
      </c>
      <c r="Y21" s="4">
        <v>2212</v>
      </c>
      <c r="Z21" s="4">
        <v>2212</v>
      </c>
      <c r="AA21" s="4">
        <v>2212</v>
      </c>
      <c r="AB21" s="4">
        <v>2212</v>
      </c>
      <c r="AC21" s="4">
        <v>2212</v>
      </c>
      <c r="AD21" s="4">
        <v>2212</v>
      </c>
      <c r="AE21" s="4">
        <v>2212</v>
      </c>
      <c r="AF21" s="4">
        <v>2212</v>
      </c>
      <c r="AG21" s="4">
        <v>2212</v>
      </c>
      <c r="AH21" s="58">
        <v>2212</v>
      </c>
      <c r="AI21" s="57">
        <f t="shared" si="0"/>
        <v>0</v>
      </c>
    </row>
    <row r="22" spans="1:35">
      <c r="A22" s="503"/>
      <c r="B22" s="504"/>
      <c r="C22" s="504"/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4"/>
      <c r="W22" s="504"/>
      <c r="X22" s="504"/>
      <c r="Y22" s="504"/>
      <c r="Z22" s="504"/>
      <c r="AA22" s="504"/>
      <c r="AB22" s="504"/>
      <c r="AC22" s="504"/>
      <c r="AD22" s="504"/>
      <c r="AE22" s="504"/>
      <c r="AF22" s="504"/>
      <c r="AG22" s="504"/>
      <c r="AH22" s="504"/>
      <c r="AI22" s="501"/>
    </row>
    <row r="23" spans="1:35">
      <c r="A23" s="4">
        <v>1</v>
      </c>
      <c r="B23" s="4" t="s">
        <v>129</v>
      </c>
      <c r="C23" s="141" t="s">
        <v>119</v>
      </c>
      <c r="D23" s="130">
        <v>40295</v>
      </c>
      <c r="E23" s="4">
        <v>40370</v>
      </c>
      <c r="F23" s="4">
        <v>40371</v>
      </c>
      <c r="G23" s="4">
        <v>40452</v>
      </c>
      <c r="H23" s="4">
        <v>40555</v>
      </c>
      <c r="I23" s="4">
        <v>40656</v>
      </c>
      <c r="J23" s="4">
        <v>40755</v>
      </c>
      <c r="K23" s="4">
        <v>40863</v>
      </c>
      <c r="L23" s="4">
        <v>40903</v>
      </c>
      <c r="M23" s="4">
        <v>40904</v>
      </c>
      <c r="N23" s="4">
        <v>40998</v>
      </c>
      <c r="O23" s="4">
        <v>41092</v>
      </c>
      <c r="P23" s="4">
        <v>41206</v>
      </c>
      <c r="Q23" s="4">
        <v>41325</v>
      </c>
      <c r="R23" s="4">
        <v>41453</v>
      </c>
      <c r="S23" s="4">
        <v>41547</v>
      </c>
      <c r="T23" s="4">
        <v>41561</v>
      </c>
      <c r="U23" s="4">
        <v>41673</v>
      </c>
      <c r="V23" s="4">
        <v>41833</v>
      </c>
      <c r="W23" s="4">
        <v>41973</v>
      </c>
      <c r="X23" s="4">
        <v>42113</v>
      </c>
      <c r="Y23" s="4">
        <v>42249</v>
      </c>
      <c r="Z23" s="4">
        <v>42369</v>
      </c>
      <c r="AA23" s="4">
        <v>42369</v>
      </c>
      <c r="AB23" s="4">
        <v>42478</v>
      </c>
      <c r="AC23" s="4">
        <v>42622</v>
      </c>
      <c r="AD23" s="4">
        <v>42730</v>
      </c>
      <c r="AE23" s="4">
        <v>42891</v>
      </c>
      <c r="AF23" s="4">
        <v>43025</v>
      </c>
      <c r="AG23" s="4">
        <v>43073</v>
      </c>
      <c r="AH23" s="128">
        <v>43073</v>
      </c>
      <c r="AI23" s="57">
        <f t="shared" ref="AI23:AI30" si="1">AH23-D23</f>
        <v>2778</v>
      </c>
    </row>
    <row r="24" spans="1:35">
      <c r="A24" s="4"/>
      <c r="B24" s="4"/>
      <c r="C24" s="142" t="s">
        <v>22</v>
      </c>
      <c r="D24" s="210">
        <v>1921</v>
      </c>
      <c r="E24" s="4">
        <v>1921</v>
      </c>
      <c r="F24" s="4">
        <v>1921</v>
      </c>
      <c r="G24" s="4">
        <v>1921</v>
      </c>
      <c r="H24" s="4">
        <v>1921</v>
      </c>
      <c r="I24" s="4">
        <v>1921</v>
      </c>
      <c r="J24" s="4">
        <v>1921</v>
      </c>
      <c r="K24" s="4">
        <v>1921</v>
      </c>
      <c r="L24" s="4">
        <v>1921</v>
      </c>
      <c r="M24" s="4">
        <v>1921</v>
      </c>
      <c r="N24" s="4">
        <v>1921</v>
      </c>
      <c r="O24" s="4">
        <v>1921</v>
      </c>
      <c r="P24" s="4">
        <v>1921</v>
      </c>
      <c r="Q24" s="4">
        <v>1921</v>
      </c>
      <c r="R24" s="4">
        <v>1921</v>
      </c>
      <c r="S24" s="33">
        <v>1921</v>
      </c>
      <c r="T24" s="33">
        <v>1921</v>
      </c>
      <c r="U24" s="33">
        <v>1921</v>
      </c>
      <c r="V24" s="33">
        <v>1921</v>
      </c>
      <c r="W24" s="33">
        <v>1921</v>
      </c>
      <c r="X24" s="33">
        <v>1921</v>
      </c>
      <c r="Y24" s="33">
        <v>1921</v>
      </c>
      <c r="Z24" s="33">
        <v>1921</v>
      </c>
      <c r="AA24" s="33">
        <v>1921</v>
      </c>
      <c r="AB24" s="33">
        <v>1921</v>
      </c>
      <c r="AC24" s="33">
        <v>1921</v>
      </c>
      <c r="AD24" s="33">
        <v>1921</v>
      </c>
      <c r="AE24" s="33">
        <v>1921</v>
      </c>
      <c r="AF24" s="4">
        <v>1921</v>
      </c>
      <c r="AG24" s="4">
        <v>1921</v>
      </c>
      <c r="AH24" s="58">
        <v>1921</v>
      </c>
      <c r="AI24" s="57">
        <f t="shared" si="1"/>
        <v>0</v>
      </c>
    </row>
    <row r="25" spans="1:35">
      <c r="A25" s="4">
        <v>2</v>
      </c>
      <c r="B25" s="4" t="s">
        <v>129</v>
      </c>
      <c r="C25" s="141" t="s">
        <v>120</v>
      </c>
      <c r="D25" s="130">
        <v>44440</v>
      </c>
      <c r="E25" s="4">
        <v>44514</v>
      </c>
      <c r="F25" s="4">
        <v>44515</v>
      </c>
      <c r="G25" s="4">
        <v>44615</v>
      </c>
      <c r="H25" s="4">
        <v>44748</v>
      </c>
      <c r="I25" s="4">
        <v>44830</v>
      </c>
      <c r="J25" s="4">
        <v>44942</v>
      </c>
      <c r="K25" s="4">
        <v>45089</v>
      </c>
      <c r="L25" s="4">
        <v>45101</v>
      </c>
      <c r="M25" s="4">
        <v>45102</v>
      </c>
      <c r="N25" s="4">
        <v>45186</v>
      </c>
      <c r="O25" s="4">
        <v>45281</v>
      </c>
      <c r="P25" s="4">
        <v>45407</v>
      </c>
      <c r="Q25" s="4">
        <v>45519</v>
      </c>
      <c r="R25" s="4">
        <v>45640</v>
      </c>
      <c r="S25" s="4">
        <v>45759</v>
      </c>
      <c r="T25" s="4">
        <v>45779</v>
      </c>
      <c r="U25" s="4">
        <v>45908</v>
      </c>
      <c r="V25" s="4">
        <v>46046</v>
      </c>
      <c r="W25" s="4">
        <v>46184</v>
      </c>
      <c r="X25" s="4">
        <v>46300</v>
      </c>
      <c r="Y25" s="4">
        <v>46429</v>
      </c>
      <c r="Z25" s="4">
        <v>46492</v>
      </c>
      <c r="AA25" s="4">
        <v>46492</v>
      </c>
      <c r="AB25" s="4">
        <v>46606</v>
      </c>
      <c r="AC25" s="4">
        <v>46726</v>
      </c>
      <c r="AD25" s="4">
        <v>46837</v>
      </c>
      <c r="AE25" s="4">
        <v>46960</v>
      </c>
      <c r="AF25" s="4">
        <v>47098</v>
      </c>
      <c r="AG25" s="4">
        <v>47109</v>
      </c>
      <c r="AH25" s="128">
        <v>47109</v>
      </c>
      <c r="AI25" s="57">
        <f t="shared" si="1"/>
        <v>2669</v>
      </c>
    </row>
    <row r="26" spans="1:35">
      <c r="A26" s="4"/>
      <c r="B26" s="4"/>
      <c r="C26" s="142" t="s">
        <v>22</v>
      </c>
      <c r="D26" s="210">
        <v>1909</v>
      </c>
      <c r="E26" s="4">
        <v>1909</v>
      </c>
      <c r="F26" s="4">
        <v>1909</v>
      </c>
      <c r="G26" s="4">
        <v>1909</v>
      </c>
      <c r="H26" s="4">
        <v>1909</v>
      </c>
      <c r="I26" s="4">
        <v>1909</v>
      </c>
      <c r="J26" s="4">
        <v>1909</v>
      </c>
      <c r="K26" s="4">
        <v>1909</v>
      </c>
      <c r="L26" s="4">
        <v>1909</v>
      </c>
      <c r="M26" s="4">
        <v>1909</v>
      </c>
      <c r="N26" s="4">
        <v>1909</v>
      </c>
      <c r="O26" s="4">
        <v>1909</v>
      </c>
      <c r="P26" s="4">
        <v>1909</v>
      </c>
      <c r="Q26" s="4">
        <v>1909</v>
      </c>
      <c r="R26" s="4">
        <v>1909</v>
      </c>
      <c r="S26" s="4">
        <v>1909</v>
      </c>
      <c r="T26" s="4">
        <v>1909</v>
      </c>
      <c r="U26" s="4">
        <v>1909</v>
      </c>
      <c r="V26" s="4">
        <v>1909</v>
      </c>
      <c r="W26" s="4">
        <v>1909</v>
      </c>
      <c r="X26" s="4">
        <v>1909</v>
      </c>
      <c r="Y26" s="4">
        <v>1909</v>
      </c>
      <c r="Z26" s="4">
        <v>1909</v>
      </c>
      <c r="AA26" s="4">
        <v>1909</v>
      </c>
      <c r="AB26" s="4">
        <v>1909</v>
      </c>
      <c r="AC26" s="4">
        <v>1909</v>
      </c>
      <c r="AD26" s="4">
        <v>1909</v>
      </c>
      <c r="AE26" s="4">
        <v>1909</v>
      </c>
      <c r="AF26" s="4">
        <v>1909</v>
      </c>
      <c r="AG26" s="4">
        <v>1909</v>
      </c>
      <c r="AH26" s="58">
        <v>1909</v>
      </c>
      <c r="AI26" s="57">
        <f t="shared" si="1"/>
        <v>0</v>
      </c>
    </row>
    <row r="27" spans="1:35">
      <c r="A27" s="4">
        <v>3</v>
      </c>
      <c r="B27" s="4" t="s">
        <v>129</v>
      </c>
      <c r="C27" s="141" t="s">
        <v>121</v>
      </c>
      <c r="D27" s="210">
        <v>49792</v>
      </c>
      <c r="E27" s="4">
        <v>49957</v>
      </c>
      <c r="F27" s="4">
        <v>50177</v>
      </c>
      <c r="G27" s="4">
        <v>50393</v>
      </c>
      <c r="H27" s="4">
        <v>50605</v>
      </c>
      <c r="I27" s="4">
        <v>50807</v>
      </c>
      <c r="J27" s="4">
        <v>51036</v>
      </c>
      <c r="K27" s="4">
        <v>51260</v>
      </c>
      <c r="L27" s="4">
        <v>51449</v>
      </c>
      <c r="M27" s="4">
        <v>51460</v>
      </c>
      <c r="N27" s="4">
        <v>51618</v>
      </c>
      <c r="O27" s="4">
        <v>51772</v>
      </c>
      <c r="P27" s="4">
        <v>51963</v>
      </c>
      <c r="Q27" s="4">
        <v>52158</v>
      </c>
      <c r="R27" s="4">
        <v>52357</v>
      </c>
      <c r="S27" s="4">
        <v>52555</v>
      </c>
      <c r="T27" s="4">
        <v>52567</v>
      </c>
      <c r="U27" s="4">
        <v>52955</v>
      </c>
      <c r="V27" s="4">
        <v>53163</v>
      </c>
      <c r="W27" s="4">
        <v>53359</v>
      </c>
      <c r="X27" s="4">
        <v>53565</v>
      </c>
      <c r="Y27" s="4">
        <v>53760</v>
      </c>
      <c r="Z27" s="4">
        <v>53965</v>
      </c>
      <c r="AA27" s="4">
        <v>53965</v>
      </c>
      <c r="AB27" s="4">
        <v>54364</v>
      </c>
      <c r="AC27" s="4">
        <v>54564</v>
      </c>
      <c r="AD27" s="4">
        <v>54762</v>
      </c>
      <c r="AE27" s="4">
        <v>54963</v>
      </c>
      <c r="AF27" s="4">
        <v>55165</v>
      </c>
      <c r="AG27" s="4">
        <v>55365</v>
      </c>
      <c r="AH27" s="58">
        <v>55482</v>
      </c>
      <c r="AI27" s="57">
        <f t="shared" si="1"/>
        <v>5690</v>
      </c>
    </row>
    <row r="28" spans="1:35">
      <c r="A28" s="4"/>
      <c r="B28" s="4"/>
      <c r="C28" s="142" t="s">
        <v>22</v>
      </c>
      <c r="D28" s="210">
        <v>2065</v>
      </c>
      <c r="E28" s="4">
        <v>2065</v>
      </c>
      <c r="F28" s="4">
        <v>2065</v>
      </c>
      <c r="G28" s="4">
        <v>2065</v>
      </c>
      <c r="H28" s="4">
        <v>2065</v>
      </c>
      <c r="I28" s="4">
        <v>2065</v>
      </c>
      <c r="J28" s="4">
        <v>2065</v>
      </c>
      <c r="K28" s="4">
        <v>2065</v>
      </c>
      <c r="L28" s="4">
        <v>2065</v>
      </c>
      <c r="M28" s="4">
        <v>2065</v>
      </c>
      <c r="N28" s="4">
        <v>2065</v>
      </c>
      <c r="O28" s="4">
        <v>2065</v>
      </c>
      <c r="P28" s="4">
        <v>2065</v>
      </c>
      <c r="Q28" s="4">
        <v>2065</v>
      </c>
      <c r="R28" s="4">
        <v>2065</v>
      </c>
      <c r="S28" s="4">
        <v>2065</v>
      </c>
      <c r="T28" s="4">
        <v>2065</v>
      </c>
      <c r="U28" s="4">
        <v>2065</v>
      </c>
      <c r="V28" s="4">
        <v>2065</v>
      </c>
      <c r="W28" s="4">
        <v>2065</v>
      </c>
      <c r="X28" s="4">
        <v>2065</v>
      </c>
      <c r="Y28" s="4">
        <v>2065</v>
      </c>
      <c r="Z28" s="4">
        <v>2065</v>
      </c>
      <c r="AA28" s="4">
        <v>2065</v>
      </c>
      <c r="AB28" s="4">
        <v>2065</v>
      </c>
      <c r="AC28" s="4">
        <v>2065</v>
      </c>
      <c r="AD28" s="4">
        <v>2065</v>
      </c>
      <c r="AE28" s="4">
        <v>2065</v>
      </c>
      <c r="AF28" s="4">
        <v>2065</v>
      </c>
      <c r="AG28" s="4">
        <v>2065</v>
      </c>
      <c r="AH28" s="58">
        <v>2065</v>
      </c>
      <c r="AI28" s="57">
        <f t="shared" si="1"/>
        <v>0</v>
      </c>
    </row>
    <row r="29" spans="1:35">
      <c r="A29" s="4">
        <v>4</v>
      </c>
      <c r="B29" s="4" t="s">
        <v>129</v>
      </c>
      <c r="C29" s="141" t="s">
        <v>122</v>
      </c>
      <c r="D29" s="130">
        <v>37838</v>
      </c>
      <c r="E29" s="4">
        <v>37877</v>
      </c>
      <c r="F29" s="4">
        <v>37877</v>
      </c>
      <c r="G29" s="4">
        <v>37957</v>
      </c>
      <c r="H29" s="4">
        <v>38038</v>
      </c>
      <c r="I29" s="4">
        <v>38094</v>
      </c>
      <c r="J29" s="4">
        <v>38160</v>
      </c>
      <c r="K29" s="4">
        <v>38220</v>
      </c>
      <c r="L29" s="4">
        <v>38221</v>
      </c>
      <c r="M29" s="4">
        <v>38221</v>
      </c>
      <c r="N29" s="4">
        <v>38298</v>
      </c>
      <c r="O29" s="4">
        <v>38361</v>
      </c>
      <c r="P29" s="4">
        <v>38437</v>
      </c>
      <c r="Q29" s="4">
        <v>38513</v>
      </c>
      <c r="R29" s="4">
        <v>38591</v>
      </c>
      <c r="S29" s="4">
        <v>38641</v>
      </c>
      <c r="T29" s="4">
        <v>38660</v>
      </c>
      <c r="U29" s="4">
        <v>38742</v>
      </c>
      <c r="V29" s="4">
        <v>38814</v>
      </c>
      <c r="W29" s="4">
        <v>38901</v>
      </c>
      <c r="X29" s="4">
        <v>38975</v>
      </c>
      <c r="Y29" s="4">
        <v>39062</v>
      </c>
      <c r="Z29" s="4">
        <v>39134</v>
      </c>
      <c r="AA29" s="4">
        <v>39134</v>
      </c>
      <c r="AB29" s="4">
        <v>39217</v>
      </c>
      <c r="AC29" s="4">
        <v>39303</v>
      </c>
      <c r="AD29" s="4">
        <v>39379</v>
      </c>
      <c r="AE29" s="4">
        <v>39476</v>
      </c>
      <c r="AF29" s="4">
        <v>39552</v>
      </c>
      <c r="AG29" s="4">
        <v>39552</v>
      </c>
      <c r="AH29" s="128">
        <v>39556</v>
      </c>
      <c r="AI29" s="57">
        <f t="shared" si="1"/>
        <v>1718</v>
      </c>
    </row>
    <row r="30" spans="1:35">
      <c r="A30" s="4"/>
      <c r="B30" s="4"/>
      <c r="C30" s="142" t="s">
        <v>22</v>
      </c>
      <c r="D30" s="210">
        <v>1786</v>
      </c>
      <c r="E30" s="4">
        <v>1786</v>
      </c>
      <c r="F30" s="4">
        <v>1786</v>
      </c>
      <c r="G30" s="4">
        <v>1786</v>
      </c>
      <c r="H30" s="4">
        <v>1786</v>
      </c>
      <c r="I30" s="4">
        <v>1786</v>
      </c>
      <c r="J30" s="4">
        <v>1786</v>
      </c>
      <c r="K30" s="4">
        <v>1786</v>
      </c>
      <c r="L30" s="4">
        <v>1786</v>
      </c>
      <c r="M30" s="4">
        <v>1786</v>
      </c>
      <c r="N30" s="4">
        <v>1786</v>
      </c>
      <c r="O30" s="4">
        <v>1786</v>
      </c>
      <c r="P30" s="4">
        <v>1786</v>
      </c>
      <c r="Q30" s="4">
        <v>1786</v>
      </c>
      <c r="R30" s="4">
        <v>1786</v>
      </c>
      <c r="S30" s="4">
        <v>1786</v>
      </c>
      <c r="T30" s="4">
        <v>1786</v>
      </c>
      <c r="U30" s="4">
        <v>1786</v>
      </c>
      <c r="V30" s="4">
        <v>1786</v>
      </c>
      <c r="W30" s="4">
        <v>1786</v>
      </c>
      <c r="X30" s="4">
        <v>1786</v>
      </c>
      <c r="Y30" s="4">
        <v>1786</v>
      </c>
      <c r="Z30" s="4">
        <v>1786</v>
      </c>
      <c r="AA30" s="4">
        <v>1786</v>
      </c>
      <c r="AB30" s="4">
        <v>1786</v>
      </c>
      <c r="AC30" s="4">
        <v>1786</v>
      </c>
      <c r="AD30" s="4">
        <v>1786</v>
      </c>
      <c r="AE30" s="4">
        <v>1786</v>
      </c>
      <c r="AF30" s="4">
        <v>1786</v>
      </c>
      <c r="AG30" s="4">
        <v>1786</v>
      </c>
      <c r="AH30" s="58">
        <v>1786</v>
      </c>
      <c r="AI30" s="57">
        <f t="shared" si="1"/>
        <v>0</v>
      </c>
    </row>
    <row r="31" spans="1:35">
      <c r="A31" s="564"/>
      <c r="B31" s="504"/>
      <c r="C31" s="504"/>
      <c r="D31" s="504"/>
      <c r="E31" s="504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4"/>
      <c r="AH31" s="504"/>
      <c r="AI31" s="501"/>
    </row>
    <row r="32" spans="1:35">
      <c r="A32" s="4">
        <v>1</v>
      </c>
      <c r="B32" s="4" t="s">
        <v>129</v>
      </c>
      <c r="C32" s="141" t="s">
        <v>123</v>
      </c>
      <c r="D32" s="212">
        <v>372385</v>
      </c>
      <c r="E32" s="44">
        <v>372886</v>
      </c>
      <c r="F32" s="150">
        <v>372886</v>
      </c>
      <c r="G32" s="150">
        <v>373331</v>
      </c>
      <c r="H32" s="150">
        <v>373790</v>
      </c>
      <c r="I32" s="44">
        <v>374233</v>
      </c>
      <c r="J32" s="150">
        <v>374725</v>
      </c>
      <c r="K32" s="150">
        <v>375086</v>
      </c>
      <c r="L32" s="150">
        <v>375223</v>
      </c>
      <c r="M32" s="44">
        <v>375223</v>
      </c>
      <c r="N32" s="150">
        <v>375666</v>
      </c>
      <c r="O32" s="150">
        <v>376119</v>
      </c>
      <c r="P32" s="150">
        <v>376497</v>
      </c>
      <c r="Q32" s="44">
        <v>376911</v>
      </c>
      <c r="R32" s="150">
        <v>377195</v>
      </c>
      <c r="S32" s="150">
        <v>377392</v>
      </c>
      <c r="T32" s="150">
        <v>377418</v>
      </c>
      <c r="U32" s="44">
        <v>377793</v>
      </c>
      <c r="V32" s="150">
        <v>378097</v>
      </c>
      <c r="W32" s="150">
        <v>378522</v>
      </c>
      <c r="X32" s="150">
        <v>378905</v>
      </c>
      <c r="Y32" s="44">
        <v>379169</v>
      </c>
      <c r="Z32" s="150">
        <v>379493</v>
      </c>
      <c r="AA32" s="150">
        <v>379496</v>
      </c>
      <c r="AB32" s="150">
        <v>379859</v>
      </c>
      <c r="AC32" s="44">
        <v>380258</v>
      </c>
      <c r="AD32" s="150">
        <v>380634</v>
      </c>
      <c r="AE32" s="150">
        <v>380935</v>
      </c>
      <c r="AF32" s="150">
        <v>381253</v>
      </c>
      <c r="AG32" s="44">
        <v>381318</v>
      </c>
      <c r="AH32" s="207">
        <v>381319</v>
      </c>
      <c r="AI32" s="57">
        <f>AH32-D32</f>
        <v>8934</v>
      </c>
    </row>
    <row r="33" spans="1:36">
      <c r="A33" s="4">
        <v>2</v>
      </c>
      <c r="B33" s="4" t="s">
        <v>129</v>
      </c>
      <c r="C33" s="141" t="s">
        <v>124</v>
      </c>
      <c r="D33" s="212">
        <v>349743</v>
      </c>
      <c r="E33" s="150">
        <v>350195</v>
      </c>
      <c r="F33" s="150">
        <v>350195</v>
      </c>
      <c r="G33" s="150">
        <v>350689</v>
      </c>
      <c r="H33" s="150">
        <v>351161</v>
      </c>
      <c r="I33" s="150">
        <v>351360</v>
      </c>
      <c r="J33" s="150">
        <v>351750</v>
      </c>
      <c r="K33" s="150">
        <v>352211</v>
      </c>
      <c r="L33" s="150">
        <v>352268</v>
      </c>
      <c r="M33" s="150">
        <v>352268</v>
      </c>
      <c r="N33" s="150">
        <v>352645</v>
      </c>
      <c r="O33" s="150">
        <v>353051</v>
      </c>
      <c r="P33" s="150">
        <v>353410</v>
      </c>
      <c r="Q33" s="150">
        <v>353738</v>
      </c>
      <c r="R33" s="150">
        <v>354109</v>
      </c>
      <c r="S33" s="150">
        <v>354411</v>
      </c>
      <c r="T33" s="150">
        <v>354446</v>
      </c>
      <c r="U33" s="150">
        <v>354833</v>
      </c>
      <c r="V33" s="150">
        <v>355204</v>
      </c>
      <c r="W33" s="150">
        <v>355568</v>
      </c>
      <c r="X33" s="150">
        <v>355884</v>
      </c>
      <c r="Y33" s="150">
        <v>356222</v>
      </c>
      <c r="Z33" s="150">
        <v>356455</v>
      </c>
      <c r="AA33" s="150">
        <v>356455</v>
      </c>
      <c r="AB33" s="150">
        <v>356807</v>
      </c>
      <c r="AC33" s="150">
        <v>357160</v>
      </c>
      <c r="AD33" s="150">
        <v>357468</v>
      </c>
      <c r="AE33" s="150">
        <v>357754</v>
      </c>
      <c r="AF33" s="150">
        <v>358060</v>
      </c>
      <c r="AG33" s="150">
        <v>358128</v>
      </c>
      <c r="AH33" s="207">
        <v>358128</v>
      </c>
      <c r="AI33" s="57">
        <f>AH33-D33</f>
        <v>8385</v>
      </c>
    </row>
    <row r="34" spans="1:36">
      <c r="A34" s="4">
        <v>3</v>
      </c>
      <c r="B34" s="4" t="s">
        <v>129</v>
      </c>
      <c r="C34" s="141" t="s">
        <v>125</v>
      </c>
      <c r="D34" s="212">
        <v>366099</v>
      </c>
      <c r="E34" s="150">
        <v>366730</v>
      </c>
      <c r="F34" s="150">
        <v>367031</v>
      </c>
      <c r="G34" s="150">
        <v>367753</v>
      </c>
      <c r="H34" s="150">
        <v>368219</v>
      </c>
      <c r="I34" s="150">
        <v>368592</v>
      </c>
      <c r="J34" s="150">
        <v>369097</v>
      </c>
      <c r="K34" s="150">
        <v>369675</v>
      </c>
      <c r="L34" s="150">
        <v>370025</v>
      </c>
      <c r="M34" s="150">
        <v>370025</v>
      </c>
      <c r="N34" s="150">
        <v>370612</v>
      </c>
      <c r="O34" s="150">
        <v>371161</v>
      </c>
      <c r="P34" s="150">
        <v>371632</v>
      </c>
      <c r="Q34" s="150">
        <v>372130</v>
      </c>
      <c r="R34" s="150">
        <v>372705</v>
      </c>
      <c r="S34" s="150">
        <v>373070</v>
      </c>
      <c r="T34" s="150">
        <v>373402</v>
      </c>
      <c r="U34" s="150">
        <v>373884</v>
      </c>
      <c r="V34" s="150">
        <v>374412</v>
      </c>
      <c r="W34" s="150">
        <v>374871</v>
      </c>
      <c r="X34" s="150">
        <v>375368</v>
      </c>
      <c r="Y34" s="150">
        <v>375822</v>
      </c>
      <c r="Z34" s="150">
        <v>376345</v>
      </c>
      <c r="AA34" s="150">
        <v>376724</v>
      </c>
      <c r="AB34" s="150">
        <v>377212</v>
      </c>
      <c r="AC34" s="150">
        <v>377772</v>
      </c>
      <c r="AD34" s="150">
        <v>378257</v>
      </c>
      <c r="AE34" s="150">
        <v>378386</v>
      </c>
      <c r="AF34" s="150">
        <v>379011</v>
      </c>
      <c r="AG34" s="150">
        <v>379349</v>
      </c>
      <c r="AH34" s="207">
        <v>379512</v>
      </c>
      <c r="AI34" s="57">
        <f>AH34-D34</f>
        <v>13413</v>
      </c>
    </row>
    <row r="35" spans="1:36">
      <c r="A35" s="4">
        <v>4</v>
      </c>
      <c r="B35" s="4" t="s">
        <v>129</v>
      </c>
      <c r="C35" s="141" t="s">
        <v>126</v>
      </c>
      <c r="D35" s="212">
        <v>399618</v>
      </c>
      <c r="E35" s="150">
        <v>400108</v>
      </c>
      <c r="F35" s="150">
        <v>400166</v>
      </c>
      <c r="G35" s="150">
        <v>400862</v>
      </c>
      <c r="H35" s="150">
        <v>401600</v>
      </c>
      <c r="I35" s="150">
        <v>402142</v>
      </c>
      <c r="J35" s="150">
        <v>402804</v>
      </c>
      <c r="K35" s="150">
        <v>403363</v>
      </c>
      <c r="L35" s="150">
        <v>403409</v>
      </c>
      <c r="M35" s="150">
        <v>403409</v>
      </c>
      <c r="N35" s="150">
        <v>404093</v>
      </c>
      <c r="O35" s="150">
        <v>404765</v>
      </c>
      <c r="P35" s="202">
        <v>405295</v>
      </c>
      <c r="Q35" s="150">
        <v>405869</v>
      </c>
      <c r="R35" s="150">
        <v>406369</v>
      </c>
      <c r="S35" s="150">
        <v>406677</v>
      </c>
      <c r="T35" s="150">
        <v>406751</v>
      </c>
      <c r="U35" s="150">
        <v>407304</v>
      </c>
      <c r="V35" s="150">
        <v>407704</v>
      </c>
      <c r="W35" s="150">
        <v>408191</v>
      </c>
      <c r="X35" s="150">
        <v>408645</v>
      </c>
      <c r="Y35" s="150">
        <v>409153</v>
      </c>
      <c r="Z35" s="150">
        <v>409536</v>
      </c>
      <c r="AA35" s="150">
        <v>409580</v>
      </c>
      <c r="AB35" s="150">
        <v>410125</v>
      </c>
      <c r="AC35" s="150">
        <v>410649</v>
      </c>
      <c r="AD35" s="150">
        <v>411141</v>
      </c>
      <c r="AE35" s="150">
        <v>411634</v>
      </c>
      <c r="AF35" s="150">
        <v>412243</v>
      </c>
      <c r="AG35" s="150">
        <v>412307</v>
      </c>
      <c r="AH35" s="207">
        <v>412336</v>
      </c>
      <c r="AI35" s="57">
        <f>AH35-D35</f>
        <v>12718</v>
      </c>
    </row>
    <row r="36" spans="1:36">
      <c r="A36" s="180"/>
      <c r="B36" s="180"/>
      <c r="C36" s="143"/>
      <c r="D36" s="180"/>
      <c r="E36" s="13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6"/>
      <c r="AD36" s="180"/>
      <c r="AE36" s="180"/>
      <c r="AF36" s="180"/>
      <c r="AG36" s="180"/>
      <c r="AH36" s="180"/>
      <c r="AI36" s="181">
        <f>SUM(AI32:AI35)</f>
        <v>43450</v>
      </c>
      <c r="AJ36">
        <f>AI36*40%</f>
        <v>17380</v>
      </c>
    </row>
    <row r="37" spans="1:36">
      <c r="A37" s="14"/>
      <c r="B37" s="137"/>
      <c r="C37" s="144"/>
      <c r="D37" s="138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</row>
    <row r="38" spans="1:36">
      <c r="A38" s="93"/>
      <c r="B38" s="534" t="s">
        <v>127</v>
      </c>
      <c r="C38" s="504"/>
      <c r="D38" s="501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</row>
    <row r="39" spans="1:36">
      <c r="A39" s="94"/>
      <c r="B39" s="538" t="s">
        <v>128</v>
      </c>
      <c r="C39" s="504"/>
      <c r="D39" s="501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</row>
    <row r="40" spans="1:36">
      <c r="A40" s="529" t="s">
        <v>99</v>
      </c>
      <c r="B40" s="529" t="s">
        <v>100</v>
      </c>
      <c r="C40" s="529" t="s">
        <v>101</v>
      </c>
      <c r="D40" s="517"/>
      <c r="E40" s="95">
        <f t="shared" ref="E40:AH40" si="2">E2</f>
        <v>45962</v>
      </c>
      <c r="F40" s="95">
        <f t="shared" si="2"/>
        <v>45963</v>
      </c>
      <c r="G40" s="95">
        <f t="shared" si="2"/>
        <v>45964</v>
      </c>
      <c r="H40" s="95">
        <f t="shared" si="2"/>
        <v>45965</v>
      </c>
      <c r="I40" s="95">
        <f t="shared" si="2"/>
        <v>45966</v>
      </c>
      <c r="J40" s="95">
        <f t="shared" si="2"/>
        <v>45967</v>
      </c>
      <c r="K40" s="95">
        <f t="shared" si="2"/>
        <v>45968</v>
      </c>
      <c r="L40" s="95">
        <f t="shared" si="2"/>
        <v>45969</v>
      </c>
      <c r="M40" s="95">
        <f t="shared" si="2"/>
        <v>45970</v>
      </c>
      <c r="N40" s="95">
        <f t="shared" si="2"/>
        <v>45971</v>
      </c>
      <c r="O40" s="95">
        <f t="shared" si="2"/>
        <v>45972</v>
      </c>
      <c r="P40" s="95">
        <f t="shared" si="2"/>
        <v>45973</v>
      </c>
      <c r="Q40" s="95">
        <f t="shared" si="2"/>
        <v>45974</v>
      </c>
      <c r="R40" s="95">
        <f t="shared" si="2"/>
        <v>45975</v>
      </c>
      <c r="S40" s="95">
        <f t="shared" si="2"/>
        <v>45976</v>
      </c>
      <c r="T40" s="95">
        <f t="shared" si="2"/>
        <v>45977</v>
      </c>
      <c r="U40" s="95">
        <f t="shared" si="2"/>
        <v>45978</v>
      </c>
      <c r="V40" s="95">
        <f t="shared" si="2"/>
        <v>45979</v>
      </c>
      <c r="W40" s="95">
        <f t="shared" si="2"/>
        <v>45980</v>
      </c>
      <c r="X40" s="95">
        <f t="shared" si="2"/>
        <v>45981</v>
      </c>
      <c r="Y40" s="95">
        <f t="shared" si="2"/>
        <v>45982</v>
      </c>
      <c r="Z40" s="95">
        <f t="shared" si="2"/>
        <v>45983</v>
      </c>
      <c r="AA40" s="95">
        <f t="shared" si="2"/>
        <v>45984</v>
      </c>
      <c r="AB40" s="95">
        <f t="shared" si="2"/>
        <v>45985</v>
      </c>
      <c r="AC40" s="95">
        <f t="shared" si="2"/>
        <v>45986</v>
      </c>
      <c r="AD40" s="95">
        <f t="shared" si="2"/>
        <v>45987</v>
      </c>
      <c r="AE40" s="95">
        <f t="shared" si="2"/>
        <v>45988</v>
      </c>
      <c r="AF40" s="95">
        <f t="shared" si="2"/>
        <v>45989</v>
      </c>
      <c r="AG40" s="95">
        <f t="shared" si="2"/>
        <v>45990</v>
      </c>
      <c r="AH40" s="95">
        <f t="shared" si="2"/>
        <v>45991</v>
      </c>
      <c r="AI40" s="529" t="s">
        <v>1</v>
      </c>
    </row>
    <row r="41" spans="1:36">
      <c r="A41" s="508"/>
      <c r="B41" s="508"/>
      <c r="C41" s="518"/>
      <c r="D41" s="519"/>
      <c r="E41" s="96" t="s">
        <v>108</v>
      </c>
      <c r="F41" s="96" t="s">
        <v>109</v>
      </c>
      <c r="G41" s="96" t="s">
        <v>103</v>
      </c>
      <c r="H41" s="96" t="s">
        <v>104</v>
      </c>
      <c r="I41" s="96" t="s">
        <v>105</v>
      </c>
      <c r="J41" s="96" t="s">
        <v>106</v>
      </c>
      <c r="K41" s="96" t="s">
        <v>107</v>
      </c>
      <c r="L41" s="96" t="s">
        <v>108</v>
      </c>
      <c r="M41" s="96" t="s">
        <v>109</v>
      </c>
      <c r="N41" s="96" t="s">
        <v>103</v>
      </c>
      <c r="O41" s="96" t="s">
        <v>104</v>
      </c>
      <c r="P41" s="96" t="s">
        <v>105</v>
      </c>
      <c r="Q41" s="96" t="s">
        <v>106</v>
      </c>
      <c r="R41" s="96" t="s">
        <v>107</v>
      </c>
      <c r="S41" s="96" t="s">
        <v>108</v>
      </c>
      <c r="T41" s="96" t="s">
        <v>109</v>
      </c>
      <c r="U41" s="96" t="s">
        <v>103</v>
      </c>
      <c r="V41" s="96" t="s">
        <v>104</v>
      </c>
      <c r="W41" s="96" t="s">
        <v>105</v>
      </c>
      <c r="X41" s="96" t="s">
        <v>106</v>
      </c>
      <c r="Y41" s="96" t="s">
        <v>107</v>
      </c>
      <c r="Z41" s="96" t="s">
        <v>108</v>
      </c>
      <c r="AA41" s="96" t="s">
        <v>109</v>
      </c>
      <c r="AB41" s="96" t="s">
        <v>103</v>
      </c>
      <c r="AC41" s="96" t="s">
        <v>104</v>
      </c>
      <c r="AD41" s="96" t="s">
        <v>105</v>
      </c>
      <c r="AE41" s="96" t="s">
        <v>106</v>
      </c>
      <c r="AF41" s="96" t="s">
        <v>107</v>
      </c>
      <c r="AG41" s="96" t="s">
        <v>108</v>
      </c>
      <c r="AH41" s="96" t="s">
        <v>109</v>
      </c>
      <c r="AI41" s="508"/>
    </row>
    <row r="42" spans="1:36">
      <c r="A42" s="508"/>
      <c r="B42" s="508"/>
      <c r="C42" s="518"/>
      <c r="D42" s="519"/>
      <c r="E42" s="97" t="s">
        <v>110</v>
      </c>
      <c r="F42" s="97" t="s">
        <v>110</v>
      </c>
      <c r="G42" s="97" t="s">
        <v>110</v>
      </c>
      <c r="H42" s="97" t="s">
        <v>110</v>
      </c>
      <c r="I42" s="97" t="s">
        <v>110</v>
      </c>
      <c r="J42" s="97" t="s">
        <v>110</v>
      </c>
      <c r="K42" s="97" t="s">
        <v>110</v>
      </c>
      <c r="L42" s="97" t="s">
        <v>110</v>
      </c>
      <c r="M42" s="97" t="s">
        <v>110</v>
      </c>
      <c r="N42" s="97" t="s">
        <v>110</v>
      </c>
      <c r="O42" s="97" t="s">
        <v>110</v>
      </c>
      <c r="P42" s="97" t="s">
        <v>110</v>
      </c>
      <c r="Q42" s="97" t="s">
        <v>110</v>
      </c>
      <c r="R42" s="97" t="s">
        <v>110</v>
      </c>
      <c r="S42" s="97" t="s">
        <v>110</v>
      </c>
      <c r="T42" s="97" t="s">
        <v>110</v>
      </c>
      <c r="U42" s="97" t="s">
        <v>110</v>
      </c>
      <c r="V42" s="97" t="s">
        <v>110</v>
      </c>
      <c r="W42" s="97" t="s">
        <v>110</v>
      </c>
      <c r="X42" s="97" t="s">
        <v>110</v>
      </c>
      <c r="Y42" s="97" t="s">
        <v>110</v>
      </c>
      <c r="Z42" s="97" t="s">
        <v>110</v>
      </c>
      <c r="AA42" s="97" t="s">
        <v>110</v>
      </c>
      <c r="AB42" s="97" t="s">
        <v>110</v>
      </c>
      <c r="AC42" s="97" t="s">
        <v>110</v>
      </c>
      <c r="AD42" s="97" t="s">
        <v>110</v>
      </c>
      <c r="AE42" s="97" t="s">
        <v>110</v>
      </c>
      <c r="AF42" s="97" t="s">
        <v>110</v>
      </c>
      <c r="AG42" s="97" t="s">
        <v>110</v>
      </c>
      <c r="AH42" s="95" t="str">
        <f>AH4</f>
        <v>Time</v>
      </c>
      <c r="AI42" s="508"/>
    </row>
    <row r="43" spans="1:36">
      <c r="A43" s="509"/>
      <c r="B43" s="509"/>
      <c r="C43" s="520"/>
      <c r="D43" s="521"/>
      <c r="E43" s="98">
        <v>0.33333333333333331</v>
      </c>
      <c r="F43" s="98">
        <v>0.33333333333333331</v>
      </c>
      <c r="G43" s="98">
        <v>0.33333333333333331</v>
      </c>
      <c r="H43" s="98">
        <v>0.33333333333333331</v>
      </c>
      <c r="I43" s="98">
        <v>0.33333333333333331</v>
      </c>
      <c r="J43" s="98">
        <v>0.33333333333333331</v>
      </c>
      <c r="K43" s="98">
        <v>0.33333333333333331</v>
      </c>
      <c r="L43" s="98">
        <v>0.33333333333333331</v>
      </c>
      <c r="M43" s="98">
        <v>0.33333333333333331</v>
      </c>
      <c r="N43" s="98">
        <v>0.33333333333333331</v>
      </c>
      <c r="O43" s="98">
        <v>0.33333333333333331</v>
      </c>
      <c r="P43" s="98">
        <v>0.33333333333333331</v>
      </c>
      <c r="Q43" s="98">
        <v>0.33333333333333331</v>
      </c>
      <c r="R43" s="98">
        <v>0.33333333333333331</v>
      </c>
      <c r="S43" s="98">
        <v>0.33333333333333331</v>
      </c>
      <c r="T43" s="98">
        <v>0.33333333333333331</v>
      </c>
      <c r="U43" s="98">
        <v>0.33333333333333331</v>
      </c>
      <c r="V43" s="98">
        <v>0.33333333333333331</v>
      </c>
      <c r="W43" s="98">
        <v>0.33333333333333331</v>
      </c>
      <c r="X43" s="98">
        <v>0.33333333333333331</v>
      </c>
      <c r="Y43" s="98">
        <v>0.33333333333333331</v>
      </c>
      <c r="Z43" s="98">
        <v>0.33333333333333331</v>
      </c>
      <c r="AA43" s="98">
        <v>0.33333333333333331</v>
      </c>
      <c r="AB43" s="98">
        <v>0.33333333333333331</v>
      </c>
      <c r="AC43" s="98">
        <v>0.33333333333333331</v>
      </c>
      <c r="AD43" s="98">
        <v>0.33333333333333331</v>
      </c>
      <c r="AE43" s="98">
        <v>0.33333333333333331</v>
      </c>
      <c r="AF43" s="98">
        <v>0.33333333333333331</v>
      </c>
      <c r="AG43" s="98">
        <v>0.33333333333333331</v>
      </c>
      <c r="AH43" s="98">
        <v>0.33333333333333331</v>
      </c>
      <c r="AI43" s="509"/>
    </row>
    <row r="44" spans="1:36" ht="15" customHeight="1">
      <c r="A44" s="2">
        <v>1</v>
      </c>
      <c r="B44" s="2" t="s">
        <v>129</v>
      </c>
      <c r="C44" s="503" t="s">
        <v>111</v>
      </c>
      <c r="D44" s="501"/>
      <c r="E44" s="20">
        <f t="shared" ref="E44:AH44" si="3">E6-D6</f>
        <v>218</v>
      </c>
      <c r="F44" s="20">
        <f t="shared" si="3"/>
        <v>211</v>
      </c>
      <c r="G44" s="20">
        <f t="shared" si="3"/>
        <v>282</v>
      </c>
      <c r="H44" s="20">
        <f t="shared" si="3"/>
        <v>276</v>
      </c>
      <c r="I44" s="20">
        <f t="shared" si="3"/>
        <v>226</v>
      </c>
      <c r="J44" s="20">
        <f t="shared" si="3"/>
        <v>285</v>
      </c>
      <c r="K44" s="20">
        <f t="shared" si="3"/>
        <v>298</v>
      </c>
      <c r="L44" s="20">
        <f t="shared" si="3"/>
        <v>188</v>
      </c>
      <c r="M44" s="20">
        <f t="shared" si="3"/>
        <v>193</v>
      </c>
      <c r="N44" s="20">
        <f t="shared" si="3"/>
        <v>302</v>
      </c>
      <c r="O44" s="20">
        <f t="shared" si="3"/>
        <v>276</v>
      </c>
      <c r="P44" s="20">
        <f t="shared" si="3"/>
        <v>269</v>
      </c>
      <c r="Q44" s="20">
        <f t="shared" si="3"/>
        <v>258</v>
      </c>
      <c r="R44" s="20">
        <f t="shared" si="3"/>
        <v>255</v>
      </c>
      <c r="S44" s="20">
        <f t="shared" si="3"/>
        <v>226</v>
      </c>
      <c r="T44" s="20">
        <f t="shared" si="3"/>
        <v>213</v>
      </c>
      <c r="U44" s="20">
        <f t="shared" si="3"/>
        <v>252</v>
      </c>
      <c r="V44" s="20">
        <f t="shared" si="3"/>
        <v>258</v>
      </c>
      <c r="W44" s="20">
        <f t="shared" si="3"/>
        <v>260</v>
      </c>
      <c r="X44" s="20">
        <f t="shared" si="3"/>
        <v>255</v>
      </c>
      <c r="Y44" s="20">
        <f t="shared" si="3"/>
        <v>245</v>
      </c>
      <c r="Z44" s="20">
        <f t="shared" si="3"/>
        <v>218</v>
      </c>
      <c r="AA44" s="20">
        <f t="shared" si="3"/>
        <v>210</v>
      </c>
      <c r="AB44" s="20">
        <f t="shared" si="3"/>
        <v>255</v>
      </c>
      <c r="AC44" s="20">
        <f t="shared" si="3"/>
        <v>254</v>
      </c>
      <c r="AD44" s="20">
        <f t="shared" si="3"/>
        <v>254</v>
      </c>
      <c r="AE44" s="20">
        <f t="shared" si="3"/>
        <v>253</v>
      </c>
      <c r="AF44" s="20">
        <f t="shared" si="3"/>
        <v>248</v>
      </c>
      <c r="AG44" s="20">
        <f t="shared" si="3"/>
        <v>213</v>
      </c>
      <c r="AH44" s="20">
        <f t="shared" si="3"/>
        <v>112</v>
      </c>
      <c r="AI44" s="21">
        <f t="shared" ref="AI44:AI61" si="4">SUM(E44:AH44)</f>
        <v>7263</v>
      </c>
    </row>
    <row r="45" spans="1:36" ht="15" customHeight="1">
      <c r="A45" s="2"/>
      <c r="B45" s="2"/>
      <c r="C45" s="531" t="s">
        <v>22</v>
      </c>
      <c r="D45" s="501"/>
      <c r="E45" s="20">
        <f t="shared" ref="E45:AH45" si="5">E7-D7</f>
        <v>0</v>
      </c>
      <c r="F45" s="20">
        <f t="shared" si="5"/>
        <v>0</v>
      </c>
      <c r="G45" s="20">
        <f t="shared" si="5"/>
        <v>0</v>
      </c>
      <c r="H45" s="20">
        <f t="shared" si="5"/>
        <v>0</v>
      </c>
      <c r="I45" s="20">
        <f t="shared" si="5"/>
        <v>0</v>
      </c>
      <c r="J45" s="20">
        <f t="shared" si="5"/>
        <v>0</v>
      </c>
      <c r="K45" s="20">
        <f t="shared" si="5"/>
        <v>0</v>
      </c>
      <c r="L45" s="20">
        <f t="shared" si="5"/>
        <v>0</v>
      </c>
      <c r="M45" s="20">
        <f t="shared" si="5"/>
        <v>0</v>
      </c>
      <c r="N45" s="20">
        <f t="shared" si="5"/>
        <v>0</v>
      </c>
      <c r="O45" s="20">
        <f t="shared" si="5"/>
        <v>0</v>
      </c>
      <c r="P45" s="20">
        <f t="shared" si="5"/>
        <v>0</v>
      </c>
      <c r="Q45" s="20">
        <f t="shared" si="5"/>
        <v>0</v>
      </c>
      <c r="R45" s="20">
        <f t="shared" si="5"/>
        <v>0</v>
      </c>
      <c r="S45" s="20">
        <f t="shared" si="5"/>
        <v>0</v>
      </c>
      <c r="T45" s="20">
        <f t="shared" si="5"/>
        <v>0</v>
      </c>
      <c r="U45" s="20">
        <f t="shared" si="5"/>
        <v>0</v>
      </c>
      <c r="V45" s="20">
        <f t="shared" si="5"/>
        <v>0</v>
      </c>
      <c r="W45" s="20">
        <f t="shared" si="5"/>
        <v>0</v>
      </c>
      <c r="X45" s="20">
        <f t="shared" si="5"/>
        <v>0</v>
      </c>
      <c r="Y45" s="20">
        <f t="shared" si="5"/>
        <v>0</v>
      </c>
      <c r="Z45" s="20">
        <f t="shared" si="5"/>
        <v>0</v>
      </c>
      <c r="AA45" s="20">
        <f t="shared" si="5"/>
        <v>0</v>
      </c>
      <c r="AB45" s="20">
        <f t="shared" si="5"/>
        <v>0</v>
      </c>
      <c r="AC45" s="20">
        <f t="shared" si="5"/>
        <v>0</v>
      </c>
      <c r="AD45" s="20">
        <f t="shared" si="5"/>
        <v>0</v>
      </c>
      <c r="AE45" s="20">
        <f t="shared" si="5"/>
        <v>0</v>
      </c>
      <c r="AF45" s="20">
        <f t="shared" si="5"/>
        <v>0</v>
      </c>
      <c r="AG45" s="20">
        <f t="shared" si="5"/>
        <v>0</v>
      </c>
      <c r="AH45" s="20">
        <f t="shared" si="5"/>
        <v>0</v>
      </c>
      <c r="AI45" s="21">
        <f t="shared" si="4"/>
        <v>0</v>
      </c>
    </row>
    <row r="46" spans="1:36" ht="15" customHeight="1">
      <c r="A46" s="2">
        <v>2</v>
      </c>
      <c r="B46" s="2" t="s">
        <v>129</v>
      </c>
      <c r="C46" s="503" t="s">
        <v>112</v>
      </c>
      <c r="D46" s="501"/>
      <c r="E46" s="20">
        <f t="shared" ref="E46:AH46" si="6">E8-D8</f>
        <v>0</v>
      </c>
      <c r="F46" s="20">
        <f t="shared" si="6"/>
        <v>0</v>
      </c>
      <c r="G46" s="20">
        <f t="shared" si="6"/>
        <v>0</v>
      </c>
      <c r="H46" s="20">
        <f t="shared" si="6"/>
        <v>0</v>
      </c>
      <c r="I46" s="20">
        <f t="shared" si="6"/>
        <v>0</v>
      </c>
      <c r="J46" s="20">
        <f t="shared" si="6"/>
        <v>0</v>
      </c>
      <c r="K46" s="20">
        <f t="shared" si="6"/>
        <v>0</v>
      </c>
      <c r="L46" s="20">
        <f t="shared" si="6"/>
        <v>0</v>
      </c>
      <c r="M46" s="20">
        <f t="shared" si="6"/>
        <v>0</v>
      </c>
      <c r="N46" s="20">
        <f t="shared" si="6"/>
        <v>0</v>
      </c>
      <c r="O46" s="20">
        <f t="shared" si="6"/>
        <v>0</v>
      </c>
      <c r="P46" s="20">
        <f t="shared" si="6"/>
        <v>0</v>
      </c>
      <c r="Q46" s="20">
        <f t="shared" si="6"/>
        <v>0</v>
      </c>
      <c r="R46" s="20">
        <f t="shared" si="6"/>
        <v>0</v>
      </c>
      <c r="S46" s="20">
        <f t="shared" si="6"/>
        <v>0</v>
      </c>
      <c r="T46" s="20">
        <f t="shared" si="6"/>
        <v>0</v>
      </c>
      <c r="U46" s="20">
        <f t="shared" si="6"/>
        <v>0</v>
      </c>
      <c r="V46" s="20">
        <f t="shared" si="6"/>
        <v>0</v>
      </c>
      <c r="W46" s="20">
        <f t="shared" si="6"/>
        <v>0</v>
      </c>
      <c r="X46" s="20">
        <f t="shared" si="6"/>
        <v>0</v>
      </c>
      <c r="Y46" s="20">
        <f t="shared" si="6"/>
        <v>0</v>
      </c>
      <c r="Z46" s="20">
        <f t="shared" si="6"/>
        <v>0</v>
      </c>
      <c r="AA46" s="20">
        <f t="shared" si="6"/>
        <v>0</v>
      </c>
      <c r="AB46" s="20">
        <f t="shared" si="6"/>
        <v>0</v>
      </c>
      <c r="AC46" s="20">
        <f t="shared" si="6"/>
        <v>0</v>
      </c>
      <c r="AD46" s="20">
        <f t="shared" si="6"/>
        <v>0</v>
      </c>
      <c r="AE46" s="20">
        <f t="shared" si="6"/>
        <v>0</v>
      </c>
      <c r="AF46" s="20">
        <f t="shared" si="6"/>
        <v>0</v>
      </c>
      <c r="AG46" s="20">
        <f t="shared" si="6"/>
        <v>0</v>
      </c>
      <c r="AH46" s="20">
        <f t="shared" si="6"/>
        <v>0</v>
      </c>
      <c r="AI46" s="21">
        <f t="shared" si="4"/>
        <v>0</v>
      </c>
    </row>
    <row r="47" spans="1:36" ht="15" customHeight="1">
      <c r="A47" s="2"/>
      <c r="B47" s="2"/>
      <c r="C47" s="531" t="s">
        <v>22</v>
      </c>
      <c r="D47" s="501"/>
      <c r="E47" s="20">
        <f t="shared" ref="E47:AH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0">
        <f t="shared" si="7"/>
        <v>0</v>
      </c>
      <c r="AH47" s="20">
        <f t="shared" si="7"/>
        <v>0</v>
      </c>
      <c r="AI47" s="21">
        <f t="shared" si="4"/>
        <v>0</v>
      </c>
    </row>
    <row r="48" spans="1:36" ht="15" customHeight="1">
      <c r="A48" s="2">
        <v>3</v>
      </c>
      <c r="B48" s="2" t="s">
        <v>129</v>
      </c>
      <c r="C48" s="503" t="s">
        <v>113</v>
      </c>
      <c r="D48" s="501"/>
      <c r="E48" s="20">
        <f t="shared" ref="E48:AH48" si="8">E10-D10</f>
        <v>291</v>
      </c>
      <c r="F48" s="20">
        <f t="shared" si="8"/>
        <v>282</v>
      </c>
      <c r="G48" s="20">
        <f t="shared" si="8"/>
        <v>421</v>
      </c>
      <c r="H48" s="20">
        <f t="shared" si="8"/>
        <v>411</v>
      </c>
      <c r="I48" s="20">
        <f t="shared" si="8"/>
        <v>309</v>
      </c>
      <c r="J48" s="20">
        <f t="shared" si="8"/>
        <v>436</v>
      </c>
      <c r="K48" s="20">
        <f t="shared" si="8"/>
        <v>439</v>
      </c>
      <c r="L48" s="20">
        <f t="shared" si="8"/>
        <v>251</v>
      </c>
      <c r="M48" s="20">
        <f t="shared" si="8"/>
        <v>281</v>
      </c>
      <c r="N48" s="20">
        <f t="shared" si="8"/>
        <v>427</v>
      </c>
      <c r="O48" s="20">
        <f t="shared" si="8"/>
        <v>410</v>
      </c>
      <c r="P48" s="20">
        <f t="shared" si="8"/>
        <v>392</v>
      </c>
      <c r="Q48" s="20">
        <f t="shared" si="8"/>
        <v>377</v>
      </c>
      <c r="R48" s="20">
        <f t="shared" si="8"/>
        <v>368</v>
      </c>
      <c r="S48" s="20">
        <f t="shared" si="8"/>
        <v>308</v>
      </c>
      <c r="T48" s="20">
        <f t="shared" si="8"/>
        <v>285</v>
      </c>
      <c r="U48" s="20">
        <f t="shared" si="8"/>
        <v>367</v>
      </c>
      <c r="V48" s="20">
        <f t="shared" si="8"/>
        <v>375</v>
      </c>
      <c r="W48" s="20">
        <f t="shared" si="8"/>
        <v>383</v>
      </c>
      <c r="X48" s="20">
        <f t="shared" si="8"/>
        <v>357</v>
      </c>
      <c r="Y48" s="20">
        <f t="shared" si="8"/>
        <v>364</v>
      </c>
      <c r="Z48" s="20">
        <f t="shared" si="8"/>
        <v>292</v>
      </c>
      <c r="AA48" s="20">
        <f t="shared" si="8"/>
        <v>285</v>
      </c>
      <c r="AB48" s="20">
        <f t="shared" si="8"/>
        <v>368</v>
      </c>
      <c r="AC48" s="20">
        <f t="shared" si="8"/>
        <v>367</v>
      </c>
      <c r="AD48" s="20">
        <f t="shared" si="8"/>
        <v>367</v>
      </c>
      <c r="AE48" s="20">
        <f t="shared" si="8"/>
        <v>361</v>
      </c>
      <c r="AF48" s="20">
        <f t="shared" si="8"/>
        <v>355</v>
      </c>
      <c r="AG48" s="20">
        <f t="shared" si="8"/>
        <v>289</v>
      </c>
      <c r="AH48" s="20">
        <f t="shared" si="8"/>
        <v>149</v>
      </c>
      <c r="AI48" s="21">
        <f t="shared" si="4"/>
        <v>10367</v>
      </c>
    </row>
    <row r="49" spans="1:35" ht="15" customHeight="1">
      <c r="A49" s="2"/>
      <c r="B49" s="2"/>
      <c r="C49" s="531" t="s">
        <v>22</v>
      </c>
      <c r="D49" s="501"/>
      <c r="E49" s="20">
        <f t="shared" ref="E49:AH49" si="9">E11-D11</f>
        <v>0</v>
      </c>
      <c r="F49" s="20">
        <f t="shared" si="9"/>
        <v>0</v>
      </c>
      <c r="G49" s="20">
        <f t="shared" si="9"/>
        <v>0</v>
      </c>
      <c r="H49" s="20">
        <f t="shared" si="9"/>
        <v>0</v>
      </c>
      <c r="I49" s="20">
        <f t="shared" si="9"/>
        <v>0</v>
      </c>
      <c r="J49" s="20">
        <f t="shared" si="9"/>
        <v>0</v>
      </c>
      <c r="K49" s="20">
        <f t="shared" si="9"/>
        <v>0</v>
      </c>
      <c r="L49" s="20">
        <f t="shared" si="9"/>
        <v>0</v>
      </c>
      <c r="M49" s="20">
        <f t="shared" si="9"/>
        <v>0</v>
      </c>
      <c r="N49" s="20">
        <f t="shared" si="9"/>
        <v>0</v>
      </c>
      <c r="O49" s="20">
        <f t="shared" si="9"/>
        <v>0</v>
      </c>
      <c r="P49" s="20">
        <f t="shared" si="9"/>
        <v>0</v>
      </c>
      <c r="Q49" s="20">
        <f t="shared" si="9"/>
        <v>0</v>
      </c>
      <c r="R49" s="20">
        <f t="shared" si="9"/>
        <v>0</v>
      </c>
      <c r="S49" s="20">
        <f t="shared" si="9"/>
        <v>0</v>
      </c>
      <c r="T49" s="20">
        <f t="shared" si="9"/>
        <v>0</v>
      </c>
      <c r="U49" s="20">
        <f t="shared" si="9"/>
        <v>0</v>
      </c>
      <c r="V49" s="20">
        <f t="shared" si="9"/>
        <v>0</v>
      </c>
      <c r="W49" s="20">
        <f t="shared" si="9"/>
        <v>0</v>
      </c>
      <c r="X49" s="20">
        <f t="shared" si="9"/>
        <v>0</v>
      </c>
      <c r="Y49" s="20">
        <f t="shared" si="9"/>
        <v>0</v>
      </c>
      <c r="Z49" s="20">
        <f t="shared" si="9"/>
        <v>0</v>
      </c>
      <c r="AA49" s="20">
        <f t="shared" si="9"/>
        <v>0</v>
      </c>
      <c r="AB49" s="20">
        <f t="shared" si="9"/>
        <v>0</v>
      </c>
      <c r="AC49" s="20">
        <f t="shared" si="9"/>
        <v>0</v>
      </c>
      <c r="AD49" s="20">
        <f t="shared" si="9"/>
        <v>0</v>
      </c>
      <c r="AE49" s="20">
        <f t="shared" si="9"/>
        <v>0</v>
      </c>
      <c r="AF49" s="20">
        <f t="shared" si="9"/>
        <v>0</v>
      </c>
      <c r="AG49" s="20">
        <f t="shared" si="9"/>
        <v>0</v>
      </c>
      <c r="AH49" s="20">
        <f t="shared" si="9"/>
        <v>0</v>
      </c>
      <c r="AI49" s="21">
        <f t="shared" si="4"/>
        <v>0</v>
      </c>
    </row>
    <row r="50" spans="1:35" ht="15" customHeight="1">
      <c r="A50" s="2">
        <v>4</v>
      </c>
      <c r="B50" s="2" t="s">
        <v>129</v>
      </c>
      <c r="C50" s="503" t="s">
        <v>114</v>
      </c>
      <c r="D50" s="501"/>
      <c r="E50" s="20">
        <f t="shared" ref="E50:AH50" si="10">E12-D12</f>
        <v>0</v>
      </c>
      <c r="F50" s="20">
        <f t="shared" si="10"/>
        <v>0</v>
      </c>
      <c r="G50" s="20">
        <f t="shared" si="10"/>
        <v>0</v>
      </c>
      <c r="H50" s="20">
        <f t="shared" si="10"/>
        <v>0</v>
      </c>
      <c r="I50" s="20">
        <f t="shared" si="10"/>
        <v>0</v>
      </c>
      <c r="J50" s="20">
        <f t="shared" si="10"/>
        <v>0</v>
      </c>
      <c r="K50" s="20">
        <f t="shared" si="10"/>
        <v>0</v>
      </c>
      <c r="L50" s="20">
        <f t="shared" si="10"/>
        <v>0</v>
      </c>
      <c r="M50" s="20">
        <f t="shared" si="10"/>
        <v>0</v>
      </c>
      <c r="N50" s="20">
        <f t="shared" si="10"/>
        <v>0</v>
      </c>
      <c r="O50" s="20">
        <f t="shared" si="10"/>
        <v>0</v>
      </c>
      <c r="P50" s="20">
        <f t="shared" si="10"/>
        <v>0</v>
      </c>
      <c r="Q50" s="20">
        <f t="shared" si="10"/>
        <v>0</v>
      </c>
      <c r="R50" s="20">
        <f t="shared" si="10"/>
        <v>0</v>
      </c>
      <c r="S50" s="20">
        <f t="shared" si="10"/>
        <v>0</v>
      </c>
      <c r="T50" s="20">
        <f t="shared" si="10"/>
        <v>0</v>
      </c>
      <c r="U50" s="20">
        <f t="shared" si="10"/>
        <v>0</v>
      </c>
      <c r="V50" s="20">
        <f t="shared" si="10"/>
        <v>0</v>
      </c>
      <c r="W50" s="20">
        <f t="shared" si="10"/>
        <v>0</v>
      </c>
      <c r="X50" s="20">
        <f t="shared" si="10"/>
        <v>0</v>
      </c>
      <c r="Y50" s="20">
        <f t="shared" si="10"/>
        <v>0</v>
      </c>
      <c r="Z50" s="20">
        <f t="shared" si="10"/>
        <v>0</v>
      </c>
      <c r="AA50" s="20">
        <f t="shared" si="10"/>
        <v>0</v>
      </c>
      <c r="AB50" s="20">
        <f t="shared" si="10"/>
        <v>0</v>
      </c>
      <c r="AC50" s="20">
        <f t="shared" si="10"/>
        <v>0</v>
      </c>
      <c r="AD50" s="20">
        <f t="shared" si="10"/>
        <v>0</v>
      </c>
      <c r="AE50" s="20">
        <f t="shared" si="10"/>
        <v>0</v>
      </c>
      <c r="AF50" s="20">
        <f t="shared" si="10"/>
        <v>0</v>
      </c>
      <c r="AG50" s="20">
        <f t="shared" si="10"/>
        <v>0</v>
      </c>
      <c r="AH50" s="20">
        <f t="shared" si="10"/>
        <v>0</v>
      </c>
      <c r="AI50" s="21">
        <f t="shared" si="4"/>
        <v>0</v>
      </c>
    </row>
    <row r="51" spans="1:35" ht="15" customHeight="1">
      <c r="A51" s="2"/>
      <c r="B51" s="2"/>
      <c r="C51" s="531" t="s">
        <v>22</v>
      </c>
      <c r="D51" s="501"/>
      <c r="E51" s="20">
        <f t="shared" ref="E51:AH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0">
        <f t="shared" si="11"/>
        <v>0</v>
      </c>
      <c r="AH51" s="20">
        <f t="shared" si="11"/>
        <v>0</v>
      </c>
      <c r="AI51" s="21">
        <f t="shared" si="4"/>
        <v>0</v>
      </c>
    </row>
    <row r="52" spans="1:35" ht="15" customHeight="1">
      <c r="A52" s="2">
        <v>5</v>
      </c>
      <c r="B52" s="2" t="s">
        <v>129</v>
      </c>
      <c r="C52" s="503" t="s">
        <v>115</v>
      </c>
      <c r="D52" s="501"/>
      <c r="E52" s="20">
        <f t="shared" ref="E52:AH52" si="12">E14-D14</f>
        <v>177</v>
      </c>
      <c r="F52" s="20">
        <f t="shared" si="12"/>
        <v>173</v>
      </c>
      <c r="G52" s="20">
        <f t="shared" si="12"/>
        <v>288</v>
      </c>
      <c r="H52" s="20">
        <f t="shared" si="12"/>
        <v>279</v>
      </c>
      <c r="I52" s="20">
        <f t="shared" si="12"/>
        <v>203</v>
      </c>
      <c r="J52" s="20">
        <f t="shared" si="12"/>
        <v>300</v>
      </c>
      <c r="K52" s="20">
        <f t="shared" si="12"/>
        <v>286</v>
      </c>
      <c r="L52" s="20">
        <f t="shared" si="12"/>
        <v>138</v>
      </c>
      <c r="M52" s="20">
        <f t="shared" si="12"/>
        <v>164</v>
      </c>
      <c r="N52" s="20">
        <f t="shared" si="12"/>
        <v>282</v>
      </c>
      <c r="O52" s="20">
        <f t="shared" si="12"/>
        <v>262</v>
      </c>
      <c r="P52" s="20">
        <f t="shared" si="12"/>
        <v>260</v>
      </c>
      <c r="Q52" s="20">
        <f t="shared" si="12"/>
        <v>245</v>
      </c>
      <c r="R52" s="20">
        <f t="shared" si="12"/>
        <v>232</v>
      </c>
      <c r="S52" s="20">
        <f t="shared" si="12"/>
        <v>166</v>
      </c>
      <c r="T52" s="20">
        <f t="shared" si="12"/>
        <v>160</v>
      </c>
      <c r="U52" s="20">
        <f t="shared" si="12"/>
        <v>247</v>
      </c>
      <c r="V52" s="20">
        <f t="shared" si="12"/>
        <v>253</v>
      </c>
      <c r="W52" s="20">
        <f t="shared" si="12"/>
        <v>263</v>
      </c>
      <c r="X52" s="20">
        <f t="shared" si="12"/>
        <v>243</v>
      </c>
      <c r="Y52" s="20">
        <f t="shared" si="12"/>
        <v>239</v>
      </c>
      <c r="Z52" s="20">
        <f t="shared" si="12"/>
        <v>171</v>
      </c>
      <c r="AA52" s="20">
        <f t="shared" si="12"/>
        <v>158</v>
      </c>
      <c r="AB52" s="20">
        <f t="shared" si="12"/>
        <v>249</v>
      </c>
      <c r="AC52" s="20">
        <f t="shared" si="12"/>
        <v>244</v>
      </c>
      <c r="AD52" s="20">
        <f t="shared" si="12"/>
        <v>252</v>
      </c>
      <c r="AE52" s="20">
        <f t="shared" si="12"/>
        <v>251</v>
      </c>
      <c r="AF52" s="20">
        <f t="shared" si="12"/>
        <v>245</v>
      </c>
      <c r="AG52" s="20">
        <f t="shared" si="12"/>
        <v>170</v>
      </c>
      <c r="AH52" s="20">
        <f t="shared" si="12"/>
        <v>83</v>
      </c>
      <c r="AI52" s="21">
        <f t="shared" si="4"/>
        <v>6683</v>
      </c>
    </row>
    <row r="53" spans="1:35" ht="15" customHeight="1">
      <c r="A53" s="2"/>
      <c r="B53" s="2"/>
      <c r="C53" s="531" t="s">
        <v>22</v>
      </c>
      <c r="D53" s="501"/>
      <c r="E53" s="20">
        <f t="shared" ref="E53:AH53" si="13">E15-D15</f>
        <v>1</v>
      </c>
      <c r="F53" s="20">
        <f t="shared" si="13"/>
        <v>0</v>
      </c>
      <c r="G53" s="20">
        <f t="shared" si="13"/>
        <v>0</v>
      </c>
      <c r="H53" s="20">
        <f t="shared" si="13"/>
        <v>0</v>
      </c>
      <c r="I53" s="20">
        <f t="shared" si="13"/>
        <v>0</v>
      </c>
      <c r="J53" s="20">
        <f t="shared" si="13"/>
        <v>0</v>
      </c>
      <c r="K53" s="20">
        <f t="shared" si="13"/>
        <v>0</v>
      </c>
      <c r="L53" s="20">
        <f t="shared" si="13"/>
        <v>0</v>
      </c>
      <c r="M53" s="20">
        <f t="shared" si="13"/>
        <v>0</v>
      </c>
      <c r="N53" s="20">
        <f t="shared" si="13"/>
        <v>0</v>
      </c>
      <c r="O53" s="20">
        <f t="shared" si="13"/>
        <v>0</v>
      </c>
      <c r="P53" s="20">
        <f t="shared" si="13"/>
        <v>0</v>
      </c>
      <c r="Q53" s="20">
        <f t="shared" si="13"/>
        <v>0</v>
      </c>
      <c r="R53" s="20">
        <f t="shared" si="13"/>
        <v>0</v>
      </c>
      <c r="S53" s="20">
        <f t="shared" si="13"/>
        <v>0</v>
      </c>
      <c r="T53" s="20">
        <f t="shared" si="13"/>
        <v>0</v>
      </c>
      <c r="U53" s="20">
        <f t="shared" si="13"/>
        <v>0</v>
      </c>
      <c r="V53" s="20">
        <f t="shared" si="13"/>
        <v>0</v>
      </c>
      <c r="W53" s="20">
        <f t="shared" si="13"/>
        <v>0</v>
      </c>
      <c r="X53" s="20">
        <f t="shared" si="13"/>
        <v>0</v>
      </c>
      <c r="Y53" s="20">
        <f t="shared" si="13"/>
        <v>0</v>
      </c>
      <c r="Z53" s="20">
        <f t="shared" si="13"/>
        <v>0</v>
      </c>
      <c r="AA53" s="20">
        <f t="shared" si="13"/>
        <v>0</v>
      </c>
      <c r="AB53" s="20">
        <f t="shared" si="13"/>
        <v>0</v>
      </c>
      <c r="AC53" s="20">
        <f t="shared" si="13"/>
        <v>0</v>
      </c>
      <c r="AD53" s="20">
        <f t="shared" si="13"/>
        <v>0</v>
      </c>
      <c r="AE53" s="20">
        <f t="shared" si="13"/>
        <v>0</v>
      </c>
      <c r="AF53" s="20">
        <f t="shared" si="13"/>
        <v>0</v>
      </c>
      <c r="AG53" s="20">
        <f t="shared" si="13"/>
        <v>0</v>
      </c>
      <c r="AH53" s="20">
        <f t="shared" si="13"/>
        <v>0</v>
      </c>
      <c r="AI53" s="21">
        <f t="shared" si="4"/>
        <v>1</v>
      </c>
    </row>
    <row r="54" spans="1:35" ht="15" customHeight="1">
      <c r="A54" s="2">
        <v>6</v>
      </c>
      <c r="B54" s="2" t="s">
        <v>129</v>
      </c>
      <c r="C54" s="503" t="s">
        <v>116</v>
      </c>
      <c r="D54" s="501"/>
      <c r="E54" s="20">
        <f t="shared" ref="E54:AH54" si="14">E16-D16</f>
        <v>109</v>
      </c>
      <c r="F54" s="20">
        <f t="shared" si="14"/>
        <v>90</v>
      </c>
      <c r="G54" s="20">
        <f t="shared" si="14"/>
        <v>247</v>
      </c>
      <c r="H54" s="20">
        <f t="shared" si="14"/>
        <v>256</v>
      </c>
      <c r="I54" s="20">
        <f t="shared" si="14"/>
        <v>120</v>
      </c>
      <c r="J54" s="20">
        <f t="shared" si="14"/>
        <v>273</v>
      </c>
      <c r="K54" s="20">
        <f t="shared" si="14"/>
        <v>250</v>
      </c>
      <c r="L54" s="20">
        <f t="shared" si="14"/>
        <v>92</v>
      </c>
      <c r="M54" s="20">
        <f t="shared" si="14"/>
        <v>70</v>
      </c>
      <c r="N54" s="20">
        <f t="shared" si="14"/>
        <v>254</v>
      </c>
      <c r="O54" s="20">
        <f t="shared" si="14"/>
        <v>239</v>
      </c>
      <c r="P54" s="20">
        <f t="shared" si="14"/>
        <v>253</v>
      </c>
      <c r="Q54" s="20">
        <f t="shared" si="14"/>
        <v>222</v>
      </c>
      <c r="R54" s="20">
        <f t="shared" si="14"/>
        <v>241</v>
      </c>
      <c r="S54" s="20">
        <f t="shared" si="14"/>
        <v>119</v>
      </c>
      <c r="T54" s="20">
        <f t="shared" si="14"/>
        <v>87</v>
      </c>
      <c r="U54" s="20">
        <f t="shared" si="14"/>
        <v>224</v>
      </c>
      <c r="V54" s="20">
        <f t="shared" si="14"/>
        <v>255</v>
      </c>
      <c r="W54" s="20">
        <f t="shared" si="14"/>
        <v>232</v>
      </c>
      <c r="X54" s="20">
        <f t="shared" si="14"/>
        <v>238</v>
      </c>
      <c r="Y54" s="20">
        <f t="shared" si="14"/>
        <v>242</v>
      </c>
      <c r="Z54" s="20">
        <f t="shared" si="14"/>
        <v>128</v>
      </c>
      <c r="AA54" s="20">
        <f t="shared" si="14"/>
        <v>76</v>
      </c>
      <c r="AB54" s="20">
        <f t="shared" si="14"/>
        <v>256</v>
      </c>
      <c r="AC54" s="20">
        <f t="shared" si="14"/>
        <v>219</v>
      </c>
      <c r="AD54" s="20">
        <f t="shared" si="14"/>
        <v>249</v>
      </c>
      <c r="AE54" s="20">
        <f t="shared" si="14"/>
        <v>241</v>
      </c>
      <c r="AF54" s="20">
        <f t="shared" si="14"/>
        <v>240</v>
      </c>
      <c r="AG54" s="20">
        <f t="shared" si="14"/>
        <v>104</v>
      </c>
      <c r="AH54" s="20">
        <f t="shared" si="14"/>
        <v>66</v>
      </c>
      <c r="AI54" s="21">
        <f t="shared" si="4"/>
        <v>5692</v>
      </c>
    </row>
    <row r="55" spans="1:35" ht="15" customHeight="1">
      <c r="A55" s="2"/>
      <c r="B55" s="2"/>
      <c r="C55" s="531" t="s">
        <v>22</v>
      </c>
      <c r="D55" s="501"/>
      <c r="E55" s="20">
        <f t="shared" ref="E55:AH55" si="15">E17-D17</f>
        <v>0</v>
      </c>
      <c r="F55" s="20">
        <f t="shared" si="15"/>
        <v>0</v>
      </c>
      <c r="G55" s="20">
        <f t="shared" si="15"/>
        <v>0</v>
      </c>
      <c r="H55" s="20">
        <f t="shared" si="15"/>
        <v>0</v>
      </c>
      <c r="I55" s="20">
        <f t="shared" si="15"/>
        <v>0</v>
      </c>
      <c r="J55" s="20">
        <f t="shared" si="15"/>
        <v>0</v>
      </c>
      <c r="K55" s="20">
        <f t="shared" si="15"/>
        <v>0</v>
      </c>
      <c r="L55" s="20">
        <f t="shared" si="15"/>
        <v>0</v>
      </c>
      <c r="M55" s="20">
        <f t="shared" si="15"/>
        <v>0</v>
      </c>
      <c r="N55" s="20">
        <f t="shared" si="15"/>
        <v>0</v>
      </c>
      <c r="O55" s="20">
        <f t="shared" si="15"/>
        <v>0</v>
      </c>
      <c r="P55" s="20">
        <f t="shared" si="15"/>
        <v>0</v>
      </c>
      <c r="Q55" s="20">
        <f t="shared" si="15"/>
        <v>0</v>
      </c>
      <c r="R55" s="20">
        <f t="shared" si="15"/>
        <v>0</v>
      </c>
      <c r="S55" s="20">
        <f t="shared" si="15"/>
        <v>0</v>
      </c>
      <c r="T55" s="20">
        <f t="shared" si="15"/>
        <v>0</v>
      </c>
      <c r="U55" s="20">
        <f t="shared" si="15"/>
        <v>0</v>
      </c>
      <c r="V55" s="20">
        <f t="shared" si="15"/>
        <v>0</v>
      </c>
      <c r="W55" s="20">
        <f t="shared" si="15"/>
        <v>0</v>
      </c>
      <c r="X55" s="20">
        <f t="shared" si="15"/>
        <v>0</v>
      </c>
      <c r="Y55" s="20">
        <f t="shared" si="15"/>
        <v>0</v>
      </c>
      <c r="Z55" s="20">
        <f t="shared" si="15"/>
        <v>0</v>
      </c>
      <c r="AA55" s="20">
        <f t="shared" si="15"/>
        <v>0</v>
      </c>
      <c r="AB55" s="20">
        <f t="shared" si="15"/>
        <v>0</v>
      </c>
      <c r="AC55" s="20">
        <f t="shared" si="15"/>
        <v>0</v>
      </c>
      <c r="AD55" s="20">
        <f t="shared" si="15"/>
        <v>0</v>
      </c>
      <c r="AE55" s="20">
        <f t="shared" si="15"/>
        <v>0</v>
      </c>
      <c r="AF55" s="20">
        <f t="shared" si="15"/>
        <v>0</v>
      </c>
      <c r="AG55" s="20">
        <f t="shared" si="15"/>
        <v>0</v>
      </c>
      <c r="AH55" s="20">
        <f t="shared" si="15"/>
        <v>0</v>
      </c>
      <c r="AI55" s="21">
        <f t="shared" si="4"/>
        <v>0</v>
      </c>
    </row>
    <row r="56" spans="1:35" ht="15" customHeight="1">
      <c r="A56" s="2">
        <v>7</v>
      </c>
      <c r="B56" s="2" t="s">
        <v>129</v>
      </c>
      <c r="C56" s="503" t="s">
        <v>117</v>
      </c>
      <c r="D56" s="501"/>
      <c r="E56" s="20">
        <f t="shared" ref="E56:AH56" si="16">E18-D18</f>
        <v>615</v>
      </c>
      <c r="F56" s="20">
        <f t="shared" si="16"/>
        <v>537</v>
      </c>
      <c r="G56" s="20">
        <f t="shared" si="16"/>
        <v>779</v>
      </c>
      <c r="H56" s="20">
        <f t="shared" si="16"/>
        <v>792</v>
      </c>
      <c r="I56" s="20">
        <f t="shared" si="16"/>
        <v>650</v>
      </c>
      <c r="J56" s="20">
        <f t="shared" si="16"/>
        <v>776</v>
      </c>
      <c r="K56" s="20">
        <f t="shared" si="16"/>
        <v>849</v>
      </c>
      <c r="L56" s="20">
        <f t="shared" si="16"/>
        <v>448</v>
      </c>
      <c r="M56" s="20">
        <f t="shared" si="16"/>
        <v>568</v>
      </c>
      <c r="N56" s="20">
        <f t="shared" si="16"/>
        <v>775</v>
      </c>
      <c r="O56" s="20">
        <f t="shared" si="16"/>
        <v>825</v>
      </c>
      <c r="P56" s="20">
        <f t="shared" si="16"/>
        <v>803</v>
      </c>
      <c r="Q56" s="20">
        <f t="shared" si="16"/>
        <v>798</v>
      </c>
      <c r="R56" s="20">
        <f t="shared" si="16"/>
        <v>783</v>
      </c>
      <c r="S56" s="20">
        <f t="shared" si="16"/>
        <v>690</v>
      </c>
      <c r="T56" s="20">
        <f t="shared" si="16"/>
        <v>510</v>
      </c>
      <c r="U56" s="20">
        <f t="shared" si="16"/>
        <v>769</v>
      </c>
      <c r="V56" s="20">
        <f t="shared" si="16"/>
        <v>812</v>
      </c>
      <c r="W56" s="20">
        <f t="shared" si="16"/>
        <v>803</v>
      </c>
      <c r="X56" s="20">
        <f t="shared" si="16"/>
        <v>814</v>
      </c>
      <c r="Y56" s="20">
        <f t="shared" si="16"/>
        <v>763</v>
      </c>
      <c r="Z56" s="20">
        <f t="shared" si="16"/>
        <v>423</v>
      </c>
      <c r="AA56" s="20">
        <f t="shared" si="16"/>
        <v>771</v>
      </c>
      <c r="AB56" s="20">
        <f t="shared" si="16"/>
        <v>792</v>
      </c>
      <c r="AC56" s="20">
        <f t="shared" si="16"/>
        <v>803</v>
      </c>
      <c r="AD56" s="20">
        <f t="shared" si="16"/>
        <v>810</v>
      </c>
      <c r="AE56" s="20">
        <f t="shared" si="16"/>
        <v>809</v>
      </c>
      <c r="AF56" s="20">
        <f t="shared" si="16"/>
        <v>801</v>
      </c>
      <c r="AG56" s="20">
        <f t="shared" si="16"/>
        <v>564</v>
      </c>
      <c r="AH56" s="20">
        <f t="shared" si="16"/>
        <v>241</v>
      </c>
      <c r="AI56" s="21">
        <f t="shared" si="4"/>
        <v>21173</v>
      </c>
    </row>
    <row r="57" spans="1:35" ht="15" customHeight="1">
      <c r="A57" s="2"/>
      <c r="B57" s="2"/>
      <c r="C57" s="531" t="s">
        <v>22</v>
      </c>
      <c r="D57" s="501"/>
      <c r="E57" s="20">
        <f t="shared" ref="E57:AH57" si="17">E19-D19</f>
        <v>0</v>
      </c>
      <c r="F57" s="20">
        <f t="shared" si="17"/>
        <v>0</v>
      </c>
      <c r="G57" s="20">
        <f t="shared" si="17"/>
        <v>0</v>
      </c>
      <c r="H57" s="20">
        <f t="shared" si="17"/>
        <v>0</v>
      </c>
      <c r="I57" s="20">
        <f t="shared" si="17"/>
        <v>0</v>
      </c>
      <c r="J57" s="20">
        <f t="shared" si="17"/>
        <v>0</v>
      </c>
      <c r="K57" s="20">
        <f t="shared" si="17"/>
        <v>0</v>
      </c>
      <c r="L57" s="20">
        <f t="shared" si="17"/>
        <v>0</v>
      </c>
      <c r="M57" s="20">
        <f t="shared" si="17"/>
        <v>0</v>
      </c>
      <c r="N57" s="20">
        <f t="shared" si="17"/>
        <v>0</v>
      </c>
      <c r="O57" s="20">
        <f t="shared" si="17"/>
        <v>0</v>
      </c>
      <c r="P57" s="20">
        <f t="shared" si="17"/>
        <v>0</v>
      </c>
      <c r="Q57" s="20">
        <f t="shared" si="17"/>
        <v>0</v>
      </c>
      <c r="R57" s="20">
        <f t="shared" si="17"/>
        <v>0</v>
      </c>
      <c r="S57" s="20">
        <f t="shared" si="17"/>
        <v>0</v>
      </c>
      <c r="T57" s="20">
        <f t="shared" si="17"/>
        <v>0</v>
      </c>
      <c r="U57" s="20">
        <f t="shared" si="17"/>
        <v>0</v>
      </c>
      <c r="V57" s="20">
        <f t="shared" si="17"/>
        <v>0</v>
      </c>
      <c r="W57" s="20">
        <f t="shared" si="17"/>
        <v>0</v>
      </c>
      <c r="X57" s="20">
        <f t="shared" si="17"/>
        <v>0</v>
      </c>
      <c r="Y57" s="20">
        <f t="shared" si="17"/>
        <v>0</v>
      </c>
      <c r="Z57" s="20">
        <f t="shared" si="17"/>
        <v>0</v>
      </c>
      <c r="AA57" s="20">
        <f t="shared" si="17"/>
        <v>0</v>
      </c>
      <c r="AB57" s="20">
        <f t="shared" si="17"/>
        <v>0</v>
      </c>
      <c r="AC57" s="20">
        <f t="shared" si="17"/>
        <v>0</v>
      </c>
      <c r="AD57" s="20">
        <f t="shared" si="17"/>
        <v>0</v>
      </c>
      <c r="AE57" s="20">
        <f t="shared" si="17"/>
        <v>0</v>
      </c>
      <c r="AF57" s="20">
        <f t="shared" si="17"/>
        <v>0</v>
      </c>
      <c r="AG57" s="20">
        <f t="shared" si="17"/>
        <v>0</v>
      </c>
      <c r="AH57" s="20">
        <f t="shared" si="17"/>
        <v>0</v>
      </c>
      <c r="AI57" s="21">
        <f t="shared" si="4"/>
        <v>0</v>
      </c>
    </row>
    <row r="58" spans="1:35" ht="15" customHeight="1">
      <c r="A58" s="2">
        <v>8</v>
      </c>
      <c r="B58" s="2" t="s">
        <v>129</v>
      </c>
      <c r="C58" s="503" t="s">
        <v>118</v>
      </c>
      <c r="D58" s="501"/>
      <c r="E58" s="20">
        <f t="shared" ref="E58:AH58" si="18">E20-D20</f>
        <v>131</v>
      </c>
      <c r="F58" s="20">
        <f t="shared" si="18"/>
        <v>109</v>
      </c>
      <c r="G58" s="20">
        <f t="shared" si="18"/>
        <v>142</v>
      </c>
      <c r="H58" s="20">
        <f t="shared" si="18"/>
        <v>118</v>
      </c>
      <c r="I58" s="20">
        <f t="shared" si="18"/>
        <v>110</v>
      </c>
      <c r="J58" s="20">
        <f t="shared" si="18"/>
        <v>123</v>
      </c>
      <c r="K58" s="20">
        <f t="shared" si="18"/>
        <v>137</v>
      </c>
      <c r="L58" s="20">
        <f t="shared" si="18"/>
        <v>97</v>
      </c>
      <c r="M58" s="20">
        <f t="shared" si="18"/>
        <v>111</v>
      </c>
      <c r="N58" s="20">
        <f t="shared" si="18"/>
        <v>70</v>
      </c>
      <c r="O58" s="20">
        <f t="shared" si="18"/>
        <v>167</v>
      </c>
      <c r="P58" s="20">
        <f t="shared" si="18"/>
        <v>105</v>
      </c>
      <c r="Q58" s="20">
        <f t="shared" si="18"/>
        <v>120</v>
      </c>
      <c r="R58" s="20">
        <f t="shared" si="18"/>
        <v>104</v>
      </c>
      <c r="S58" s="20">
        <f t="shared" si="18"/>
        <v>119</v>
      </c>
      <c r="T58" s="20">
        <f t="shared" si="18"/>
        <v>101</v>
      </c>
      <c r="U58" s="20">
        <f t="shared" si="18"/>
        <v>114</v>
      </c>
      <c r="V58" s="20">
        <f t="shared" si="18"/>
        <v>101</v>
      </c>
      <c r="W58" s="20">
        <f t="shared" si="18"/>
        <v>127</v>
      </c>
      <c r="X58" s="20">
        <f t="shared" si="18"/>
        <v>99</v>
      </c>
      <c r="Y58" s="20">
        <f t="shared" si="18"/>
        <v>142</v>
      </c>
      <c r="Z58" s="20">
        <f t="shared" si="18"/>
        <v>108</v>
      </c>
      <c r="AA58" s="20">
        <f t="shared" si="18"/>
        <v>0</v>
      </c>
      <c r="AB58" s="20">
        <f t="shared" si="18"/>
        <v>110</v>
      </c>
      <c r="AC58" s="20">
        <f t="shared" si="18"/>
        <v>231</v>
      </c>
      <c r="AD58" s="20">
        <f t="shared" si="18"/>
        <v>97</v>
      </c>
      <c r="AE58" s="20">
        <f t="shared" si="18"/>
        <v>119</v>
      </c>
      <c r="AF58" s="20">
        <f t="shared" si="18"/>
        <v>104</v>
      </c>
      <c r="AG58" s="20">
        <f t="shared" si="18"/>
        <v>102</v>
      </c>
      <c r="AH58" s="20">
        <f t="shared" si="18"/>
        <v>91</v>
      </c>
      <c r="AI58" s="21">
        <f t="shared" si="4"/>
        <v>3409</v>
      </c>
    </row>
    <row r="59" spans="1:35" ht="15" customHeight="1">
      <c r="A59" s="2"/>
      <c r="B59" s="2"/>
      <c r="C59" s="531" t="s">
        <v>22</v>
      </c>
      <c r="D59" s="501"/>
      <c r="E59" s="20">
        <f t="shared" ref="E59:AH59" si="19">E21-D21</f>
        <v>0</v>
      </c>
      <c r="F59" s="20">
        <f t="shared" si="19"/>
        <v>0</v>
      </c>
      <c r="G59" s="20">
        <f t="shared" si="19"/>
        <v>0</v>
      </c>
      <c r="H59" s="20">
        <f t="shared" si="19"/>
        <v>0</v>
      </c>
      <c r="I59" s="20">
        <f t="shared" si="19"/>
        <v>0</v>
      </c>
      <c r="J59" s="20">
        <f t="shared" si="19"/>
        <v>0</v>
      </c>
      <c r="K59" s="20">
        <f t="shared" si="19"/>
        <v>0</v>
      </c>
      <c r="L59" s="20">
        <f t="shared" si="19"/>
        <v>0</v>
      </c>
      <c r="M59" s="20">
        <f t="shared" si="19"/>
        <v>0</v>
      </c>
      <c r="N59" s="20">
        <f t="shared" si="19"/>
        <v>0</v>
      </c>
      <c r="O59" s="20">
        <f t="shared" si="19"/>
        <v>0</v>
      </c>
      <c r="P59" s="20">
        <f t="shared" si="19"/>
        <v>0</v>
      </c>
      <c r="Q59" s="20">
        <f t="shared" si="19"/>
        <v>0</v>
      </c>
      <c r="R59" s="20">
        <f t="shared" si="19"/>
        <v>0</v>
      </c>
      <c r="S59" s="20">
        <f t="shared" si="19"/>
        <v>0</v>
      </c>
      <c r="T59" s="20">
        <f t="shared" si="19"/>
        <v>0</v>
      </c>
      <c r="U59" s="20">
        <f t="shared" si="19"/>
        <v>0</v>
      </c>
      <c r="V59" s="20">
        <f t="shared" si="19"/>
        <v>0</v>
      </c>
      <c r="W59" s="20">
        <f t="shared" si="19"/>
        <v>0</v>
      </c>
      <c r="X59" s="20">
        <f t="shared" si="19"/>
        <v>0</v>
      </c>
      <c r="Y59" s="20">
        <f t="shared" si="19"/>
        <v>0</v>
      </c>
      <c r="Z59" s="20">
        <f t="shared" si="19"/>
        <v>0</v>
      </c>
      <c r="AA59" s="20">
        <f t="shared" si="19"/>
        <v>0</v>
      </c>
      <c r="AB59" s="20">
        <f t="shared" si="19"/>
        <v>0</v>
      </c>
      <c r="AC59" s="20">
        <f t="shared" si="19"/>
        <v>0</v>
      </c>
      <c r="AD59" s="20">
        <f t="shared" si="19"/>
        <v>0</v>
      </c>
      <c r="AE59" s="20">
        <f t="shared" si="19"/>
        <v>0</v>
      </c>
      <c r="AF59" s="20">
        <f t="shared" si="19"/>
        <v>0</v>
      </c>
      <c r="AG59" s="20">
        <f t="shared" si="19"/>
        <v>0</v>
      </c>
      <c r="AH59" s="20">
        <f t="shared" si="19"/>
        <v>0</v>
      </c>
      <c r="AI59" s="21">
        <f t="shared" si="4"/>
        <v>0</v>
      </c>
    </row>
    <row r="60" spans="1:35" ht="15" customHeight="1">
      <c r="A60" s="99"/>
      <c r="B60" s="99"/>
      <c r="C60" s="500" t="s">
        <v>130</v>
      </c>
      <c r="D60" s="501"/>
      <c r="E60" s="23">
        <f t="shared" ref="E60:AH60" si="20">SUM(E58,E56,E54,E52,E50,E48,E46,E44)</f>
        <v>1541</v>
      </c>
      <c r="F60" s="23">
        <f t="shared" si="20"/>
        <v>1402</v>
      </c>
      <c r="G60" s="23">
        <f t="shared" si="20"/>
        <v>2159</v>
      </c>
      <c r="H60" s="23">
        <f t="shared" si="20"/>
        <v>2132</v>
      </c>
      <c r="I60" s="23">
        <f t="shared" si="20"/>
        <v>1618</v>
      </c>
      <c r="J60" s="23">
        <f t="shared" si="20"/>
        <v>2193</v>
      </c>
      <c r="K60" s="23">
        <f t="shared" si="20"/>
        <v>2259</v>
      </c>
      <c r="L60" s="23">
        <f t="shared" si="20"/>
        <v>1214</v>
      </c>
      <c r="M60" s="23">
        <f t="shared" si="20"/>
        <v>1387</v>
      </c>
      <c r="N60" s="23">
        <f t="shared" si="20"/>
        <v>2110</v>
      </c>
      <c r="O60" s="23">
        <f t="shared" si="20"/>
        <v>2179</v>
      </c>
      <c r="P60" s="23">
        <f t="shared" si="20"/>
        <v>2082</v>
      </c>
      <c r="Q60" s="23">
        <f t="shared" si="20"/>
        <v>2020</v>
      </c>
      <c r="R60" s="23">
        <f t="shared" si="20"/>
        <v>1983</v>
      </c>
      <c r="S60" s="23">
        <f t="shared" si="20"/>
        <v>1628</v>
      </c>
      <c r="T60" s="23">
        <f t="shared" si="20"/>
        <v>1356</v>
      </c>
      <c r="U60" s="23">
        <f t="shared" si="20"/>
        <v>1973</v>
      </c>
      <c r="V60" s="23">
        <f t="shared" si="20"/>
        <v>2054</v>
      </c>
      <c r="W60" s="23">
        <f t="shared" si="20"/>
        <v>2068</v>
      </c>
      <c r="X60" s="23">
        <f t="shared" si="20"/>
        <v>2006</v>
      </c>
      <c r="Y60" s="23">
        <f t="shared" si="20"/>
        <v>1995</v>
      </c>
      <c r="Z60" s="23">
        <f t="shared" si="20"/>
        <v>1340</v>
      </c>
      <c r="AA60" s="23">
        <f t="shared" si="20"/>
        <v>1500</v>
      </c>
      <c r="AB60" s="23">
        <f t="shared" si="20"/>
        <v>2030</v>
      </c>
      <c r="AC60" s="23">
        <f t="shared" si="20"/>
        <v>2118</v>
      </c>
      <c r="AD60" s="23">
        <f t="shared" si="20"/>
        <v>2029</v>
      </c>
      <c r="AE60" s="23">
        <f t="shared" si="20"/>
        <v>2034</v>
      </c>
      <c r="AF60" s="23">
        <f t="shared" si="20"/>
        <v>1993</v>
      </c>
      <c r="AG60" s="23">
        <f t="shared" si="20"/>
        <v>1442</v>
      </c>
      <c r="AH60" s="23">
        <f t="shared" si="20"/>
        <v>742</v>
      </c>
      <c r="AI60" s="24">
        <f t="shared" si="4"/>
        <v>54587</v>
      </c>
    </row>
    <row r="61" spans="1:35" ht="15" customHeight="1">
      <c r="A61" s="99"/>
      <c r="B61" s="99"/>
      <c r="C61" s="145" t="s">
        <v>131</v>
      </c>
      <c r="D61" s="108"/>
      <c r="E61" s="23">
        <f t="shared" ref="E61:AH61" si="21">SUM(E45,E47,E49,E51,E53,E55,E57,E59)</f>
        <v>1</v>
      </c>
      <c r="F61" s="23">
        <f t="shared" si="21"/>
        <v>0</v>
      </c>
      <c r="G61" s="23">
        <f t="shared" si="21"/>
        <v>0</v>
      </c>
      <c r="H61" s="23">
        <f t="shared" si="21"/>
        <v>0</v>
      </c>
      <c r="I61" s="23">
        <f t="shared" si="21"/>
        <v>0</v>
      </c>
      <c r="J61" s="23">
        <f t="shared" si="21"/>
        <v>0</v>
      </c>
      <c r="K61" s="23">
        <f t="shared" si="21"/>
        <v>0</v>
      </c>
      <c r="L61" s="23">
        <f t="shared" si="21"/>
        <v>0</v>
      </c>
      <c r="M61" s="23">
        <f t="shared" si="21"/>
        <v>0</v>
      </c>
      <c r="N61" s="23">
        <f t="shared" si="21"/>
        <v>0</v>
      </c>
      <c r="O61" s="23">
        <f t="shared" si="21"/>
        <v>0</v>
      </c>
      <c r="P61" s="23">
        <f t="shared" si="21"/>
        <v>0</v>
      </c>
      <c r="Q61" s="23">
        <f t="shared" si="21"/>
        <v>0</v>
      </c>
      <c r="R61" s="23">
        <f t="shared" si="21"/>
        <v>0</v>
      </c>
      <c r="S61" s="23">
        <f t="shared" si="21"/>
        <v>0</v>
      </c>
      <c r="T61" s="23">
        <f t="shared" si="21"/>
        <v>0</v>
      </c>
      <c r="U61" s="23">
        <f t="shared" si="21"/>
        <v>0</v>
      </c>
      <c r="V61" s="23">
        <f t="shared" si="21"/>
        <v>0</v>
      </c>
      <c r="W61" s="23">
        <f t="shared" si="21"/>
        <v>0</v>
      </c>
      <c r="X61" s="23">
        <f t="shared" si="21"/>
        <v>0</v>
      </c>
      <c r="Y61" s="23">
        <f t="shared" si="21"/>
        <v>0</v>
      </c>
      <c r="Z61" s="23">
        <f t="shared" si="21"/>
        <v>0</v>
      </c>
      <c r="AA61" s="23">
        <f t="shared" si="21"/>
        <v>0</v>
      </c>
      <c r="AB61" s="23">
        <f t="shared" si="21"/>
        <v>0</v>
      </c>
      <c r="AC61" s="23">
        <f t="shared" si="21"/>
        <v>0</v>
      </c>
      <c r="AD61" s="23">
        <f t="shared" si="21"/>
        <v>0</v>
      </c>
      <c r="AE61" s="23">
        <f t="shared" si="21"/>
        <v>0</v>
      </c>
      <c r="AF61" s="23">
        <f t="shared" si="21"/>
        <v>0</v>
      </c>
      <c r="AG61" s="23">
        <f t="shared" si="21"/>
        <v>0</v>
      </c>
      <c r="AH61" s="23">
        <f t="shared" si="21"/>
        <v>0</v>
      </c>
      <c r="AI61" s="24">
        <f t="shared" si="4"/>
        <v>1</v>
      </c>
    </row>
    <row r="62" spans="1:35">
      <c r="A62" s="101"/>
      <c r="B62" s="101"/>
      <c r="C62" s="539" t="s">
        <v>132</v>
      </c>
      <c r="D62" s="501"/>
      <c r="E62" s="102">
        <f t="shared" ref="E62:AI62" si="22">E60</f>
        <v>1541</v>
      </c>
      <c r="F62" s="102">
        <f t="shared" si="22"/>
        <v>1402</v>
      </c>
      <c r="G62" s="102">
        <f t="shared" si="22"/>
        <v>2159</v>
      </c>
      <c r="H62" s="102">
        <f t="shared" si="22"/>
        <v>2132</v>
      </c>
      <c r="I62" s="102">
        <f t="shared" si="22"/>
        <v>1618</v>
      </c>
      <c r="J62" s="102">
        <f t="shared" si="22"/>
        <v>2193</v>
      </c>
      <c r="K62" s="102">
        <f t="shared" si="22"/>
        <v>2259</v>
      </c>
      <c r="L62" s="102">
        <f t="shared" si="22"/>
        <v>1214</v>
      </c>
      <c r="M62" s="102">
        <f t="shared" si="22"/>
        <v>1387</v>
      </c>
      <c r="N62" s="102">
        <f t="shared" si="22"/>
        <v>2110</v>
      </c>
      <c r="O62" s="102">
        <f t="shared" si="22"/>
        <v>2179</v>
      </c>
      <c r="P62" s="102">
        <f t="shared" si="22"/>
        <v>2082</v>
      </c>
      <c r="Q62" s="102">
        <f t="shared" si="22"/>
        <v>2020</v>
      </c>
      <c r="R62" s="102">
        <f t="shared" si="22"/>
        <v>1983</v>
      </c>
      <c r="S62" s="102">
        <f t="shared" si="22"/>
        <v>1628</v>
      </c>
      <c r="T62" s="102">
        <f t="shared" si="22"/>
        <v>1356</v>
      </c>
      <c r="U62" s="102">
        <f t="shared" si="22"/>
        <v>1973</v>
      </c>
      <c r="V62" s="102">
        <f t="shared" si="22"/>
        <v>2054</v>
      </c>
      <c r="W62" s="102">
        <f t="shared" si="22"/>
        <v>2068</v>
      </c>
      <c r="X62" s="102">
        <f t="shared" si="22"/>
        <v>2006</v>
      </c>
      <c r="Y62" s="102">
        <f t="shared" si="22"/>
        <v>1995</v>
      </c>
      <c r="Z62" s="102">
        <f t="shared" si="22"/>
        <v>1340</v>
      </c>
      <c r="AA62" s="102">
        <f t="shared" si="22"/>
        <v>1500</v>
      </c>
      <c r="AB62" s="102">
        <f t="shared" si="22"/>
        <v>2030</v>
      </c>
      <c r="AC62" s="102">
        <f t="shared" si="22"/>
        <v>2118</v>
      </c>
      <c r="AD62" s="102">
        <f t="shared" si="22"/>
        <v>2029</v>
      </c>
      <c r="AE62" s="102">
        <f t="shared" si="22"/>
        <v>2034</v>
      </c>
      <c r="AF62" s="102">
        <f t="shared" si="22"/>
        <v>1993</v>
      </c>
      <c r="AG62" s="102">
        <f t="shared" si="22"/>
        <v>1442</v>
      </c>
      <c r="AH62" s="102">
        <f t="shared" si="22"/>
        <v>742</v>
      </c>
      <c r="AI62" s="102">
        <f t="shared" si="22"/>
        <v>54587</v>
      </c>
    </row>
    <row r="63" spans="1:35">
      <c r="A63" s="94"/>
      <c r="B63" s="27"/>
      <c r="C63" s="146"/>
      <c r="D63" s="10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</row>
    <row r="64" spans="1:35">
      <c r="A64" s="28" t="s">
        <v>133</v>
      </c>
      <c r="B64" s="28" t="s">
        <v>100</v>
      </c>
      <c r="C64" s="523" t="s">
        <v>101</v>
      </c>
      <c r="D64" s="501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103"/>
    </row>
    <row r="65" spans="1:37" ht="15" customHeight="1">
      <c r="A65" s="2">
        <v>1</v>
      </c>
      <c r="B65" s="2" t="s">
        <v>129</v>
      </c>
      <c r="C65" s="506" t="s">
        <v>119</v>
      </c>
      <c r="D65" s="501"/>
      <c r="E65" s="102">
        <f t="shared" ref="E65:AH65" si="23">E23-D23</f>
        <v>75</v>
      </c>
      <c r="F65" s="102">
        <f t="shared" si="23"/>
        <v>1</v>
      </c>
      <c r="G65" s="102">
        <f t="shared" si="23"/>
        <v>81</v>
      </c>
      <c r="H65" s="102">
        <f t="shared" si="23"/>
        <v>103</v>
      </c>
      <c r="I65" s="102">
        <f t="shared" si="23"/>
        <v>101</v>
      </c>
      <c r="J65" s="102">
        <f t="shared" si="23"/>
        <v>99</v>
      </c>
      <c r="K65" s="102">
        <f t="shared" si="23"/>
        <v>108</v>
      </c>
      <c r="L65" s="102">
        <f t="shared" si="23"/>
        <v>40</v>
      </c>
      <c r="M65" s="102">
        <f t="shared" si="23"/>
        <v>1</v>
      </c>
      <c r="N65" s="102">
        <f t="shared" si="23"/>
        <v>94</v>
      </c>
      <c r="O65" s="102">
        <f t="shared" si="23"/>
        <v>94</v>
      </c>
      <c r="P65" s="102">
        <f t="shared" si="23"/>
        <v>114</v>
      </c>
      <c r="Q65" s="102">
        <f t="shared" si="23"/>
        <v>119</v>
      </c>
      <c r="R65" s="102">
        <f t="shared" si="23"/>
        <v>128</v>
      </c>
      <c r="S65" s="102">
        <f t="shared" si="23"/>
        <v>94</v>
      </c>
      <c r="T65" s="102">
        <f t="shared" si="23"/>
        <v>14</v>
      </c>
      <c r="U65" s="102">
        <f t="shared" si="23"/>
        <v>112</v>
      </c>
      <c r="V65" s="102">
        <f t="shared" si="23"/>
        <v>160</v>
      </c>
      <c r="W65" s="102">
        <f t="shared" si="23"/>
        <v>140</v>
      </c>
      <c r="X65" s="102">
        <f t="shared" si="23"/>
        <v>140</v>
      </c>
      <c r="Y65" s="102">
        <f t="shared" si="23"/>
        <v>136</v>
      </c>
      <c r="Z65" s="102">
        <f t="shared" si="23"/>
        <v>120</v>
      </c>
      <c r="AA65" s="102">
        <f t="shared" si="23"/>
        <v>0</v>
      </c>
      <c r="AB65" s="102">
        <f t="shared" si="23"/>
        <v>109</v>
      </c>
      <c r="AC65" s="102">
        <f t="shared" si="23"/>
        <v>144</v>
      </c>
      <c r="AD65" s="102">
        <f t="shared" si="23"/>
        <v>108</v>
      </c>
      <c r="AE65" s="102">
        <f t="shared" si="23"/>
        <v>161</v>
      </c>
      <c r="AF65" s="102">
        <f t="shared" si="23"/>
        <v>134</v>
      </c>
      <c r="AG65" s="102">
        <f t="shared" si="23"/>
        <v>48</v>
      </c>
      <c r="AH65" s="102">
        <f t="shared" si="23"/>
        <v>0</v>
      </c>
      <c r="AI65" s="21">
        <f t="shared" ref="AI65:AI78" si="24">SUM(E65:AH65)</f>
        <v>2778</v>
      </c>
    </row>
    <row r="66" spans="1:37" ht="14.25" customHeight="1">
      <c r="A66" s="2"/>
      <c r="B66" s="2"/>
      <c r="C66" s="532" t="s">
        <v>22</v>
      </c>
      <c r="D66" s="501"/>
      <c r="E66" s="102">
        <f t="shared" ref="E66:AH66" si="25">E24-D24</f>
        <v>0</v>
      </c>
      <c r="F66" s="102">
        <f t="shared" si="25"/>
        <v>0</v>
      </c>
      <c r="G66" s="102">
        <f t="shared" si="25"/>
        <v>0</v>
      </c>
      <c r="H66" s="102">
        <f t="shared" si="25"/>
        <v>0</v>
      </c>
      <c r="I66" s="102">
        <f t="shared" si="25"/>
        <v>0</v>
      </c>
      <c r="J66" s="102">
        <f t="shared" si="25"/>
        <v>0</v>
      </c>
      <c r="K66" s="102">
        <f t="shared" si="25"/>
        <v>0</v>
      </c>
      <c r="L66" s="102">
        <f t="shared" si="25"/>
        <v>0</v>
      </c>
      <c r="M66" s="102">
        <f t="shared" si="25"/>
        <v>0</v>
      </c>
      <c r="N66" s="102">
        <f t="shared" si="25"/>
        <v>0</v>
      </c>
      <c r="O66" s="102">
        <f t="shared" si="25"/>
        <v>0</v>
      </c>
      <c r="P66" s="102">
        <f t="shared" si="25"/>
        <v>0</v>
      </c>
      <c r="Q66" s="102">
        <f t="shared" si="25"/>
        <v>0</v>
      </c>
      <c r="R66" s="102">
        <f t="shared" si="25"/>
        <v>0</v>
      </c>
      <c r="S66" s="102">
        <f t="shared" si="25"/>
        <v>0</v>
      </c>
      <c r="T66" s="102">
        <f t="shared" si="25"/>
        <v>0</v>
      </c>
      <c r="U66" s="102">
        <f t="shared" si="25"/>
        <v>0</v>
      </c>
      <c r="V66" s="102">
        <f t="shared" si="25"/>
        <v>0</v>
      </c>
      <c r="W66" s="102">
        <f t="shared" si="25"/>
        <v>0</v>
      </c>
      <c r="X66" s="102">
        <f t="shared" si="25"/>
        <v>0</v>
      </c>
      <c r="Y66" s="102">
        <f t="shared" si="25"/>
        <v>0</v>
      </c>
      <c r="Z66" s="102">
        <f t="shared" si="25"/>
        <v>0</v>
      </c>
      <c r="AA66" s="102">
        <f t="shared" si="25"/>
        <v>0</v>
      </c>
      <c r="AB66" s="102">
        <f t="shared" si="25"/>
        <v>0</v>
      </c>
      <c r="AC66" s="102">
        <f t="shared" si="25"/>
        <v>0</v>
      </c>
      <c r="AD66" s="102">
        <f t="shared" si="25"/>
        <v>0</v>
      </c>
      <c r="AE66" s="102">
        <f t="shared" si="25"/>
        <v>0</v>
      </c>
      <c r="AF66" s="102">
        <f t="shared" si="25"/>
        <v>0</v>
      </c>
      <c r="AG66" s="102">
        <f t="shared" si="25"/>
        <v>0</v>
      </c>
      <c r="AH66" s="102">
        <f t="shared" si="25"/>
        <v>0</v>
      </c>
      <c r="AI66" s="21">
        <f t="shared" si="24"/>
        <v>0</v>
      </c>
    </row>
    <row r="67" spans="1:37" ht="15" customHeight="1">
      <c r="A67" s="2">
        <v>2</v>
      </c>
      <c r="B67" s="2" t="s">
        <v>129</v>
      </c>
      <c r="C67" s="506" t="s">
        <v>120</v>
      </c>
      <c r="D67" s="501"/>
      <c r="E67" s="102">
        <f t="shared" ref="E67:AH67" si="26">E25-D25</f>
        <v>74</v>
      </c>
      <c r="F67" s="102">
        <f t="shared" si="26"/>
        <v>1</v>
      </c>
      <c r="G67" s="102">
        <f t="shared" si="26"/>
        <v>100</v>
      </c>
      <c r="H67" s="102">
        <f t="shared" si="26"/>
        <v>133</v>
      </c>
      <c r="I67" s="102">
        <f t="shared" si="26"/>
        <v>82</v>
      </c>
      <c r="J67" s="102">
        <f t="shared" si="26"/>
        <v>112</v>
      </c>
      <c r="K67" s="102">
        <f t="shared" si="26"/>
        <v>147</v>
      </c>
      <c r="L67" s="102">
        <f t="shared" si="26"/>
        <v>12</v>
      </c>
      <c r="M67" s="102">
        <f t="shared" si="26"/>
        <v>1</v>
      </c>
      <c r="N67" s="102">
        <f t="shared" si="26"/>
        <v>84</v>
      </c>
      <c r="O67" s="102">
        <f t="shared" si="26"/>
        <v>95</v>
      </c>
      <c r="P67" s="102">
        <f t="shared" si="26"/>
        <v>126</v>
      </c>
      <c r="Q67" s="102">
        <f t="shared" si="26"/>
        <v>112</v>
      </c>
      <c r="R67" s="102">
        <f t="shared" si="26"/>
        <v>121</v>
      </c>
      <c r="S67" s="102">
        <f t="shared" si="26"/>
        <v>119</v>
      </c>
      <c r="T67" s="102">
        <f t="shared" si="26"/>
        <v>20</v>
      </c>
      <c r="U67" s="102">
        <f t="shared" si="26"/>
        <v>129</v>
      </c>
      <c r="V67" s="102">
        <f t="shared" si="26"/>
        <v>138</v>
      </c>
      <c r="W67" s="102">
        <f t="shared" si="26"/>
        <v>138</v>
      </c>
      <c r="X67" s="102">
        <f t="shared" si="26"/>
        <v>116</v>
      </c>
      <c r="Y67" s="102">
        <f t="shared" si="26"/>
        <v>129</v>
      </c>
      <c r="Z67" s="102">
        <f t="shared" si="26"/>
        <v>63</v>
      </c>
      <c r="AA67" s="102">
        <f t="shared" si="26"/>
        <v>0</v>
      </c>
      <c r="AB67" s="102">
        <f t="shared" si="26"/>
        <v>114</v>
      </c>
      <c r="AC67" s="102">
        <f t="shared" si="26"/>
        <v>120</v>
      </c>
      <c r="AD67" s="102">
        <f t="shared" si="26"/>
        <v>111</v>
      </c>
      <c r="AE67" s="102">
        <f t="shared" si="26"/>
        <v>123</v>
      </c>
      <c r="AF67" s="102">
        <f t="shared" si="26"/>
        <v>138</v>
      </c>
      <c r="AG67" s="102">
        <f t="shared" si="26"/>
        <v>11</v>
      </c>
      <c r="AH67" s="102">
        <f t="shared" si="26"/>
        <v>0</v>
      </c>
      <c r="AI67" s="21">
        <f t="shared" si="24"/>
        <v>2669</v>
      </c>
    </row>
    <row r="68" spans="1:37" ht="15" customHeight="1">
      <c r="A68" s="2"/>
      <c r="B68" s="2"/>
      <c r="C68" s="532" t="s">
        <v>22</v>
      </c>
      <c r="D68" s="501"/>
      <c r="E68" s="102">
        <f t="shared" ref="E68:AH68" si="27">E26-D26</f>
        <v>0</v>
      </c>
      <c r="F68" s="102">
        <f t="shared" si="27"/>
        <v>0</v>
      </c>
      <c r="G68" s="102">
        <f t="shared" si="27"/>
        <v>0</v>
      </c>
      <c r="H68" s="102">
        <f t="shared" si="27"/>
        <v>0</v>
      </c>
      <c r="I68" s="102">
        <f t="shared" si="27"/>
        <v>0</v>
      </c>
      <c r="J68" s="102">
        <f t="shared" si="27"/>
        <v>0</v>
      </c>
      <c r="K68" s="102">
        <f t="shared" si="27"/>
        <v>0</v>
      </c>
      <c r="L68" s="102">
        <f t="shared" si="27"/>
        <v>0</v>
      </c>
      <c r="M68" s="102">
        <f t="shared" si="27"/>
        <v>0</v>
      </c>
      <c r="N68" s="102">
        <f t="shared" si="27"/>
        <v>0</v>
      </c>
      <c r="O68" s="102">
        <f t="shared" si="27"/>
        <v>0</v>
      </c>
      <c r="P68" s="102">
        <f t="shared" si="27"/>
        <v>0</v>
      </c>
      <c r="Q68" s="102">
        <f t="shared" si="27"/>
        <v>0</v>
      </c>
      <c r="R68" s="102">
        <f t="shared" si="27"/>
        <v>0</v>
      </c>
      <c r="S68" s="102">
        <f t="shared" si="27"/>
        <v>0</v>
      </c>
      <c r="T68" s="102">
        <f t="shared" si="27"/>
        <v>0</v>
      </c>
      <c r="U68" s="102">
        <f t="shared" si="27"/>
        <v>0</v>
      </c>
      <c r="V68" s="102">
        <f t="shared" si="27"/>
        <v>0</v>
      </c>
      <c r="W68" s="102">
        <f t="shared" si="27"/>
        <v>0</v>
      </c>
      <c r="X68" s="102">
        <f t="shared" si="27"/>
        <v>0</v>
      </c>
      <c r="Y68" s="102">
        <f t="shared" si="27"/>
        <v>0</v>
      </c>
      <c r="Z68" s="102">
        <f t="shared" si="27"/>
        <v>0</v>
      </c>
      <c r="AA68" s="102">
        <f t="shared" si="27"/>
        <v>0</v>
      </c>
      <c r="AB68" s="102">
        <f t="shared" si="27"/>
        <v>0</v>
      </c>
      <c r="AC68" s="102">
        <f t="shared" si="27"/>
        <v>0</v>
      </c>
      <c r="AD68" s="102">
        <f t="shared" si="27"/>
        <v>0</v>
      </c>
      <c r="AE68" s="102">
        <f t="shared" si="27"/>
        <v>0</v>
      </c>
      <c r="AF68" s="102">
        <f t="shared" si="27"/>
        <v>0</v>
      </c>
      <c r="AG68" s="102">
        <f t="shared" si="27"/>
        <v>0</v>
      </c>
      <c r="AH68" s="102">
        <f t="shared" si="27"/>
        <v>0</v>
      </c>
      <c r="AI68" s="21">
        <f t="shared" si="24"/>
        <v>0</v>
      </c>
      <c r="AJ68" s="115" t="s">
        <v>20</v>
      </c>
      <c r="AK68" s="116">
        <f>AI60</f>
        <v>54587</v>
      </c>
    </row>
    <row r="69" spans="1:37" ht="15" customHeight="1">
      <c r="A69" s="2">
        <v>3</v>
      </c>
      <c r="B69" s="2" t="s">
        <v>129</v>
      </c>
      <c r="C69" s="506" t="s">
        <v>121</v>
      </c>
      <c r="D69" s="501"/>
      <c r="E69" s="102">
        <f t="shared" ref="E69:AH69" si="28">E27-D27</f>
        <v>165</v>
      </c>
      <c r="F69" s="102">
        <f t="shared" si="28"/>
        <v>220</v>
      </c>
      <c r="G69" s="102">
        <f t="shared" si="28"/>
        <v>216</v>
      </c>
      <c r="H69" s="102">
        <f t="shared" si="28"/>
        <v>212</v>
      </c>
      <c r="I69" s="102">
        <f t="shared" si="28"/>
        <v>202</v>
      </c>
      <c r="J69" s="102">
        <f t="shared" si="28"/>
        <v>229</v>
      </c>
      <c r="K69" s="102">
        <f t="shared" si="28"/>
        <v>224</v>
      </c>
      <c r="L69" s="102">
        <f t="shared" si="28"/>
        <v>189</v>
      </c>
      <c r="M69" s="102">
        <f t="shared" si="28"/>
        <v>11</v>
      </c>
      <c r="N69" s="102">
        <f t="shared" si="28"/>
        <v>158</v>
      </c>
      <c r="O69" s="102">
        <f t="shared" si="28"/>
        <v>154</v>
      </c>
      <c r="P69" s="102">
        <f t="shared" si="28"/>
        <v>191</v>
      </c>
      <c r="Q69" s="102">
        <f t="shared" si="28"/>
        <v>195</v>
      </c>
      <c r="R69" s="102">
        <f t="shared" si="28"/>
        <v>199</v>
      </c>
      <c r="S69" s="102">
        <f t="shared" si="28"/>
        <v>198</v>
      </c>
      <c r="T69" s="102">
        <f t="shared" si="28"/>
        <v>12</v>
      </c>
      <c r="U69" s="102">
        <f t="shared" si="28"/>
        <v>388</v>
      </c>
      <c r="V69" s="102">
        <f t="shared" si="28"/>
        <v>208</v>
      </c>
      <c r="W69" s="102">
        <f t="shared" si="28"/>
        <v>196</v>
      </c>
      <c r="X69" s="102">
        <f t="shared" si="28"/>
        <v>206</v>
      </c>
      <c r="Y69" s="102">
        <f t="shared" si="28"/>
        <v>195</v>
      </c>
      <c r="Z69" s="102">
        <f t="shared" si="28"/>
        <v>205</v>
      </c>
      <c r="AA69" s="102">
        <f t="shared" si="28"/>
        <v>0</v>
      </c>
      <c r="AB69" s="102">
        <f t="shared" si="28"/>
        <v>399</v>
      </c>
      <c r="AC69" s="102">
        <f t="shared" si="28"/>
        <v>200</v>
      </c>
      <c r="AD69" s="102">
        <f t="shared" si="28"/>
        <v>198</v>
      </c>
      <c r="AE69" s="102">
        <f t="shared" si="28"/>
        <v>201</v>
      </c>
      <c r="AF69" s="102">
        <f t="shared" si="28"/>
        <v>202</v>
      </c>
      <c r="AG69" s="102">
        <f t="shared" si="28"/>
        <v>200</v>
      </c>
      <c r="AH69" s="102">
        <f t="shared" si="28"/>
        <v>117</v>
      </c>
      <c r="AI69" s="21">
        <f t="shared" si="24"/>
        <v>5690</v>
      </c>
      <c r="AJ69" s="115" t="s">
        <v>21</v>
      </c>
      <c r="AK69" s="116">
        <f>AI73</f>
        <v>12855</v>
      </c>
    </row>
    <row r="70" spans="1:37" ht="15" customHeight="1">
      <c r="A70" s="2"/>
      <c r="B70" s="2"/>
      <c r="C70" s="532" t="s">
        <v>22</v>
      </c>
      <c r="D70" s="501"/>
      <c r="E70" s="102">
        <f t="shared" ref="E70:AH70" si="29">E28-D28</f>
        <v>0</v>
      </c>
      <c r="F70" s="102">
        <f t="shared" si="29"/>
        <v>0</v>
      </c>
      <c r="G70" s="102">
        <f t="shared" si="29"/>
        <v>0</v>
      </c>
      <c r="H70" s="102">
        <f t="shared" si="29"/>
        <v>0</v>
      </c>
      <c r="I70" s="102">
        <f t="shared" si="29"/>
        <v>0</v>
      </c>
      <c r="J70" s="102">
        <f t="shared" si="29"/>
        <v>0</v>
      </c>
      <c r="K70" s="102">
        <f t="shared" si="29"/>
        <v>0</v>
      </c>
      <c r="L70" s="102">
        <f t="shared" si="29"/>
        <v>0</v>
      </c>
      <c r="M70" s="102">
        <f t="shared" si="29"/>
        <v>0</v>
      </c>
      <c r="N70" s="102">
        <f t="shared" si="29"/>
        <v>0</v>
      </c>
      <c r="O70" s="102">
        <f t="shared" si="29"/>
        <v>0</v>
      </c>
      <c r="P70" s="102">
        <f t="shared" si="29"/>
        <v>0</v>
      </c>
      <c r="Q70" s="102">
        <f t="shared" si="29"/>
        <v>0</v>
      </c>
      <c r="R70" s="102">
        <f t="shared" si="29"/>
        <v>0</v>
      </c>
      <c r="S70" s="102">
        <f t="shared" si="29"/>
        <v>0</v>
      </c>
      <c r="T70" s="102">
        <f t="shared" si="29"/>
        <v>0</v>
      </c>
      <c r="U70" s="102">
        <f t="shared" si="29"/>
        <v>0</v>
      </c>
      <c r="V70" s="102">
        <f t="shared" si="29"/>
        <v>0</v>
      </c>
      <c r="W70" s="102">
        <f t="shared" si="29"/>
        <v>0</v>
      </c>
      <c r="X70" s="102">
        <f t="shared" si="29"/>
        <v>0</v>
      </c>
      <c r="Y70" s="102">
        <f t="shared" si="29"/>
        <v>0</v>
      </c>
      <c r="Z70" s="102">
        <f t="shared" si="29"/>
        <v>0</v>
      </c>
      <c r="AA70" s="102">
        <f t="shared" si="29"/>
        <v>0</v>
      </c>
      <c r="AB70" s="102">
        <f t="shared" si="29"/>
        <v>0</v>
      </c>
      <c r="AC70" s="102">
        <f t="shared" si="29"/>
        <v>0</v>
      </c>
      <c r="AD70" s="102">
        <f t="shared" si="29"/>
        <v>0</v>
      </c>
      <c r="AE70" s="102">
        <f t="shared" si="29"/>
        <v>0</v>
      </c>
      <c r="AF70" s="102">
        <f t="shared" si="29"/>
        <v>0</v>
      </c>
      <c r="AG70" s="102">
        <f t="shared" si="29"/>
        <v>0</v>
      </c>
      <c r="AH70" s="102">
        <f t="shared" si="29"/>
        <v>0</v>
      </c>
      <c r="AI70" s="21">
        <f t="shared" si="24"/>
        <v>0</v>
      </c>
      <c r="AJ70" s="115" t="s">
        <v>23</v>
      </c>
      <c r="AK70" s="116">
        <f>AI79*40%</f>
        <v>17380</v>
      </c>
    </row>
    <row r="71" spans="1:37" ht="15" customHeight="1">
      <c r="A71" s="2">
        <v>4</v>
      </c>
      <c r="B71" s="2" t="s">
        <v>129</v>
      </c>
      <c r="C71" s="506" t="s">
        <v>122</v>
      </c>
      <c r="D71" s="501"/>
      <c r="E71" s="102">
        <f t="shared" ref="E71:AH71" si="30">E29-D29</f>
        <v>39</v>
      </c>
      <c r="F71" s="102">
        <f t="shared" si="30"/>
        <v>0</v>
      </c>
      <c r="G71" s="102">
        <f t="shared" si="30"/>
        <v>80</v>
      </c>
      <c r="H71" s="102">
        <f t="shared" si="30"/>
        <v>81</v>
      </c>
      <c r="I71" s="102">
        <f t="shared" si="30"/>
        <v>56</v>
      </c>
      <c r="J71" s="102">
        <f t="shared" si="30"/>
        <v>66</v>
      </c>
      <c r="K71" s="102">
        <f t="shared" si="30"/>
        <v>60</v>
      </c>
      <c r="L71" s="102">
        <f t="shared" si="30"/>
        <v>1</v>
      </c>
      <c r="M71" s="102">
        <f t="shared" si="30"/>
        <v>0</v>
      </c>
      <c r="N71" s="102">
        <f t="shared" si="30"/>
        <v>77</v>
      </c>
      <c r="O71" s="102">
        <f t="shared" si="30"/>
        <v>63</v>
      </c>
      <c r="P71" s="102">
        <f t="shared" si="30"/>
        <v>76</v>
      </c>
      <c r="Q71" s="102">
        <f t="shared" si="30"/>
        <v>76</v>
      </c>
      <c r="R71" s="102">
        <f t="shared" si="30"/>
        <v>78</v>
      </c>
      <c r="S71" s="102">
        <f t="shared" si="30"/>
        <v>50</v>
      </c>
      <c r="T71" s="102">
        <f t="shared" si="30"/>
        <v>19</v>
      </c>
      <c r="U71" s="102">
        <f t="shared" si="30"/>
        <v>82</v>
      </c>
      <c r="V71" s="102">
        <f t="shared" si="30"/>
        <v>72</v>
      </c>
      <c r="W71" s="102">
        <f t="shared" si="30"/>
        <v>87</v>
      </c>
      <c r="X71" s="102">
        <f t="shared" si="30"/>
        <v>74</v>
      </c>
      <c r="Y71" s="102">
        <f t="shared" si="30"/>
        <v>87</v>
      </c>
      <c r="Z71" s="102">
        <f t="shared" si="30"/>
        <v>72</v>
      </c>
      <c r="AA71" s="102">
        <f t="shared" si="30"/>
        <v>0</v>
      </c>
      <c r="AB71" s="102">
        <f t="shared" si="30"/>
        <v>83</v>
      </c>
      <c r="AC71" s="102">
        <f t="shared" si="30"/>
        <v>86</v>
      </c>
      <c r="AD71" s="102">
        <f t="shared" si="30"/>
        <v>76</v>
      </c>
      <c r="AE71" s="102">
        <f t="shared" si="30"/>
        <v>97</v>
      </c>
      <c r="AF71" s="102">
        <f t="shared" si="30"/>
        <v>76</v>
      </c>
      <c r="AG71" s="102">
        <f t="shared" si="30"/>
        <v>0</v>
      </c>
      <c r="AH71" s="102">
        <f t="shared" si="30"/>
        <v>4</v>
      </c>
      <c r="AI71" s="21">
        <f t="shared" si="24"/>
        <v>1718</v>
      </c>
      <c r="AJ71" s="117" t="s">
        <v>22</v>
      </c>
      <c r="AK71" s="118">
        <f>AI74+AI61</f>
        <v>1</v>
      </c>
    </row>
    <row r="72" spans="1:37" ht="15" customHeight="1">
      <c r="A72" s="2"/>
      <c r="B72" s="2"/>
      <c r="C72" s="532" t="s">
        <v>22</v>
      </c>
      <c r="D72" s="501"/>
      <c r="E72" s="102">
        <f t="shared" ref="E72:AH72" si="31">E30-D30</f>
        <v>0</v>
      </c>
      <c r="F72" s="102">
        <f t="shared" si="31"/>
        <v>0</v>
      </c>
      <c r="G72" s="102">
        <f t="shared" si="31"/>
        <v>0</v>
      </c>
      <c r="H72" s="102">
        <f t="shared" si="31"/>
        <v>0</v>
      </c>
      <c r="I72" s="102">
        <f t="shared" si="31"/>
        <v>0</v>
      </c>
      <c r="J72" s="102">
        <f t="shared" si="31"/>
        <v>0</v>
      </c>
      <c r="K72" s="102">
        <f t="shared" si="31"/>
        <v>0</v>
      </c>
      <c r="L72" s="102">
        <f t="shared" si="31"/>
        <v>0</v>
      </c>
      <c r="M72" s="102">
        <f t="shared" si="31"/>
        <v>0</v>
      </c>
      <c r="N72" s="102">
        <f t="shared" si="31"/>
        <v>0</v>
      </c>
      <c r="O72" s="102">
        <f t="shared" si="31"/>
        <v>0</v>
      </c>
      <c r="P72" s="102">
        <f t="shared" si="31"/>
        <v>0</v>
      </c>
      <c r="Q72" s="102">
        <f t="shared" si="31"/>
        <v>0</v>
      </c>
      <c r="R72" s="102">
        <f t="shared" si="31"/>
        <v>0</v>
      </c>
      <c r="S72" s="102">
        <f t="shared" si="31"/>
        <v>0</v>
      </c>
      <c r="T72" s="102">
        <f t="shared" si="31"/>
        <v>0</v>
      </c>
      <c r="U72" s="102">
        <f t="shared" si="31"/>
        <v>0</v>
      </c>
      <c r="V72" s="102">
        <f t="shared" si="31"/>
        <v>0</v>
      </c>
      <c r="W72" s="102">
        <f t="shared" si="31"/>
        <v>0</v>
      </c>
      <c r="X72" s="102">
        <f t="shared" si="31"/>
        <v>0</v>
      </c>
      <c r="Y72" s="102">
        <f t="shared" si="31"/>
        <v>0</v>
      </c>
      <c r="Z72" s="102">
        <f t="shared" si="31"/>
        <v>0</v>
      </c>
      <c r="AA72" s="102">
        <f t="shared" si="31"/>
        <v>0</v>
      </c>
      <c r="AB72" s="102">
        <f t="shared" si="31"/>
        <v>0</v>
      </c>
      <c r="AC72" s="102">
        <f t="shared" si="31"/>
        <v>0</v>
      </c>
      <c r="AD72" s="102">
        <f t="shared" si="31"/>
        <v>0</v>
      </c>
      <c r="AE72" s="102">
        <f t="shared" si="31"/>
        <v>0</v>
      </c>
      <c r="AF72" s="102">
        <f t="shared" si="31"/>
        <v>0</v>
      </c>
      <c r="AG72" s="102">
        <f t="shared" si="31"/>
        <v>0</v>
      </c>
      <c r="AH72" s="102">
        <f t="shared" si="31"/>
        <v>0</v>
      </c>
      <c r="AI72" s="21">
        <f t="shared" si="24"/>
        <v>0</v>
      </c>
    </row>
    <row r="73" spans="1:37" ht="30" customHeight="1">
      <c r="A73" s="99"/>
      <c r="B73" s="99"/>
      <c r="C73" s="500" t="s">
        <v>134</v>
      </c>
      <c r="D73" s="501"/>
      <c r="E73" s="23">
        <f t="shared" ref="E73:AH73" si="32">SUM(E65,E67,E69,E71)</f>
        <v>353</v>
      </c>
      <c r="F73" s="23">
        <f t="shared" si="32"/>
        <v>222</v>
      </c>
      <c r="G73" s="23">
        <f t="shared" si="32"/>
        <v>477</v>
      </c>
      <c r="H73" s="23">
        <f t="shared" si="32"/>
        <v>529</v>
      </c>
      <c r="I73" s="23">
        <f t="shared" si="32"/>
        <v>441</v>
      </c>
      <c r="J73" s="23">
        <f t="shared" si="32"/>
        <v>506</v>
      </c>
      <c r="K73" s="23">
        <f t="shared" si="32"/>
        <v>539</v>
      </c>
      <c r="L73" s="23">
        <f t="shared" si="32"/>
        <v>242</v>
      </c>
      <c r="M73" s="23">
        <f t="shared" si="32"/>
        <v>13</v>
      </c>
      <c r="N73" s="23">
        <f t="shared" si="32"/>
        <v>413</v>
      </c>
      <c r="O73" s="23">
        <f t="shared" si="32"/>
        <v>406</v>
      </c>
      <c r="P73" s="23">
        <f t="shared" si="32"/>
        <v>507</v>
      </c>
      <c r="Q73" s="23">
        <f t="shared" si="32"/>
        <v>502</v>
      </c>
      <c r="R73" s="23">
        <f t="shared" si="32"/>
        <v>526</v>
      </c>
      <c r="S73" s="23">
        <f t="shared" si="32"/>
        <v>461</v>
      </c>
      <c r="T73" s="23">
        <f t="shared" si="32"/>
        <v>65</v>
      </c>
      <c r="U73" s="23">
        <f t="shared" si="32"/>
        <v>711</v>
      </c>
      <c r="V73" s="23">
        <f t="shared" si="32"/>
        <v>578</v>
      </c>
      <c r="W73" s="23">
        <f t="shared" si="32"/>
        <v>561</v>
      </c>
      <c r="X73" s="23">
        <f t="shared" si="32"/>
        <v>536</v>
      </c>
      <c r="Y73" s="23">
        <f t="shared" si="32"/>
        <v>547</v>
      </c>
      <c r="Z73" s="23">
        <f t="shared" si="32"/>
        <v>460</v>
      </c>
      <c r="AA73" s="23">
        <f t="shared" si="32"/>
        <v>0</v>
      </c>
      <c r="AB73" s="23">
        <f t="shared" si="32"/>
        <v>705</v>
      </c>
      <c r="AC73" s="23">
        <f t="shared" si="32"/>
        <v>550</v>
      </c>
      <c r="AD73" s="23">
        <f t="shared" si="32"/>
        <v>493</v>
      </c>
      <c r="AE73" s="23">
        <f t="shared" si="32"/>
        <v>582</v>
      </c>
      <c r="AF73" s="23">
        <f t="shared" si="32"/>
        <v>550</v>
      </c>
      <c r="AG73" s="23">
        <f t="shared" si="32"/>
        <v>259</v>
      </c>
      <c r="AH73" s="23">
        <f t="shared" si="32"/>
        <v>121</v>
      </c>
      <c r="AI73" s="24">
        <f t="shared" si="24"/>
        <v>12855</v>
      </c>
    </row>
    <row r="74" spans="1:37" ht="24" customHeight="1">
      <c r="A74" s="99"/>
      <c r="B74" s="99"/>
      <c r="C74" s="513" t="s">
        <v>135</v>
      </c>
      <c r="D74" s="501"/>
      <c r="E74" s="23">
        <f t="shared" ref="E74:AH74" si="33">SUM(E66,E68,E70,E72)</f>
        <v>0</v>
      </c>
      <c r="F74" s="23">
        <f t="shared" si="33"/>
        <v>0</v>
      </c>
      <c r="G74" s="23">
        <f t="shared" si="33"/>
        <v>0</v>
      </c>
      <c r="H74" s="23">
        <f t="shared" si="33"/>
        <v>0</v>
      </c>
      <c r="I74" s="23">
        <f t="shared" si="33"/>
        <v>0</v>
      </c>
      <c r="J74" s="23">
        <f t="shared" si="33"/>
        <v>0</v>
      </c>
      <c r="K74" s="23">
        <f t="shared" si="33"/>
        <v>0</v>
      </c>
      <c r="L74" s="23">
        <f t="shared" si="33"/>
        <v>0</v>
      </c>
      <c r="M74" s="23">
        <f t="shared" si="33"/>
        <v>0</v>
      </c>
      <c r="N74" s="23">
        <f t="shared" si="33"/>
        <v>0</v>
      </c>
      <c r="O74" s="23">
        <f t="shared" si="33"/>
        <v>0</v>
      </c>
      <c r="P74" s="23">
        <f t="shared" si="33"/>
        <v>0</v>
      </c>
      <c r="Q74" s="23">
        <f t="shared" si="33"/>
        <v>0</v>
      </c>
      <c r="R74" s="23">
        <f t="shared" si="33"/>
        <v>0</v>
      </c>
      <c r="S74" s="23">
        <f t="shared" si="33"/>
        <v>0</v>
      </c>
      <c r="T74" s="23">
        <f t="shared" si="33"/>
        <v>0</v>
      </c>
      <c r="U74" s="23">
        <f t="shared" si="33"/>
        <v>0</v>
      </c>
      <c r="V74" s="23">
        <f t="shared" si="33"/>
        <v>0</v>
      </c>
      <c r="W74" s="23">
        <f t="shared" si="33"/>
        <v>0</v>
      </c>
      <c r="X74" s="23">
        <f t="shared" si="33"/>
        <v>0</v>
      </c>
      <c r="Y74" s="23">
        <f t="shared" si="33"/>
        <v>0</v>
      </c>
      <c r="Z74" s="23">
        <f t="shared" si="33"/>
        <v>0</v>
      </c>
      <c r="AA74" s="23">
        <f t="shared" si="33"/>
        <v>0</v>
      </c>
      <c r="AB74" s="23">
        <f t="shared" si="33"/>
        <v>0</v>
      </c>
      <c r="AC74" s="23">
        <f t="shared" si="33"/>
        <v>0</v>
      </c>
      <c r="AD74" s="23">
        <f t="shared" si="33"/>
        <v>0</v>
      </c>
      <c r="AE74" s="23">
        <f t="shared" si="33"/>
        <v>0</v>
      </c>
      <c r="AF74" s="23">
        <f t="shared" si="33"/>
        <v>0</v>
      </c>
      <c r="AG74" s="23">
        <f t="shared" si="33"/>
        <v>0</v>
      </c>
      <c r="AH74" s="23">
        <f t="shared" si="33"/>
        <v>0</v>
      </c>
      <c r="AI74" s="24">
        <f t="shared" si="24"/>
        <v>0</v>
      </c>
    </row>
    <row r="75" spans="1:37" ht="15" customHeight="1">
      <c r="A75" s="2">
        <v>1</v>
      </c>
      <c r="B75" s="2" t="s">
        <v>129</v>
      </c>
      <c r="C75" s="503" t="s">
        <v>123</v>
      </c>
      <c r="D75" s="501"/>
      <c r="E75" s="102">
        <f t="shared" ref="E75:AH75" si="34">E32-D32</f>
        <v>501</v>
      </c>
      <c r="F75" s="102">
        <f t="shared" si="34"/>
        <v>0</v>
      </c>
      <c r="G75" s="102">
        <f t="shared" si="34"/>
        <v>445</v>
      </c>
      <c r="H75" s="102">
        <f t="shared" si="34"/>
        <v>459</v>
      </c>
      <c r="I75" s="102">
        <f t="shared" si="34"/>
        <v>443</v>
      </c>
      <c r="J75" s="102">
        <f t="shared" si="34"/>
        <v>492</v>
      </c>
      <c r="K75" s="102">
        <f t="shared" si="34"/>
        <v>361</v>
      </c>
      <c r="L75" s="102">
        <f t="shared" si="34"/>
        <v>137</v>
      </c>
      <c r="M75" s="102">
        <f t="shared" si="34"/>
        <v>0</v>
      </c>
      <c r="N75" s="102">
        <f t="shared" si="34"/>
        <v>443</v>
      </c>
      <c r="O75" s="102">
        <f t="shared" si="34"/>
        <v>453</v>
      </c>
      <c r="P75" s="102">
        <f t="shared" si="34"/>
        <v>378</v>
      </c>
      <c r="Q75" s="102">
        <f t="shared" si="34"/>
        <v>414</v>
      </c>
      <c r="R75" s="102">
        <f t="shared" si="34"/>
        <v>284</v>
      </c>
      <c r="S75" s="102">
        <f t="shared" si="34"/>
        <v>197</v>
      </c>
      <c r="T75" s="102">
        <f t="shared" si="34"/>
        <v>26</v>
      </c>
      <c r="U75" s="102">
        <f t="shared" si="34"/>
        <v>375</v>
      </c>
      <c r="V75" s="102">
        <f t="shared" si="34"/>
        <v>304</v>
      </c>
      <c r="W75" s="102">
        <f t="shared" si="34"/>
        <v>425</v>
      </c>
      <c r="X75" s="102">
        <f t="shared" si="34"/>
        <v>383</v>
      </c>
      <c r="Y75" s="102">
        <f t="shared" si="34"/>
        <v>264</v>
      </c>
      <c r="Z75" s="102">
        <f t="shared" si="34"/>
        <v>324</v>
      </c>
      <c r="AA75" s="102">
        <f t="shared" si="34"/>
        <v>3</v>
      </c>
      <c r="AB75" s="102">
        <f t="shared" si="34"/>
        <v>363</v>
      </c>
      <c r="AC75" s="102">
        <f t="shared" si="34"/>
        <v>399</v>
      </c>
      <c r="AD75" s="102">
        <f t="shared" si="34"/>
        <v>376</v>
      </c>
      <c r="AE75" s="102">
        <f t="shared" si="34"/>
        <v>301</v>
      </c>
      <c r="AF75" s="102">
        <f t="shared" si="34"/>
        <v>318</v>
      </c>
      <c r="AG75" s="102">
        <f t="shared" si="34"/>
        <v>65</v>
      </c>
      <c r="AH75" s="102">
        <f t="shared" si="34"/>
        <v>1</v>
      </c>
      <c r="AI75" s="21">
        <f t="shared" si="24"/>
        <v>8934</v>
      </c>
    </row>
    <row r="76" spans="1:37" ht="15" customHeight="1">
      <c r="A76" s="2">
        <v>2</v>
      </c>
      <c r="B76" s="2" t="s">
        <v>129</v>
      </c>
      <c r="C76" s="503" t="s">
        <v>124</v>
      </c>
      <c r="D76" s="501"/>
      <c r="E76" s="102">
        <f t="shared" ref="E76:AH76" si="35">E33-D33</f>
        <v>452</v>
      </c>
      <c r="F76" s="102">
        <f t="shared" si="35"/>
        <v>0</v>
      </c>
      <c r="G76" s="102">
        <f t="shared" si="35"/>
        <v>494</v>
      </c>
      <c r="H76" s="102">
        <f t="shared" si="35"/>
        <v>472</v>
      </c>
      <c r="I76" s="102">
        <f t="shared" si="35"/>
        <v>199</v>
      </c>
      <c r="J76" s="102">
        <f t="shared" si="35"/>
        <v>390</v>
      </c>
      <c r="K76" s="102">
        <f t="shared" si="35"/>
        <v>461</v>
      </c>
      <c r="L76" s="102">
        <f t="shared" si="35"/>
        <v>57</v>
      </c>
      <c r="M76" s="102">
        <f t="shared" si="35"/>
        <v>0</v>
      </c>
      <c r="N76" s="102">
        <f t="shared" si="35"/>
        <v>377</v>
      </c>
      <c r="O76" s="102">
        <f t="shared" si="35"/>
        <v>406</v>
      </c>
      <c r="P76" s="102">
        <f t="shared" si="35"/>
        <v>359</v>
      </c>
      <c r="Q76" s="102">
        <f t="shared" si="35"/>
        <v>328</v>
      </c>
      <c r="R76" s="102">
        <f t="shared" si="35"/>
        <v>371</v>
      </c>
      <c r="S76" s="102">
        <f t="shared" si="35"/>
        <v>302</v>
      </c>
      <c r="T76" s="102">
        <f t="shared" si="35"/>
        <v>35</v>
      </c>
      <c r="U76" s="102">
        <f t="shared" si="35"/>
        <v>387</v>
      </c>
      <c r="V76" s="102">
        <f t="shared" si="35"/>
        <v>371</v>
      </c>
      <c r="W76" s="102">
        <f t="shared" si="35"/>
        <v>364</v>
      </c>
      <c r="X76" s="102">
        <f t="shared" si="35"/>
        <v>316</v>
      </c>
      <c r="Y76" s="102">
        <f t="shared" si="35"/>
        <v>338</v>
      </c>
      <c r="Z76" s="102">
        <f t="shared" si="35"/>
        <v>233</v>
      </c>
      <c r="AA76" s="102">
        <f t="shared" si="35"/>
        <v>0</v>
      </c>
      <c r="AB76" s="102">
        <f t="shared" si="35"/>
        <v>352</v>
      </c>
      <c r="AC76" s="102">
        <f t="shared" si="35"/>
        <v>353</v>
      </c>
      <c r="AD76" s="102">
        <f t="shared" si="35"/>
        <v>308</v>
      </c>
      <c r="AE76" s="102">
        <f t="shared" si="35"/>
        <v>286</v>
      </c>
      <c r="AF76" s="102">
        <f t="shared" si="35"/>
        <v>306</v>
      </c>
      <c r="AG76" s="102">
        <f t="shared" si="35"/>
        <v>68</v>
      </c>
      <c r="AH76" s="102">
        <f t="shared" si="35"/>
        <v>0</v>
      </c>
      <c r="AI76" s="21">
        <f t="shared" si="24"/>
        <v>8385</v>
      </c>
    </row>
    <row r="77" spans="1:37" ht="15" customHeight="1">
      <c r="A77" s="2">
        <v>3</v>
      </c>
      <c r="B77" s="2" t="s">
        <v>129</v>
      </c>
      <c r="C77" s="503" t="s">
        <v>125</v>
      </c>
      <c r="D77" s="501"/>
      <c r="E77" s="102">
        <f t="shared" ref="E77:AH77" si="36">E34-D34</f>
        <v>631</v>
      </c>
      <c r="F77" s="102">
        <f t="shared" si="36"/>
        <v>301</v>
      </c>
      <c r="G77" s="102">
        <f t="shared" si="36"/>
        <v>722</v>
      </c>
      <c r="H77" s="102">
        <f t="shared" si="36"/>
        <v>466</v>
      </c>
      <c r="I77" s="102">
        <f t="shared" si="36"/>
        <v>373</v>
      </c>
      <c r="J77" s="102">
        <f t="shared" si="36"/>
        <v>505</v>
      </c>
      <c r="K77" s="102">
        <f t="shared" si="36"/>
        <v>578</v>
      </c>
      <c r="L77" s="102">
        <f t="shared" si="36"/>
        <v>350</v>
      </c>
      <c r="M77" s="102">
        <f t="shared" si="36"/>
        <v>0</v>
      </c>
      <c r="N77" s="102">
        <f t="shared" si="36"/>
        <v>587</v>
      </c>
      <c r="O77" s="102">
        <f t="shared" si="36"/>
        <v>549</v>
      </c>
      <c r="P77" s="102">
        <f t="shared" si="36"/>
        <v>471</v>
      </c>
      <c r="Q77" s="102">
        <f t="shared" si="36"/>
        <v>498</v>
      </c>
      <c r="R77" s="102">
        <f t="shared" si="36"/>
        <v>575</v>
      </c>
      <c r="S77" s="102">
        <f t="shared" si="36"/>
        <v>365</v>
      </c>
      <c r="T77" s="102">
        <f t="shared" si="36"/>
        <v>332</v>
      </c>
      <c r="U77" s="102">
        <f t="shared" si="36"/>
        <v>482</v>
      </c>
      <c r="V77" s="102">
        <f t="shared" si="36"/>
        <v>528</v>
      </c>
      <c r="W77" s="102">
        <f t="shared" si="36"/>
        <v>459</v>
      </c>
      <c r="X77" s="102">
        <f t="shared" si="36"/>
        <v>497</v>
      </c>
      <c r="Y77" s="102">
        <f t="shared" si="36"/>
        <v>454</v>
      </c>
      <c r="Z77" s="102">
        <f t="shared" si="36"/>
        <v>523</v>
      </c>
      <c r="AA77" s="102">
        <f t="shared" si="36"/>
        <v>379</v>
      </c>
      <c r="AB77" s="102">
        <f t="shared" si="36"/>
        <v>488</v>
      </c>
      <c r="AC77" s="102">
        <f t="shared" si="36"/>
        <v>560</v>
      </c>
      <c r="AD77" s="102">
        <f t="shared" si="36"/>
        <v>485</v>
      </c>
      <c r="AE77" s="102">
        <f t="shared" si="36"/>
        <v>129</v>
      </c>
      <c r="AF77" s="102">
        <f t="shared" si="36"/>
        <v>625</v>
      </c>
      <c r="AG77" s="102">
        <f t="shared" si="36"/>
        <v>338</v>
      </c>
      <c r="AH77" s="102">
        <f t="shared" si="36"/>
        <v>163</v>
      </c>
      <c r="AI77" s="21">
        <f t="shared" si="24"/>
        <v>13413</v>
      </c>
    </row>
    <row r="78" spans="1:37" ht="17.25" customHeight="1">
      <c r="A78" s="2">
        <v>4</v>
      </c>
      <c r="B78" s="2" t="s">
        <v>129</v>
      </c>
      <c r="C78" s="503" t="s">
        <v>126</v>
      </c>
      <c r="D78" s="501"/>
      <c r="E78" s="102">
        <f t="shared" ref="E78:AH78" si="37">E35-D35</f>
        <v>490</v>
      </c>
      <c r="F78" s="102">
        <f t="shared" si="37"/>
        <v>58</v>
      </c>
      <c r="G78" s="102">
        <f t="shared" si="37"/>
        <v>696</v>
      </c>
      <c r="H78" s="102">
        <f t="shared" si="37"/>
        <v>738</v>
      </c>
      <c r="I78" s="102">
        <f t="shared" si="37"/>
        <v>542</v>
      </c>
      <c r="J78" s="102">
        <f t="shared" si="37"/>
        <v>662</v>
      </c>
      <c r="K78" s="102">
        <f t="shared" si="37"/>
        <v>559</v>
      </c>
      <c r="L78" s="102">
        <f t="shared" si="37"/>
        <v>46</v>
      </c>
      <c r="M78" s="102">
        <f t="shared" si="37"/>
        <v>0</v>
      </c>
      <c r="N78" s="102">
        <f t="shared" si="37"/>
        <v>684</v>
      </c>
      <c r="O78" s="102">
        <f t="shared" si="37"/>
        <v>672</v>
      </c>
      <c r="P78" s="102">
        <f t="shared" si="37"/>
        <v>530</v>
      </c>
      <c r="Q78" s="102">
        <f t="shared" si="37"/>
        <v>574</v>
      </c>
      <c r="R78" s="102">
        <f t="shared" si="37"/>
        <v>500</v>
      </c>
      <c r="S78" s="102">
        <f t="shared" si="37"/>
        <v>308</v>
      </c>
      <c r="T78" s="102">
        <f t="shared" si="37"/>
        <v>74</v>
      </c>
      <c r="U78" s="102">
        <f t="shared" si="37"/>
        <v>553</v>
      </c>
      <c r="V78" s="102">
        <f t="shared" si="37"/>
        <v>400</v>
      </c>
      <c r="W78" s="102">
        <f t="shared" si="37"/>
        <v>487</v>
      </c>
      <c r="X78" s="102">
        <f t="shared" si="37"/>
        <v>454</v>
      </c>
      <c r="Y78" s="102">
        <f t="shared" si="37"/>
        <v>508</v>
      </c>
      <c r="Z78" s="102">
        <f t="shared" si="37"/>
        <v>383</v>
      </c>
      <c r="AA78" s="102">
        <f t="shared" si="37"/>
        <v>44</v>
      </c>
      <c r="AB78" s="102">
        <f t="shared" si="37"/>
        <v>545</v>
      </c>
      <c r="AC78" s="102">
        <f t="shared" si="37"/>
        <v>524</v>
      </c>
      <c r="AD78" s="102">
        <f t="shared" si="37"/>
        <v>492</v>
      </c>
      <c r="AE78" s="102">
        <f t="shared" si="37"/>
        <v>493</v>
      </c>
      <c r="AF78" s="102">
        <f t="shared" si="37"/>
        <v>609</v>
      </c>
      <c r="AG78" s="102">
        <f t="shared" si="37"/>
        <v>64</v>
      </c>
      <c r="AH78" s="102">
        <f t="shared" si="37"/>
        <v>29</v>
      </c>
      <c r="AI78" s="21">
        <f t="shared" si="24"/>
        <v>12718</v>
      </c>
    </row>
    <row r="79" spans="1:37" ht="24.75" customHeight="1">
      <c r="A79" s="99"/>
      <c r="B79" s="99"/>
      <c r="C79" s="500" t="s">
        <v>136</v>
      </c>
      <c r="D79" s="501"/>
      <c r="E79" s="23">
        <f t="shared" ref="E79:AI79" si="38">SUM(E75:E78)</f>
        <v>2074</v>
      </c>
      <c r="F79" s="23">
        <f t="shared" si="38"/>
        <v>359</v>
      </c>
      <c r="G79" s="23">
        <f t="shared" si="38"/>
        <v>2357</v>
      </c>
      <c r="H79" s="23">
        <f t="shared" si="38"/>
        <v>2135</v>
      </c>
      <c r="I79" s="23">
        <f t="shared" si="38"/>
        <v>1557</v>
      </c>
      <c r="J79" s="23">
        <f t="shared" si="38"/>
        <v>2049</v>
      </c>
      <c r="K79" s="23">
        <f t="shared" si="38"/>
        <v>1959</v>
      </c>
      <c r="L79" s="23">
        <f t="shared" si="38"/>
        <v>590</v>
      </c>
      <c r="M79" s="23">
        <f t="shared" si="38"/>
        <v>0</v>
      </c>
      <c r="N79" s="23">
        <f t="shared" si="38"/>
        <v>2091</v>
      </c>
      <c r="O79" s="23">
        <f t="shared" si="38"/>
        <v>2080</v>
      </c>
      <c r="P79" s="23">
        <f t="shared" si="38"/>
        <v>1738</v>
      </c>
      <c r="Q79" s="23">
        <f t="shared" si="38"/>
        <v>1814</v>
      </c>
      <c r="R79" s="23">
        <f t="shared" si="38"/>
        <v>1730</v>
      </c>
      <c r="S79" s="23">
        <f t="shared" si="38"/>
        <v>1172</v>
      </c>
      <c r="T79" s="23">
        <f t="shared" si="38"/>
        <v>467</v>
      </c>
      <c r="U79" s="23">
        <f t="shared" si="38"/>
        <v>1797</v>
      </c>
      <c r="V79" s="23">
        <f t="shared" si="38"/>
        <v>1603</v>
      </c>
      <c r="W79" s="23">
        <f t="shared" si="38"/>
        <v>1735</v>
      </c>
      <c r="X79" s="23">
        <f t="shared" si="38"/>
        <v>1650</v>
      </c>
      <c r="Y79" s="23">
        <f t="shared" si="38"/>
        <v>1564</v>
      </c>
      <c r="Z79" s="23">
        <f t="shared" si="38"/>
        <v>1463</v>
      </c>
      <c r="AA79" s="23">
        <f t="shared" si="38"/>
        <v>426</v>
      </c>
      <c r="AB79" s="23">
        <f t="shared" si="38"/>
        <v>1748</v>
      </c>
      <c r="AC79" s="23">
        <f t="shared" si="38"/>
        <v>1836</v>
      </c>
      <c r="AD79" s="23">
        <f t="shared" si="38"/>
        <v>1661</v>
      </c>
      <c r="AE79" s="23">
        <f t="shared" si="38"/>
        <v>1209</v>
      </c>
      <c r="AF79" s="23">
        <f t="shared" si="38"/>
        <v>1858</v>
      </c>
      <c r="AG79" s="23">
        <f t="shared" si="38"/>
        <v>535</v>
      </c>
      <c r="AH79" s="23">
        <f t="shared" si="38"/>
        <v>193</v>
      </c>
      <c r="AI79" s="217">
        <f t="shared" si="38"/>
        <v>43450</v>
      </c>
    </row>
    <row r="83" spans="1:35" ht="26" customHeight="1">
      <c r="A83" s="573"/>
      <c r="B83" s="526"/>
      <c r="C83" s="526"/>
      <c r="D83" s="527"/>
      <c r="E83" s="581" t="s">
        <v>164</v>
      </c>
      <c r="F83" s="526"/>
      <c r="G83" s="526"/>
      <c r="H83" s="526"/>
      <c r="I83" s="526"/>
      <c r="J83" s="526"/>
      <c r="K83" s="526"/>
      <c r="L83" s="526"/>
      <c r="M83" s="526"/>
      <c r="N83" s="526"/>
      <c r="O83" s="526"/>
      <c r="P83" s="526"/>
      <c r="Q83" s="526"/>
      <c r="R83" s="526"/>
      <c r="S83" s="526"/>
      <c r="T83" s="526"/>
      <c r="U83" s="526"/>
      <c r="V83" s="526"/>
      <c r="W83" s="526"/>
      <c r="X83" s="526"/>
      <c r="Y83" s="526"/>
      <c r="Z83" s="526"/>
      <c r="AA83" s="526"/>
      <c r="AB83" s="526"/>
      <c r="AC83" s="526"/>
      <c r="AD83" s="526"/>
      <c r="AE83" s="526"/>
      <c r="AF83" s="526"/>
      <c r="AG83" s="526"/>
      <c r="AH83" s="526"/>
    </row>
    <row r="84" spans="1:35">
      <c r="A84" s="510" t="s">
        <v>99</v>
      </c>
      <c r="B84" s="510" t="s">
        <v>100</v>
      </c>
      <c r="C84" s="580" t="s">
        <v>101</v>
      </c>
      <c r="D84" s="572" t="s">
        <v>102</v>
      </c>
      <c r="E84" s="51">
        <v>45962</v>
      </c>
      <c r="F84" s="51">
        <v>45963</v>
      </c>
      <c r="G84" s="51">
        <v>45964</v>
      </c>
      <c r="H84" s="51">
        <v>45965</v>
      </c>
      <c r="I84" s="51">
        <v>45966</v>
      </c>
      <c r="J84" s="51">
        <v>45967</v>
      </c>
      <c r="K84" s="51">
        <v>45968</v>
      </c>
      <c r="L84" s="51">
        <v>45969</v>
      </c>
      <c r="M84" s="51">
        <v>45970</v>
      </c>
      <c r="N84" s="51">
        <v>45971</v>
      </c>
      <c r="O84" s="51">
        <v>45972</v>
      </c>
      <c r="P84" s="51">
        <v>45973</v>
      </c>
      <c r="Q84" s="51">
        <v>45974</v>
      </c>
      <c r="R84" s="51">
        <v>45975</v>
      </c>
      <c r="S84" s="51">
        <v>45976</v>
      </c>
      <c r="T84" s="51">
        <v>45977</v>
      </c>
      <c r="U84" s="51">
        <v>45978</v>
      </c>
      <c r="V84" s="51">
        <v>45979</v>
      </c>
      <c r="W84" s="51">
        <v>45980</v>
      </c>
      <c r="X84" s="51">
        <v>45981</v>
      </c>
      <c r="Y84" s="51">
        <v>45982</v>
      </c>
      <c r="Z84" s="51">
        <v>45983</v>
      </c>
      <c r="AA84" s="51">
        <v>45984</v>
      </c>
      <c r="AB84" s="51">
        <v>45985</v>
      </c>
      <c r="AC84" s="51">
        <v>45986</v>
      </c>
      <c r="AD84" s="51">
        <v>45987</v>
      </c>
      <c r="AE84" s="51">
        <v>45988</v>
      </c>
      <c r="AF84" s="51">
        <v>45989</v>
      </c>
      <c r="AG84" s="51">
        <v>45990</v>
      </c>
      <c r="AH84" s="51">
        <v>45991</v>
      </c>
    </row>
    <row r="85" spans="1:35">
      <c r="A85" s="511"/>
      <c r="B85" s="511"/>
      <c r="C85" s="511"/>
      <c r="D85" s="511"/>
      <c r="E85" s="96" t="s">
        <v>108</v>
      </c>
      <c r="F85" s="96" t="s">
        <v>109</v>
      </c>
      <c r="G85" s="96" t="s">
        <v>103</v>
      </c>
      <c r="H85" s="96" t="s">
        <v>104</v>
      </c>
      <c r="I85" s="96" t="s">
        <v>105</v>
      </c>
      <c r="J85" s="96" t="s">
        <v>106</v>
      </c>
      <c r="K85" s="96" t="s">
        <v>107</v>
      </c>
      <c r="L85" s="96" t="s">
        <v>108</v>
      </c>
      <c r="M85" s="96" t="s">
        <v>109</v>
      </c>
      <c r="N85" s="96" t="s">
        <v>103</v>
      </c>
      <c r="O85" s="96" t="s">
        <v>104</v>
      </c>
      <c r="P85" s="96" t="s">
        <v>105</v>
      </c>
      <c r="Q85" s="96" t="s">
        <v>106</v>
      </c>
      <c r="R85" s="96" t="s">
        <v>107</v>
      </c>
      <c r="S85" s="96" t="s">
        <v>108</v>
      </c>
      <c r="T85" s="96" t="s">
        <v>109</v>
      </c>
      <c r="U85" s="96" t="s">
        <v>103</v>
      </c>
      <c r="V85" s="96" t="s">
        <v>104</v>
      </c>
      <c r="W85" s="96" t="s">
        <v>105</v>
      </c>
      <c r="X85" s="96" t="s">
        <v>106</v>
      </c>
      <c r="Y85" s="96" t="s">
        <v>107</v>
      </c>
      <c r="Z85" s="96" t="s">
        <v>108</v>
      </c>
      <c r="AA85" s="96" t="s">
        <v>109</v>
      </c>
      <c r="AB85" s="96" t="s">
        <v>103</v>
      </c>
      <c r="AC85" s="96" t="s">
        <v>104</v>
      </c>
      <c r="AD85" s="96" t="s">
        <v>105</v>
      </c>
      <c r="AE85" s="96" t="s">
        <v>106</v>
      </c>
      <c r="AF85" s="96" t="s">
        <v>107</v>
      </c>
      <c r="AG85" s="96" t="s">
        <v>108</v>
      </c>
      <c r="AH85" s="96" t="s">
        <v>109</v>
      </c>
    </row>
    <row r="86" spans="1:35">
      <c r="A86" s="511"/>
      <c r="B86" s="511"/>
      <c r="C86" s="511"/>
      <c r="D86" s="511"/>
      <c r="E86" s="52" t="s">
        <v>110</v>
      </c>
      <c r="F86" s="52" t="s">
        <v>110</v>
      </c>
      <c r="G86" s="52" t="s">
        <v>110</v>
      </c>
      <c r="H86" s="52" t="s">
        <v>110</v>
      </c>
      <c r="I86" s="52" t="s">
        <v>110</v>
      </c>
      <c r="J86" s="52" t="s">
        <v>110</v>
      </c>
      <c r="K86" s="52" t="s">
        <v>110</v>
      </c>
      <c r="L86" s="52" t="s">
        <v>110</v>
      </c>
      <c r="M86" s="52" t="s">
        <v>110</v>
      </c>
      <c r="N86" s="52" t="s">
        <v>110</v>
      </c>
      <c r="O86" s="52" t="s">
        <v>110</v>
      </c>
      <c r="P86" s="52" t="s">
        <v>110</v>
      </c>
      <c r="Q86" s="52" t="s">
        <v>110</v>
      </c>
      <c r="R86" s="52" t="s">
        <v>110</v>
      </c>
      <c r="S86" s="52" t="s">
        <v>110</v>
      </c>
      <c r="T86" s="52" t="s">
        <v>110</v>
      </c>
      <c r="U86" s="52" t="s">
        <v>110</v>
      </c>
      <c r="V86" s="52" t="s">
        <v>110</v>
      </c>
      <c r="W86" s="52" t="s">
        <v>110</v>
      </c>
      <c r="X86" s="52" t="s">
        <v>110</v>
      </c>
      <c r="Y86" s="52" t="s">
        <v>110</v>
      </c>
      <c r="Z86" s="52" t="s">
        <v>110</v>
      </c>
      <c r="AA86" s="52" t="s">
        <v>110</v>
      </c>
      <c r="AB86" s="52" t="s">
        <v>110</v>
      </c>
      <c r="AC86" s="52" t="s">
        <v>110</v>
      </c>
      <c r="AD86" s="52" t="s">
        <v>110</v>
      </c>
      <c r="AE86" s="52" t="s">
        <v>110</v>
      </c>
      <c r="AF86" s="52" t="s">
        <v>110</v>
      </c>
      <c r="AG86" s="52" t="s">
        <v>110</v>
      </c>
      <c r="AH86" s="52" t="s">
        <v>110</v>
      </c>
    </row>
    <row r="87" spans="1:35">
      <c r="A87" s="512"/>
      <c r="B87" s="512"/>
      <c r="C87" s="512"/>
      <c r="D87" s="512"/>
      <c r="E87" s="199">
        <v>0.33333333333333331</v>
      </c>
      <c r="F87" s="199">
        <v>0.33333333333333331</v>
      </c>
      <c r="G87" s="199">
        <v>0.33333333333333331</v>
      </c>
      <c r="H87" s="199">
        <v>0.33333333333333331</v>
      </c>
      <c r="I87" s="199">
        <v>0.33333333333333331</v>
      </c>
      <c r="J87" s="199">
        <v>0.33333333333333331</v>
      </c>
      <c r="K87" s="199">
        <v>0.33333333333333331</v>
      </c>
      <c r="L87" s="199">
        <v>0.33333333333333331</v>
      </c>
      <c r="M87" s="199">
        <v>0.33333333333333331</v>
      </c>
      <c r="N87" s="199">
        <v>0.33333333333333331</v>
      </c>
      <c r="O87" s="199">
        <v>0.33333333333333331</v>
      </c>
      <c r="P87" s="199">
        <v>0.33333333333333331</v>
      </c>
      <c r="Q87" s="199">
        <v>0.33333333333333331</v>
      </c>
      <c r="R87" s="199">
        <v>0.33333333333333331</v>
      </c>
      <c r="S87" s="199">
        <v>0.33333333333333331</v>
      </c>
      <c r="T87" s="199">
        <v>0.33333333333333331</v>
      </c>
      <c r="U87" s="199">
        <v>0.33333333333333331</v>
      </c>
      <c r="V87" s="199">
        <v>0.33333333333333331</v>
      </c>
      <c r="W87" s="199">
        <v>0.33333333333333331</v>
      </c>
      <c r="X87" s="199">
        <v>0.33333333333333331</v>
      </c>
      <c r="Y87" s="199">
        <v>0.33333333333333331</v>
      </c>
      <c r="Z87" s="199">
        <v>0.33333333333333331</v>
      </c>
      <c r="AA87" s="199">
        <v>0.33333333333333331</v>
      </c>
      <c r="AB87" s="199">
        <v>0.33333333333333331</v>
      </c>
      <c r="AC87" s="199">
        <v>0.33333333333333331</v>
      </c>
      <c r="AD87" s="199">
        <v>0.33333333333333331</v>
      </c>
      <c r="AE87" s="199">
        <v>0.33333333333333331</v>
      </c>
      <c r="AF87" s="199">
        <v>0.33333333333333331</v>
      </c>
      <c r="AG87" s="199">
        <v>0.33333333333333331</v>
      </c>
      <c r="AH87" s="199">
        <v>0.33333333333333331</v>
      </c>
    </row>
    <row r="88" spans="1:35" s="220" customFormat="1">
      <c r="A88" s="184">
        <v>1</v>
      </c>
      <c r="B88" s="219" t="s">
        <v>150</v>
      </c>
      <c r="C88" s="219" t="s">
        <v>151</v>
      </c>
      <c r="D88" s="219">
        <v>1378</v>
      </c>
      <c r="E88" s="219">
        <v>1378</v>
      </c>
      <c r="F88" s="219">
        <v>1378</v>
      </c>
      <c r="G88" s="219">
        <v>1378</v>
      </c>
      <c r="H88" s="219">
        <v>1421</v>
      </c>
      <c r="I88" s="219">
        <v>1421</v>
      </c>
      <c r="J88" s="219">
        <v>1441</v>
      </c>
      <c r="K88" s="219">
        <v>1462</v>
      </c>
      <c r="L88" s="219">
        <v>1462</v>
      </c>
      <c r="M88" s="219">
        <v>1462</v>
      </c>
      <c r="N88" s="219">
        <v>1462</v>
      </c>
      <c r="O88" s="219">
        <v>1478</v>
      </c>
      <c r="P88" s="219">
        <v>1489</v>
      </c>
      <c r="Q88" s="219">
        <v>1489</v>
      </c>
      <c r="R88" s="219">
        <v>1489</v>
      </c>
      <c r="S88" s="219">
        <v>1489</v>
      </c>
      <c r="T88" s="219">
        <v>1489</v>
      </c>
      <c r="U88" s="219">
        <v>1489</v>
      </c>
      <c r="V88" s="219">
        <v>1489</v>
      </c>
      <c r="W88" s="219">
        <v>1489</v>
      </c>
      <c r="X88" s="219">
        <v>1489</v>
      </c>
      <c r="Y88" s="219">
        <v>1489</v>
      </c>
      <c r="Z88" s="219">
        <v>1489</v>
      </c>
      <c r="AA88" s="219">
        <v>1489</v>
      </c>
      <c r="AB88" s="219">
        <v>1489</v>
      </c>
      <c r="AC88" s="219">
        <v>1495</v>
      </c>
      <c r="AD88" s="219">
        <v>1495</v>
      </c>
      <c r="AE88" s="219">
        <v>1508</v>
      </c>
      <c r="AF88" s="219">
        <v>1528</v>
      </c>
      <c r="AG88" s="219">
        <v>1528</v>
      </c>
      <c r="AH88" s="219">
        <v>1528</v>
      </c>
    </row>
    <row r="90" spans="1:35">
      <c r="A90" s="529" t="s">
        <v>99</v>
      </c>
      <c r="B90" s="529" t="s">
        <v>100</v>
      </c>
      <c r="C90" s="529" t="s">
        <v>101</v>
      </c>
      <c r="D90" s="517"/>
      <c r="E90" s="95">
        <f t="shared" ref="E90:AH90" si="39">E84</f>
        <v>45962</v>
      </c>
      <c r="F90" s="95">
        <f t="shared" si="39"/>
        <v>45963</v>
      </c>
      <c r="G90" s="95">
        <f t="shared" si="39"/>
        <v>45964</v>
      </c>
      <c r="H90" s="95">
        <f t="shared" si="39"/>
        <v>45965</v>
      </c>
      <c r="I90" s="95">
        <f t="shared" si="39"/>
        <v>45966</v>
      </c>
      <c r="J90" s="95">
        <f t="shared" si="39"/>
        <v>45967</v>
      </c>
      <c r="K90" s="95">
        <f t="shared" si="39"/>
        <v>45968</v>
      </c>
      <c r="L90" s="95">
        <f t="shared" si="39"/>
        <v>45969</v>
      </c>
      <c r="M90" s="95">
        <f t="shared" si="39"/>
        <v>45970</v>
      </c>
      <c r="N90" s="95">
        <f t="shared" si="39"/>
        <v>45971</v>
      </c>
      <c r="O90" s="95">
        <f t="shared" si="39"/>
        <v>45972</v>
      </c>
      <c r="P90" s="95">
        <f t="shared" si="39"/>
        <v>45973</v>
      </c>
      <c r="Q90" s="95">
        <f t="shared" si="39"/>
        <v>45974</v>
      </c>
      <c r="R90" s="95">
        <f t="shared" si="39"/>
        <v>45975</v>
      </c>
      <c r="S90" s="95">
        <f t="shared" si="39"/>
        <v>45976</v>
      </c>
      <c r="T90" s="95">
        <f t="shared" si="39"/>
        <v>45977</v>
      </c>
      <c r="U90" s="95">
        <f t="shared" si="39"/>
        <v>45978</v>
      </c>
      <c r="V90" s="95">
        <f t="shared" si="39"/>
        <v>45979</v>
      </c>
      <c r="W90" s="95">
        <f t="shared" si="39"/>
        <v>45980</v>
      </c>
      <c r="X90" s="95">
        <f t="shared" si="39"/>
        <v>45981</v>
      </c>
      <c r="Y90" s="95">
        <f t="shared" si="39"/>
        <v>45982</v>
      </c>
      <c r="Z90" s="95">
        <f t="shared" si="39"/>
        <v>45983</v>
      </c>
      <c r="AA90" s="95">
        <f t="shared" si="39"/>
        <v>45984</v>
      </c>
      <c r="AB90" s="95">
        <f t="shared" si="39"/>
        <v>45985</v>
      </c>
      <c r="AC90" s="95">
        <f t="shared" si="39"/>
        <v>45986</v>
      </c>
      <c r="AD90" s="95">
        <f t="shared" si="39"/>
        <v>45987</v>
      </c>
      <c r="AE90" s="95">
        <f t="shared" si="39"/>
        <v>45988</v>
      </c>
      <c r="AF90" s="95">
        <f t="shared" si="39"/>
        <v>45989</v>
      </c>
      <c r="AG90" s="95">
        <f t="shared" si="39"/>
        <v>45990</v>
      </c>
      <c r="AH90" s="95">
        <f t="shared" si="39"/>
        <v>45991</v>
      </c>
      <c r="AI90" s="529" t="s">
        <v>1</v>
      </c>
    </row>
    <row r="91" spans="1:35">
      <c r="A91" s="508"/>
      <c r="B91" s="508"/>
      <c r="C91" s="518"/>
      <c r="D91" s="519"/>
      <c r="E91" s="96" t="s">
        <v>108</v>
      </c>
      <c r="F91" s="96" t="s">
        <v>109</v>
      </c>
      <c r="G91" s="96" t="s">
        <v>103</v>
      </c>
      <c r="H91" s="96" t="s">
        <v>104</v>
      </c>
      <c r="I91" s="96" t="s">
        <v>105</v>
      </c>
      <c r="J91" s="96" t="s">
        <v>106</v>
      </c>
      <c r="K91" s="96" t="s">
        <v>107</v>
      </c>
      <c r="L91" s="96" t="s">
        <v>108</v>
      </c>
      <c r="M91" s="96" t="s">
        <v>109</v>
      </c>
      <c r="N91" s="96" t="s">
        <v>103</v>
      </c>
      <c r="O91" s="96" t="s">
        <v>104</v>
      </c>
      <c r="P91" s="96" t="s">
        <v>105</v>
      </c>
      <c r="Q91" s="96" t="s">
        <v>106</v>
      </c>
      <c r="R91" s="96" t="s">
        <v>107</v>
      </c>
      <c r="S91" s="96" t="s">
        <v>108</v>
      </c>
      <c r="T91" s="96" t="s">
        <v>109</v>
      </c>
      <c r="U91" s="96" t="s">
        <v>103</v>
      </c>
      <c r="V91" s="96" t="s">
        <v>104</v>
      </c>
      <c r="W91" s="96" t="s">
        <v>105</v>
      </c>
      <c r="X91" s="96" t="s">
        <v>106</v>
      </c>
      <c r="Y91" s="96" t="s">
        <v>107</v>
      </c>
      <c r="Z91" s="96" t="s">
        <v>108</v>
      </c>
      <c r="AA91" s="96" t="s">
        <v>109</v>
      </c>
      <c r="AB91" s="96" t="s">
        <v>103</v>
      </c>
      <c r="AC91" s="96" t="s">
        <v>104</v>
      </c>
      <c r="AD91" s="96" t="s">
        <v>105</v>
      </c>
      <c r="AE91" s="96" t="s">
        <v>106</v>
      </c>
      <c r="AF91" s="96" t="s">
        <v>107</v>
      </c>
      <c r="AG91" s="96" t="s">
        <v>108</v>
      </c>
      <c r="AH91" s="96" t="s">
        <v>109</v>
      </c>
      <c r="AI91" s="508"/>
    </row>
    <row r="92" spans="1:35">
      <c r="A92" s="508"/>
      <c r="B92" s="508"/>
      <c r="C92" s="518"/>
      <c r="D92" s="519"/>
      <c r="E92" s="97" t="s">
        <v>110</v>
      </c>
      <c r="F92" s="97" t="s">
        <v>110</v>
      </c>
      <c r="G92" s="97" t="s">
        <v>110</v>
      </c>
      <c r="H92" s="97" t="s">
        <v>110</v>
      </c>
      <c r="I92" s="97" t="s">
        <v>110</v>
      </c>
      <c r="J92" s="97" t="s">
        <v>110</v>
      </c>
      <c r="K92" s="97" t="s">
        <v>110</v>
      </c>
      <c r="L92" s="97" t="s">
        <v>110</v>
      </c>
      <c r="M92" s="97" t="s">
        <v>110</v>
      </c>
      <c r="N92" s="97" t="s">
        <v>110</v>
      </c>
      <c r="O92" s="97" t="s">
        <v>110</v>
      </c>
      <c r="P92" s="97" t="s">
        <v>110</v>
      </c>
      <c r="Q92" s="97" t="s">
        <v>110</v>
      </c>
      <c r="R92" s="97" t="s">
        <v>110</v>
      </c>
      <c r="S92" s="97" t="s">
        <v>110</v>
      </c>
      <c r="T92" s="97" t="s">
        <v>110</v>
      </c>
      <c r="U92" s="97" t="s">
        <v>110</v>
      </c>
      <c r="V92" s="97" t="s">
        <v>110</v>
      </c>
      <c r="W92" s="97" t="s">
        <v>110</v>
      </c>
      <c r="X92" s="97" t="s">
        <v>110</v>
      </c>
      <c r="Y92" s="97" t="s">
        <v>110</v>
      </c>
      <c r="Z92" s="97" t="s">
        <v>110</v>
      </c>
      <c r="AA92" s="97" t="s">
        <v>110</v>
      </c>
      <c r="AB92" s="97" t="s">
        <v>110</v>
      </c>
      <c r="AC92" s="97" t="s">
        <v>110</v>
      </c>
      <c r="AD92" s="97" t="s">
        <v>110</v>
      </c>
      <c r="AE92" s="97" t="s">
        <v>110</v>
      </c>
      <c r="AF92" s="97" t="s">
        <v>110</v>
      </c>
      <c r="AG92" s="97" t="s">
        <v>110</v>
      </c>
      <c r="AH92" s="95">
        <f>AH55</f>
        <v>0</v>
      </c>
      <c r="AI92" s="508"/>
    </row>
    <row r="93" spans="1:35">
      <c r="A93" s="509"/>
      <c r="B93" s="509"/>
      <c r="C93" s="520"/>
      <c r="D93" s="521"/>
      <c r="E93" s="98">
        <v>0.33333333333333331</v>
      </c>
      <c r="F93" s="98">
        <v>0.33333333333333331</v>
      </c>
      <c r="G93" s="98">
        <v>0.33333333333333331</v>
      </c>
      <c r="H93" s="98">
        <v>0.33333333333333331</v>
      </c>
      <c r="I93" s="98">
        <v>0.33333333333333331</v>
      </c>
      <c r="J93" s="98">
        <v>0.33333333333333331</v>
      </c>
      <c r="K93" s="98">
        <v>0.33333333333333331</v>
      </c>
      <c r="L93" s="98">
        <v>0.33333333333333331</v>
      </c>
      <c r="M93" s="98">
        <v>0.33333333333333331</v>
      </c>
      <c r="N93" s="98">
        <v>0.33333333333333331</v>
      </c>
      <c r="O93" s="98">
        <v>0.33333333333333331</v>
      </c>
      <c r="P93" s="98">
        <v>0.33333333333333331</v>
      </c>
      <c r="Q93" s="98">
        <v>0.33333333333333331</v>
      </c>
      <c r="R93" s="98">
        <v>0.33333333333333331</v>
      </c>
      <c r="S93" s="98">
        <v>0.33333333333333331</v>
      </c>
      <c r="T93" s="98">
        <v>0.33333333333333331</v>
      </c>
      <c r="U93" s="98">
        <v>0.33333333333333331</v>
      </c>
      <c r="V93" s="98">
        <v>0.33333333333333331</v>
      </c>
      <c r="W93" s="98">
        <v>0.33333333333333331</v>
      </c>
      <c r="X93" s="98">
        <v>0.33333333333333331</v>
      </c>
      <c r="Y93" s="98">
        <v>0.33333333333333331</v>
      </c>
      <c r="Z93" s="98">
        <v>0.33333333333333331</v>
      </c>
      <c r="AA93" s="98">
        <v>0.33333333333333331</v>
      </c>
      <c r="AB93" s="98">
        <v>0.33333333333333331</v>
      </c>
      <c r="AC93" s="98">
        <v>0.33333333333333331</v>
      </c>
      <c r="AD93" s="98">
        <v>0.33333333333333331</v>
      </c>
      <c r="AE93" s="98">
        <v>0.33333333333333331</v>
      </c>
      <c r="AF93" s="98">
        <v>0.33333333333333331</v>
      </c>
      <c r="AG93" s="98">
        <v>0.33333333333333331</v>
      </c>
      <c r="AH93" s="98">
        <v>0.33333333333333331</v>
      </c>
      <c r="AI93" s="509"/>
    </row>
    <row r="94" spans="1:35" s="222" customFormat="1">
      <c r="A94" s="221">
        <v>1</v>
      </c>
      <c r="B94" s="218" t="s">
        <v>150</v>
      </c>
      <c r="C94" s="506" t="s">
        <v>151</v>
      </c>
      <c r="D94" s="501"/>
      <c r="E94" s="20">
        <f t="shared" ref="E94:AH94" si="40">E88-D88</f>
        <v>0</v>
      </c>
      <c r="F94" s="20">
        <f t="shared" si="40"/>
        <v>0</v>
      </c>
      <c r="G94" s="20">
        <f t="shared" si="40"/>
        <v>0</v>
      </c>
      <c r="H94" s="20">
        <f t="shared" si="40"/>
        <v>43</v>
      </c>
      <c r="I94" s="20">
        <f t="shared" si="40"/>
        <v>0</v>
      </c>
      <c r="J94" s="20">
        <f t="shared" si="40"/>
        <v>20</v>
      </c>
      <c r="K94" s="20">
        <f t="shared" si="40"/>
        <v>21</v>
      </c>
      <c r="L94" s="20">
        <f t="shared" si="40"/>
        <v>0</v>
      </c>
      <c r="M94" s="20">
        <f t="shared" si="40"/>
        <v>0</v>
      </c>
      <c r="N94" s="20">
        <f t="shared" si="40"/>
        <v>0</v>
      </c>
      <c r="O94" s="20">
        <f t="shared" si="40"/>
        <v>16</v>
      </c>
      <c r="P94" s="20">
        <f t="shared" si="40"/>
        <v>11</v>
      </c>
      <c r="Q94" s="20">
        <f t="shared" si="40"/>
        <v>0</v>
      </c>
      <c r="R94" s="20">
        <f t="shared" si="40"/>
        <v>0</v>
      </c>
      <c r="S94" s="20">
        <f t="shared" si="40"/>
        <v>0</v>
      </c>
      <c r="T94" s="20">
        <f t="shared" si="40"/>
        <v>0</v>
      </c>
      <c r="U94" s="20">
        <f t="shared" si="40"/>
        <v>0</v>
      </c>
      <c r="V94" s="20">
        <f t="shared" si="40"/>
        <v>0</v>
      </c>
      <c r="W94" s="20">
        <f t="shared" si="40"/>
        <v>0</v>
      </c>
      <c r="X94" s="20">
        <f t="shared" si="40"/>
        <v>0</v>
      </c>
      <c r="Y94" s="20">
        <f t="shared" si="40"/>
        <v>0</v>
      </c>
      <c r="Z94" s="20">
        <f t="shared" si="40"/>
        <v>0</v>
      </c>
      <c r="AA94" s="20">
        <f t="shared" si="40"/>
        <v>0</v>
      </c>
      <c r="AB94" s="20">
        <f t="shared" si="40"/>
        <v>0</v>
      </c>
      <c r="AC94" s="20">
        <f t="shared" si="40"/>
        <v>6</v>
      </c>
      <c r="AD94" s="20">
        <f t="shared" si="40"/>
        <v>0</v>
      </c>
      <c r="AE94" s="20">
        <f t="shared" si="40"/>
        <v>13</v>
      </c>
      <c r="AF94" s="20">
        <f t="shared" si="40"/>
        <v>20</v>
      </c>
      <c r="AG94" s="20">
        <f t="shared" si="40"/>
        <v>0</v>
      </c>
      <c r="AH94" s="20">
        <f t="shared" si="40"/>
        <v>0</v>
      </c>
      <c r="AI94" s="20">
        <f>SUM(E94:AH94)</f>
        <v>150</v>
      </c>
    </row>
  </sheetData>
  <mergeCells count="60">
    <mergeCell ref="C77:D77"/>
    <mergeCell ref="D84:D87"/>
    <mergeCell ref="E83:AH83"/>
    <mergeCell ref="C62:D62"/>
    <mergeCell ref="C68:D68"/>
    <mergeCell ref="C74:D74"/>
    <mergeCell ref="C58:D58"/>
    <mergeCell ref="A31:AI31"/>
    <mergeCell ref="C45:D45"/>
    <mergeCell ref="E1:AH1"/>
    <mergeCell ref="A1:D1"/>
    <mergeCell ref="A2:A5"/>
    <mergeCell ref="AI90:AI93"/>
    <mergeCell ref="C64:D64"/>
    <mergeCell ref="B2:B5"/>
    <mergeCell ref="C79:D79"/>
    <mergeCell ref="B38:D38"/>
    <mergeCell ref="D2:D5"/>
    <mergeCell ref="C90:D93"/>
    <mergeCell ref="C2:C5"/>
    <mergeCell ref="AI2:AI5"/>
    <mergeCell ref="A22:AI22"/>
    <mergeCell ref="B39:D39"/>
    <mergeCell ref="C78:D78"/>
    <mergeCell ref="C69:D69"/>
    <mergeCell ref="C49:D49"/>
    <mergeCell ref="B90:B93"/>
    <mergeCell ref="C40:D43"/>
    <mergeCell ref="A90:A93"/>
    <mergeCell ref="A84:A87"/>
    <mergeCell ref="C84:C87"/>
    <mergeCell ref="AI40:AI43"/>
    <mergeCell ref="C73:D73"/>
    <mergeCell ref="C47:D47"/>
    <mergeCell ref="C54:D54"/>
    <mergeCell ref="A83:D83"/>
    <mergeCell ref="A40:A43"/>
    <mergeCell ref="B84:B87"/>
    <mergeCell ref="B40:B43"/>
    <mergeCell ref="C72:D72"/>
    <mergeCell ref="C67:D67"/>
    <mergeCell ref="C57:D57"/>
    <mergeCell ref="C66:D66"/>
    <mergeCell ref="C53:D53"/>
    <mergeCell ref="C94:D94"/>
    <mergeCell ref="C65:D65"/>
    <mergeCell ref="C55:D55"/>
    <mergeCell ref="C50:D50"/>
    <mergeCell ref="C44:D44"/>
    <mergeCell ref="C75:D75"/>
    <mergeCell ref="C56:D56"/>
    <mergeCell ref="C59:D59"/>
    <mergeCell ref="C46:D46"/>
    <mergeCell ref="C60:D60"/>
    <mergeCell ref="C51:D51"/>
    <mergeCell ref="C76:D76"/>
    <mergeCell ref="C71:D71"/>
    <mergeCell ref="C52:D52"/>
    <mergeCell ref="C70:D70"/>
    <mergeCell ref="C48:D4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L87"/>
  <sheetViews>
    <sheetView topLeftCell="AF55" zoomScale="115" zoomScaleNormal="115" workbookViewId="0">
      <selection activeCell="AK68" sqref="AK68:AL71"/>
    </sheetView>
  </sheetViews>
  <sheetFormatPr defaultRowHeight="14.5"/>
  <cols>
    <col min="1" max="1" width="14" customWidth="1"/>
    <col min="2" max="2" width="27" customWidth="1"/>
    <col min="3" max="3" width="32" bestFit="1" customWidth="1"/>
    <col min="4" max="4" width="20" customWidth="1"/>
    <col min="5" max="17" width="23" customWidth="1"/>
    <col min="18" max="18" width="23" bestFit="1" customWidth="1"/>
    <col min="19" max="28" width="23" customWidth="1"/>
    <col min="29" max="29" width="23" bestFit="1" customWidth="1"/>
    <col min="30" max="30" width="23" customWidth="1"/>
    <col min="31" max="31" width="23" bestFit="1" customWidth="1"/>
    <col min="32" max="35" width="23" customWidth="1"/>
    <col min="36" max="36" width="18" customWidth="1"/>
    <col min="37" max="37" width="14" customWidth="1"/>
    <col min="38" max="38" width="18" customWidth="1"/>
  </cols>
  <sheetData>
    <row r="1" spans="1:36" ht="26" customHeight="1">
      <c r="A1" s="573"/>
      <c r="B1" s="526"/>
      <c r="C1" s="526"/>
      <c r="D1" s="527"/>
      <c r="E1" s="581" t="s">
        <v>166</v>
      </c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  <c r="AI1" s="159"/>
      <c r="AJ1" s="50"/>
    </row>
    <row r="2" spans="1:36">
      <c r="A2" s="510" t="s">
        <v>99</v>
      </c>
      <c r="B2" s="510" t="s">
        <v>100</v>
      </c>
      <c r="C2" s="580" t="s">
        <v>101</v>
      </c>
      <c r="D2" s="572" t="s">
        <v>102</v>
      </c>
      <c r="E2" s="51">
        <v>45931</v>
      </c>
      <c r="F2" s="51">
        <v>45932</v>
      </c>
      <c r="G2" s="51">
        <v>45933</v>
      </c>
      <c r="H2" s="51">
        <v>45934</v>
      </c>
      <c r="I2" s="51">
        <v>45935</v>
      </c>
      <c r="J2" s="51">
        <v>45936</v>
      </c>
      <c r="K2" s="51">
        <v>45937</v>
      </c>
      <c r="L2" s="51">
        <v>45938</v>
      </c>
      <c r="M2" s="51">
        <v>45939</v>
      </c>
      <c r="N2" s="51">
        <v>45940</v>
      </c>
      <c r="O2" s="51">
        <v>45941</v>
      </c>
      <c r="P2" s="51">
        <v>45942</v>
      </c>
      <c r="Q2" s="51">
        <v>45943</v>
      </c>
      <c r="R2" s="51">
        <v>45944</v>
      </c>
      <c r="S2" s="51">
        <v>45945</v>
      </c>
      <c r="T2" s="51">
        <v>45946</v>
      </c>
      <c r="U2" s="51">
        <v>45947</v>
      </c>
      <c r="V2" s="51">
        <v>45948</v>
      </c>
      <c r="W2" s="51">
        <v>45949</v>
      </c>
      <c r="X2" s="51">
        <v>45950</v>
      </c>
      <c r="Y2" s="51">
        <v>45951</v>
      </c>
      <c r="Z2" s="51">
        <v>45952</v>
      </c>
      <c r="AA2" s="51">
        <v>45953</v>
      </c>
      <c r="AB2" s="51">
        <v>45954</v>
      </c>
      <c r="AC2" s="51">
        <v>45955</v>
      </c>
      <c r="AD2" s="51">
        <v>45956</v>
      </c>
      <c r="AE2" s="51">
        <v>45957</v>
      </c>
      <c r="AF2" s="51">
        <v>45958</v>
      </c>
      <c r="AG2" s="51">
        <v>45959</v>
      </c>
      <c r="AH2" s="51">
        <v>45960</v>
      </c>
      <c r="AI2" s="51">
        <v>45961</v>
      </c>
      <c r="AJ2" s="514" t="s">
        <v>1</v>
      </c>
    </row>
    <row r="3" spans="1:36">
      <c r="A3" s="511"/>
      <c r="B3" s="511"/>
      <c r="C3" s="511"/>
      <c r="D3" s="511"/>
      <c r="E3" s="96" t="s">
        <v>108</v>
      </c>
      <c r="F3" s="96" t="s">
        <v>109</v>
      </c>
      <c r="G3" s="96" t="s">
        <v>103</v>
      </c>
      <c r="H3" s="96" t="s">
        <v>104</v>
      </c>
      <c r="I3" s="96" t="s">
        <v>105</v>
      </c>
      <c r="J3" s="96" t="s">
        <v>106</v>
      </c>
      <c r="K3" s="96" t="s">
        <v>107</v>
      </c>
      <c r="L3" s="96" t="s">
        <v>108</v>
      </c>
      <c r="M3" s="96" t="s">
        <v>109</v>
      </c>
      <c r="N3" s="96" t="s">
        <v>103</v>
      </c>
      <c r="O3" s="96" t="s">
        <v>104</v>
      </c>
      <c r="P3" s="96" t="s">
        <v>105</v>
      </c>
      <c r="Q3" s="96" t="s">
        <v>106</v>
      </c>
      <c r="R3" s="96" t="s">
        <v>107</v>
      </c>
      <c r="S3" s="96" t="s">
        <v>108</v>
      </c>
      <c r="T3" s="96" t="s">
        <v>109</v>
      </c>
      <c r="U3" s="96" t="s">
        <v>103</v>
      </c>
      <c r="V3" s="96" t="s">
        <v>104</v>
      </c>
      <c r="W3" s="96" t="s">
        <v>105</v>
      </c>
      <c r="X3" s="96" t="s">
        <v>106</v>
      </c>
      <c r="Y3" s="96" t="s">
        <v>107</v>
      </c>
      <c r="Z3" s="96" t="s">
        <v>108</v>
      </c>
      <c r="AA3" s="96" t="s">
        <v>109</v>
      </c>
      <c r="AB3" s="96" t="s">
        <v>103</v>
      </c>
      <c r="AC3" s="96" t="s">
        <v>104</v>
      </c>
      <c r="AD3" s="96" t="s">
        <v>105</v>
      </c>
      <c r="AE3" s="96" t="s">
        <v>106</v>
      </c>
      <c r="AF3" s="96" t="s">
        <v>107</v>
      </c>
      <c r="AG3" s="96" t="s">
        <v>108</v>
      </c>
      <c r="AH3" s="96" t="s">
        <v>109</v>
      </c>
      <c r="AI3" s="96" t="s">
        <v>103</v>
      </c>
      <c r="AJ3" s="511"/>
    </row>
    <row r="4" spans="1:36">
      <c r="A4" s="511"/>
      <c r="B4" s="511"/>
      <c r="C4" s="511"/>
      <c r="D4" s="511"/>
      <c r="E4" s="52" t="s">
        <v>110</v>
      </c>
      <c r="F4" s="52" t="s">
        <v>110</v>
      </c>
      <c r="G4" s="52" t="s">
        <v>110</v>
      </c>
      <c r="H4" s="52" t="s">
        <v>110</v>
      </c>
      <c r="I4" s="52" t="s">
        <v>110</v>
      </c>
      <c r="J4" s="52" t="s">
        <v>110</v>
      </c>
      <c r="K4" s="52" t="s">
        <v>110</v>
      </c>
      <c r="L4" s="52" t="s">
        <v>110</v>
      </c>
      <c r="M4" s="52" t="s">
        <v>110</v>
      </c>
      <c r="N4" s="52" t="s">
        <v>110</v>
      </c>
      <c r="O4" s="52" t="s">
        <v>110</v>
      </c>
      <c r="P4" s="52" t="s">
        <v>110</v>
      </c>
      <c r="Q4" s="52" t="s">
        <v>110</v>
      </c>
      <c r="R4" s="52" t="s">
        <v>110</v>
      </c>
      <c r="S4" s="52" t="s">
        <v>110</v>
      </c>
      <c r="T4" s="52" t="s">
        <v>110</v>
      </c>
      <c r="U4" s="52" t="s">
        <v>110</v>
      </c>
      <c r="V4" s="52" t="s">
        <v>110</v>
      </c>
      <c r="W4" s="52" t="s">
        <v>110</v>
      </c>
      <c r="X4" s="52" t="s">
        <v>110</v>
      </c>
      <c r="Y4" s="52" t="s">
        <v>110</v>
      </c>
      <c r="Z4" s="52" t="s">
        <v>110</v>
      </c>
      <c r="AA4" s="52" t="s">
        <v>110</v>
      </c>
      <c r="AB4" s="52" t="s">
        <v>110</v>
      </c>
      <c r="AC4" s="52" t="s">
        <v>110</v>
      </c>
      <c r="AD4" s="52" t="s">
        <v>110</v>
      </c>
      <c r="AE4" s="52" t="s">
        <v>110</v>
      </c>
      <c r="AF4" s="52" t="s">
        <v>110</v>
      </c>
      <c r="AG4" s="52" t="s">
        <v>110</v>
      </c>
      <c r="AH4" s="52" t="s">
        <v>110</v>
      </c>
      <c r="AI4" s="52" t="s">
        <v>110</v>
      </c>
      <c r="AJ4" s="511"/>
    </row>
    <row r="5" spans="1:36">
      <c r="A5" s="512"/>
      <c r="B5" s="512"/>
      <c r="C5" s="512"/>
      <c r="D5" s="512"/>
      <c r="E5" s="53">
        <v>0.33333333333333331</v>
      </c>
      <c r="F5" s="53">
        <v>0.33333333333333331</v>
      </c>
      <c r="G5" s="53">
        <v>0.33333333333333331</v>
      </c>
      <c r="H5" s="53">
        <v>0.33333333333333331</v>
      </c>
      <c r="I5" s="53">
        <v>0.33333333333333331</v>
      </c>
      <c r="J5" s="53">
        <v>0.33333333333333331</v>
      </c>
      <c r="K5" s="53">
        <v>0.33333333333333331</v>
      </c>
      <c r="L5" s="53">
        <v>0.33333333333333331</v>
      </c>
      <c r="M5" s="53">
        <v>0.33333333333333331</v>
      </c>
      <c r="N5" s="53">
        <v>0.33333333333333331</v>
      </c>
      <c r="O5" s="53">
        <v>0.33333333333333331</v>
      </c>
      <c r="P5" s="53">
        <v>0.33333333333333331</v>
      </c>
      <c r="Q5" s="53">
        <v>0.33333333333333331</v>
      </c>
      <c r="R5" s="53">
        <v>0.33333333333333331</v>
      </c>
      <c r="S5" s="53">
        <v>0.33333333333333331</v>
      </c>
      <c r="T5" s="53">
        <v>0.33333333333333331</v>
      </c>
      <c r="U5" s="53">
        <v>0.33333333333333331</v>
      </c>
      <c r="V5" s="53">
        <v>0.33333333333333331</v>
      </c>
      <c r="W5" s="53">
        <v>0.33333333333333331</v>
      </c>
      <c r="X5" s="53">
        <v>0.33333333333333331</v>
      </c>
      <c r="Y5" s="53">
        <v>0.33333333333333331</v>
      </c>
      <c r="Z5" s="53">
        <v>0.33333333333333331</v>
      </c>
      <c r="AA5" s="53">
        <v>0.33333333333333331</v>
      </c>
      <c r="AB5" s="199">
        <v>0.33333333333333331</v>
      </c>
      <c r="AC5" s="53">
        <v>0.33333333333333331</v>
      </c>
      <c r="AD5" s="53">
        <v>0.33333333333333331</v>
      </c>
      <c r="AE5" s="53">
        <v>0.33333333333333331</v>
      </c>
      <c r="AF5" s="53">
        <v>0.33333333333333331</v>
      </c>
      <c r="AG5" s="53">
        <v>0.33333333333333331</v>
      </c>
      <c r="AH5" s="53">
        <v>0.33333333333333331</v>
      </c>
      <c r="AI5" s="53">
        <v>0.33333333333333331</v>
      </c>
      <c r="AJ5" s="512"/>
    </row>
    <row r="6" spans="1:36">
      <c r="A6" s="48">
        <v>1</v>
      </c>
      <c r="B6" s="4" t="s">
        <v>129</v>
      </c>
      <c r="C6" s="139" t="s">
        <v>111</v>
      </c>
      <c r="D6" s="209">
        <v>145003</v>
      </c>
      <c r="E6" s="48">
        <v>145380</v>
      </c>
      <c r="F6" s="48">
        <v>145582</v>
      </c>
      <c r="G6" s="48">
        <v>145837</v>
      </c>
      <c r="H6" s="48">
        <v>146045</v>
      </c>
      <c r="I6" s="48">
        <v>146251</v>
      </c>
      <c r="J6" s="48">
        <v>146542</v>
      </c>
      <c r="K6" s="48">
        <v>146814</v>
      </c>
      <c r="L6" s="48">
        <v>147098</v>
      </c>
      <c r="M6" s="48">
        <v>147378</v>
      </c>
      <c r="N6" s="48">
        <v>147641</v>
      </c>
      <c r="O6" s="58">
        <v>147850</v>
      </c>
      <c r="P6" s="184">
        <v>148069</v>
      </c>
      <c r="Q6" s="48">
        <v>148347</v>
      </c>
      <c r="R6" s="59">
        <v>148623</v>
      </c>
      <c r="S6" s="4">
        <v>148901</v>
      </c>
      <c r="T6" s="4">
        <v>149167</v>
      </c>
      <c r="U6" s="4">
        <v>149420</v>
      </c>
      <c r="V6" s="125">
        <v>149625</v>
      </c>
      <c r="W6" s="4">
        <v>149827</v>
      </c>
      <c r="X6" s="4">
        <v>150038</v>
      </c>
      <c r="Y6" s="4">
        <v>150256</v>
      </c>
      <c r="Z6" s="4">
        <v>150483</v>
      </c>
      <c r="AA6" s="58">
        <v>150725</v>
      </c>
      <c r="AB6" s="58">
        <v>150991</v>
      </c>
      <c r="AC6" s="58">
        <v>151181</v>
      </c>
      <c r="AD6" s="4">
        <v>151397</v>
      </c>
      <c r="AE6" s="4">
        <v>151663</v>
      </c>
      <c r="AF6" s="4">
        <v>151935</v>
      </c>
      <c r="AG6" s="48">
        <v>152207</v>
      </c>
      <c r="AH6" s="169">
        <v>152491</v>
      </c>
      <c r="AI6" s="48">
        <v>152751</v>
      </c>
      <c r="AJ6" s="57">
        <f t="shared" ref="AJ6:AJ21" si="0">AI6-D6</f>
        <v>7748</v>
      </c>
    </row>
    <row r="7" spans="1:36">
      <c r="A7" s="8"/>
      <c r="B7" s="8"/>
      <c r="C7" s="140" t="s">
        <v>22</v>
      </c>
      <c r="D7" s="130">
        <v>4278</v>
      </c>
      <c r="E7" s="8">
        <v>4278</v>
      </c>
      <c r="F7" s="8">
        <v>4278</v>
      </c>
      <c r="G7" s="8">
        <v>4278</v>
      </c>
      <c r="H7" s="8">
        <v>4279</v>
      </c>
      <c r="I7" s="8">
        <v>4279</v>
      </c>
      <c r="J7" s="8">
        <v>4279</v>
      </c>
      <c r="K7" s="8">
        <v>4279</v>
      </c>
      <c r="L7" s="8">
        <v>4279</v>
      </c>
      <c r="M7" s="8">
        <v>4279</v>
      </c>
      <c r="N7" s="8">
        <v>4279</v>
      </c>
      <c r="O7" s="8">
        <v>4279</v>
      </c>
      <c r="P7" s="8">
        <v>4279</v>
      </c>
      <c r="Q7" s="8">
        <v>4279</v>
      </c>
      <c r="R7" s="8">
        <v>4279</v>
      </c>
      <c r="S7" s="8">
        <v>4279</v>
      </c>
      <c r="T7" s="8">
        <v>4279</v>
      </c>
      <c r="U7" s="8">
        <v>4279</v>
      </c>
      <c r="V7" s="8">
        <v>4279</v>
      </c>
      <c r="W7" s="8">
        <v>4279</v>
      </c>
      <c r="X7" s="8">
        <v>4279</v>
      </c>
      <c r="Y7" s="8">
        <v>4279</v>
      </c>
      <c r="Z7" s="8">
        <v>4279</v>
      </c>
      <c r="AA7" s="8">
        <v>4279</v>
      </c>
      <c r="AB7" s="8">
        <v>4279</v>
      </c>
      <c r="AC7" s="8">
        <v>4279</v>
      </c>
      <c r="AD7" s="8">
        <v>4279</v>
      </c>
      <c r="AE7" s="8">
        <v>4279</v>
      </c>
      <c r="AF7" s="8">
        <v>4279</v>
      </c>
      <c r="AG7" s="8">
        <v>4279</v>
      </c>
      <c r="AH7" s="128">
        <v>4279</v>
      </c>
      <c r="AI7" s="48">
        <v>4279</v>
      </c>
      <c r="AJ7" s="57">
        <f t="shared" si="0"/>
        <v>1</v>
      </c>
    </row>
    <row r="8" spans="1:36">
      <c r="A8" s="4">
        <v>2</v>
      </c>
      <c r="B8" s="4" t="s">
        <v>129</v>
      </c>
      <c r="C8" s="141" t="s">
        <v>112</v>
      </c>
      <c r="D8" s="210">
        <v>1956</v>
      </c>
      <c r="E8" s="4">
        <v>1956</v>
      </c>
      <c r="F8" s="4">
        <v>1956</v>
      </c>
      <c r="G8" s="4">
        <v>1956</v>
      </c>
      <c r="H8" s="4">
        <v>1956</v>
      </c>
      <c r="I8" s="4">
        <v>1956</v>
      </c>
      <c r="J8" s="4">
        <v>1956</v>
      </c>
      <c r="K8" s="4">
        <v>1956</v>
      </c>
      <c r="L8" s="4">
        <v>1956</v>
      </c>
      <c r="M8" s="4">
        <v>1956</v>
      </c>
      <c r="N8" s="4">
        <v>1956</v>
      </c>
      <c r="O8" s="4">
        <v>1956</v>
      </c>
      <c r="P8" s="4">
        <v>1956</v>
      </c>
      <c r="Q8" s="4">
        <v>1956</v>
      </c>
      <c r="R8" s="4">
        <v>1956</v>
      </c>
      <c r="S8" s="4">
        <v>1956</v>
      </c>
      <c r="T8" s="4">
        <v>1956</v>
      </c>
      <c r="U8" s="4">
        <v>1956</v>
      </c>
      <c r="V8" s="4">
        <v>1956</v>
      </c>
      <c r="W8" s="4">
        <v>1956</v>
      </c>
      <c r="X8" s="4">
        <v>1956</v>
      </c>
      <c r="Y8" s="4">
        <v>1956</v>
      </c>
      <c r="Z8" s="4">
        <v>1956</v>
      </c>
      <c r="AA8" s="4">
        <v>1956</v>
      </c>
      <c r="AB8" s="4">
        <v>1956</v>
      </c>
      <c r="AC8" s="4">
        <v>1956</v>
      </c>
      <c r="AD8" s="4">
        <v>1956</v>
      </c>
      <c r="AE8" s="4">
        <v>1956</v>
      </c>
      <c r="AF8" s="4">
        <v>1956</v>
      </c>
      <c r="AG8" s="4">
        <v>1956</v>
      </c>
      <c r="AH8" s="58">
        <v>1956</v>
      </c>
      <c r="AI8" s="48">
        <v>1956</v>
      </c>
      <c r="AJ8" s="57">
        <f t="shared" si="0"/>
        <v>0</v>
      </c>
    </row>
    <row r="9" spans="1:36">
      <c r="A9" s="4"/>
      <c r="B9" s="4"/>
      <c r="C9" s="140" t="s">
        <v>22</v>
      </c>
      <c r="D9" s="210">
        <v>28.6</v>
      </c>
      <c r="E9" s="4">
        <v>28.6</v>
      </c>
      <c r="F9" s="4">
        <v>28.6</v>
      </c>
      <c r="G9" s="4">
        <v>28.6</v>
      </c>
      <c r="H9" s="4">
        <v>28.6</v>
      </c>
      <c r="I9" s="4">
        <v>28.6</v>
      </c>
      <c r="J9" s="4">
        <v>28.6</v>
      </c>
      <c r="K9" s="4">
        <v>28.6</v>
      </c>
      <c r="L9" s="4">
        <v>28.6</v>
      </c>
      <c r="M9" s="4">
        <v>28.6</v>
      </c>
      <c r="N9" s="4">
        <v>28.6</v>
      </c>
      <c r="O9" s="4">
        <v>28.6</v>
      </c>
      <c r="P9" s="4">
        <v>28.6</v>
      </c>
      <c r="Q9" s="4">
        <v>28.6</v>
      </c>
      <c r="R9" s="4">
        <v>28.6</v>
      </c>
      <c r="S9" s="4">
        <v>28.6</v>
      </c>
      <c r="T9" s="4">
        <v>28.6</v>
      </c>
      <c r="U9" s="4">
        <v>28.6</v>
      </c>
      <c r="V9" s="4">
        <v>28.6</v>
      </c>
      <c r="W9" s="4">
        <v>28.6</v>
      </c>
      <c r="X9" s="4">
        <v>28.6</v>
      </c>
      <c r="Y9" s="4">
        <v>28.6</v>
      </c>
      <c r="Z9" s="4">
        <v>28.6</v>
      </c>
      <c r="AA9" s="4">
        <v>28.6</v>
      </c>
      <c r="AB9" s="4">
        <v>28.6</v>
      </c>
      <c r="AC9" s="4">
        <v>28.6</v>
      </c>
      <c r="AD9" s="4">
        <v>28.6</v>
      </c>
      <c r="AE9" s="4">
        <v>28.6</v>
      </c>
      <c r="AF9" s="4">
        <v>28.6</v>
      </c>
      <c r="AG9" s="4">
        <v>28.6</v>
      </c>
      <c r="AH9" s="58">
        <v>28.6</v>
      </c>
      <c r="AI9" s="48">
        <v>28.6</v>
      </c>
      <c r="AJ9" s="57">
        <f t="shared" si="0"/>
        <v>0</v>
      </c>
    </row>
    <row r="10" spans="1:36">
      <c r="A10" s="4">
        <v>3</v>
      </c>
      <c r="B10" s="4" t="s">
        <v>129</v>
      </c>
      <c r="C10" s="141" t="s">
        <v>113</v>
      </c>
      <c r="D10" s="130">
        <v>211463</v>
      </c>
      <c r="E10" s="4">
        <v>212016</v>
      </c>
      <c r="F10" s="4">
        <v>212278</v>
      </c>
      <c r="G10" s="4">
        <v>212658</v>
      </c>
      <c r="H10" s="4">
        <v>212936</v>
      </c>
      <c r="I10" s="4">
        <v>213210</v>
      </c>
      <c r="J10" s="4">
        <v>213642</v>
      </c>
      <c r="K10" s="4">
        <v>214054</v>
      </c>
      <c r="L10" s="4">
        <v>214464</v>
      </c>
      <c r="M10" s="4">
        <v>214911</v>
      </c>
      <c r="N10" s="4">
        <v>215286</v>
      </c>
      <c r="O10" s="4">
        <v>215584</v>
      </c>
      <c r="P10" s="4">
        <v>215864</v>
      </c>
      <c r="Q10" s="4">
        <v>216279</v>
      </c>
      <c r="R10" s="4">
        <v>216692</v>
      </c>
      <c r="S10" s="4">
        <v>217106</v>
      </c>
      <c r="T10" s="4">
        <v>217491</v>
      </c>
      <c r="U10" s="4">
        <v>217828</v>
      </c>
      <c r="V10" s="4">
        <v>218135</v>
      </c>
      <c r="W10" s="4">
        <v>218402</v>
      </c>
      <c r="X10" s="4">
        <v>218686</v>
      </c>
      <c r="Y10" s="4">
        <v>218979</v>
      </c>
      <c r="Z10" s="4">
        <v>219296</v>
      </c>
      <c r="AA10" s="58">
        <v>219638</v>
      </c>
      <c r="AB10" s="58">
        <v>220018</v>
      </c>
      <c r="AC10" s="58">
        <v>220273</v>
      </c>
      <c r="AD10" s="4">
        <v>220520</v>
      </c>
      <c r="AE10" s="8">
        <v>220956</v>
      </c>
      <c r="AF10" s="8">
        <v>221359</v>
      </c>
      <c r="AG10" s="8">
        <v>221767</v>
      </c>
      <c r="AH10" s="128">
        <v>222187</v>
      </c>
      <c r="AI10" s="48">
        <v>222574</v>
      </c>
      <c r="AJ10" s="57">
        <f t="shared" si="0"/>
        <v>11111</v>
      </c>
    </row>
    <row r="11" spans="1:36">
      <c r="A11" s="4"/>
      <c r="B11" s="4"/>
      <c r="C11" s="140" t="s">
        <v>22</v>
      </c>
      <c r="D11" s="210">
        <v>6403</v>
      </c>
      <c r="E11" s="4">
        <v>6403</v>
      </c>
      <c r="F11" s="4">
        <v>6403</v>
      </c>
      <c r="G11" s="4">
        <v>6403</v>
      </c>
      <c r="H11" s="4">
        <v>6403</v>
      </c>
      <c r="I11" s="4">
        <v>6403</v>
      </c>
      <c r="J11" s="4">
        <v>6403</v>
      </c>
      <c r="K11" s="4">
        <v>6403</v>
      </c>
      <c r="L11" s="4">
        <v>6403</v>
      </c>
      <c r="M11" s="4">
        <v>6403</v>
      </c>
      <c r="N11" s="4">
        <v>6403</v>
      </c>
      <c r="O11" s="4">
        <v>6403</v>
      </c>
      <c r="P11" s="4">
        <v>6403</v>
      </c>
      <c r="Q11" s="4">
        <v>6403</v>
      </c>
      <c r="R11" s="4">
        <v>6403</v>
      </c>
      <c r="S11" s="4">
        <v>6403</v>
      </c>
      <c r="T11" s="4">
        <v>6405</v>
      </c>
      <c r="U11" s="4">
        <v>6405</v>
      </c>
      <c r="V11" s="4">
        <v>6405</v>
      </c>
      <c r="W11" s="4">
        <v>6405</v>
      </c>
      <c r="X11" s="4">
        <v>6405</v>
      </c>
      <c r="Y11" s="4">
        <v>6405</v>
      </c>
      <c r="Z11" s="4">
        <v>6405</v>
      </c>
      <c r="AA11" s="4">
        <v>6405</v>
      </c>
      <c r="AB11" s="4">
        <v>6405</v>
      </c>
      <c r="AC11" s="4">
        <v>6405</v>
      </c>
      <c r="AD11" s="4">
        <v>6405</v>
      </c>
      <c r="AE11" s="4">
        <v>6405</v>
      </c>
      <c r="AF11" s="4">
        <v>6405</v>
      </c>
      <c r="AG11" s="4">
        <v>6405</v>
      </c>
      <c r="AH11" s="58">
        <v>6406</v>
      </c>
      <c r="AI11" s="48">
        <v>6406</v>
      </c>
      <c r="AJ11" s="57">
        <f t="shared" si="0"/>
        <v>3</v>
      </c>
    </row>
    <row r="12" spans="1:36">
      <c r="A12" s="4">
        <v>4</v>
      </c>
      <c r="B12" s="4" t="s">
        <v>129</v>
      </c>
      <c r="C12" s="141" t="s">
        <v>114</v>
      </c>
      <c r="D12" s="210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58">
        <v>0</v>
      </c>
      <c r="AI12" s="48">
        <v>0</v>
      </c>
      <c r="AJ12" s="57">
        <f t="shared" si="0"/>
        <v>0</v>
      </c>
    </row>
    <row r="13" spans="1:36">
      <c r="A13" s="4"/>
      <c r="B13" s="4"/>
      <c r="C13" s="140" t="s">
        <v>22</v>
      </c>
      <c r="D13" s="211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58">
        <v>0</v>
      </c>
      <c r="AI13" s="48">
        <v>0</v>
      </c>
      <c r="AJ13" s="57">
        <f t="shared" si="0"/>
        <v>0</v>
      </c>
    </row>
    <row r="14" spans="1:36">
      <c r="A14" s="4">
        <v>5</v>
      </c>
      <c r="B14" s="4" t="s">
        <v>129</v>
      </c>
      <c r="C14" s="213" t="s">
        <v>115</v>
      </c>
      <c r="D14" s="55">
        <v>104459</v>
      </c>
      <c r="E14" s="59">
        <v>104792</v>
      </c>
      <c r="F14" s="4">
        <v>104929</v>
      </c>
      <c r="G14" s="4">
        <v>105147</v>
      </c>
      <c r="H14" s="4">
        <v>105297</v>
      </c>
      <c r="I14" s="4">
        <v>105442</v>
      </c>
      <c r="J14" s="4">
        <v>105707</v>
      </c>
      <c r="K14" s="4">
        <v>105955</v>
      </c>
      <c r="L14" s="4">
        <v>106210</v>
      </c>
      <c r="M14" s="4">
        <v>106473</v>
      </c>
      <c r="N14" s="4">
        <v>106696</v>
      </c>
      <c r="O14" s="4">
        <v>106845</v>
      </c>
      <c r="P14" s="4">
        <v>106983</v>
      </c>
      <c r="Q14" s="4">
        <v>107229</v>
      </c>
      <c r="R14" s="4">
        <v>107479</v>
      </c>
      <c r="S14" s="4">
        <v>107738</v>
      </c>
      <c r="T14" s="4">
        <v>107978</v>
      </c>
      <c r="U14" s="33">
        <v>108208</v>
      </c>
      <c r="V14" s="4">
        <v>108355</v>
      </c>
      <c r="W14" s="4">
        <v>108499</v>
      </c>
      <c r="X14" s="4">
        <v>108637</v>
      </c>
      <c r="Y14" s="4">
        <v>108816</v>
      </c>
      <c r="Z14" s="4">
        <v>109011</v>
      </c>
      <c r="AA14" s="58">
        <v>109215</v>
      </c>
      <c r="AB14" s="58">
        <v>109445</v>
      </c>
      <c r="AC14" s="58">
        <v>109578</v>
      </c>
      <c r="AD14" s="4">
        <v>109725</v>
      </c>
      <c r="AE14" s="33">
        <v>109968</v>
      </c>
      <c r="AF14" s="33">
        <v>110218</v>
      </c>
      <c r="AG14" s="33">
        <v>110470</v>
      </c>
      <c r="AH14" s="200">
        <v>110739</v>
      </c>
      <c r="AI14" s="48">
        <v>110988</v>
      </c>
      <c r="AJ14" s="57">
        <f t="shared" si="0"/>
        <v>6529</v>
      </c>
    </row>
    <row r="15" spans="1:36">
      <c r="A15" s="4"/>
      <c r="B15" s="4"/>
      <c r="C15" s="214" t="s">
        <v>22</v>
      </c>
      <c r="D15" s="55">
        <v>3276</v>
      </c>
      <c r="E15" s="215">
        <v>3276</v>
      </c>
      <c r="F15" s="60">
        <v>3276</v>
      </c>
      <c r="G15" s="60">
        <v>3276</v>
      </c>
      <c r="H15" s="60">
        <v>3276</v>
      </c>
      <c r="I15" s="60">
        <v>3276</v>
      </c>
      <c r="J15" s="60">
        <v>3276</v>
      </c>
      <c r="K15" s="60">
        <v>3276</v>
      </c>
      <c r="L15" s="60">
        <v>3276</v>
      </c>
      <c r="M15" s="60">
        <v>3276</v>
      </c>
      <c r="N15" s="60">
        <v>3276</v>
      </c>
      <c r="O15" s="60">
        <v>3276</v>
      </c>
      <c r="P15" s="60">
        <v>3276</v>
      </c>
      <c r="Q15" s="60">
        <v>3276</v>
      </c>
      <c r="R15" s="60">
        <v>3276</v>
      </c>
      <c r="S15" s="60">
        <v>3276</v>
      </c>
      <c r="T15" s="60">
        <v>3276</v>
      </c>
      <c r="U15" s="60">
        <v>3276</v>
      </c>
      <c r="V15" s="60">
        <v>3276</v>
      </c>
      <c r="W15" s="60">
        <v>3276</v>
      </c>
      <c r="X15" s="60">
        <v>3276</v>
      </c>
      <c r="Y15" s="60">
        <v>3276</v>
      </c>
      <c r="Z15" s="60">
        <v>3276</v>
      </c>
      <c r="AA15" s="60">
        <v>3276</v>
      </c>
      <c r="AB15" s="60">
        <v>3276</v>
      </c>
      <c r="AC15" s="60">
        <v>3276</v>
      </c>
      <c r="AD15" s="60">
        <v>3276</v>
      </c>
      <c r="AE15" s="60">
        <v>3276</v>
      </c>
      <c r="AF15" s="60">
        <v>3276</v>
      </c>
      <c r="AG15" s="60">
        <v>3276</v>
      </c>
      <c r="AH15" s="205">
        <v>3276</v>
      </c>
      <c r="AI15" s="48">
        <v>3276</v>
      </c>
      <c r="AJ15" s="57">
        <f t="shared" si="0"/>
        <v>0</v>
      </c>
    </row>
    <row r="16" spans="1:36">
      <c r="A16" s="4">
        <v>6</v>
      </c>
      <c r="B16" s="4" t="s">
        <v>129</v>
      </c>
      <c r="C16" s="213" t="s">
        <v>142</v>
      </c>
      <c r="D16" s="55">
        <v>123060</v>
      </c>
      <c r="E16" s="216">
        <v>123460</v>
      </c>
      <c r="F16" s="4">
        <v>123547</v>
      </c>
      <c r="G16" s="4">
        <v>123812</v>
      </c>
      <c r="H16" s="4">
        <v>123920</v>
      </c>
      <c r="I16" s="4">
        <v>124031</v>
      </c>
      <c r="J16" s="4">
        <v>124031</v>
      </c>
      <c r="K16" s="58">
        <v>124555</v>
      </c>
      <c r="L16" s="127">
        <v>124810</v>
      </c>
      <c r="M16" s="178">
        <v>125094</v>
      </c>
      <c r="N16" s="178">
        <v>125353</v>
      </c>
      <c r="O16" s="178">
        <v>125490</v>
      </c>
      <c r="P16" s="178">
        <v>125597</v>
      </c>
      <c r="Q16" s="179">
        <v>125889</v>
      </c>
      <c r="R16" s="178">
        <v>126150</v>
      </c>
      <c r="S16" s="59">
        <v>126405</v>
      </c>
      <c r="T16" s="4">
        <v>126683</v>
      </c>
      <c r="U16" s="4">
        <v>126925</v>
      </c>
      <c r="V16" s="4">
        <v>127028</v>
      </c>
      <c r="W16" s="4">
        <v>127132</v>
      </c>
      <c r="X16" s="4">
        <v>127222</v>
      </c>
      <c r="Y16" s="4">
        <v>127437</v>
      </c>
      <c r="Z16" s="4">
        <v>127648</v>
      </c>
      <c r="AA16" s="58">
        <v>127878</v>
      </c>
      <c r="AB16" s="58">
        <v>128113</v>
      </c>
      <c r="AC16" s="58">
        <v>128215</v>
      </c>
      <c r="AD16" s="58">
        <v>128306</v>
      </c>
      <c r="AE16" s="48">
        <v>128570</v>
      </c>
      <c r="AF16" s="48">
        <v>128812</v>
      </c>
      <c r="AG16" s="48">
        <v>129083</v>
      </c>
      <c r="AH16" s="169">
        <v>129343</v>
      </c>
      <c r="AI16" s="48">
        <v>129622</v>
      </c>
      <c r="AJ16" s="57">
        <f t="shared" si="0"/>
        <v>6562</v>
      </c>
    </row>
    <row r="17" spans="1:36">
      <c r="A17" s="4"/>
      <c r="B17" s="4"/>
      <c r="C17" s="214" t="s">
        <v>22</v>
      </c>
      <c r="D17" s="55">
        <v>4261</v>
      </c>
      <c r="E17" s="129">
        <v>4261</v>
      </c>
      <c r="F17" s="129">
        <v>4261</v>
      </c>
      <c r="G17" s="129">
        <v>4261</v>
      </c>
      <c r="H17" s="129">
        <v>4261</v>
      </c>
      <c r="I17" s="129">
        <v>4261</v>
      </c>
      <c r="J17" s="129">
        <v>4261</v>
      </c>
      <c r="K17" s="129">
        <v>4261</v>
      </c>
      <c r="L17" s="129">
        <v>4261</v>
      </c>
      <c r="M17" s="129">
        <v>4261</v>
      </c>
      <c r="N17" s="129">
        <v>4261</v>
      </c>
      <c r="O17" s="129">
        <v>4261</v>
      </c>
      <c r="P17" s="129">
        <v>4261</v>
      </c>
      <c r="Q17" s="129">
        <v>4261</v>
      </c>
      <c r="R17" s="129">
        <v>4261</v>
      </c>
      <c r="S17" s="129">
        <v>4261</v>
      </c>
      <c r="T17" s="129">
        <v>4261</v>
      </c>
      <c r="U17" s="129">
        <v>4261</v>
      </c>
      <c r="V17" s="129">
        <v>4261</v>
      </c>
      <c r="W17" s="129">
        <v>4261</v>
      </c>
      <c r="X17" s="129">
        <v>4261</v>
      </c>
      <c r="Y17" s="129">
        <v>4261</v>
      </c>
      <c r="Z17" s="129">
        <v>4261</v>
      </c>
      <c r="AA17" s="129">
        <v>4261</v>
      </c>
      <c r="AB17" s="129">
        <v>4261</v>
      </c>
      <c r="AC17" s="129">
        <v>4261</v>
      </c>
      <c r="AD17" s="129">
        <v>4261</v>
      </c>
      <c r="AE17" s="129">
        <v>4261</v>
      </c>
      <c r="AF17" s="129">
        <v>4261</v>
      </c>
      <c r="AG17" s="129">
        <v>4261</v>
      </c>
      <c r="AH17" s="206">
        <v>4261</v>
      </c>
      <c r="AI17" s="48">
        <v>4262</v>
      </c>
      <c r="AJ17" s="57">
        <f t="shared" si="0"/>
        <v>1</v>
      </c>
    </row>
    <row r="18" spans="1:36">
      <c r="A18" s="4">
        <v>7</v>
      </c>
      <c r="B18" s="4" t="s">
        <v>129</v>
      </c>
      <c r="C18" s="141" t="s">
        <v>117</v>
      </c>
      <c r="D18" s="130">
        <v>399411</v>
      </c>
      <c r="E18" s="4">
        <v>400558</v>
      </c>
      <c r="F18" s="4">
        <v>400981</v>
      </c>
      <c r="G18" s="4">
        <v>401685</v>
      </c>
      <c r="H18" s="4">
        <v>402303</v>
      </c>
      <c r="I18" s="4">
        <v>402796</v>
      </c>
      <c r="J18" s="4">
        <v>402796</v>
      </c>
      <c r="K18" s="4">
        <v>404417</v>
      </c>
      <c r="L18" s="4">
        <v>405216</v>
      </c>
      <c r="M18" s="4">
        <v>406012</v>
      </c>
      <c r="N18" s="5">
        <v>406813</v>
      </c>
      <c r="O18" s="4">
        <v>407491</v>
      </c>
      <c r="P18" s="4">
        <v>408013</v>
      </c>
      <c r="Q18" s="4">
        <v>408776</v>
      </c>
      <c r="R18" s="8">
        <v>409608</v>
      </c>
      <c r="S18" s="5">
        <v>410435</v>
      </c>
      <c r="T18" s="4">
        <v>411254</v>
      </c>
      <c r="U18" s="4">
        <v>412070</v>
      </c>
      <c r="V18" s="4">
        <v>412692</v>
      </c>
      <c r="W18" s="4">
        <v>413201</v>
      </c>
      <c r="X18" s="33">
        <v>413562</v>
      </c>
      <c r="Y18" s="4">
        <v>414175</v>
      </c>
      <c r="Z18" s="4">
        <v>414894</v>
      </c>
      <c r="AA18" s="58">
        <v>415672</v>
      </c>
      <c r="AB18" s="58">
        <v>416483</v>
      </c>
      <c r="AC18" s="58">
        <v>416939</v>
      </c>
      <c r="AD18" s="58">
        <v>417442</v>
      </c>
      <c r="AE18" s="48">
        <v>418206</v>
      </c>
      <c r="AF18" s="201">
        <v>419018</v>
      </c>
      <c r="AG18" s="8">
        <v>419803</v>
      </c>
      <c r="AH18" s="128">
        <v>420649</v>
      </c>
      <c r="AI18" s="48">
        <v>421416</v>
      </c>
      <c r="AJ18" s="57">
        <f t="shared" si="0"/>
        <v>22005</v>
      </c>
    </row>
    <row r="19" spans="1:36">
      <c r="A19" s="4"/>
      <c r="B19" s="4"/>
      <c r="C19" s="140" t="s">
        <v>22</v>
      </c>
      <c r="D19" s="210">
        <v>11600</v>
      </c>
      <c r="E19" s="4">
        <v>11600</v>
      </c>
      <c r="F19" s="4">
        <v>11600</v>
      </c>
      <c r="G19" s="4">
        <v>11600</v>
      </c>
      <c r="H19" s="4">
        <v>11600</v>
      </c>
      <c r="I19" s="4">
        <v>11600</v>
      </c>
      <c r="J19" s="4">
        <v>11600</v>
      </c>
      <c r="K19" s="4">
        <v>11600</v>
      </c>
      <c r="L19" s="4">
        <v>11600</v>
      </c>
      <c r="M19" s="4">
        <v>11600</v>
      </c>
      <c r="N19" s="4">
        <v>11600</v>
      </c>
      <c r="O19" s="4">
        <v>11600</v>
      </c>
      <c r="P19" s="4">
        <v>11600</v>
      </c>
      <c r="Q19" s="4">
        <v>11600</v>
      </c>
      <c r="R19" s="4">
        <v>11600</v>
      </c>
      <c r="S19" s="4">
        <v>11600</v>
      </c>
      <c r="T19" s="4">
        <v>11600</v>
      </c>
      <c r="U19" s="4">
        <v>11600</v>
      </c>
      <c r="V19" s="4">
        <v>11600</v>
      </c>
      <c r="W19" s="4">
        <v>11600</v>
      </c>
      <c r="X19" s="4">
        <v>11600</v>
      </c>
      <c r="Y19" s="4">
        <v>11600</v>
      </c>
      <c r="Z19" s="4">
        <v>11600</v>
      </c>
      <c r="AA19" s="4">
        <v>11600</v>
      </c>
      <c r="AB19" s="4">
        <v>11600</v>
      </c>
      <c r="AC19" s="4">
        <v>11600</v>
      </c>
      <c r="AD19" s="4">
        <v>11600</v>
      </c>
      <c r="AE19" s="4">
        <v>11600</v>
      </c>
      <c r="AF19" s="4">
        <v>11600</v>
      </c>
      <c r="AG19" s="4">
        <v>11600</v>
      </c>
      <c r="AH19" s="58">
        <v>11600</v>
      </c>
      <c r="AI19" s="48">
        <v>11604</v>
      </c>
      <c r="AJ19" s="57">
        <f t="shared" si="0"/>
        <v>4</v>
      </c>
    </row>
    <row r="20" spans="1:36">
      <c r="A20" s="4">
        <v>8</v>
      </c>
      <c r="B20" s="4" t="s">
        <v>129</v>
      </c>
      <c r="C20" s="141" t="s">
        <v>118</v>
      </c>
      <c r="D20" s="130">
        <v>80798</v>
      </c>
      <c r="E20" s="4">
        <v>80959</v>
      </c>
      <c r="F20" s="4">
        <v>81083</v>
      </c>
      <c r="G20" s="4">
        <v>81083</v>
      </c>
      <c r="H20" s="4">
        <v>81341</v>
      </c>
      <c r="I20" s="4">
        <v>81462</v>
      </c>
      <c r="J20" s="4">
        <v>81609</v>
      </c>
      <c r="K20" s="4">
        <v>81726</v>
      </c>
      <c r="L20" s="4">
        <v>81852</v>
      </c>
      <c r="M20" s="4">
        <v>81926</v>
      </c>
      <c r="N20" s="4">
        <v>82100</v>
      </c>
      <c r="O20" s="4">
        <v>82207</v>
      </c>
      <c r="P20" s="4">
        <v>82330</v>
      </c>
      <c r="Q20" s="4">
        <v>82447</v>
      </c>
      <c r="R20" s="4">
        <v>82577</v>
      </c>
      <c r="S20" s="4">
        <v>82694</v>
      </c>
      <c r="T20" s="4">
        <v>82825</v>
      </c>
      <c r="U20" s="4">
        <v>82941</v>
      </c>
      <c r="V20" s="4">
        <v>83052</v>
      </c>
      <c r="W20" s="4">
        <v>83150</v>
      </c>
      <c r="X20" s="4">
        <v>83272</v>
      </c>
      <c r="Y20" s="4">
        <v>83387</v>
      </c>
      <c r="Z20" s="4">
        <v>83516</v>
      </c>
      <c r="AA20" s="8">
        <v>83618</v>
      </c>
      <c r="AB20" s="8">
        <v>83755</v>
      </c>
      <c r="AC20" s="4">
        <v>83850</v>
      </c>
      <c r="AD20" s="4">
        <v>83969</v>
      </c>
      <c r="AE20" s="8">
        <v>84088</v>
      </c>
      <c r="AF20" s="8">
        <v>84220</v>
      </c>
      <c r="AG20" s="8">
        <v>84220</v>
      </c>
      <c r="AH20" s="128">
        <v>84453</v>
      </c>
      <c r="AI20" s="48">
        <v>84560</v>
      </c>
      <c r="AJ20" s="57">
        <f t="shared" si="0"/>
        <v>3762</v>
      </c>
    </row>
    <row r="21" spans="1:36">
      <c r="A21" s="4"/>
      <c r="B21" s="4"/>
      <c r="C21" s="140" t="s">
        <v>22</v>
      </c>
      <c r="D21" s="210">
        <v>2212</v>
      </c>
      <c r="E21" s="4">
        <v>2212</v>
      </c>
      <c r="F21" s="4">
        <v>2212</v>
      </c>
      <c r="G21" s="4">
        <v>2212</v>
      </c>
      <c r="H21" s="4">
        <v>2212</v>
      </c>
      <c r="I21" s="4">
        <v>2212</v>
      </c>
      <c r="J21" s="4">
        <v>2212</v>
      </c>
      <c r="K21" s="4">
        <v>2212</v>
      </c>
      <c r="L21" s="4">
        <v>2212</v>
      </c>
      <c r="M21" s="4">
        <v>2212</v>
      </c>
      <c r="N21" s="4">
        <v>2212</v>
      </c>
      <c r="O21" s="4">
        <v>2212</v>
      </c>
      <c r="P21" s="4">
        <v>2212</v>
      </c>
      <c r="Q21" s="4">
        <v>2212</v>
      </c>
      <c r="R21" s="4">
        <v>2212</v>
      </c>
      <c r="S21" s="4">
        <v>2212</v>
      </c>
      <c r="T21" s="4">
        <v>2212</v>
      </c>
      <c r="U21" s="4">
        <v>2212</v>
      </c>
      <c r="V21" s="4">
        <v>2212</v>
      </c>
      <c r="W21" s="4">
        <v>2212</v>
      </c>
      <c r="X21" s="4">
        <v>2212</v>
      </c>
      <c r="Y21" s="4">
        <v>2212</v>
      </c>
      <c r="Z21" s="4">
        <v>2212</v>
      </c>
      <c r="AA21" s="4">
        <v>2212</v>
      </c>
      <c r="AB21" s="4">
        <v>2212</v>
      </c>
      <c r="AC21" s="4">
        <v>2212</v>
      </c>
      <c r="AD21" s="4">
        <v>2212</v>
      </c>
      <c r="AE21" s="4">
        <v>2212</v>
      </c>
      <c r="AF21" s="4">
        <v>2212</v>
      </c>
      <c r="AG21" s="4">
        <v>2212</v>
      </c>
      <c r="AH21" s="58">
        <v>2212</v>
      </c>
      <c r="AI21" s="48">
        <v>2212</v>
      </c>
      <c r="AJ21" s="57">
        <f t="shared" si="0"/>
        <v>0</v>
      </c>
    </row>
    <row r="22" spans="1:36">
      <c r="A22" s="503"/>
      <c r="B22" s="504"/>
      <c r="C22" s="504"/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4"/>
      <c r="W22" s="504"/>
      <c r="X22" s="504"/>
      <c r="Y22" s="504"/>
      <c r="Z22" s="504"/>
      <c r="AA22" s="504"/>
      <c r="AB22" s="504"/>
      <c r="AC22" s="504"/>
      <c r="AD22" s="504"/>
      <c r="AE22" s="504"/>
      <c r="AF22" s="504"/>
      <c r="AG22" s="504"/>
      <c r="AH22" s="504"/>
      <c r="AI22" s="504"/>
      <c r="AJ22" s="501"/>
    </row>
    <row r="23" spans="1:36">
      <c r="A23" s="4">
        <v>1</v>
      </c>
      <c r="B23" s="4" t="s">
        <v>129</v>
      </c>
      <c r="C23" s="141" t="s">
        <v>119</v>
      </c>
      <c r="D23" s="130">
        <v>37637</v>
      </c>
      <c r="E23" s="4">
        <v>37804</v>
      </c>
      <c r="F23" s="4">
        <v>37804</v>
      </c>
      <c r="G23" s="4">
        <v>37908</v>
      </c>
      <c r="H23" s="4">
        <v>37977</v>
      </c>
      <c r="I23" s="4">
        <v>37977</v>
      </c>
      <c r="J23" s="4">
        <v>38068</v>
      </c>
      <c r="K23" s="4">
        <v>38207</v>
      </c>
      <c r="L23" s="4">
        <v>38324</v>
      </c>
      <c r="M23" s="4">
        <v>38454</v>
      </c>
      <c r="N23" s="4">
        <v>38593</v>
      </c>
      <c r="O23" s="4">
        <v>38709</v>
      </c>
      <c r="P23" s="4">
        <v>38709</v>
      </c>
      <c r="Q23" s="4">
        <v>38794</v>
      </c>
      <c r="R23" s="4">
        <v>38920</v>
      </c>
      <c r="S23" s="4">
        <v>39056</v>
      </c>
      <c r="T23" s="4">
        <v>39188</v>
      </c>
      <c r="U23" s="4">
        <v>39313</v>
      </c>
      <c r="V23" s="4">
        <v>39357</v>
      </c>
      <c r="W23" s="4">
        <v>39357</v>
      </c>
      <c r="X23" s="4">
        <v>39357</v>
      </c>
      <c r="Y23" s="4">
        <v>39458</v>
      </c>
      <c r="Z23" s="4">
        <v>39541</v>
      </c>
      <c r="AA23" s="4">
        <v>39633</v>
      </c>
      <c r="AB23" s="4">
        <v>39757</v>
      </c>
      <c r="AC23" s="4">
        <v>39788</v>
      </c>
      <c r="AD23" s="4">
        <v>39788</v>
      </c>
      <c r="AE23" s="4">
        <v>39908</v>
      </c>
      <c r="AF23" s="4">
        <v>40037</v>
      </c>
      <c r="AG23" s="4">
        <v>40135</v>
      </c>
      <c r="AH23" s="128">
        <v>40230</v>
      </c>
      <c r="AI23" s="48">
        <v>40295</v>
      </c>
      <c r="AJ23" s="57">
        <f t="shared" ref="AJ23:AJ30" si="1">AI23-D23</f>
        <v>2658</v>
      </c>
    </row>
    <row r="24" spans="1:36">
      <c r="A24" s="4"/>
      <c r="B24" s="4"/>
      <c r="C24" s="142" t="s">
        <v>22</v>
      </c>
      <c r="D24" s="210">
        <v>1921</v>
      </c>
      <c r="E24" s="4">
        <v>1921</v>
      </c>
      <c r="F24" s="4">
        <v>1921</v>
      </c>
      <c r="G24" s="4">
        <v>1921</v>
      </c>
      <c r="H24" s="4">
        <v>1921</v>
      </c>
      <c r="I24" s="4">
        <v>1921</v>
      </c>
      <c r="J24" s="4">
        <v>1921</v>
      </c>
      <c r="K24" s="4">
        <v>1921</v>
      </c>
      <c r="L24" s="4">
        <v>1921</v>
      </c>
      <c r="M24" s="4">
        <v>1921</v>
      </c>
      <c r="N24" s="4">
        <v>1921</v>
      </c>
      <c r="O24" s="4">
        <v>1921</v>
      </c>
      <c r="P24" s="4">
        <v>1921</v>
      </c>
      <c r="Q24" s="4">
        <v>1921</v>
      </c>
      <c r="R24" s="4">
        <v>1921</v>
      </c>
      <c r="S24" s="33">
        <v>1921</v>
      </c>
      <c r="T24" s="33">
        <v>1921</v>
      </c>
      <c r="U24" s="33">
        <v>1921</v>
      </c>
      <c r="V24" s="33">
        <v>1921</v>
      </c>
      <c r="W24" s="33">
        <v>1921</v>
      </c>
      <c r="X24" s="33">
        <v>1921</v>
      </c>
      <c r="Y24" s="33">
        <v>1921</v>
      </c>
      <c r="Z24" s="33">
        <v>1921</v>
      </c>
      <c r="AA24" s="33">
        <v>1921</v>
      </c>
      <c r="AB24" s="33">
        <v>1921</v>
      </c>
      <c r="AC24" s="33">
        <v>1921</v>
      </c>
      <c r="AD24" s="33">
        <v>1921</v>
      </c>
      <c r="AE24" s="33">
        <v>1921</v>
      </c>
      <c r="AF24" s="4">
        <v>1921</v>
      </c>
      <c r="AG24" s="4">
        <v>1921</v>
      </c>
      <c r="AH24" s="58">
        <v>1921</v>
      </c>
      <c r="AI24" s="48">
        <v>1921</v>
      </c>
      <c r="AJ24" s="57">
        <f t="shared" si="1"/>
        <v>0</v>
      </c>
    </row>
    <row r="25" spans="1:36">
      <c r="A25" s="4">
        <v>2</v>
      </c>
      <c r="B25" s="4" t="s">
        <v>129</v>
      </c>
      <c r="C25" s="141" t="s">
        <v>120</v>
      </c>
      <c r="D25" s="130">
        <v>41922</v>
      </c>
      <c r="E25" s="4">
        <v>42102</v>
      </c>
      <c r="F25" s="4">
        <v>42102</v>
      </c>
      <c r="G25" s="4">
        <v>42328</v>
      </c>
      <c r="H25" s="4">
        <v>42260</v>
      </c>
      <c r="I25" s="4">
        <v>42260</v>
      </c>
      <c r="J25" s="4">
        <v>42356</v>
      </c>
      <c r="K25" s="4">
        <v>42452</v>
      </c>
      <c r="L25" s="4">
        <v>42560</v>
      </c>
      <c r="M25" s="4">
        <v>42650</v>
      </c>
      <c r="N25" s="4">
        <v>42776</v>
      </c>
      <c r="O25" s="4">
        <v>42865</v>
      </c>
      <c r="P25" s="4">
        <v>42865</v>
      </c>
      <c r="Q25" s="4">
        <v>42961</v>
      </c>
      <c r="R25" s="4">
        <v>43069</v>
      </c>
      <c r="S25" s="4">
        <v>43214</v>
      </c>
      <c r="T25" s="4">
        <v>43329</v>
      </c>
      <c r="U25" s="4">
        <v>43444</v>
      </c>
      <c r="V25" s="4">
        <v>43459</v>
      </c>
      <c r="W25" s="4">
        <v>43459</v>
      </c>
      <c r="X25" s="4">
        <v>43459</v>
      </c>
      <c r="Y25" s="4">
        <v>43577</v>
      </c>
      <c r="Z25" s="4">
        <v>43669</v>
      </c>
      <c r="AA25" s="4">
        <v>43771</v>
      </c>
      <c r="AB25" s="4">
        <v>43892</v>
      </c>
      <c r="AC25" s="4">
        <v>43901</v>
      </c>
      <c r="AD25" s="4">
        <v>43901</v>
      </c>
      <c r="AE25" s="4">
        <v>44040</v>
      </c>
      <c r="AF25" s="4">
        <v>44199</v>
      </c>
      <c r="AG25" s="4">
        <v>44297</v>
      </c>
      <c r="AH25" s="128">
        <v>44391</v>
      </c>
      <c r="AI25" s="48">
        <v>44440</v>
      </c>
      <c r="AJ25" s="57">
        <f t="shared" si="1"/>
        <v>2518</v>
      </c>
    </row>
    <row r="26" spans="1:36">
      <c r="A26" s="4"/>
      <c r="B26" s="4"/>
      <c r="C26" s="142" t="s">
        <v>22</v>
      </c>
      <c r="D26" s="210">
        <v>1909</v>
      </c>
      <c r="E26" s="4">
        <v>1909</v>
      </c>
      <c r="F26" s="4">
        <v>1909</v>
      </c>
      <c r="G26" s="4">
        <v>1909</v>
      </c>
      <c r="H26" s="4">
        <v>1909</v>
      </c>
      <c r="I26" s="4">
        <v>1909</v>
      </c>
      <c r="J26" s="4">
        <v>1909</v>
      </c>
      <c r="K26" s="4">
        <v>1909</v>
      </c>
      <c r="L26" s="4">
        <v>1909</v>
      </c>
      <c r="M26" s="4">
        <v>1909</v>
      </c>
      <c r="N26" s="4">
        <v>1909</v>
      </c>
      <c r="O26" s="4">
        <v>1909</v>
      </c>
      <c r="P26" s="4">
        <v>1909</v>
      </c>
      <c r="Q26" s="4">
        <v>1909</v>
      </c>
      <c r="R26" s="4">
        <v>1909</v>
      </c>
      <c r="S26" s="4">
        <v>1909</v>
      </c>
      <c r="T26" s="4">
        <v>1909</v>
      </c>
      <c r="U26" s="4">
        <v>1909</v>
      </c>
      <c r="V26" s="4">
        <v>1909</v>
      </c>
      <c r="W26" s="4">
        <v>1909</v>
      </c>
      <c r="X26" s="4">
        <v>1909</v>
      </c>
      <c r="Y26" s="4">
        <v>1909</v>
      </c>
      <c r="Z26" s="4">
        <v>1909</v>
      </c>
      <c r="AA26" s="4">
        <v>1909</v>
      </c>
      <c r="AB26" s="4">
        <v>1909</v>
      </c>
      <c r="AC26" s="4">
        <v>1909</v>
      </c>
      <c r="AD26" s="4">
        <v>1909</v>
      </c>
      <c r="AE26" s="4">
        <v>1909</v>
      </c>
      <c r="AF26" s="4">
        <v>1909</v>
      </c>
      <c r="AG26" s="4">
        <v>1909</v>
      </c>
      <c r="AH26" s="58">
        <v>1909</v>
      </c>
      <c r="AI26" s="48">
        <v>1909</v>
      </c>
      <c r="AJ26" s="57">
        <f t="shared" si="1"/>
        <v>0</v>
      </c>
    </row>
    <row r="27" spans="1:36">
      <c r="A27" s="4">
        <v>3</v>
      </c>
      <c r="B27" s="4" t="s">
        <v>129</v>
      </c>
      <c r="C27" s="141" t="s">
        <v>121</v>
      </c>
      <c r="D27" s="210">
        <v>45953</v>
      </c>
      <c r="E27" s="4">
        <v>46178</v>
      </c>
      <c r="F27" s="4">
        <v>46178</v>
      </c>
      <c r="G27" s="4">
        <v>46328</v>
      </c>
      <c r="H27" s="4">
        <v>46394</v>
      </c>
      <c r="I27" s="4">
        <v>46399</v>
      </c>
      <c r="J27" s="4">
        <v>46538</v>
      </c>
      <c r="K27" s="4">
        <v>46734</v>
      </c>
      <c r="L27" s="4">
        <v>46912</v>
      </c>
      <c r="M27" s="4">
        <v>47080</v>
      </c>
      <c r="N27" s="4">
        <v>47244</v>
      </c>
      <c r="O27" s="4">
        <v>47329</v>
      </c>
      <c r="P27" s="4">
        <v>47329</v>
      </c>
      <c r="Q27" s="4">
        <v>47446</v>
      </c>
      <c r="R27" s="4">
        <v>47607</v>
      </c>
      <c r="S27" s="4">
        <v>47774</v>
      </c>
      <c r="T27" s="4">
        <v>47931</v>
      </c>
      <c r="U27" s="4">
        <v>48089</v>
      </c>
      <c r="V27" s="4">
        <v>48194</v>
      </c>
      <c r="W27" s="4">
        <v>48194</v>
      </c>
      <c r="X27" s="4">
        <v>48194</v>
      </c>
      <c r="Y27" s="4">
        <v>48310</v>
      </c>
      <c r="Z27" s="4">
        <v>48422</v>
      </c>
      <c r="AA27" s="4">
        <v>48582</v>
      </c>
      <c r="AB27" s="4">
        <v>48752</v>
      </c>
      <c r="AC27" s="4">
        <v>48820</v>
      </c>
      <c r="AD27" s="4">
        <v>48820</v>
      </c>
      <c r="AE27" s="4">
        <v>48991</v>
      </c>
      <c r="AF27" s="4">
        <v>49201</v>
      </c>
      <c r="AG27" s="4">
        <v>49416</v>
      </c>
      <c r="AH27" s="58">
        <v>49643</v>
      </c>
      <c r="AI27" s="48">
        <v>49792</v>
      </c>
      <c r="AJ27" s="57">
        <f t="shared" si="1"/>
        <v>3839</v>
      </c>
    </row>
    <row r="28" spans="1:36">
      <c r="A28" s="4"/>
      <c r="B28" s="4"/>
      <c r="C28" s="142" t="s">
        <v>22</v>
      </c>
      <c r="D28" s="210">
        <v>2065</v>
      </c>
      <c r="E28" s="4">
        <v>2065</v>
      </c>
      <c r="F28" s="4">
        <v>2065</v>
      </c>
      <c r="G28" s="4">
        <v>2065</v>
      </c>
      <c r="H28" s="4">
        <v>2065</v>
      </c>
      <c r="I28" s="4">
        <v>2065</v>
      </c>
      <c r="J28" s="4">
        <v>2065</v>
      </c>
      <c r="K28" s="4">
        <v>2065</v>
      </c>
      <c r="L28" s="4">
        <v>2065</v>
      </c>
      <c r="M28" s="4">
        <v>2065</v>
      </c>
      <c r="N28" s="4">
        <v>2065</v>
      </c>
      <c r="O28" s="4">
        <v>2065</v>
      </c>
      <c r="P28" s="4">
        <v>2065</v>
      </c>
      <c r="Q28" s="4">
        <v>2065</v>
      </c>
      <c r="R28" s="4">
        <v>2065</v>
      </c>
      <c r="S28" s="4">
        <v>2065</v>
      </c>
      <c r="T28" s="4">
        <v>2065</v>
      </c>
      <c r="U28" s="4">
        <v>2065</v>
      </c>
      <c r="V28" s="4">
        <v>2065</v>
      </c>
      <c r="W28" s="4">
        <v>2065</v>
      </c>
      <c r="X28" s="4">
        <v>2065</v>
      </c>
      <c r="Y28" s="4">
        <v>2065</v>
      </c>
      <c r="Z28" s="4">
        <v>2065</v>
      </c>
      <c r="AA28" s="4">
        <v>2065</v>
      </c>
      <c r="AB28" s="4">
        <v>2065</v>
      </c>
      <c r="AC28" s="4">
        <v>2065</v>
      </c>
      <c r="AD28" s="4">
        <v>2065</v>
      </c>
      <c r="AE28" s="4">
        <v>2065</v>
      </c>
      <c r="AF28" s="4">
        <v>2065</v>
      </c>
      <c r="AG28" s="4">
        <v>2065</v>
      </c>
      <c r="AH28" s="58">
        <v>2065</v>
      </c>
      <c r="AI28" s="48">
        <v>2065</v>
      </c>
      <c r="AJ28" s="57">
        <f t="shared" si="1"/>
        <v>0</v>
      </c>
    </row>
    <row r="29" spans="1:36">
      <c r="A29" s="4">
        <v>4</v>
      </c>
      <c r="B29" s="4" t="s">
        <v>129</v>
      </c>
      <c r="C29" s="141" t="s">
        <v>122</v>
      </c>
      <c r="D29" s="130">
        <v>35709</v>
      </c>
      <c r="E29" s="4">
        <v>35863</v>
      </c>
      <c r="F29" s="4">
        <v>35863</v>
      </c>
      <c r="G29" s="4">
        <v>35963</v>
      </c>
      <c r="H29" s="4">
        <v>36022</v>
      </c>
      <c r="I29" s="4">
        <v>36022</v>
      </c>
      <c r="J29" s="4">
        <v>36133</v>
      </c>
      <c r="K29" s="4">
        <v>36233</v>
      </c>
      <c r="L29" s="4">
        <v>36324</v>
      </c>
      <c r="M29" s="4">
        <v>36416</v>
      </c>
      <c r="N29" s="4">
        <v>36504</v>
      </c>
      <c r="O29" s="4">
        <v>36523</v>
      </c>
      <c r="P29" s="4">
        <v>36523</v>
      </c>
      <c r="Q29" s="4">
        <v>36621</v>
      </c>
      <c r="R29" s="4">
        <v>36734</v>
      </c>
      <c r="S29" s="4">
        <v>36843</v>
      </c>
      <c r="T29" s="4">
        <v>36955</v>
      </c>
      <c r="U29" s="4">
        <v>37066</v>
      </c>
      <c r="V29" s="4">
        <v>37066</v>
      </c>
      <c r="W29" s="4">
        <v>37066</v>
      </c>
      <c r="X29" s="4">
        <v>37066</v>
      </c>
      <c r="Y29" s="4">
        <v>37137</v>
      </c>
      <c r="Z29" s="4">
        <v>37234</v>
      </c>
      <c r="AA29" s="4">
        <v>37318</v>
      </c>
      <c r="AB29" s="4">
        <v>37420</v>
      </c>
      <c r="AC29" s="4">
        <v>37428</v>
      </c>
      <c r="AD29" s="4">
        <v>37428</v>
      </c>
      <c r="AE29" s="4">
        <v>37546</v>
      </c>
      <c r="AF29" s="4">
        <v>37640</v>
      </c>
      <c r="AG29" s="4">
        <v>37719</v>
      </c>
      <c r="AH29" s="128">
        <v>37793</v>
      </c>
      <c r="AI29" s="48">
        <v>37838</v>
      </c>
      <c r="AJ29" s="57">
        <f t="shared" si="1"/>
        <v>2129</v>
      </c>
    </row>
    <row r="30" spans="1:36">
      <c r="A30" s="4"/>
      <c r="B30" s="4"/>
      <c r="C30" s="142" t="s">
        <v>22</v>
      </c>
      <c r="D30" s="210">
        <v>1786</v>
      </c>
      <c r="E30" s="4">
        <v>1786</v>
      </c>
      <c r="F30" s="4">
        <v>1786</v>
      </c>
      <c r="G30" s="4">
        <v>1786</v>
      </c>
      <c r="H30" s="4">
        <v>1786</v>
      </c>
      <c r="I30" s="4">
        <v>1786</v>
      </c>
      <c r="J30" s="4">
        <v>1786</v>
      </c>
      <c r="K30" s="4">
        <v>1786</v>
      </c>
      <c r="L30" s="4">
        <v>1786</v>
      </c>
      <c r="M30" s="4">
        <v>1786</v>
      </c>
      <c r="N30" s="4">
        <v>1786</v>
      </c>
      <c r="O30" s="4">
        <v>1786</v>
      </c>
      <c r="P30" s="4">
        <v>1786</v>
      </c>
      <c r="Q30" s="4">
        <v>1786</v>
      </c>
      <c r="R30" s="4">
        <v>1786</v>
      </c>
      <c r="S30" s="4">
        <v>1786</v>
      </c>
      <c r="T30" s="4">
        <v>1786</v>
      </c>
      <c r="U30" s="4">
        <v>1786</v>
      </c>
      <c r="V30" s="4">
        <v>1786</v>
      </c>
      <c r="W30" s="4">
        <v>1786</v>
      </c>
      <c r="X30" s="4">
        <v>1786</v>
      </c>
      <c r="Y30" s="4">
        <v>1786</v>
      </c>
      <c r="Z30" s="4">
        <v>1786</v>
      </c>
      <c r="AA30" s="4">
        <v>1786</v>
      </c>
      <c r="AB30" s="4">
        <v>1786</v>
      </c>
      <c r="AC30" s="4">
        <v>1786</v>
      </c>
      <c r="AD30" s="4">
        <v>1786</v>
      </c>
      <c r="AE30" s="4">
        <v>1786</v>
      </c>
      <c r="AF30" s="4">
        <v>1786</v>
      </c>
      <c r="AG30" s="4">
        <v>1786</v>
      </c>
      <c r="AH30" s="58">
        <v>1786</v>
      </c>
      <c r="AI30" s="48">
        <v>1786</v>
      </c>
      <c r="AJ30" s="57">
        <f t="shared" si="1"/>
        <v>0</v>
      </c>
    </row>
    <row r="31" spans="1:36">
      <c r="A31" s="564"/>
      <c r="B31" s="504"/>
      <c r="C31" s="504"/>
      <c r="D31" s="504"/>
      <c r="E31" s="504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4"/>
      <c r="AH31" s="504"/>
      <c r="AI31" s="504"/>
      <c r="AJ31" s="501"/>
    </row>
    <row r="32" spans="1:36">
      <c r="A32" s="4">
        <v>1</v>
      </c>
      <c r="B32" s="4" t="s">
        <v>129</v>
      </c>
      <c r="C32" s="141" t="s">
        <v>123</v>
      </c>
      <c r="D32" s="212">
        <v>360811</v>
      </c>
      <c r="E32" s="44">
        <v>361428</v>
      </c>
      <c r="F32" s="150">
        <v>361428</v>
      </c>
      <c r="G32" s="150">
        <v>362050</v>
      </c>
      <c r="H32" s="150">
        <v>362395</v>
      </c>
      <c r="I32" s="44">
        <v>362395</v>
      </c>
      <c r="J32" s="150">
        <v>362906</v>
      </c>
      <c r="K32" s="150">
        <v>363387</v>
      </c>
      <c r="L32" s="150">
        <v>363885</v>
      </c>
      <c r="M32" s="44">
        <v>364404</v>
      </c>
      <c r="N32" s="150">
        <v>364850</v>
      </c>
      <c r="O32" s="150">
        <v>365202</v>
      </c>
      <c r="P32" s="150">
        <v>365202</v>
      </c>
      <c r="Q32" s="44">
        <v>365723</v>
      </c>
      <c r="R32" s="150">
        <v>366347</v>
      </c>
      <c r="S32" s="150">
        <v>366938</v>
      </c>
      <c r="T32" s="150">
        <v>367435</v>
      </c>
      <c r="U32" s="44">
        <v>367859</v>
      </c>
      <c r="V32" s="150">
        <v>368024</v>
      </c>
      <c r="W32" s="150">
        <v>368024</v>
      </c>
      <c r="X32" s="150">
        <v>368024</v>
      </c>
      <c r="Y32" s="44">
        <v>368581</v>
      </c>
      <c r="Z32" s="150">
        <v>369143</v>
      </c>
      <c r="AA32" s="150">
        <v>369509</v>
      </c>
      <c r="AB32" s="150">
        <v>369894</v>
      </c>
      <c r="AC32" s="44">
        <v>370067</v>
      </c>
      <c r="AD32" s="150">
        <v>370067</v>
      </c>
      <c r="AE32" s="150">
        <v>370571</v>
      </c>
      <c r="AF32" s="150">
        <v>371145</v>
      </c>
      <c r="AG32" s="44">
        <v>371693</v>
      </c>
      <c r="AH32" s="207">
        <v>372191</v>
      </c>
      <c r="AI32" s="208">
        <v>372385</v>
      </c>
      <c r="AJ32" s="57">
        <f>AI32-D32</f>
        <v>11574</v>
      </c>
    </row>
    <row r="33" spans="1:36">
      <c r="A33" s="4">
        <v>2</v>
      </c>
      <c r="B33" s="4" t="s">
        <v>129</v>
      </c>
      <c r="C33" s="141" t="s">
        <v>124</v>
      </c>
      <c r="D33" s="212">
        <v>338439</v>
      </c>
      <c r="E33" s="150">
        <v>339141</v>
      </c>
      <c r="F33" s="150">
        <v>339141</v>
      </c>
      <c r="G33" s="150">
        <v>339876</v>
      </c>
      <c r="H33" s="150">
        <v>340409</v>
      </c>
      <c r="I33" s="150">
        <v>340409</v>
      </c>
      <c r="J33" s="150">
        <v>341046</v>
      </c>
      <c r="K33" s="150">
        <v>341566</v>
      </c>
      <c r="L33" s="150">
        <v>342141</v>
      </c>
      <c r="M33" s="150">
        <v>342540</v>
      </c>
      <c r="N33" s="150">
        <v>342986</v>
      </c>
      <c r="O33" s="150">
        <v>343310</v>
      </c>
      <c r="P33" s="150">
        <v>343310</v>
      </c>
      <c r="Q33" s="150">
        <v>343864</v>
      </c>
      <c r="R33" s="150">
        <v>344373</v>
      </c>
      <c r="S33" s="150">
        <v>344848</v>
      </c>
      <c r="T33" s="150">
        <v>345330</v>
      </c>
      <c r="U33" s="150">
        <v>345794</v>
      </c>
      <c r="V33" s="150">
        <v>345863</v>
      </c>
      <c r="W33" s="150">
        <v>345863</v>
      </c>
      <c r="X33" s="150">
        <v>345863</v>
      </c>
      <c r="Y33" s="150">
        <v>346481</v>
      </c>
      <c r="Z33" s="150">
        <v>346953</v>
      </c>
      <c r="AA33" s="150">
        <v>347300</v>
      </c>
      <c r="AB33" s="150">
        <v>347666</v>
      </c>
      <c r="AC33" s="150">
        <v>347745</v>
      </c>
      <c r="AD33" s="150">
        <v>347745</v>
      </c>
      <c r="AE33" s="150">
        <v>348285</v>
      </c>
      <c r="AF33" s="150">
        <v>348700</v>
      </c>
      <c r="AG33" s="150">
        <v>349094</v>
      </c>
      <c r="AH33" s="207">
        <v>349525</v>
      </c>
      <c r="AI33" s="208">
        <v>349743</v>
      </c>
      <c r="AJ33" s="57">
        <f>AI33-D33</f>
        <v>11304</v>
      </c>
    </row>
    <row r="34" spans="1:36">
      <c r="A34" s="4">
        <v>3</v>
      </c>
      <c r="B34" s="4" t="s">
        <v>129</v>
      </c>
      <c r="C34" s="141" t="s">
        <v>125</v>
      </c>
      <c r="D34" s="212">
        <v>353063</v>
      </c>
      <c r="E34" s="150">
        <v>353933</v>
      </c>
      <c r="F34" s="150">
        <v>353933</v>
      </c>
      <c r="G34" s="150">
        <v>354542</v>
      </c>
      <c r="H34" s="150">
        <v>354967</v>
      </c>
      <c r="I34" s="150">
        <v>354967</v>
      </c>
      <c r="J34" s="150">
        <v>355610</v>
      </c>
      <c r="K34" s="150">
        <v>356169</v>
      </c>
      <c r="L34" s="150">
        <v>356832</v>
      </c>
      <c r="M34" s="150">
        <v>357358</v>
      </c>
      <c r="N34" s="150">
        <v>357839</v>
      </c>
      <c r="O34" s="150">
        <v>358170</v>
      </c>
      <c r="P34" s="150">
        <v>358170</v>
      </c>
      <c r="Q34" s="150">
        <v>358820</v>
      </c>
      <c r="R34" s="150">
        <v>359331</v>
      </c>
      <c r="S34" s="150">
        <v>359829</v>
      </c>
      <c r="T34" s="150">
        <v>360352</v>
      </c>
      <c r="U34" s="150">
        <v>360834</v>
      </c>
      <c r="V34" s="150">
        <v>361089</v>
      </c>
      <c r="W34" s="150">
        <v>361089</v>
      </c>
      <c r="X34" s="150">
        <v>361089</v>
      </c>
      <c r="Y34" s="150">
        <v>361765</v>
      </c>
      <c r="Z34" s="150">
        <v>362218</v>
      </c>
      <c r="AA34" s="150">
        <v>362697</v>
      </c>
      <c r="AB34" s="150">
        <v>363044</v>
      </c>
      <c r="AC34" s="150">
        <v>363323</v>
      </c>
      <c r="AD34" s="150">
        <v>363323</v>
      </c>
      <c r="AE34" s="150">
        <v>363822</v>
      </c>
      <c r="AF34" s="150">
        <v>364337</v>
      </c>
      <c r="AG34" s="150">
        <v>365030</v>
      </c>
      <c r="AH34" s="207">
        <v>365724</v>
      </c>
      <c r="AI34" s="208">
        <v>366099</v>
      </c>
      <c r="AJ34" s="57">
        <f>AI34-D34</f>
        <v>13036</v>
      </c>
    </row>
    <row r="35" spans="1:36">
      <c r="A35" s="4">
        <v>4</v>
      </c>
      <c r="B35" s="4" t="s">
        <v>129</v>
      </c>
      <c r="C35" s="141" t="s">
        <v>126</v>
      </c>
      <c r="D35" s="212">
        <v>381662</v>
      </c>
      <c r="E35" s="150">
        <v>382755</v>
      </c>
      <c r="F35" s="150">
        <v>382755</v>
      </c>
      <c r="G35" s="150">
        <v>383753</v>
      </c>
      <c r="H35" s="150">
        <v>384318</v>
      </c>
      <c r="I35" s="150">
        <v>384318</v>
      </c>
      <c r="J35" s="150">
        <v>385206</v>
      </c>
      <c r="K35" s="150">
        <v>386191</v>
      </c>
      <c r="L35" s="150">
        <v>387042</v>
      </c>
      <c r="M35" s="150">
        <v>387795</v>
      </c>
      <c r="N35" s="150">
        <v>388638</v>
      </c>
      <c r="O35" s="150">
        <v>388900</v>
      </c>
      <c r="P35" s="202">
        <v>388900</v>
      </c>
      <c r="Q35" s="150">
        <v>389712</v>
      </c>
      <c r="R35" s="150">
        <v>390569</v>
      </c>
      <c r="S35" s="150">
        <v>391407</v>
      </c>
      <c r="T35" s="150">
        <v>392276</v>
      </c>
      <c r="U35" s="150">
        <v>393114</v>
      </c>
      <c r="V35" s="150">
        <v>393223</v>
      </c>
      <c r="W35" s="150">
        <v>393223</v>
      </c>
      <c r="X35" s="150">
        <v>393223</v>
      </c>
      <c r="Y35" s="150">
        <v>393958</v>
      </c>
      <c r="Z35" s="150">
        <v>394651</v>
      </c>
      <c r="AA35" s="150">
        <v>395357</v>
      </c>
      <c r="AB35" s="150">
        <v>395977</v>
      </c>
      <c r="AC35" s="150">
        <v>396174</v>
      </c>
      <c r="AD35" s="150">
        <v>396174</v>
      </c>
      <c r="AE35" s="150">
        <v>396983</v>
      </c>
      <c r="AF35" s="150">
        <v>397731</v>
      </c>
      <c r="AG35" s="150">
        <v>398516</v>
      </c>
      <c r="AH35" s="207">
        <v>399217</v>
      </c>
      <c r="AI35" s="208">
        <v>399618</v>
      </c>
      <c r="AJ35" s="57">
        <f>AI35-D35</f>
        <v>17956</v>
      </c>
    </row>
    <row r="36" spans="1:36">
      <c r="A36" s="180"/>
      <c r="B36" s="180"/>
      <c r="C36" s="143"/>
      <c r="D36" s="180"/>
      <c r="E36" s="13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6"/>
      <c r="AD36" s="180"/>
      <c r="AE36" s="180"/>
      <c r="AF36" s="180"/>
      <c r="AG36" s="180"/>
      <c r="AH36" s="180"/>
      <c r="AI36" s="180"/>
      <c r="AJ36" s="181"/>
    </row>
    <row r="37" spans="1:36">
      <c r="A37" s="14"/>
      <c r="B37" s="137"/>
      <c r="C37" s="144"/>
      <c r="D37" s="138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>
      <c r="A38" s="93"/>
      <c r="B38" s="534" t="s">
        <v>127</v>
      </c>
      <c r="C38" s="504"/>
      <c r="D38" s="501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</row>
    <row r="39" spans="1:36">
      <c r="A39" s="94"/>
      <c r="B39" s="538" t="s">
        <v>128</v>
      </c>
      <c r="C39" s="504"/>
      <c r="D39" s="501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</row>
    <row r="40" spans="1:36">
      <c r="A40" s="529" t="s">
        <v>99</v>
      </c>
      <c r="B40" s="529" t="s">
        <v>100</v>
      </c>
      <c r="C40" s="529" t="s">
        <v>101</v>
      </c>
      <c r="D40" s="517"/>
      <c r="E40" s="95">
        <f t="shared" ref="E40:AH40" si="2">E2</f>
        <v>45931</v>
      </c>
      <c r="F40" s="95">
        <f t="shared" si="2"/>
        <v>45932</v>
      </c>
      <c r="G40" s="95">
        <f t="shared" si="2"/>
        <v>45933</v>
      </c>
      <c r="H40" s="95">
        <f t="shared" si="2"/>
        <v>45934</v>
      </c>
      <c r="I40" s="95">
        <f t="shared" si="2"/>
        <v>45935</v>
      </c>
      <c r="J40" s="95">
        <f t="shared" si="2"/>
        <v>45936</v>
      </c>
      <c r="K40" s="95">
        <f t="shared" si="2"/>
        <v>45937</v>
      </c>
      <c r="L40" s="95">
        <f t="shared" si="2"/>
        <v>45938</v>
      </c>
      <c r="M40" s="95">
        <f t="shared" si="2"/>
        <v>45939</v>
      </c>
      <c r="N40" s="95">
        <f t="shared" si="2"/>
        <v>45940</v>
      </c>
      <c r="O40" s="95">
        <f t="shared" si="2"/>
        <v>45941</v>
      </c>
      <c r="P40" s="95">
        <f t="shared" si="2"/>
        <v>45942</v>
      </c>
      <c r="Q40" s="95">
        <f t="shared" si="2"/>
        <v>45943</v>
      </c>
      <c r="R40" s="95">
        <f t="shared" si="2"/>
        <v>45944</v>
      </c>
      <c r="S40" s="95">
        <f t="shared" si="2"/>
        <v>45945</v>
      </c>
      <c r="T40" s="95">
        <f t="shared" si="2"/>
        <v>45946</v>
      </c>
      <c r="U40" s="95">
        <f t="shared" si="2"/>
        <v>45947</v>
      </c>
      <c r="V40" s="95">
        <f t="shared" si="2"/>
        <v>45948</v>
      </c>
      <c r="W40" s="95">
        <f t="shared" si="2"/>
        <v>45949</v>
      </c>
      <c r="X40" s="95">
        <f t="shared" si="2"/>
        <v>45950</v>
      </c>
      <c r="Y40" s="95">
        <f t="shared" si="2"/>
        <v>45951</v>
      </c>
      <c r="Z40" s="95">
        <f t="shared" si="2"/>
        <v>45952</v>
      </c>
      <c r="AA40" s="95">
        <f t="shared" si="2"/>
        <v>45953</v>
      </c>
      <c r="AB40" s="95">
        <f t="shared" si="2"/>
        <v>45954</v>
      </c>
      <c r="AC40" s="95">
        <f t="shared" si="2"/>
        <v>45955</v>
      </c>
      <c r="AD40" s="95">
        <f t="shared" si="2"/>
        <v>45956</v>
      </c>
      <c r="AE40" s="95">
        <f t="shared" si="2"/>
        <v>45957</v>
      </c>
      <c r="AF40" s="95">
        <f t="shared" si="2"/>
        <v>45958</v>
      </c>
      <c r="AG40" s="95">
        <f t="shared" si="2"/>
        <v>45959</v>
      </c>
      <c r="AH40" s="95">
        <f t="shared" si="2"/>
        <v>45960</v>
      </c>
      <c r="AI40" s="51">
        <v>45961</v>
      </c>
      <c r="AJ40" s="529" t="s">
        <v>1</v>
      </c>
    </row>
    <row r="41" spans="1:36">
      <c r="A41" s="508"/>
      <c r="B41" s="508"/>
      <c r="C41" s="518"/>
      <c r="D41" s="519"/>
      <c r="E41" s="96" t="s">
        <v>108</v>
      </c>
      <c r="F41" s="96" t="s">
        <v>109</v>
      </c>
      <c r="G41" s="96" t="s">
        <v>103</v>
      </c>
      <c r="H41" s="96" t="s">
        <v>104</v>
      </c>
      <c r="I41" s="96" t="s">
        <v>105</v>
      </c>
      <c r="J41" s="96" t="s">
        <v>106</v>
      </c>
      <c r="K41" s="96" t="s">
        <v>107</v>
      </c>
      <c r="L41" s="96" t="s">
        <v>108</v>
      </c>
      <c r="M41" s="96" t="s">
        <v>109</v>
      </c>
      <c r="N41" s="96" t="s">
        <v>103</v>
      </c>
      <c r="O41" s="96" t="s">
        <v>104</v>
      </c>
      <c r="P41" s="96" t="s">
        <v>105</v>
      </c>
      <c r="Q41" s="96" t="s">
        <v>106</v>
      </c>
      <c r="R41" s="96" t="s">
        <v>107</v>
      </c>
      <c r="S41" s="96" t="s">
        <v>108</v>
      </c>
      <c r="T41" s="96" t="s">
        <v>109</v>
      </c>
      <c r="U41" s="96" t="s">
        <v>103</v>
      </c>
      <c r="V41" s="96" t="s">
        <v>104</v>
      </c>
      <c r="W41" s="96" t="s">
        <v>105</v>
      </c>
      <c r="X41" s="96" t="s">
        <v>106</v>
      </c>
      <c r="Y41" s="96" t="s">
        <v>107</v>
      </c>
      <c r="Z41" s="96" t="s">
        <v>108</v>
      </c>
      <c r="AA41" s="96" t="s">
        <v>109</v>
      </c>
      <c r="AB41" s="96" t="s">
        <v>103</v>
      </c>
      <c r="AC41" s="96" t="s">
        <v>104</v>
      </c>
      <c r="AD41" s="96" t="s">
        <v>105</v>
      </c>
      <c r="AE41" s="96" t="s">
        <v>106</v>
      </c>
      <c r="AF41" s="96" t="s">
        <v>107</v>
      </c>
      <c r="AG41" s="96" t="s">
        <v>108</v>
      </c>
      <c r="AH41" s="96" t="s">
        <v>109</v>
      </c>
      <c r="AI41" s="96" t="s">
        <v>103</v>
      </c>
      <c r="AJ41" s="508"/>
    </row>
    <row r="42" spans="1:36">
      <c r="A42" s="508"/>
      <c r="B42" s="508"/>
      <c r="C42" s="518"/>
      <c r="D42" s="519"/>
      <c r="E42" s="97" t="s">
        <v>110</v>
      </c>
      <c r="F42" s="97" t="s">
        <v>110</v>
      </c>
      <c r="G42" s="97" t="s">
        <v>110</v>
      </c>
      <c r="H42" s="97" t="s">
        <v>110</v>
      </c>
      <c r="I42" s="97" t="s">
        <v>110</v>
      </c>
      <c r="J42" s="97" t="s">
        <v>110</v>
      </c>
      <c r="K42" s="97" t="s">
        <v>110</v>
      </c>
      <c r="L42" s="97" t="s">
        <v>110</v>
      </c>
      <c r="M42" s="97" t="s">
        <v>110</v>
      </c>
      <c r="N42" s="97" t="s">
        <v>110</v>
      </c>
      <c r="O42" s="97" t="s">
        <v>110</v>
      </c>
      <c r="P42" s="97" t="s">
        <v>110</v>
      </c>
      <c r="Q42" s="97" t="s">
        <v>110</v>
      </c>
      <c r="R42" s="97" t="s">
        <v>110</v>
      </c>
      <c r="S42" s="97" t="s">
        <v>110</v>
      </c>
      <c r="T42" s="97" t="s">
        <v>110</v>
      </c>
      <c r="U42" s="97" t="s">
        <v>110</v>
      </c>
      <c r="V42" s="97" t="s">
        <v>110</v>
      </c>
      <c r="W42" s="97" t="s">
        <v>110</v>
      </c>
      <c r="X42" s="97" t="s">
        <v>110</v>
      </c>
      <c r="Y42" s="97" t="s">
        <v>110</v>
      </c>
      <c r="Z42" s="97" t="s">
        <v>110</v>
      </c>
      <c r="AA42" s="97" t="s">
        <v>110</v>
      </c>
      <c r="AB42" s="97" t="s">
        <v>110</v>
      </c>
      <c r="AC42" s="97" t="s">
        <v>110</v>
      </c>
      <c r="AD42" s="97" t="s">
        <v>110</v>
      </c>
      <c r="AE42" s="97" t="s">
        <v>110</v>
      </c>
      <c r="AF42" s="97" t="s">
        <v>110</v>
      </c>
      <c r="AG42" s="97" t="s">
        <v>110</v>
      </c>
      <c r="AH42" s="95" t="str">
        <f>AH4</f>
        <v>Time</v>
      </c>
      <c r="AI42" s="52" t="s">
        <v>110</v>
      </c>
      <c r="AJ42" s="508"/>
    </row>
    <row r="43" spans="1:36">
      <c r="A43" s="509"/>
      <c r="B43" s="509"/>
      <c r="C43" s="520"/>
      <c r="D43" s="521"/>
      <c r="E43" s="98">
        <v>0.33333333333333331</v>
      </c>
      <c r="F43" s="98">
        <v>0.33333333333333331</v>
      </c>
      <c r="G43" s="98">
        <v>0.33333333333333331</v>
      </c>
      <c r="H43" s="98">
        <v>0.33333333333333331</v>
      </c>
      <c r="I43" s="98">
        <v>0.33333333333333331</v>
      </c>
      <c r="J43" s="98">
        <v>0.33333333333333331</v>
      </c>
      <c r="K43" s="98">
        <v>0.33333333333333331</v>
      </c>
      <c r="L43" s="98">
        <v>0.33333333333333331</v>
      </c>
      <c r="M43" s="98">
        <v>0.33333333333333331</v>
      </c>
      <c r="N43" s="98">
        <v>0.33333333333333331</v>
      </c>
      <c r="O43" s="98">
        <v>0.33333333333333331</v>
      </c>
      <c r="P43" s="98">
        <v>0.33333333333333331</v>
      </c>
      <c r="Q43" s="98">
        <v>0.33333333333333331</v>
      </c>
      <c r="R43" s="98">
        <v>0.33333333333333331</v>
      </c>
      <c r="S43" s="98">
        <v>0.33333333333333331</v>
      </c>
      <c r="T43" s="98">
        <v>0.33333333333333331</v>
      </c>
      <c r="U43" s="98">
        <v>0.33333333333333331</v>
      </c>
      <c r="V43" s="98">
        <v>0.33333333333333331</v>
      </c>
      <c r="W43" s="98">
        <v>0.33333333333333331</v>
      </c>
      <c r="X43" s="98">
        <v>0.33333333333333331</v>
      </c>
      <c r="Y43" s="98">
        <v>0.33333333333333331</v>
      </c>
      <c r="Z43" s="98">
        <v>0.33333333333333331</v>
      </c>
      <c r="AA43" s="98">
        <v>0.33333333333333331</v>
      </c>
      <c r="AB43" s="98">
        <v>0.33333333333333331</v>
      </c>
      <c r="AC43" s="98">
        <v>0.33333333333333331</v>
      </c>
      <c r="AD43" s="98">
        <v>0.33333333333333331</v>
      </c>
      <c r="AE43" s="98">
        <v>0.33333333333333331</v>
      </c>
      <c r="AF43" s="98">
        <v>0.33333333333333331</v>
      </c>
      <c r="AG43" s="98">
        <v>0.33333333333333331</v>
      </c>
      <c r="AH43" s="98">
        <v>0.33333333333333331</v>
      </c>
      <c r="AI43" s="53">
        <v>0.33333333333333331</v>
      </c>
      <c r="AJ43" s="509"/>
    </row>
    <row r="44" spans="1:36" ht="15" customHeight="1">
      <c r="A44" s="2">
        <v>1</v>
      </c>
      <c r="B44" s="2" t="s">
        <v>129</v>
      </c>
      <c r="C44" s="503" t="s">
        <v>111</v>
      </c>
      <c r="D44" s="501"/>
      <c r="E44" s="20">
        <f t="shared" ref="E44:AI44" si="3">E6-D6</f>
        <v>377</v>
      </c>
      <c r="F44" s="20">
        <f t="shared" si="3"/>
        <v>202</v>
      </c>
      <c r="G44" s="20">
        <f t="shared" si="3"/>
        <v>255</v>
      </c>
      <c r="H44" s="20">
        <f t="shared" si="3"/>
        <v>208</v>
      </c>
      <c r="I44" s="20">
        <f t="shared" si="3"/>
        <v>206</v>
      </c>
      <c r="J44" s="20">
        <f t="shared" si="3"/>
        <v>291</v>
      </c>
      <c r="K44" s="20">
        <f t="shared" si="3"/>
        <v>272</v>
      </c>
      <c r="L44" s="20">
        <f t="shared" si="3"/>
        <v>284</v>
      </c>
      <c r="M44" s="20">
        <f t="shared" si="3"/>
        <v>280</v>
      </c>
      <c r="N44" s="20">
        <f t="shared" si="3"/>
        <v>263</v>
      </c>
      <c r="O44" s="20">
        <f t="shared" si="3"/>
        <v>209</v>
      </c>
      <c r="P44" s="20">
        <f t="shared" si="3"/>
        <v>219</v>
      </c>
      <c r="Q44" s="20">
        <f t="shared" si="3"/>
        <v>278</v>
      </c>
      <c r="R44" s="20">
        <f t="shared" si="3"/>
        <v>276</v>
      </c>
      <c r="S44" s="20">
        <f t="shared" si="3"/>
        <v>278</v>
      </c>
      <c r="T44" s="20">
        <f t="shared" si="3"/>
        <v>266</v>
      </c>
      <c r="U44" s="20">
        <f t="shared" si="3"/>
        <v>253</v>
      </c>
      <c r="V44" s="20">
        <f t="shared" si="3"/>
        <v>205</v>
      </c>
      <c r="W44" s="20">
        <f t="shared" si="3"/>
        <v>202</v>
      </c>
      <c r="X44" s="20">
        <f t="shared" si="3"/>
        <v>211</v>
      </c>
      <c r="Y44" s="20">
        <f t="shared" si="3"/>
        <v>218</v>
      </c>
      <c r="Z44" s="20">
        <f t="shared" si="3"/>
        <v>227</v>
      </c>
      <c r="AA44" s="20">
        <f t="shared" si="3"/>
        <v>242</v>
      </c>
      <c r="AB44" s="20">
        <f t="shared" si="3"/>
        <v>266</v>
      </c>
      <c r="AC44" s="20">
        <f t="shared" si="3"/>
        <v>190</v>
      </c>
      <c r="AD44" s="20">
        <f t="shared" si="3"/>
        <v>216</v>
      </c>
      <c r="AE44" s="20">
        <f t="shared" si="3"/>
        <v>266</v>
      </c>
      <c r="AF44" s="20">
        <f t="shared" si="3"/>
        <v>272</v>
      </c>
      <c r="AG44" s="20">
        <f t="shared" si="3"/>
        <v>272</v>
      </c>
      <c r="AH44" s="20">
        <f t="shared" si="3"/>
        <v>284</v>
      </c>
      <c r="AI44" s="20">
        <f t="shared" si="3"/>
        <v>260</v>
      </c>
      <c r="AJ44" s="21">
        <f t="shared" ref="AJ44:AJ61" si="4">SUM(E44:AI44)</f>
        <v>7748</v>
      </c>
    </row>
    <row r="45" spans="1:36" ht="15" customHeight="1">
      <c r="A45" s="2"/>
      <c r="B45" s="2"/>
      <c r="C45" s="531" t="s">
        <v>22</v>
      </c>
      <c r="D45" s="501"/>
      <c r="E45" s="20">
        <f t="shared" ref="E45:AI45" si="5">E7-D7</f>
        <v>0</v>
      </c>
      <c r="F45" s="20">
        <f t="shared" si="5"/>
        <v>0</v>
      </c>
      <c r="G45" s="20">
        <f t="shared" si="5"/>
        <v>0</v>
      </c>
      <c r="H45" s="20">
        <f t="shared" si="5"/>
        <v>1</v>
      </c>
      <c r="I45" s="20">
        <f t="shared" si="5"/>
        <v>0</v>
      </c>
      <c r="J45" s="20">
        <f t="shared" si="5"/>
        <v>0</v>
      </c>
      <c r="K45" s="20">
        <f t="shared" si="5"/>
        <v>0</v>
      </c>
      <c r="L45" s="20">
        <f t="shared" si="5"/>
        <v>0</v>
      </c>
      <c r="M45" s="20">
        <f t="shared" si="5"/>
        <v>0</v>
      </c>
      <c r="N45" s="20">
        <f t="shared" si="5"/>
        <v>0</v>
      </c>
      <c r="O45" s="20">
        <f t="shared" si="5"/>
        <v>0</v>
      </c>
      <c r="P45" s="20">
        <f t="shared" si="5"/>
        <v>0</v>
      </c>
      <c r="Q45" s="20">
        <f t="shared" si="5"/>
        <v>0</v>
      </c>
      <c r="R45" s="20">
        <f t="shared" si="5"/>
        <v>0</v>
      </c>
      <c r="S45" s="20">
        <f t="shared" si="5"/>
        <v>0</v>
      </c>
      <c r="T45" s="20">
        <f t="shared" si="5"/>
        <v>0</v>
      </c>
      <c r="U45" s="20">
        <f t="shared" si="5"/>
        <v>0</v>
      </c>
      <c r="V45" s="20">
        <f t="shared" si="5"/>
        <v>0</v>
      </c>
      <c r="W45" s="20">
        <f t="shared" si="5"/>
        <v>0</v>
      </c>
      <c r="X45" s="20">
        <f t="shared" si="5"/>
        <v>0</v>
      </c>
      <c r="Y45" s="20">
        <f t="shared" si="5"/>
        <v>0</v>
      </c>
      <c r="Z45" s="20">
        <f t="shared" si="5"/>
        <v>0</v>
      </c>
      <c r="AA45" s="20">
        <f t="shared" si="5"/>
        <v>0</v>
      </c>
      <c r="AB45" s="20">
        <f t="shared" si="5"/>
        <v>0</v>
      </c>
      <c r="AC45" s="20">
        <f t="shared" si="5"/>
        <v>0</v>
      </c>
      <c r="AD45" s="20">
        <f t="shared" si="5"/>
        <v>0</v>
      </c>
      <c r="AE45" s="20">
        <f t="shared" si="5"/>
        <v>0</v>
      </c>
      <c r="AF45" s="20">
        <f t="shared" si="5"/>
        <v>0</v>
      </c>
      <c r="AG45" s="20">
        <f t="shared" si="5"/>
        <v>0</v>
      </c>
      <c r="AH45" s="20">
        <f t="shared" si="5"/>
        <v>0</v>
      </c>
      <c r="AI45" s="20">
        <f t="shared" si="5"/>
        <v>0</v>
      </c>
      <c r="AJ45" s="21">
        <f t="shared" si="4"/>
        <v>1</v>
      </c>
    </row>
    <row r="46" spans="1:36" ht="15" customHeight="1">
      <c r="A46" s="2">
        <v>2</v>
      </c>
      <c r="B46" s="2" t="s">
        <v>129</v>
      </c>
      <c r="C46" s="503" t="s">
        <v>112</v>
      </c>
      <c r="D46" s="501"/>
      <c r="E46" s="20">
        <f t="shared" ref="E46:AI46" si="6">E8-D8</f>
        <v>0</v>
      </c>
      <c r="F46" s="20">
        <f t="shared" si="6"/>
        <v>0</v>
      </c>
      <c r="G46" s="20">
        <f t="shared" si="6"/>
        <v>0</v>
      </c>
      <c r="H46" s="20">
        <f t="shared" si="6"/>
        <v>0</v>
      </c>
      <c r="I46" s="20">
        <f t="shared" si="6"/>
        <v>0</v>
      </c>
      <c r="J46" s="20">
        <f t="shared" si="6"/>
        <v>0</v>
      </c>
      <c r="K46" s="20">
        <f t="shared" si="6"/>
        <v>0</v>
      </c>
      <c r="L46" s="20">
        <f t="shared" si="6"/>
        <v>0</v>
      </c>
      <c r="M46" s="20">
        <f t="shared" si="6"/>
        <v>0</v>
      </c>
      <c r="N46" s="20">
        <f t="shared" si="6"/>
        <v>0</v>
      </c>
      <c r="O46" s="20">
        <f t="shared" si="6"/>
        <v>0</v>
      </c>
      <c r="P46" s="20">
        <f t="shared" si="6"/>
        <v>0</v>
      </c>
      <c r="Q46" s="20">
        <f t="shared" si="6"/>
        <v>0</v>
      </c>
      <c r="R46" s="20">
        <f t="shared" si="6"/>
        <v>0</v>
      </c>
      <c r="S46" s="20">
        <f t="shared" si="6"/>
        <v>0</v>
      </c>
      <c r="T46" s="20">
        <f t="shared" si="6"/>
        <v>0</v>
      </c>
      <c r="U46" s="20">
        <f t="shared" si="6"/>
        <v>0</v>
      </c>
      <c r="V46" s="20">
        <f t="shared" si="6"/>
        <v>0</v>
      </c>
      <c r="W46" s="20">
        <f t="shared" si="6"/>
        <v>0</v>
      </c>
      <c r="X46" s="20">
        <f t="shared" si="6"/>
        <v>0</v>
      </c>
      <c r="Y46" s="20">
        <f t="shared" si="6"/>
        <v>0</v>
      </c>
      <c r="Z46" s="20">
        <f t="shared" si="6"/>
        <v>0</v>
      </c>
      <c r="AA46" s="20">
        <f t="shared" si="6"/>
        <v>0</v>
      </c>
      <c r="AB46" s="20">
        <f t="shared" si="6"/>
        <v>0</v>
      </c>
      <c r="AC46" s="20">
        <f t="shared" si="6"/>
        <v>0</v>
      </c>
      <c r="AD46" s="20">
        <f t="shared" si="6"/>
        <v>0</v>
      </c>
      <c r="AE46" s="20">
        <f t="shared" si="6"/>
        <v>0</v>
      </c>
      <c r="AF46" s="20">
        <f t="shared" si="6"/>
        <v>0</v>
      </c>
      <c r="AG46" s="20">
        <f t="shared" si="6"/>
        <v>0</v>
      </c>
      <c r="AH46" s="20">
        <f t="shared" si="6"/>
        <v>0</v>
      </c>
      <c r="AI46" s="20">
        <f t="shared" si="6"/>
        <v>0</v>
      </c>
      <c r="AJ46" s="21">
        <f t="shared" si="4"/>
        <v>0</v>
      </c>
    </row>
    <row r="47" spans="1:36" ht="15" customHeight="1">
      <c r="A47" s="2"/>
      <c r="B47" s="2"/>
      <c r="C47" s="531" t="s">
        <v>22</v>
      </c>
      <c r="D47" s="501"/>
      <c r="E47" s="20">
        <f t="shared" ref="E47:AI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0">
        <f t="shared" si="7"/>
        <v>0</v>
      </c>
      <c r="AH47" s="20">
        <f t="shared" si="7"/>
        <v>0</v>
      </c>
      <c r="AI47" s="20">
        <f t="shared" si="7"/>
        <v>0</v>
      </c>
      <c r="AJ47" s="21">
        <f t="shared" si="4"/>
        <v>0</v>
      </c>
    </row>
    <row r="48" spans="1:36" ht="15" customHeight="1">
      <c r="A48" s="2">
        <v>3</v>
      </c>
      <c r="B48" s="2" t="s">
        <v>129</v>
      </c>
      <c r="C48" s="503" t="s">
        <v>113</v>
      </c>
      <c r="D48" s="501"/>
      <c r="E48" s="20">
        <f t="shared" ref="E48:AI48" si="8">E10-D10</f>
        <v>553</v>
      </c>
      <c r="F48" s="20">
        <f t="shared" si="8"/>
        <v>262</v>
      </c>
      <c r="G48" s="20">
        <f t="shared" si="8"/>
        <v>380</v>
      </c>
      <c r="H48" s="20">
        <f t="shared" si="8"/>
        <v>278</v>
      </c>
      <c r="I48" s="20">
        <f t="shared" si="8"/>
        <v>274</v>
      </c>
      <c r="J48" s="20">
        <f t="shared" si="8"/>
        <v>432</v>
      </c>
      <c r="K48" s="20">
        <f t="shared" si="8"/>
        <v>412</v>
      </c>
      <c r="L48" s="20">
        <f t="shared" si="8"/>
        <v>410</v>
      </c>
      <c r="M48" s="20">
        <f t="shared" si="8"/>
        <v>447</v>
      </c>
      <c r="N48" s="20">
        <f t="shared" si="8"/>
        <v>375</v>
      </c>
      <c r="O48" s="20">
        <f t="shared" si="8"/>
        <v>298</v>
      </c>
      <c r="P48" s="20">
        <f t="shared" si="8"/>
        <v>280</v>
      </c>
      <c r="Q48" s="20">
        <f t="shared" si="8"/>
        <v>415</v>
      </c>
      <c r="R48" s="20">
        <f t="shared" si="8"/>
        <v>413</v>
      </c>
      <c r="S48" s="20">
        <f t="shared" si="8"/>
        <v>414</v>
      </c>
      <c r="T48" s="20">
        <f t="shared" si="8"/>
        <v>385</v>
      </c>
      <c r="U48" s="20">
        <f t="shared" si="8"/>
        <v>337</v>
      </c>
      <c r="V48" s="20">
        <f t="shared" si="8"/>
        <v>307</v>
      </c>
      <c r="W48" s="20">
        <f t="shared" si="8"/>
        <v>267</v>
      </c>
      <c r="X48" s="20">
        <f t="shared" si="8"/>
        <v>284</v>
      </c>
      <c r="Y48" s="20">
        <f t="shared" si="8"/>
        <v>293</v>
      </c>
      <c r="Z48" s="20">
        <f t="shared" si="8"/>
        <v>317</v>
      </c>
      <c r="AA48" s="20">
        <f t="shared" si="8"/>
        <v>342</v>
      </c>
      <c r="AB48" s="20">
        <f t="shared" si="8"/>
        <v>380</v>
      </c>
      <c r="AC48" s="20">
        <f t="shared" si="8"/>
        <v>255</v>
      </c>
      <c r="AD48" s="20">
        <f t="shared" si="8"/>
        <v>247</v>
      </c>
      <c r="AE48" s="20">
        <f t="shared" si="8"/>
        <v>436</v>
      </c>
      <c r="AF48" s="20">
        <f t="shared" si="8"/>
        <v>403</v>
      </c>
      <c r="AG48" s="20">
        <f t="shared" si="8"/>
        <v>408</v>
      </c>
      <c r="AH48" s="20">
        <f t="shared" si="8"/>
        <v>420</v>
      </c>
      <c r="AI48" s="20">
        <f t="shared" si="8"/>
        <v>387</v>
      </c>
      <c r="AJ48" s="21">
        <f t="shared" si="4"/>
        <v>11111</v>
      </c>
    </row>
    <row r="49" spans="1:36" ht="15" customHeight="1">
      <c r="A49" s="2"/>
      <c r="B49" s="2"/>
      <c r="C49" s="531" t="s">
        <v>22</v>
      </c>
      <c r="D49" s="501"/>
      <c r="E49" s="20">
        <f t="shared" ref="E49:AI49" si="9">E11-D11</f>
        <v>0</v>
      </c>
      <c r="F49" s="20">
        <f t="shared" si="9"/>
        <v>0</v>
      </c>
      <c r="G49" s="20">
        <f t="shared" si="9"/>
        <v>0</v>
      </c>
      <c r="H49" s="20">
        <f t="shared" si="9"/>
        <v>0</v>
      </c>
      <c r="I49" s="20">
        <f t="shared" si="9"/>
        <v>0</v>
      </c>
      <c r="J49" s="20">
        <f t="shared" si="9"/>
        <v>0</v>
      </c>
      <c r="K49" s="20">
        <f t="shared" si="9"/>
        <v>0</v>
      </c>
      <c r="L49" s="20">
        <f t="shared" si="9"/>
        <v>0</v>
      </c>
      <c r="M49" s="20">
        <f t="shared" si="9"/>
        <v>0</v>
      </c>
      <c r="N49" s="20">
        <f t="shared" si="9"/>
        <v>0</v>
      </c>
      <c r="O49" s="20">
        <f t="shared" si="9"/>
        <v>0</v>
      </c>
      <c r="P49" s="20">
        <f t="shared" si="9"/>
        <v>0</v>
      </c>
      <c r="Q49" s="20">
        <f t="shared" si="9"/>
        <v>0</v>
      </c>
      <c r="R49" s="20">
        <f t="shared" si="9"/>
        <v>0</v>
      </c>
      <c r="S49" s="20">
        <f t="shared" si="9"/>
        <v>0</v>
      </c>
      <c r="T49" s="20">
        <f t="shared" si="9"/>
        <v>2</v>
      </c>
      <c r="U49" s="20">
        <f t="shared" si="9"/>
        <v>0</v>
      </c>
      <c r="V49" s="20">
        <f t="shared" si="9"/>
        <v>0</v>
      </c>
      <c r="W49" s="20">
        <f t="shared" si="9"/>
        <v>0</v>
      </c>
      <c r="X49" s="20">
        <f t="shared" si="9"/>
        <v>0</v>
      </c>
      <c r="Y49" s="20">
        <f t="shared" si="9"/>
        <v>0</v>
      </c>
      <c r="Z49" s="20">
        <f t="shared" si="9"/>
        <v>0</v>
      </c>
      <c r="AA49" s="20">
        <f t="shared" si="9"/>
        <v>0</v>
      </c>
      <c r="AB49" s="20">
        <f t="shared" si="9"/>
        <v>0</v>
      </c>
      <c r="AC49" s="20">
        <f t="shared" si="9"/>
        <v>0</v>
      </c>
      <c r="AD49" s="20">
        <f t="shared" si="9"/>
        <v>0</v>
      </c>
      <c r="AE49" s="20">
        <f t="shared" si="9"/>
        <v>0</v>
      </c>
      <c r="AF49" s="20">
        <f t="shared" si="9"/>
        <v>0</v>
      </c>
      <c r="AG49" s="20">
        <f t="shared" si="9"/>
        <v>0</v>
      </c>
      <c r="AH49" s="20">
        <f t="shared" si="9"/>
        <v>1</v>
      </c>
      <c r="AI49" s="20">
        <f t="shared" si="9"/>
        <v>0</v>
      </c>
      <c r="AJ49" s="21">
        <f t="shared" si="4"/>
        <v>3</v>
      </c>
    </row>
    <row r="50" spans="1:36" ht="15" customHeight="1">
      <c r="A50" s="2">
        <v>4</v>
      </c>
      <c r="B50" s="2" t="s">
        <v>129</v>
      </c>
      <c r="C50" s="503" t="s">
        <v>114</v>
      </c>
      <c r="D50" s="501"/>
      <c r="E50" s="20">
        <f t="shared" ref="E50:AI50" si="10">E12-D12</f>
        <v>0</v>
      </c>
      <c r="F50" s="20">
        <f t="shared" si="10"/>
        <v>0</v>
      </c>
      <c r="G50" s="20">
        <f t="shared" si="10"/>
        <v>0</v>
      </c>
      <c r="H50" s="20">
        <f t="shared" si="10"/>
        <v>0</v>
      </c>
      <c r="I50" s="20">
        <f t="shared" si="10"/>
        <v>0</v>
      </c>
      <c r="J50" s="20">
        <f t="shared" si="10"/>
        <v>0</v>
      </c>
      <c r="K50" s="20">
        <f t="shared" si="10"/>
        <v>0</v>
      </c>
      <c r="L50" s="20">
        <f t="shared" si="10"/>
        <v>0</v>
      </c>
      <c r="M50" s="20">
        <f t="shared" si="10"/>
        <v>0</v>
      </c>
      <c r="N50" s="20">
        <f t="shared" si="10"/>
        <v>0</v>
      </c>
      <c r="O50" s="20">
        <f t="shared" si="10"/>
        <v>0</v>
      </c>
      <c r="P50" s="20">
        <f t="shared" si="10"/>
        <v>0</v>
      </c>
      <c r="Q50" s="20">
        <f t="shared" si="10"/>
        <v>0</v>
      </c>
      <c r="R50" s="20">
        <f t="shared" si="10"/>
        <v>0</v>
      </c>
      <c r="S50" s="20">
        <f t="shared" si="10"/>
        <v>0</v>
      </c>
      <c r="T50" s="20">
        <f t="shared" si="10"/>
        <v>0</v>
      </c>
      <c r="U50" s="20">
        <f t="shared" si="10"/>
        <v>0</v>
      </c>
      <c r="V50" s="20">
        <f t="shared" si="10"/>
        <v>0</v>
      </c>
      <c r="W50" s="20">
        <f t="shared" si="10"/>
        <v>0</v>
      </c>
      <c r="X50" s="20">
        <f t="shared" si="10"/>
        <v>0</v>
      </c>
      <c r="Y50" s="20">
        <f t="shared" si="10"/>
        <v>0</v>
      </c>
      <c r="Z50" s="20">
        <f t="shared" si="10"/>
        <v>0</v>
      </c>
      <c r="AA50" s="20">
        <f t="shared" si="10"/>
        <v>0</v>
      </c>
      <c r="AB50" s="20">
        <f t="shared" si="10"/>
        <v>0</v>
      </c>
      <c r="AC50" s="20">
        <f t="shared" si="10"/>
        <v>0</v>
      </c>
      <c r="AD50" s="20">
        <f t="shared" si="10"/>
        <v>0</v>
      </c>
      <c r="AE50" s="20">
        <f t="shared" si="10"/>
        <v>0</v>
      </c>
      <c r="AF50" s="20">
        <f t="shared" si="10"/>
        <v>0</v>
      </c>
      <c r="AG50" s="20">
        <f t="shared" si="10"/>
        <v>0</v>
      </c>
      <c r="AH50" s="20">
        <f t="shared" si="10"/>
        <v>0</v>
      </c>
      <c r="AI50" s="20">
        <f t="shared" si="10"/>
        <v>0</v>
      </c>
      <c r="AJ50" s="21">
        <f t="shared" si="4"/>
        <v>0</v>
      </c>
    </row>
    <row r="51" spans="1:36" ht="15" customHeight="1">
      <c r="A51" s="2"/>
      <c r="B51" s="2"/>
      <c r="C51" s="531" t="s">
        <v>22</v>
      </c>
      <c r="D51" s="501"/>
      <c r="E51" s="20">
        <f t="shared" ref="E51:AI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0">
        <f t="shared" si="11"/>
        <v>0</v>
      </c>
      <c r="AH51" s="20">
        <f t="shared" si="11"/>
        <v>0</v>
      </c>
      <c r="AI51" s="20">
        <f t="shared" si="11"/>
        <v>0</v>
      </c>
      <c r="AJ51" s="21">
        <f t="shared" si="4"/>
        <v>0</v>
      </c>
    </row>
    <row r="52" spans="1:36" ht="15" customHeight="1">
      <c r="A52" s="2">
        <v>5</v>
      </c>
      <c r="B52" s="2" t="s">
        <v>129</v>
      </c>
      <c r="C52" s="503" t="s">
        <v>115</v>
      </c>
      <c r="D52" s="501"/>
      <c r="E52" s="20">
        <f t="shared" ref="E52:AI52" si="12">E14-D14</f>
        <v>333</v>
      </c>
      <c r="F52" s="20">
        <f t="shared" si="12"/>
        <v>137</v>
      </c>
      <c r="G52" s="20">
        <f t="shared" si="12"/>
        <v>218</v>
      </c>
      <c r="H52" s="20">
        <f t="shared" si="12"/>
        <v>150</v>
      </c>
      <c r="I52" s="20">
        <f t="shared" si="12"/>
        <v>145</v>
      </c>
      <c r="J52" s="20">
        <f t="shared" si="12"/>
        <v>265</v>
      </c>
      <c r="K52" s="20">
        <f t="shared" si="12"/>
        <v>248</v>
      </c>
      <c r="L52" s="20">
        <f t="shared" si="12"/>
        <v>255</v>
      </c>
      <c r="M52" s="20">
        <f t="shared" si="12"/>
        <v>263</v>
      </c>
      <c r="N52" s="20">
        <f t="shared" si="12"/>
        <v>223</v>
      </c>
      <c r="O52" s="20">
        <f t="shared" si="12"/>
        <v>149</v>
      </c>
      <c r="P52" s="20">
        <f t="shared" si="12"/>
        <v>138</v>
      </c>
      <c r="Q52" s="20">
        <f t="shared" si="12"/>
        <v>246</v>
      </c>
      <c r="R52" s="20">
        <f t="shared" si="12"/>
        <v>250</v>
      </c>
      <c r="S52" s="20">
        <f t="shared" si="12"/>
        <v>259</v>
      </c>
      <c r="T52" s="20">
        <f t="shared" si="12"/>
        <v>240</v>
      </c>
      <c r="U52" s="20">
        <f t="shared" si="12"/>
        <v>230</v>
      </c>
      <c r="V52" s="20">
        <f t="shared" si="12"/>
        <v>147</v>
      </c>
      <c r="W52" s="20">
        <f t="shared" si="12"/>
        <v>144</v>
      </c>
      <c r="X52" s="20">
        <f t="shared" si="12"/>
        <v>138</v>
      </c>
      <c r="Y52" s="20">
        <f t="shared" si="12"/>
        <v>179</v>
      </c>
      <c r="Z52" s="20">
        <f t="shared" si="12"/>
        <v>195</v>
      </c>
      <c r="AA52" s="20">
        <f t="shared" si="12"/>
        <v>204</v>
      </c>
      <c r="AB52" s="20">
        <f t="shared" si="12"/>
        <v>230</v>
      </c>
      <c r="AC52" s="20">
        <f t="shared" si="12"/>
        <v>133</v>
      </c>
      <c r="AD52" s="20">
        <f t="shared" si="12"/>
        <v>147</v>
      </c>
      <c r="AE52" s="20">
        <f t="shared" si="12"/>
        <v>243</v>
      </c>
      <c r="AF52" s="20">
        <f t="shared" si="12"/>
        <v>250</v>
      </c>
      <c r="AG52" s="20">
        <f t="shared" si="12"/>
        <v>252</v>
      </c>
      <c r="AH52" s="20">
        <f t="shared" si="12"/>
        <v>269</v>
      </c>
      <c r="AI52" s="20">
        <f t="shared" si="12"/>
        <v>249</v>
      </c>
      <c r="AJ52" s="21">
        <f t="shared" si="4"/>
        <v>6529</v>
      </c>
    </row>
    <row r="53" spans="1:36" ht="15" customHeight="1">
      <c r="A53" s="2"/>
      <c r="B53" s="2"/>
      <c r="C53" s="531" t="s">
        <v>22</v>
      </c>
      <c r="D53" s="501"/>
      <c r="E53" s="20">
        <f t="shared" ref="E53:AI53" si="13">E15-D15</f>
        <v>0</v>
      </c>
      <c r="F53" s="20">
        <f t="shared" si="13"/>
        <v>0</v>
      </c>
      <c r="G53" s="20">
        <f t="shared" si="13"/>
        <v>0</v>
      </c>
      <c r="H53" s="20">
        <f t="shared" si="13"/>
        <v>0</v>
      </c>
      <c r="I53" s="20">
        <f t="shared" si="13"/>
        <v>0</v>
      </c>
      <c r="J53" s="20">
        <f t="shared" si="13"/>
        <v>0</v>
      </c>
      <c r="K53" s="20">
        <f t="shared" si="13"/>
        <v>0</v>
      </c>
      <c r="L53" s="20">
        <f t="shared" si="13"/>
        <v>0</v>
      </c>
      <c r="M53" s="20">
        <f t="shared" si="13"/>
        <v>0</v>
      </c>
      <c r="N53" s="20">
        <f t="shared" si="13"/>
        <v>0</v>
      </c>
      <c r="O53" s="20">
        <f t="shared" si="13"/>
        <v>0</v>
      </c>
      <c r="P53" s="20">
        <f t="shared" si="13"/>
        <v>0</v>
      </c>
      <c r="Q53" s="20">
        <f t="shared" si="13"/>
        <v>0</v>
      </c>
      <c r="R53" s="20">
        <f t="shared" si="13"/>
        <v>0</v>
      </c>
      <c r="S53" s="20">
        <f t="shared" si="13"/>
        <v>0</v>
      </c>
      <c r="T53" s="20">
        <f t="shared" si="13"/>
        <v>0</v>
      </c>
      <c r="U53" s="20">
        <f t="shared" si="13"/>
        <v>0</v>
      </c>
      <c r="V53" s="20">
        <f t="shared" si="13"/>
        <v>0</v>
      </c>
      <c r="W53" s="20">
        <f t="shared" si="13"/>
        <v>0</v>
      </c>
      <c r="X53" s="20">
        <f t="shared" si="13"/>
        <v>0</v>
      </c>
      <c r="Y53" s="20">
        <f t="shared" si="13"/>
        <v>0</v>
      </c>
      <c r="Z53" s="20">
        <f t="shared" si="13"/>
        <v>0</v>
      </c>
      <c r="AA53" s="20">
        <f t="shared" si="13"/>
        <v>0</v>
      </c>
      <c r="AB53" s="20">
        <f t="shared" si="13"/>
        <v>0</v>
      </c>
      <c r="AC53" s="20">
        <f t="shared" si="13"/>
        <v>0</v>
      </c>
      <c r="AD53" s="20">
        <f t="shared" si="13"/>
        <v>0</v>
      </c>
      <c r="AE53" s="20">
        <f t="shared" si="13"/>
        <v>0</v>
      </c>
      <c r="AF53" s="20">
        <f t="shared" si="13"/>
        <v>0</v>
      </c>
      <c r="AG53" s="20">
        <f t="shared" si="13"/>
        <v>0</v>
      </c>
      <c r="AH53" s="20">
        <f t="shared" si="13"/>
        <v>0</v>
      </c>
      <c r="AI53" s="20">
        <f t="shared" si="13"/>
        <v>0</v>
      </c>
      <c r="AJ53" s="21">
        <f t="shared" si="4"/>
        <v>0</v>
      </c>
    </row>
    <row r="54" spans="1:36" ht="15" customHeight="1">
      <c r="A54" s="2">
        <v>6</v>
      </c>
      <c r="B54" s="2" t="s">
        <v>129</v>
      </c>
      <c r="C54" s="503" t="s">
        <v>116</v>
      </c>
      <c r="D54" s="501"/>
      <c r="E54" s="20">
        <f t="shared" ref="E54:AI54" si="14">E16-D16</f>
        <v>400</v>
      </c>
      <c r="F54" s="20">
        <f t="shared" si="14"/>
        <v>87</v>
      </c>
      <c r="G54" s="20">
        <f t="shared" si="14"/>
        <v>265</v>
      </c>
      <c r="H54" s="20">
        <f t="shared" si="14"/>
        <v>108</v>
      </c>
      <c r="I54" s="20">
        <f t="shared" si="14"/>
        <v>111</v>
      </c>
      <c r="J54" s="20">
        <f t="shared" si="14"/>
        <v>0</v>
      </c>
      <c r="K54" s="20">
        <f t="shared" si="14"/>
        <v>524</v>
      </c>
      <c r="L54" s="20">
        <f t="shared" si="14"/>
        <v>255</v>
      </c>
      <c r="M54" s="20">
        <f t="shared" si="14"/>
        <v>284</v>
      </c>
      <c r="N54" s="20">
        <f t="shared" si="14"/>
        <v>259</v>
      </c>
      <c r="O54" s="20">
        <f t="shared" si="14"/>
        <v>137</v>
      </c>
      <c r="P54" s="20">
        <f t="shared" si="14"/>
        <v>107</v>
      </c>
      <c r="Q54" s="20">
        <f t="shared" si="14"/>
        <v>292</v>
      </c>
      <c r="R54" s="20">
        <f t="shared" si="14"/>
        <v>261</v>
      </c>
      <c r="S54" s="20">
        <f t="shared" si="14"/>
        <v>255</v>
      </c>
      <c r="T54" s="20">
        <f t="shared" si="14"/>
        <v>278</v>
      </c>
      <c r="U54" s="20">
        <f t="shared" si="14"/>
        <v>242</v>
      </c>
      <c r="V54" s="20">
        <f t="shared" si="14"/>
        <v>103</v>
      </c>
      <c r="W54" s="20">
        <f t="shared" si="14"/>
        <v>104</v>
      </c>
      <c r="X54" s="20">
        <f t="shared" si="14"/>
        <v>90</v>
      </c>
      <c r="Y54" s="20">
        <f t="shared" si="14"/>
        <v>215</v>
      </c>
      <c r="Z54" s="20">
        <f t="shared" si="14"/>
        <v>211</v>
      </c>
      <c r="AA54" s="20">
        <f t="shared" si="14"/>
        <v>230</v>
      </c>
      <c r="AB54" s="20">
        <f t="shared" si="14"/>
        <v>235</v>
      </c>
      <c r="AC54" s="20">
        <f t="shared" si="14"/>
        <v>102</v>
      </c>
      <c r="AD54" s="20">
        <f t="shared" si="14"/>
        <v>91</v>
      </c>
      <c r="AE54" s="20">
        <f t="shared" si="14"/>
        <v>264</v>
      </c>
      <c r="AF54" s="20">
        <f t="shared" si="14"/>
        <v>242</v>
      </c>
      <c r="AG54" s="20">
        <f t="shared" si="14"/>
        <v>271</v>
      </c>
      <c r="AH54" s="20">
        <f t="shared" si="14"/>
        <v>260</v>
      </c>
      <c r="AI54" s="20">
        <f t="shared" si="14"/>
        <v>279</v>
      </c>
      <c r="AJ54" s="21">
        <f t="shared" si="4"/>
        <v>6562</v>
      </c>
    </row>
    <row r="55" spans="1:36" ht="15" customHeight="1">
      <c r="A55" s="2"/>
      <c r="B55" s="2"/>
      <c r="C55" s="531" t="s">
        <v>22</v>
      </c>
      <c r="D55" s="501"/>
      <c r="E55" s="20">
        <f t="shared" ref="E55:AI55" si="15">E17-D17</f>
        <v>0</v>
      </c>
      <c r="F55" s="20">
        <f t="shared" si="15"/>
        <v>0</v>
      </c>
      <c r="G55" s="20">
        <f t="shared" si="15"/>
        <v>0</v>
      </c>
      <c r="H55" s="20">
        <f t="shared" si="15"/>
        <v>0</v>
      </c>
      <c r="I55" s="20">
        <f t="shared" si="15"/>
        <v>0</v>
      </c>
      <c r="J55" s="20">
        <f t="shared" si="15"/>
        <v>0</v>
      </c>
      <c r="K55" s="20">
        <f t="shared" si="15"/>
        <v>0</v>
      </c>
      <c r="L55" s="20">
        <f t="shared" si="15"/>
        <v>0</v>
      </c>
      <c r="M55" s="20">
        <f t="shared" si="15"/>
        <v>0</v>
      </c>
      <c r="N55" s="20">
        <f t="shared" si="15"/>
        <v>0</v>
      </c>
      <c r="O55" s="20">
        <f t="shared" si="15"/>
        <v>0</v>
      </c>
      <c r="P55" s="20">
        <f t="shared" si="15"/>
        <v>0</v>
      </c>
      <c r="Q55" s="20">
        <f t="shared" si="15"/>
        <v>0</v>
      </c>
      <c r="R55" s="20">
        <f t="shared" si="15"/>
        <v>0</v>
      </c>
      <c r="S55" s="20">
        <f t="shared" si="15"/>
        <v>0</v>
      </c>
      <c r="T55" s="20">
        <f t="shared" si="15"/>
        <v>0</v>
      </c>
      <c r="U55" s="20">
        <f t="shared" si="15"/>
        <v>0</v>
      </c>
      <c r="V55" s="20">
        <f t="shared" si="15"/>
        <v>0</v>
      </c>
      <c r="W55" s="20">
        <f t="shared" si="15"/>
        <v>0</v>
      </c>
      <c r="X55" s="20">
        <f t="shared" si="15"/>
        <v>0</v>
      </c>
      <c r="Y55" s="20">
        <f t="shared" si="15"/>
        <v>0</v>
      </c>
      <c r="Z55" s="20">
        <f t="shared" si="15"/>
        <v>0</v>
      </c>
      <c r="AA55" s="20">
        <f t="shared" si="15"/>
        <v>0</v>
      </c>
      <c r="AB55" s="20">
        <f t="shared" si="15"/>
        <v>0</v>
      </c>
      <c r="AC55" s="20">
        <f t="shared" si="15"/>
        <v>0</v>
      </c>
      <c r="AD55" s="20">
        <f t="shared" si="15"/>
        <v>0</v>
      </c>
      <c r="AE55" s="20">
        <f t="shared" si="15"/>
        <v>0</v>
      </c>
      <c r="AF55" s="20">
        <f t="shared" si="15"/>
        <v>0</v>
      </c>
      <c r="AG55" s="20">
        <f t="shared" si="15"/>
        <v>0</v>
      </c>
      <c r="AH55" s="20">
        <f t="shared" si="15"/>
        <v>0</v>
      </c>
      <c r="AI55" s="20">
        <f t="shared" si="15"/>
        <v>1</v>
      </c>
      <c r="AJ55" s="21">
        <f t="shared" si="4"/>
        <v>1</v>
      </c>
    </row>
    <row r="56" spans="1:36" ht="15" customHeight="1">
      <c r="A56" s="2">
        <v>7</v>
      </c>
      <c r="B56" s="2" t="s">
        <v>129</v>
      </c>
      <c r="C56" s="503" t="s">
        <v>117</v>
      </c>
      <c r="D56" s="501"/>
      <c r="E56" s="20">
        <f t="shared" ref="E56:AI56" si="16">E18-D18</f>
        <v>1147</v>
      </c>
      <c r="F56" s="20">
        <f t="shared" si="16"/>
        <v>423</v>
      </c>
      <c r="G56" s="20">
        <f t="shared" si="16"/>
        <v>704</v>
      </c>
      <c r="H56" s="20">
        <f t="shared" si="16"/>
        <v>618</v>
      </c>
      <c r="I56" s="20">
        <f t="shared" si="16"/>
        <v>493</v>
      </c>
      <c r="J56" s="20">
        <f t="shared" si="16"/>
        <v>0</v>
      </c>
      <c r="K56" s="20">
        <f t="shared" si="16"/>
        <v>1621</v>
      </c>
      <c r="L56" s="20">
        <f t="shared" si="16"/>
        <v>799</v>
      </c>
      <c r="M56" s="20">
        <f t="shared" si="16"/>
        <v>796</v>
      </c>
      <c r="N56" s="20">
        <f t="shared" si="16"/>
        <v>801</v>
      </c>
      <c r="O56" s="20">
        <f t="shared" si="16"/>
        <v>678</v>
      </c>
      <c r="P56" s="20">
        <f t="shared" si="16"/>
        <v>522</v>
      </c>
      <c r="Q56" s="20">
        <f t="shared" si="16"/>
        <v>763</v>
      </c>
      <c r="R56" s="20">
        <f t="shared" si="16"/>
        <v>832</v>
      </c>
      <c r="S56" s="20">
        <f t="shared" si="16"/>
        <v>827</v>
      </c>
      <c r="T56" s="20">
        <f t="shared" si="16"/>
        <v>819</v>
      </c>
      <c r="U56" s="20">
        <f t="shared" si="16"/>
        <v>816</v>
      </c>
      <c r="V56" s="20">
        <f t="shared" si="16"/>
        <v>622</v>
      </c>
      <c r="W56" s="20">
        <f t="shared" si="16"/>
        <v>509</v>
      </c>
      <c r="X56" s="20">
        <f t="shared" si="16"/>
        <v>361</v>
      </c>
      <c r="Y56" s="20">
        <f t="shared" si="16"/>
        <v>613</v>
      </c>
      <c r="Z56" s="20">
        <f t="shared" si="16"/>
        <v>719</v>
      </c>
      <c r="AA56" s="20">
        <f t="shared" si="16"/>
        <v>778</v>
      </c>
      <c r="AB56" s="20">
        <f t="shared" si="16"/>
        <v>811</v>
      </c>
      <c r="AC56" s="20">
        <f t="shared" si="16"/>
        <v>456</v>
      </c>
      <c r="AD56" s="20">
        <f t="shared" si="16"/>
        <v>503</v>
      </c>
      <c r="AE56" s="20">
        <f t="shared" si="16"/>
        <v>764</v>
      </c>
      <c r="AF56" s="20">
        <f t="shared" si="16"/>
        <v>812</v>
      </c>
      <c r="AG56" s="20">
        <f t="shared" si="16"/>
        <v>785</v>
      </c>
      <c r="AH56" s="20">
        <f t="shared" si="16"/>
        <v>846</v>
      </c>
      <c r="AI56" s="20">
        <f t="shared" si="16"/>
        <v>767</v>
      </c>
      <c r="AJ56" s="21">
        <f t="shared" si="4"/>
        <v>22005</v>
      </c>
    </row>
    <row r="57" spans="1:36" ht="15" customHeight="1">
      <c r="A57" s="2"/>
      <c r="B57" s="2"/>
      <c r="C57" s="531" t="s">
        <v>22</v>
      </c>
      <c r="D57" s="501"/>
      <c r="E57" s="20">
        <f t="shared" ref="E57:AI57" si="17">E19-D19</f>
        <v>0</v>
      </c>
      <c r="F57" s="20">
        <f t="shared" si="17"/>
        <v>0</v>
      </c>
      <c r="G57" s="20">
        <f t="shared" si="17"/>
        <v>0</v>
      </c>
      <c r="H57" s="20">
        <f t="shared" si="17"/>
        <v>0</v>
      </c>
      <c r="I57" s="20">
        <f t="shared" si="17"/>
        <v>0</v>
      </c>
      <c r="J57" s="20">
        <f t="shared" si="17"/>
        <v>0</v>
      </c>
      <c r="K57" s="20">
        <f t="shared" si="17"/>
        <v>0</v>
      </c>
      <c r="L57" s="20">
        <f t="shared" si="17"/>
        <v>0</v>
      </c>
      <c r="M57" s="20">
        <f t="shared" si="17"/>
        <v>0</v>
      </c>
      <c r="N57" s="20">
        <f t="shared" si="17"/>
        <v>0</v>
      </c>
      <c r="O57" s="20">
        <f t="shared" si="17"/>
        <v>0</v>
      </c>
      <c r="P57" s="20">
        <f t="shared" si="17"/>
        <v>0</v>
      </c>
      <c r="Q57" s="20">
        <f t="shared" si="17"/>
        <v>0</v>
      </c>
      <c r="R57" s="20">
        <f t="shared" si="17"/>
        <v>0</v>
      </c>
      <c r="S57" s="20">
        <f t="shared" si="17"/>
        <v>0</v>
      </c>
      <c r="T57" s="20">
        <f t="shared" si="17"/>
        <v>0</v>
      </c>
      <c r="U57" s="20">
        <f t="shared" si="17"/>
        <v>0</v>
      </c>
      <c r="V57" s="20">
        <f t="shared" si="17"/>
        <v>0</v>
      </c>
      <c r="W57" s="20">
        <f t="shared" si="17"/>
        <v>0</v>
      </c>
      <c r="X57" s="20">
        <f t="shared" si="17"/>
        <v>0</v>
      </c>
      <c r="Y57" s="20">
        <f t="shared" si="17"/>
        <v>0</v>
      </c>
      <c r="Z57" s="20">
        <f t="shared" si="17"/>
        <v>0</v>
      </c>
      <c r="AA57" s="20">
        <f t="shared" si="17"/>
        <v>0</v>
      </c>
      <c r="AB57" s="20">
        <f t="shared" si="17"/>
        <v>0</v>
      </c>
      <c r="AC57" s="20">
        <f t="shared" si="17"/>
        <v>0</v>
      </c>
      <c r="AD57" s="20">
        <f t="shared" si="17"/>
        <v>0</v>
      </c>
      <c r="AE57" s="20">
        <f t="shared" si="17"/>
        <v>0</v>
      </c>
      <c r="AF57" s="20">
        <f t="shared" si="17"/>
        <v>0</v>
      </c>
      <c r="AG57" s="20">
        <f t="shared" si="17"/>
        <v>0</v>
      </c>
      <c r="AH57" s="20">
        <f t="shared" si="17"/>
        <v>0</v>
      </c>
      <c r="AI57" s="20">
        <f t="shared" si="17"/>
        <v>4</v>
      </c>
      <c r="AJ57" s="21">
        <f t="shared" si="4"/>
        <v>4</v>
      </c>
    </row>
    <row r="58" spans="1:36" ht="15" customHeight="1">
      <c r="A58" s="2">
        <v>8</v>
      </c>
      <c r="B58" s="2" t="s">
        <v>129</v>
      </c>
      <c r="C58" s="503" t="s">
        <v>118</v>
      </c>
      <c r="D58" s="501"/>
      <c r="E58" s="20">
        <f t="shared" ref="E58:AI58" si="18">E20-D20</f>
        <v>161</v>
      </c>
      <c r="F58" s="20">
        <f t="shared" si="18"/>
        <v>124</v>
      </c>
      <c r="G58" s="20">
        <f t="shared" si="18"/>
        <v>0</v>
      </c>
      <c r="H58" s="20">
        <f t="shared" si="18"/>
        <v>258</v>
      </c>
      <c r="I58" s="20">
        <f t="shared" si="18"/>
        <v>121</v>
      </c>
      <c r="J58" s="20">
        <f t="shared" si="18"/>
        <v>147</v>
      </c>
      <c r="K58" s="20">
        <f t="shared" si="18"/>
        <v>117</v>
      </c>
      <c r="L58" s="20">
        <f t="shared" si="18"/>
        <v>126</v>
      </c>
      <c r="M58" s="20">
        <f t="shared" si="18"/>
        <v>74</v>
      </c>
      <c r="N58" s="20">
        <f t="shared" si="18"/>
        <v>174</v>
      </c>
      <c r="O58" s="20">
        <f t="shared" si="18"/>
        <v>107</v>
      </c>
      <c r="P58" s="20">
        <f t="shared" si="18"/>
        <v>123</v>
      </c>
      <c r="Q58" s="20">
        <f t="shared" si="18"/>
        <v>117</v>
      </c>
      <c r="R58" s="20">
        <f t="shared" si="18"/>
        <v>130</v>
      </c>
      <c r="S58" s="20">
        <f t="shared" si="18"/>
        <v>117</v>
      </c>
      <c r="T58" s="20">
        <f t="shared" si="18"/>
        <v>131</v>
      </c>
      <c r="U58" s="20">
        <f t="shared" si="18"/>
        <v>116</v>
      </c>
      <c r="V58" s="20">
        <f t="shared" si="18"/>
        <v>111</v>
      </c>
      <c r="W58" s="20">
        <f t="shared" si="18"/>
        <v>98</v>
      </c>
      <c r="X58" s="20">
        <f t="shared" si="18"/>
        <v>122</v>
      </c>
      <c r="Y58" s="20">
        <f t="shared" si="18"/>
        <v>115</v>
      </c>
      <c r="Z58" s="20">
        <f t="shared" si="18"/>
        <v>129</v>
      </c>
      <c r="AA58" s="20">
        <f t="shared" si="18"/>
        <v>102</v>
      </c>
      <c r="AB58" s="20">
        <f t="shared" si="18"/>
        <v>137</v>
      </c>
      <c r="AC58" s="20">
        <f t="shared" si="18"/>
        <v>95</v>
      </c>
      <c r="AD58" s="20">
        <f t="shared" si="18"/>
        <v>119</v>
      </c>
      <c r="AE58" s="20">
        <f t="shared" si="18"/>
        <v>119</v>
      </c>
      <c r="AF58" s="20">
        <f t="shared" si="18"/>
        <v>132</v>
      </c>
      <c r="AG58" s="20">
        <f t="shared" si="18"/>
        <v>0</v>
      </c>
      <c r="AH58" s="20">
        <f t="shared" si="18"/>
        <v>233</v>
      </c>
      <c r="AI58" s="20">
        <f t="shared" si="18"/>
        <v>107</v>
      </c>
      <c r="AJ58" s="21">
        <f t="shared" si="4"/>
        <v>3762</v>
      </c>
    </row>
    <row r="59" spans="1:36" ht="15" customHeight="1">
      <c r="A59" s="2"/>
      <c r="B59" s="2"/>
      <c r="C59" s="531" t="s">
        <v>22</v>
      </c>
      <c r="D59" s="501"/>
      <c r="E59" s="20">
        <f t="shared" ref="E59:AI59" si="19">E21-D21</f>
        <v>0</v>
      </c>
      <c r="F59" s="20">
        <f t="shared" si="19"/>
        <v>0</v>
      </c>
      <c r="G59" s="20">
        <f t="shared" si="19"/>
        <v>0</v>
      </c>
      <c r="H59" s="20">
        <f t="shared" si="19"/>
        <v>0</v>
      </c>
      <c r="I59" s="20">
        <f t="shared" si="19"/>
        <v>0</v>
      </c>
      <c r="J59" s="20">
        <f t="shared" si="19"/>
        <v>0</v>
      </c>
      <c r="K59" s="20">
        <f t="shared" si="19"/>
        <v>0</v>
      </c>
      <c r="L59" s="20">
        <f t="shared" si="19"/>
        <v>0</v>
      </c>
      <c r="M59" s="20">
        <f t="shared" si="19"/>
        <v>0</v>
      </c>
      <c r="N59" s="20">
        <f t="shared" si="19"/>
        <v>0</v>
      </c>
      <c r="O59" s="20">
        <f t="shared" si="19"/>
        <v>0</v>
      </c>
      <c r="P59" s="20">
        <f t="shared" si="19"/>
        <v>0</v>
      </c>
      <c r="Q59" s="20">
        <f t="shared" si="19"/>
        <v>0</v>
      </c>
      <c r="R59" s="20">
        <f t="shared" si="19"/>
        <v>0</v>
      </c>
      <c r="S59" s="20">
        <f t="shared" si="19"/>
        <v>0</v>
      </c>
      <c r="T59" s="20">
        <f t="shared" si="19"/>
        <v>0</v>
      </c>
      <c r="U59" s="20">
        <f t="shared" si="19"/>
        <v>0</v>
      </c>
      <c r="V59" s="20">
        <f t="shared" si="19"/>
        <v>0</v>
      </c>
      <c r="W59" s="20">
        <f t="shared" si="19"/>
        <v>0</v>
      </c>
      <c r="X59" s="20">
        <f t="shared" si="19"/>
        <v>0</v>
      </c>
      <c r="Y59" s="20">
        <f t="shared" si="19"/>
        <v>0</v>
      </c>
      <c r="Z59" s="20">
        <f t="shared" si="19"/>
        <v>0</v>
      </c>
      <c r="AA59" s="20">
        <f t="shared" si="19"/>
        <v>0</v>
      </c>
      <c r="AB59" s="20">
        <f t="shared" si="19"/>
        <v>0</v>
      </c>
      <c r="AC59" s="20">
        <f t="shared" si="19"/>
        <v>0</v>
      </c>
      <c r="AD59" s="20">
        <f t="shared" si="19"/>
        <v>0</v>
      </c>
      <c r="AE59" s="20">
        <f t="shared" si="19"/>
        <v>0</v>
      </c>
      <c r="AF59" s="20">
        <f t="shared" si="19"/>
        <v>0</v>
      </c>
      <c r="AG59" s="20">
        <f t="shared" si="19"/>
        <v>0</v>
      </c>
      <c r="AH59" s="20">
        <f t="shared" si="19"/>
        <v>0</v>
      </c>
      <c r="AI59" s="20">
        <f t="shared" si="19"/>
        <v>0</v>
      </c>
      <c r="AJ59" s="21">
        <f t="shared" si="4"/>
        <v>0</v>
      </c>
    </row>
    <row r="60" spans="1:36" ht="15" customHeight="1">
      <c r="A60" s="99"/>
      <c r="B60" s="99"/>
      <c r="C60" s="500" t="s">
        <v>130</v>
      </c>
      <c r="D60" s="501"/>
      <c r="E60" s="23">
        <f t="shared" ref="E60:AI60" si="20">SUM(E58,E56,E54,E52,E50,E48,E46,E44)</f>
        <v>2971</v>
      </c>
      <c r="F60" s="23">
        <f t="shared" si="20"/>
        <v>1235</v>
      </c>
      <c r="G60" s="23">
        <f t="shared" si="20"/>
        <v>1822</v>
      </c>
      <c r="H60" s="23">
        <f t="shared" si="20"/>
        <v>1620</v>
      </c>
      <c r="I60" s="23">
        <f t="shared" si="20"/>
        <v>1350</v>
      </c>
      <c r="J60" s="23">
        <f t="shared" si="20"/>
        <v>1135</v>
      </c>
      <c r="K60" s="23">
        <f t="shared" si="20"/>
        <v>3194</v>
      </c>
      <c r="L60" s="23">
        <f t="shared" si="20"/>
        <v>2129</v>
      </c>
      <c r="M60" s="23">
        <f t="shared" si="20"/>
        <v>2144</v>
      </c>
      <c r="N60" s="23">
        <f t="shared" si="20"/>
        <v>2095</v>
      </c>
      <c r="O60" s="23">
        <f t="shared" si="20"/>
        <v>1578</v>
      </c>
      <c r="P60" s="23">
        <f t="shared" si="20"/>
        <v>1389</v>
      </c>
      <c r="Q60" s="23">
        <f t="shared" si="20"/>
        <v>2111</v>
      </c>
      <c r="R60" s="23">
        <f t="shared" si="20"/>
        <v>2162</v>
      </c>
      <c r="S60" s="23">
        <f t="shared" si="20"/>
        <v>2150</v>
      </c>
      <c r="T60" s="23">
        <f t="shared" si="20"/>
        <v>2119</v>
      </c>
      <c r="U60" s="23">
        <f t="shared" si="20"/>
        <v>1994</v>
      </c>
      <c r="V60" s="23">
        <f t="shared" si="20"/>
        <v>1495</v>
      </c>
      <c r="W60" s="23">
        <f t="shared" si="20"/>
        <v>1324</v>
      </c>
      <c r="X60" s="23">
        <f t="shared" si="20"/>
        <v>1206</v>
      </c>
      <c r="Y60" s="23">
        <f t="shared" si="20"/>
        <v>1633</v>
      </c>
      <c r="Z60" s="23">
        <f t="shared" si="20"/>
        <v>1798</v>
      </c>
      <c r="AA60" s="23">
        <f t="shared" si="20"/>
        <v>1898</v>
      </c>
      <c r="AB60" s="23">
        <f t="shared" si="20"/>
        <v>2059</v>
      </c>
      <c r="AC60" s="23">
        <f t="shared" si="20"/>
        <v>1231</v>
      </c>
      <c r="AD60" s="23">
        <f t="shared" si="20"/>
        <v>1323</v>
      </c>
      <c r="AE60" s="23">
        <f t="shared" si="20"/>
        <v>2092</v>
      </c>
      <c r="AF60" s="23">
        <f t="shared" si="20"/>
        <v>2111</v>
      </c>
      <c r="AG60" s="23">
        <f t="shared" si="20"/>
        <v>1988</v>
      </c>
      <c r="AH60" s="23">
        <f t="shared" si="20"/>
        <v>2312</v>
      </c>
      <c r="AI60" s="23">
        <f t="shared" si="20"/>
        <v>2049</v>
      </c>
      <c r="AJ60" s="24">
        <f t="shared" si="4"/>
        <v>57717</v>
      </c>
    </row>
    <row r="61" spans="1:36" ht="15" customHeight="1">
      <c r="A61" s="99"/>
      <c r="B61" s="99"/>
      <c r="C61" s="145" t="s">
        <v>131</v>
      </c>
      <c r="D61" s="108"/>
      <c r="E61" s="23">
        <f t="shared" ref="E61:AI61" si="21">SUM(E45,E47,E49,E51,E53,E55,E57,E59)</f>
        <v>0</v>
      </c>
      <c r="F61" s="23">
        <f t="shared" si="21"/>
        <v>0</v>
      </c>
      <c r="G61" s="23">
        <f t="shared" si="21"/>
        <v>0</v>
      </c>
      <c r="H61" s="23">
        <f t="shared" si="21"/>
        <v>1</v>
      </c>
      <c r="I61" s="23">
        <f t="shared" si="21"/>
        <v>0</v>
      </c>
      <c r="J61" s="23">
        <f t="shared" si="21"/>
        <v>0</v>
      </c>
      <c r="K61" s="23">
        <f t="shared" si="21"/>
        <v>0</v>
      </c>
      <c r="L61" s="23">
        <f t="shared" si="21"/>
        <v>0</v>
      </c>
      <c r="M61" s="23">
        <f t="shared" si="21"/>
        <v>0</v>
      </c>
      <c r="N61" s="23">
        <f t="shared" si="21"/>
        <v>0</v>
      </c>
      <c r="O61" s="23">
        <f t="shared" si="21"/>
        <v>0</v>
      </c>
      <c r="P61" s="23">
        <f t="shared" si="21"/>
        <v>0</v>
      </c>
      <c r="Q61" s="23">
        <f t="shared" si="21"/>
        <v>0</v>
      </c>
      <c r="R61" s="23">
        <f t="shared" si="21"/>
        <v>0</v>
      </c>
      <c r="S61" s="23">
        <f t="shared" si="21"/>
        <v>0</v>
      </c>
      <c r="T61" s="23">
        <f t="shared" si="21"/>
        <v>2</v>
      </c>
      <c r="U61" s="23">
        <f t="shared" si="21"/>
        <v>0</v>
      </c>
      <c r="V61" s="23">
        <f t="shared" si="21"/>
        <v>0</v>
      </c>
      <c r="W61" s="23">
        <f t="shared" si="21"/>
        <v>0</v>
      </c>
      <c r="X61" s="23">
        <f t="shared" si="21"/>
        <v>0</v>
      </c>
      <c r="Y61" s="23">
        <f t="shared" si="21"/>
        <v>0</v>
      </c>
      <c r="Z61" s="23">
        <f t="shared" si="21"/>
        <v>0</v>
      </c>
      <c r="AA61" s="23">
        <f t="shared" si="21"/>
        <v>0</v>
      </c>
      <c r="AB61" s="23">
        <f t="shared" si="21"/>
        <v>0</v>
      </c>
      <c r="AC61" s="23">
        <f t="shared" si="21"/>
        <v>0</v>
      </c>
      <c r="AD61" s="23">
        <f t="shared" si="21"/>
        <v>0</v>
      </c>
      <c r="AE61" s="23">
        <f t="shared" si="21"/>
        <v>0</v>
      </c>
      <c r="AF61" s="23">
        <f t="shared" si="21"/>
        <v>0</v>
      </c>
      <c r="AG61" s="23">
        <f t="shared" si="21"/>
        <v>0</v>
      </c>
      <c r="AH61" s="23">
        <f t="shared" si="21"/>
        <v>1</v>
      </c>
      <c r="AI61" s="23">
        <f t="shared" si="21"/>
        <v>5</v>
      </c>
      <c r="AJ61" s="24">
        <f t="shared" si="4"/>
        <v>9</v>
      </c>
    </row>
    <row r="62" spans="1:36">
      <c r="A62" s="101"/>
      <c r="B62" s="101"/>
      <c r="C62" s="539" t="s">
        <v>132</v>
      </c>
      <c r="D62" s="501"/>
      <c r="E62" s="102">
        <f t="shared" ref="E62:AJ62" si="22">E60</f>
        <v>2971</v>
      </c>
      <c r="F62" s="102">
        <f t="shared" si="22"/>
        <v>1235</v>
      </c>
      <c r="G62" s="102">
        <f t="shared" si="22"/>
        <v>1822</v>
      </c>
      <c r="H62" s="102">
        <f t="shared" si="22"/>
        <v>1620</v>
      </c>
      <c r="I62" s="102">
        <f t="shared" si="22"/>
        <v>1350</v>
      </c>
      <c r="J62" s="102">
        <f t="shared" si="22"/>
        <v>1135</v>
      </c>
      <c r="K62" s="102">
        <f t="shared" si="22"/>
        <v>3194</v>
      </c>
      <c r="L62" s="102">
        <f t="shared" si="22"/>
        <v>2129</v>
      </c>
      <c r="M62" s="102">
        <f t="shared" si="22"/>
        <v>2144</v>
      </c>
      <c r="N62" s="102">
        <f t="shared" si="22"/>
        <v>2095</v>
      </c>
      <c r="O62" s="102">
        <f t="shared" si="22"/>
        <v>1578</v>
      </c>
      <c r="P62" s="102">
        <f t="shared" si="22"/>
        <v>1389</v>
      </c>
      <c r="Q62" s="102">
        <f t="shared" si="22"/>
        <v>2111</v>
      </c>
      <c r="R62" s="102">
        <f t="shared" si="22"/>
        <v>2162</v>
      </c>
      <c r="S62" s="102">
        <f t="shared" si="22"/>
        <v>2150</v>
      </c>
      <c r="T62" s="102">
        <f t="shared" si="22"/>
        <v>2119</v>
      </c>
      <c r="U62" s="102">
        <f t="shared" si="22"/>
        <v>1994</v>
      </c>
      <c r="V62" s="102">
        <f t="shared" si="22"/>
        <v>1495</v>
      </c>
      <c r="W62" s="102">
        <f t="shared" si="22"/>
        <v>1324</v>
      </c>
      <c r="X62" s="102">
        <f t="shared" si="22"/>
        <v>1206</v>
      </c>
      <c r="Y62" s="102">
        <f t="shared" si="22"/>
        <v>1633</v>
      </c>
      <c r="Z62" s="102">
        <f t="shared" si="22"/>
        <v>1798</v>
      </c>
      <c r="AA62" s="102">
        <f t="shared" si="22"/>
        <v>1898</v>
      </c>
      <c r="AB62" s="102">
        <f t="shared" si="22"/>
        <v>2059</v>
      </c>
      <c r="AC62" s="102">
        <f t="shared" si="22"/>
        <v>1231</v>
      </c>
      <c r="AD62" s="102">
        <f t="shared" si="22"/>
        <v>1323</v>
      </c>
      <c r="AE62" s="102">
        <f t="shared" si="22"/>
        <v>2092</v>
      </c>
      <c r="AF62" s="102">
        <f t="shared" si="22"/>
        <v>2111</v>
      </c>
      <c r="AG62" s="102">
        <f t="shared" si="22"/>
        <v>1988</v>
      </c>
      <c r="AH62" s="102">
        <f t="shared" si="22"/>
        <v>2312</v>
      </c>
      <c r="AI62" s="102">
        <f t="shared" si="22"/>
        <v>2049</v>
      </c>
      <c r="AJ62" s="102">
        <f t="shared" si="22"/>
        <v>57717</v>
      </c>
    </row>
    <row r="63" spans="1:36">
      <c r="A63" s="94"/>
      <c r="B63" s="27"/>
      <c r="C63" s="146"/>
      <c r="D63" s="10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</row>
    <row r="64" spans="1:36">
      <c r="A64" s="28" t="s">
        <v>133</v>
      </c>
      <c r="B64" s="28" t="s">
        <v>100</v>
      </c>
      <c r="C64" s="523" t="s">
        <v>101</v>
      </c>
      <c r="D64" s="501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103"/>
    </row>
    <row r="65" spans="1:38" ht="15" customHeight="1">
      <c r="A65" s="2">
        <v>1</v>
      </c>
      <c r="B65" s="2" t="s">
        <v>129</v>
      </c>
      <c r="C65" s="506" t="s">
        <v>119</v>
      </c>
      <c r="D65" s="501"/>
      <c r="E65" s="102">
        <f t="shared" ref="E65:AI65" si="23">E23-D23</f>
        <v>167</v>
      </c>
      <c r="F65" s="102">
        <f t="shared" si="23"/>
        <v>0</v>
      </c>
      <c r="G65" s="102">
        <f t="shared" si="23"/>
        <v>104</v>
      </c>
      <c r="H65" s="102">
        <f t="shared" si="23"/>
        <v>69</v>
      </c>
      <c r="I65" s="102">
        <f t="shared" si="23"/>
        <v>0</v>
      </c>
      <c r="J65" s="102">
        <f t="shared" si="23"/>
        <v>91</v>
      </c>
      <c r="K65" s="102">
        <f t="shared" si="23"/>
        <v>139</v>
      </c>
      <c r="L65" s="102">
        <f t="shared" si="23"/>
        <v>117</v>
      </c>
      <c r="M65" s="102">
        <f t="shared" si="23"/>
        <v>130</v>
      </c>
      <c r="N65" s="102">
        <f t="shared" si="23"/>
        <v>139</v>
      </c>
      <c r="O65" s="102">
        <f t="shared" si="23"/>
        <v>116</v>
      </c>
      <c r="P65" s="102">
        <f t="shared" si="23"/>
        <v>0</v>
      </c>
      <c r="Q65" s="102">
        <f t="shared" si="23"/>
        <v>85</v>
      </c>
      <c r="R65" s="102">
        <f t="shared" si="23"/>
        <v>126</v>
      </c>
      <c r="S65" s="102">
        <f t="shared" si="23"/>
        <v>136</v>
      </c>
      <c r="T65" s="102">
        <f t="shared" si="23"/>
        <v>132</v>
      </c>
      <c r="U65" s="102">
        <f t="shared" si="23"/>
        <v>125</v>
      </c>
      <c r="V65" s="102">
        <f t="shared" si="23"/>
        <v>44</v>
      </c>
      <c r="W65" s="102">
        <f t="shared" si="23"/>
        <v>0</v>
      </c>
      <c r="X65" s="102">
        <f t="shared" si="23"/>
        <v>0</v>
      </c>
      <c r="Y65" s="102">
        <f t="shared" si="23"/>
        <v>101</v>
      </c>
      <c r="Z65" s="102">
        <f t="shared" si="23"/>
        <v>83</v>
      </c>
      <c r="AA65" s="102">
        <f t="shared" si="23"/>
        <v>92</v>
      </c>
      <c r="AB65" s="102">
        <f t="shared" si="23"/>
        <v>124</v>
      </c>
      <c r="AC65" s="102">
        <f t="shared" si="23"/>
        <v>31</v>
      </c>
      <c r="AD65" s="102">
        <f t="shared" si="23"/>
        <v>0</v>
      </c>
      <c r="AE65" s="102">
        <f t="shared" si="23"/>
        <v>120</v>
      </c>
      <c r="AF65" s="102">
        <f t="shared" si="23"/>
        <v>129</v>
      </c>
      <c r="AG65" s="102">
        <f t="shared" si="23"/>
        <v>98</v>
      </c>
      <c r="AH65" s="102">
        <f t="shared" si="23"/>
        <v>95</v>
      </c>
      <c r="AI65" s="102">
        <f t="shared" si="23"/>
        <v>65</v>
      </c>
      <c r="AJ65" s="21">
        <f t="shared" ref="AJ65:AJ78" si="24">SUM(E65:AI65)</f>
        <v>2658</v>
      </c>
    </row>
    <row r="66" spans="1:38" ht="15" customHeight="1">
      <c r="A66" s="2"/>
      <c r="B66" s="2"/>
      <c r="C66" s="532" t="s">
        <v>22</v>
      </c>
      <c r="D66" s="501"/>
      <c r="E66" s="102">
        <f t="shared" ref="E66:AI66" si="25">E24-D24</f>
        <v>0</v>
      </c>
      <c r="F66" s="102">
        <f t="shared" si="25"/>
        <v>0</v>
      </c>
      <c r="G66" s="102">
        <f t="shared" si="25"/>
        <v>0</v>
      </c>
      <c r="H66" s="102">
        <f t="shared" si="25"/>
        <v>0</v>
      </c>
      <c r="I66" s="102">
        <f t="shared" si="25"/>
        <v>0</v>
      </c>
      <c r="J66" s="102">
        <f t="shared" si="25"/>
        <v>0</v>
      </c>
      <c r="K66" s="102">
        <f t="shared" si="25"/>
        <v>0</v>
      </c>
      <c r="L66" s="102">
        <f t="shared" si="25"/>
        <v>0</v>
      </c>
      <c r="M66" s="102">
        <f t="shared" si="25"/>
        <v>0</v>
      </c>
      <c r="N66" s="102">
        <f t="shared" si="25"/>
        <v>0</v>
      </c>
      <c r="O66" s="102">
        <f t="shared" si="25"/>
        <v>0</v>
      </c>
      <c r="P66" s="102">
        <f t="shared" si="25"/>
        <v>0</v>
      </c>
      <c r="Q66" s="102">
        <f t="shared" si="25"/>
        <v>0</v>
      </c>
      <c r="R66" s="102">
        <f t="shared" si="25"/>
        <v>0</v>
      </c>
      <c r="S66" s="102">
        <f t="shared" si="25"/>
        <v>0</v>
      </c>
      <c r="T66" s="102">
        <f t="shared" si="25"/>
        <v>0</v>
      </c>
      <c r="U66" s="102">
        <f t="shared" si="25"/>
        <v>0</v>
      </c>
      <c r="V66" s="102">
        <f t="shared" si="25"/>
        <v>0</v>
      </c>
      <c r="W66" s="102">
        <f t="shared" si="25"/>
        <v>0</v>
      </c>
      <c r="X66" s="102">
        <f t="shared" si="25"/>
        <v>0</v>
      </c>
      <c r="Y66" s="102">
        <f t="shared" si="25"/>
        <v>0</v>
      </c>
      <c r="Z66" s="102">
        <f t="shared" si="25"/>
        <v>0</v>
      </c>
      <c r="AA66" s="102">
        <f t="shared" si="25"/>
        <v>0</v>
      </c>
      <c r="AB66" s="102">
        <f t="shared" si="25"/>
        <v>0</v>
      </c>
      <c r="AC66" s="102">
        <f t="shared" si="25"/>
        <v>0</v>
      </c>
      <c r="AD66" s="102">
        <f t="shared" si="25"/>
        <v>0</v>
      </c>
      <c r="AE66" s="102">
        <f t="shared" si="25"/>
        <v>0</v>
      </c>
      <c r="AF66" s="102">
        <f t="shared" si="25"/>
        <v>0</v>
      </c>
      <c r="AG66" s="102">
        <f t="shared" si="25"/>
        <v>0</v>
      </c>
      <c r="AH66" s="102">
        <f t="shared" si="25"/>
        <v>0</v>
      </c>
      <c r="AI66" s="102">
        <f t="shared" si="25"/>
        <v>0</v>
      </c>
      <c r="AJ66" s="21">
        <f t="shared" si="24"/>
        <v>0</v>
      </c>
    </row>
    <row r="67" spans="1:38" ht="15" customHeight="1">
      <c r="A67" s="2">
        <v>2</v>
      </c>
      <c r="B67" s="2" t="s">
        <v>129</v>
      </c>
      <c r="C67" s="506" t="s">
        <v>120</v>
      </c>
      <c r="D67" s="501"/>
      <c r="E67" s="102">
        <f t="shared" ref="E67:AI67" si="26">E25-D25</f>
        <v>180</v>
      </c>
      <c r="F67" s="102">
        <f t="shared" si="26"/>
        <v>0</v>
      </c>
      <c r="G67" s="102">
        <f t="shared" si="26"/>
        <v>226</v>
      </c>
      <c r="H67" s="102">
        <f t="shared" si="26"/>
        <v>-68</v>
      </c>
      <c r="I67" s="102">
        <f t="shared" si="26"/>
        <v>0</v>
      </c>
      <c r="J67" s="102">
        <f t="shared" si="26"/>
        <v>96</v>
      </c>
      <c r="K67" s="102">
        <f t="shared" si="26"/>
        <v>96</v>
      </c>
      <c r="L67" s="102">
        <f t="shared" si="26"/>
        <v>108</v>
      </c>
      <c r="M67" s="102">
        <f t="shared" si="26"/>
        <v>90</v>
      </c>
      <c r="N67" s="102">
        <f t="shared" si="26"/>
        <v>126</v>
      </c>
      <c r="O67" s="102">
        <f t="shared" si="26"/>
        <v>89</v>
      </c>
      <c r="P67" s="102">
        <f t="shared" si="26"/>
        <v>0</v>
      </c>
      <c r="Q67" s="102">
        <f t="shared" si="26"/>
        <v>96</v>
      </c>
      <c r="R67" s="102">
        <f t="shared" si="26"/>
        <v>108</v>
      </c>
      <c r="S67" s="102">
        <f t="shared" si="26"/>
        <v>145</v>
      </c>
      <c r="T67" s="102">
        <f t="shared" si="26"/>
        <v>115</v>
      </c>
      <c r="U67" s="102">
        <f t="shared" si="26"/>
        <v>115</v>
      </c>
      <c r="V67" s="102">
        <f t="shared" si="26"/>
        <v>15</v>
      </c>
      <c r="W67" s="102">
        <f t="shared" si="26"/>
        <v>0</v>
      </c>
      <c r="X67" s="102">
        <f t="shared" si="26"/>
        <v>0</v>
      </c>
      <c r="Y67" s="102">
        <f t="shared" si="26"/>
        <v>118</v>
      </c>
      <c r="Z67" s="102">
        <f t="shared" si="26"/>
        <v>92</v>
      </c>
      <c r="AA67" s="102">
        <f t="shared" si="26"/>
        <v>102</v>
      </c>
      <c r="AB67" s="102">
        <f t="shared" si="26"/>
        <v>121</v>
      </c>
      <c r="AC67" s="102">
        <f t="shared" si="26"/>
        <v>9</v>
      </c>
      <c r="AD67" s="102">
        <f t="shared" si="26"/>
        <v>0</v>
      </c>
      <c r="AE67" s="102">
        <f t="shared" si="26"/>
        <v>139</v>
      </c>
      <c r="AF67" s="102">
        <f t="shared" si="26"/>
        <v>159</v>
      </c>
      <c r="AG67" s="102">
        <f t="shared" si="26"/>
        <v>98</v>
      </c>
      <c r="AH67" s="102">
        <f t="shared" si="26"/>
        <v>94</v>
      </c>
      <c r="AI67" s="102">
        <f t="shared" si="26"/>
        <v>49</v>
      </c>
      <c r="AJ67" s="21">
        <f t="shared" si="24"/>
        <v>2518</v>
      </c>
    </row>
    <row r="68" spans="1:38" ht="15" customHeight="1">
      <c r="A68" s="2"/>
      <c r="B68" s="2"/>
      <c r="C68" s="532" t="s">
        <v>22</v>
      </c>
      <c r="D68" s="501"/>
      <c r="E68" s="102">
        <f t="shared" ref="E68:AI68" si="27">E26-D26</f>
        <v>0</v>
      </c>
      <c r="F68" s="102">
        <f t="shared" si="27"/>
        <v>0</v>
      </c>
      <c r="G68" s="102">
        <f t="shared" si="27"/>
        <v>0</v>
      </c>
      <c r="H68" s="102">
        <f t="shared" si="27"/>
        <v>0</v>
      </c>
      <c r="I68" s="102">
        <f t="shared" si="27"/>
        <v>0</v>
      </c>
      <c r="J68" s="102">
        <f t="shared" si="27"/>
        <v>0</v>
      </c>
      <c r="K68" s="102">
        <f t="shared" si="27"/>
        <v>0</v>
      </c>
      <c r="L68" s="102">
        <f t="shared" si="27"/>
        <v>0</v>
      </c>
      <c r="M68" s="102">
        <f t="shared" si="27"/>
        <v>0</v>
      </c>
      <c r="N68" s="102">
        <f t="shared" si="27"/>
        <v>0</v>
      </c>
      <c r="O68" s="102">
        <f t="shared" si="27"/>
        <v>0</v>
      </c>
      <c r="P68" s="102">
        <f t="shared" si="27"/>
        <v>0</v>
      </c>
      <c r="Q68" s="102">
        <f t="shared" si="27"/>
        <v>0</v>
      </c>
      <c r="R68" s="102">
        <f t="shared" si="27"/>
        <v>0</v>
      </c>
      <c r="S68" s="102">
        <f t="shared" si="27"/>
        <v>0</v>
      </c>
      <c r="T68" s="102">
        <f t="shared" si="27"/>
        <v>0</v>
      </c>
      <c r="U68" s="102">
        <f t="shared" si="27"/>
        <v>0</v>
      </c>
      <c r="V68" s="102">
        <f t="shared" si="27"/>
        <v>0</v>
      </c>
      <c r="W68" s="102">
        <f t="shared" si="27"/>
        <v>0</v>
      </c>
      <c r="X68" s="102">
        <f t="shared" si="27"/>
        <v>0</v>
      </c>
      <c r="Y68" s="102">
        <f t="shared" si="27"/>
        <v>0</v>
      </c>
      <c r="Z68" s="102">
        <f t="shared" si="27"/>
        <v>0</v>
      </c>
      <c r="AA68" s="102">
        <f t="shared" si="27"/>
        <v>0</v>
      </c>
      <c r="AB68" s="102">
        <f t="shared" si="27"/>
        <v>0</v>
      </c>
      <c r="AC68" s="102">
        <f t="shared" si="27"/>
        <v>0</v>
      </c>
      <c r="AD68" s="102">
        <f t="shared" si="27"/>
        <v>0</v>
      </c>
      <c r="AE68" s="102">
        <f t="shared" si="27"/>
        <v>0</v>
      </c>
      <c r="AF68" s="102">
        <f t="shared" si="27"/>
        <v>0</v>
      </c>
      <c r="AG68" s="102">
        <f t="shared" si="27"/>
        <v>0</v>
      </c>
      <c r="AH68" s="102">
        <f t="shared" si="27"/>
        <v>0</v>
      </c>
      <c r="AI68" s="102">
        <f t="shared" si="27"/>
        <v>0</v>
      </c>
      <c r="AJ68" s="21">
        <f t="shared" si="24"/>
        <v>0</v>
      </c>
      <c r="AK68" s="115" t="s">
        <v>20</v>
      </c>
      <c r="AL68" s="116">
        <f>AJ60</f>
        <v>57717</v>
      </c>
    </row>
    <row r="69" spans="1:38" ht="15" customHeight="1">
      <c r="A69" s="2">
        <v>3</v>
      </c>
      <c r="B69" s="2" t="s">
        <v>129</v>
      </c>
      <c r="C69" s="506" t="s">
        <v>121</v>
      </c>
      <c r="D69" s="501"/>
      <c r="E69" s="102">
        <f t="shared" ref="E69:AI69" si="28">E27-D27</f>
        <v>225</v>
      </c>
      <c r="F69" s="102">
        <f t="shared" si="28"/>
        <v>0</v>
      </c>
      <c r="G69" s="102">
        <f t="shared" si="28"/>
        <v>150</v>
      </c>
      <c r="H69" s="102">
        <f t="shared" si="28"/>
        <v>66</v>
      </c>
      <c r="I69" s="102">
        <f t="shared" si="28"/>
        <v>5</v>
      </c>
      <c r="J69" s="102">
        <f t="shared" si="28"/>
        <v>139</v>
      </c>
      <c r="K69" s="102">
        <f t="shared" si="28"/>
        <v>196</v>
      </c>
      <c r="L69" s="102">
        <f t="shared" si="28"/>
        <v>178</v>
      </c>
      <c r="M69" s="102">
        <f t="shared" si="28"/>
        <v>168</v>
      </c>
      <c r="N69" s="102">
        <f t="shared" si="28"/>
        <v>164</v>
      </c>
      <c r="O69" s="102">
        <f t="shared" si="28"/>
        <v>85</v>
      </c>
      <c r="P69" s="102">
        <f t="shared" si="28"/>
        <v>0</v>
      </c>
      <c r="Q69" s="102">
        <f t="shared" si="28"/>
        <v>117</v>
      </c>
      <c r="R69" s="102">
        <f t="shared" si="28"/>
        <v>161</v>
      </c>
      <c r="S69" s="102">
        <f t="shared" si="28"/>
        <v>167</v>
      </c>
      <c r="T69" s="102">
        <f t="shared" si="28"/>
        <v>157</v>
      </c>
      <c r="U69" s="102">
        <f t="shared" si="28"/>
        <v>158</v>
      </c>
      <c r="V69" s="102">
        <f t="shared" si="28"/>
        <v>105</v>
      </c>
      <c r="W69" s="102">
        <f t="shared" si="28"/>
        <v>0</v>
      </c>
      <c r="X69" s="102">
        <f t="shared" si="28"/>
        <v>0</v>
      </c>
      <c r="Y69" s="102">
        <f t="shared" si="28"/>
        <v>116</v>
      </c>
      <c r="Z69" s="102">
        <f t="shared" si="28"/>
        <v>112</v>
      </c>
      <c r="AA69" s="102">
        <f t="shared" si="28"/>
        <v>160</v>
      </c>
      <c r="AB69" s="102">
        <f t="shared" si="28"/>
        <v>170</v>
      </c>
      <c r="AC69" s="102">
        <f t="shared" si="28"/>
        <v>68</v>
      </c>
      <c r="AD69" s="102">
        <f t="shared" si="28"/>
        <v>0</v>
      </c>
      <c r="AE69" s="102">
        <f t="shared" si="28"/>
        <v>171</v>
      </c>
      <c r="AF69" s="102">
        <f t="shared" si="28"/>
        <v>210</v>
      </c>
      <c r="AG69" s="102">
        <f t="shared" si="28"/>
        <v>215</v>
      </c>
      <c r="AH69" s="102">
        <f t="shared" si="28"/>
        <v>227</v>
      </c>
      <c r="AI69" s="102">
        <f t="shared" si="28"/>
        <v>149</v>
      </c>
      <c r="AJ69" s="21">
        <f t="shared" si="24"/>
        <v>3839</v>
      </c>
      <c r="AK69" s="115" t="s">
        <v>21</v>
      </c>
      <c r="AL69" s="116">
        <f>AJ73</f>
        <v>11144</v>
      </c>
    </row>
    <row r="70" spans="1:38" ht="15" customHeight="1">
      <c r="A70" s="2"/>
      <c r="B70" s="2"/>
      <c r="C70" s="532" t="s">
        <v>22</v>
      </c>
      <c r="D70" s="501"/>
      <c r="E70" s="102">
        <f t="shared" ref="E70:AI70" si="29">E28-D28</f>
        <v>0</v>
      </c>
      <c r="F70" s="102">
        <f t="shared" si="29"/>
        <v>0</v>
      </c>
      <c r="G70" s="102">
        <f t="shared" si="29"/>
        <v>0</v>
      </c>
      <c r="H70" s="102">
        <f t="shared" si="29"/>
        <v>0</v>
      </c>
      <c r="I70" s="102">
        <f t="shared" si="29"/>
        <v>0</v>
      </c>
      <c r="J70" s="102">
        <f t="shared" si="29"/>
        <v>0</v>
      </c>
      <c r="K70" s="102">
        <f t="shared" si="29"/>
        <v>0</v>
      </c>
      <c r="L70" s="102">
        <f t="shared" si="29"/>
        <v>0</v>
      </c>
      <c r="M70" s="102">
        <f t="shared" si="29"/>
        <v>0</v>
      </c>
      <c r="N70" s="102">
        <f t="shared" si="29"/>
        <v>0</v>
      </c>
      <c r="O70" s="102">
        <f t="shared" si="29"/>
        <v>0</v>
      </c>
      <c r="P70" s="102">
        <f t="shared" si="29"/>
        <v>0</v>
      </c>
      <c r="Q70" s="102">
        <f t="shared" si="29"/>
        <v>0</v>
      </c>
      <c r="R70" s="102">
        <f t="shared" si="29"/>
        <v>0</v>
      </c>
      <c r="S70" s="102">
        <f t="shared" si="29"/>
        <v>0</v>
      </c>
      <c r="T70" s="102">
        <f t="shared" si="29"/>
        <v>0</v>
      </c>
      <c r="U70" s="102">
        <f t="shared" si="29"/>
        <v>0</v>
      </c>
      <c r="V70" s="102">
        <f t="shared" si="29"/>
        <v>0</v>
      </c>
      <c r="W70" s="102">
        <f t="shared" si="29"/>
        <v>0</v>
      </c>
      <c r="X70" s="102">
        <f t="shared" si="29"/>
        <v>0</v>
      </c>
      <c r="Y70" s="102">
        <f t="shared" si="29"/>
        <v>0</v>
      </c>
      <c r="Z70" s="102">
        <f t="shared" si="29"/>
        <v>0</v>
      </c>
      <c r="AA70" s="102">
        <f t="shared" si="29"/>
        <v>0</v>
      </c>
      <c r="AB70" s="102">
        <f t="shared" si="29"/>
        <v>0</v>
      </c>
      <c r="AC70" s="102">
        <f t="shared" si="29"/>
        <v>0</v>
      </c>
      <c r="AD70" s="102">
        <f t="shared" si="29"/>
        <v>0</v>
      </c>
      <c r="AE70" s="102">
        <f t="shared" si="29"/>
        <v>0</v>
      </c>
      <c r="AF70" s="102">
        <f t="shared" si="29"/>
        <v>0</v>
      </c>
      <c r="AG70" s="102">
        <f t="shared" si="29"/>
        <v>0</v>
      </c>
      <c r="AH70" s="102">
        <f t="shared" si="29"/>
        <v>0</v>
      </c>
      <c r="AI70" s="102">
        <f t="shared" si="29"/>
        <v>0</v>
      </c>
      <c r="AJ70" s="21">
        <f t="shared" si="24"/>
        <v>0</v>
      </c>
      <c r="AK70" s="115" t="s">
        <v>23</v>
      </c>
      <c r="AL70" s="116">
        <f>AJ79*40%</f>
        <v>21548</v>
      </c>
    </row>
    <row r="71" spans="1:38" ht="15" customHeight="1">
      <c r="A71" s="2">
        <v>4</v>
      </c>
      <c r="B71" s="2" t="s">
        <v>129</v>
      </c>
      <c r="C71" s="506" t="s">
        <v>122</v>
      </c>
      <c r="D71" s="501"/>
      <c r="E71" s="102">
        <f t="shared" ref="E71:AI71" si="30">E29-D29</f>
        <v>154</v>
      </c>
      <c r="F71" s="102">
        <f t="shared" si="30"/>
        <v>0</v>
      </c>
      <c r="G71" s="102">
        <f t="shared" si="30"/>
        <v>100</v>
      </c>
      <c r="H71" s="102">
        <f t="shared" si="30"/>
        <v>59</v>
      </c>
      <c r="I71" s="102">
        <f t="shared" si="30"/>
        <v>0</v>
      </c>
      <c r="J71" s="102">
        <f t="shared" si="30"/>
        <v>111</v>
      </c>
      <c r="K71" s="102">
        <f t="shared" si="30"/>
        <v>100</v>
      </c>
      <c r="L71" s="102">
        <f t="shared" si="30"/>
        <v>91</v>
      </c>
      <c r="M71" s="102">
        <f t="shared" si="30"/>
        <v>92</v>
      </c>
      <c r="N71" s="102">
        <f t="shared" si="30"/>
        <v>88</v>
      </c>
      <c r="O71" s="102">
        <f t="shared" si="30"/>
        <v>19</v>
      </c>
      <c r="P71" s="102">
        <f t="shared" si="30"/>
        <v>0</v>
      </c>
      <c r="Q71" s="102">
        <f t="shared" si="30"/>
        <v>98</v>
      </c>
      <c r="R71" s="102">
        <f t="shared" si="30"/>
        <v>113</v>
      </c>
      <c r="S71" s="102">
        <f t="shared" si="30"/>
        <v>109</v>
      </c>
      <c r="T71" s="102">
        <f t="shared" si="30"/>
        <v>112</v>
      </c>
      <c r="U71" s="102">
        <f t="shared" si="30"/>
        <v>111</v>
      </c>
      <c r="V71" s="102">
        <f t="shared" si="30"/>
        <v>0</v>
      </c>
      <c r="W71" s="102">
        <f t="shared" si="30"/>
        <v>0</v>
      </c>
      <c r="X71" s="102">
        <f t="shared" si="30"/>
        <v>0</v>
      </c>
      <c r="Y71" s="102">
        <f t="shared" si="30"/>
        <v>71</v>
      </c>
      <c r="Z71" s="102">
        <f t="shared" si="30"/>
        <v>97</v>
      </c>
      <c r="AA71" s="102">
        <f t="shared" si="30"/>
        <v>84</v>
      </c>
      <c r="AB71" s="102">
        <f t="shared" si="30"/>
        <v>102</v>
      </c>
      <c r="AC71" s="102">
        <f t="shared" si="30"/>
        <v>8</v>
      </c>
      <c r="AD71" s="102">
        <f t="shared" si="30"/>
        <v>0</v>
      </c>
      <c r="AE71" s="102">
        <f t="shared" si="30"/>
        <v>118</v>
      </c>
      <c r="AF71" s="102">
        <f t="shared" si="30"/>
        <v>94</v>
      </c>
      <c r="AG71" s="102">
        <f t="shared" si="30"/>
        <v>79</v>
      </c>
      <c r="AH71" s="102">
        <f t="shared" si="30"/>
        <v>74</v>
      </c>
      <c r="AI71" s="102">
        <f t="shared" si="30"/>
        <v>45</v>
      </c>
      <c r="AJ71" s="21">
        <f t="shared" si="24"/>
        <v>2129</v>
      </c>
      <c r="AK71" s="117" t="s">
        <v>22</v>
      </c>
      <c r="AL71" s="118">
        <f>AJ74+AJ61</f>
        <v>9</v>
      </c>
    </row>
    <row r="72" spans="1:38" ht="15" customHeight="1">
      <c r="A72" s="2"/>
      <c r="B72" s="2"/>
      <c r="C72" s="532" t="s">
        <v>22</v>
      </c>
      <c r="D72" s="501"/>
      <c r="E72" s="102">
        <f t="shared" ref="E72:AI72" si="31">E30-D30</f>
        <v>0</v>
      </c>
      <c r="F72" s="102">
        <f t="shared" si="31"/>
        <v>0</v>
      </c>
      <c r="G72" s="102">
        <f t="shared" si="31"/>
        <v>0</v>
      </c>
      <c r="H72" s="102">
        <f t="shared" si="31"/>
        <v>0</v>
      </c>
      <c r="I72" s="102">
        <f t="shared" si="31"/>
        <v>0</v>
      </c>
      <c r="J72" s="102">
        <f t="shared" si="31"/>
        <v>0</v>
      </c>
      <c r="K72" s="102">
        <f t="shared" si="31"/>
        <v>0</v>
      </c>
      <c r="L72" s="102">
        <f t="shared" si="31"/>
        <v>0</v>
      </c>
      <c r="M72" s="102">
        <f t="shared" si="31"/>
        <v>0</v>
      </c>
      <c r="N72" s="102">
        <f t="shared" si="31"/>
        <v>0</v>
      </c>
      <c r="O72" s="102">
        <f t="shared" si="31"/>
        <v>0</v>
      </c>
      <c r="P72" s="102">
        <f t="shared" si="31"/>
        <v>0</v>
      </c>
      <c r="Q72" s="102">
        <f t="shared" si="31"/>
        <v>0</v>
      </c>
      <c r="R72" s="102">
        <f t="shared" si="31"/>
        <v>0</v>
      </c>
      <c r="S72" s="102">
        <f t="shared" si="31"/>
        <v>0</v>
      </c>
      <c r="T72" s="102">
        <f t="shared" si="31"/>
        <v>0</v>
      </c>
      <c r="U72" s="102">
        <f t="shared" si="31"/>
        <v>0</v>
      </c>
      <c r="V72" s="102">
        <f t="shared" si="31"/>
        <v>0</v>
      </c>
      <c r="W72" s="102">
        <f t="shared" si="31"/>
        <v>0</v>
      </c>
      <c r="X72" s="102">
        <f t="shared" si="31"/>
        <v>0</v>
      </c>
      <c r="Y72" s="102">
        <f t="shared" si="31"/>
        <v>0</v>
      </c>
      <c r="Z72" s="102">
        <f t="shared" si="31"/>
        <v>0</v>
      </c>
      <c r="AA72" s="102">
        <f t="shared" si="31"/>
        <v>0</v>
      </c>
      <c r="AB72" s="102">
        <f t="shared" si="31"/>
        <v>0</v>
      </c>
      <c r="AC72" s="102">
        <f t="shared" si="31"/>
        <v>0</v>
      </c>
      <c r="AD72" s="102">
        <f t="shared" si="31"/>
        <v>0</v>
      </c>
      <c r="AE72" s="102">
        <f t="shared" si="31"/>
        <v>0</v>
      </c>
      <c r="AF72" s="102">
        <f t="shared" si="31"/>
        <v>0</v>
      </c>
      <c r="AG72" s="102">
        <f t="shared" si="31"/>
        <v>0</v>
      </c>
      <c r="AH72" s="102">
        <f t="shared" si="31"/>
        <v>0</v>
      </c>
      <c r="AI72" s="102">
        <f t="shared" si="31"/>
        <v>0</v>
      </c>
      <c r="AJ72" s="21">
        <f t="shared" si="24"/>
        <v>0</v>
      </c>
    </row>
    <row r="73" spans="1:38" ht="15" customHeight="1">
      <c r="A73" s="99"/>
      <c r="B73" s="99"/>
      <c r="C73" s="500" t="s">
        <v>134</v>
      </c>
      <c r="D73" s="501"/>
      <c r="E73" s="23">
        <f t="shared" ref="E73:AI73" si="32">SUM(E65,E67,E69,E71)</f>
        <v>726</v>
      </c>
      <c r="F73" s="23">
        <f t="shared" si="32"/>
        <v>0</v>
      </c>
      <c r="G73" s="23">
        <f t="shared" si="32"/>
        <v>580</v>
      </c>
      <c r="H73" s="23">
        <f t="shared" si="32"/>
        <v>126</v>
      </c>
      <c r="I73" s="23">
        <f t="shared" si="32"/>
        <v>5</v>
      </c>
      <c r="J73" s="23">
        <f t="shared" si="32"/>
        <v>437</v>
      </c>
      <c r="K73" s="23">
        <f t="shared" si="32"/>
        <v>531</v>
      </c>
      <c r="L73" s="23">
        <f t="shared" si="32"/>
        <v>494</v>
      </c>
      <c r="M73" s="23">
        <f t="shared" si="32"/>
        <v>480</v>
      </c>
      <c r="N73" s="23">
        <f t="shared" si="32"/>
        <v>517</v>
      </c>
      <c r="O73" s="23">
        <f t="shared" si="32"/>
        <v>309</v>
      </c>
      <c r="P73" s="23">
        <f t="shared" si="32"/>
        <v>0</v>
      </c>
      <c r="Q73" s="23">
        <f t="shared" si="32"/>
        <v>396</v>
      </c>
      <c r="R73" s="23">
        <f t="shared" si="32"/>
        <v>508</v>
      </c>
      <c r="S73" s="23">
        <f t="shared" si="32"/>
        <v>557</v>
      </c>
      <c r="T73" s="23">
        <f t="shared" si="32"/>
        <v>516</v>
      </c>
      <c r="U73" s="23">
        <f t="shared" si="32"/>
        <v>509</v>
      </c>
      <c r="V73" s="23">
        <f t="shared" si="32"/>
        <v>164</v>
      </c>
      <c r="W73" s="23">
        <f t="shared" si="32"/>
        <v>0</v>
      </c>
      <c r="X73" s="23">
        <f t="shared" si="32"/>
        <v>0</v>
      </c>
      <c r="Y73" s="23">
        <f t="shared" si="32"/>
        <v>406</v>
      </c>
      <c r="Z73" s="23">
        <f t="shared" si="32"/>
        <v>384</v>
      </c>
      <c r="AA73" s="23">
        <f t="shared" si="32"/>
        <v>438</v>
      </c>
      <c r="AB73" s="23">
        <f t="shared" si="32"/>
        <v>517</v>
      </c>
      <c r="AC73" s="23">
        <f t="shared" si="32"/>
        <v>116</v>
      </c>
      <c r="AD73" s="23">
        <f t="shared" si="32"/>
        <v>0</v>
      </c>
      <c r="AE73" s="23">
        <f t="shared" si="32"/>
        <v>548</v>
      </c>
      <c r="AF73" s="23">
        <f t="shared" si="32"/>
        <v>592</v>
      </c>
      <c r="AG73" s="23">
        <f t="shared" si="32"/>
        <v>490</v>
      </c>
      <c r="AH73" s="23">
        <f t="shared" si="32"/>
        <v>490</v>
      </c>
      <c r="AI73" s="23">
        <f t="shared" si="32"/>
        <v>308</v>
      </c>
      <c r="AJ73" s="24">
        <f t="shared" si="24"/>
        <v>11144</v>
      </c>
    </row>
    <row r="74" spans="1:38" ht="15" customHeight="1">
      <c r="A74" s="99"/>
      <c r="B74" s="99"/>
      <c r="C74" s="513" t="s">
        <v>135</v>
      </c>
      <c r="D74" s="501"/>
      <c r="E74" s="23">
        <f t="shared" ref="E74:AI74" si="33">SUM(E66,E68,E70,E72)</f>
        <v>0</v>
      </c>
      <c r="F74" s="23">
        <f t="shared" si="33"/>
        <v>0</v>
      </c>
      <c r="G74" s="23">
        <f t="shared" si="33"/>
        <v>0</v>
      </c>
      <c r="H74" s="23">
        <f t="shared" si="33"/>
        <v>0</v>
      </c>
      <c r="I74" s="23">
        <f t="shared" si="33"/>
        <v>0</v>
      </c>
      <c r="J74" s="23">
        <f t="shared" si="33"/>
        <v>0</v>
      </c>
      <c r="K74" s="23">
        <f t="shared" si="33"/>
        <v>0</v>
      </c>
      <c r="L74" s="23">
        <f t="shared" si="33"/>
        <v>0</v>
      </c>
      <c r="M74" s="23">
        <f t="shared" si="33"/>
        <v>0</v>
      </c>
      <c r="N74" s="23">
        <f t="shared" si="33"/>
        <v>0</v>
      </c>
      <c r="O74" s="23">
        <f t="shared" si="33"/>
        <v>0</v>
      </c>
      <c r="P74" s="23">
        <f t="shared" si="33"/>
        <v>0</v>
      </c>
      <c r="Q74" s="23">
        <f t="shared" si="33"/>
        <v>0</v>
      </c>
      <c r="R74" s="23">
        <f t="shared" si="33"/>
        <v>0</v>
      </c>
      <c r="S74" s="23">
        <f t="shared" si="33"/>
        <v>0</v>
      </c>
      <c r="T74" s="23">
        <f t="shared" si="33"/>
        <v>0</v>
      </c>
      <c r="U74" s="23">
        <f t="shared" si="33"/>
        <v>0</v>
      </c>
      <c r="V74" s="23">
        <f t="shared" si="33"/>
        <v>0</v>
      </c>
      <c r="W74" s="23">
        <f t="shared" si="33"/>
        <v>0</v>
      </c>
      <c r="X74" s="23">
        <f t="shared" si="33"/>
        <v>0</v>
      </c>
      <c r="Y74" s="23">
        <f t="shared" si="33"/>
        <v>0</v>
      </c>
      <c r="Z74" s="23">
        <f t="shared" si="33"/>
        <v>0</v>
      </c>
      <c r="AA74" s="23">
        <f t="shared" si="33"/>
        <v>0</v>
      </c>
      <c r="AB74" s="23">
        <f t="shared" si="33"/>
        <v>0</v>
      </c>
      <c r="AC74" s="23">
        <f t="shared" si="33"/>
        <v>0</v>
      </c>
      <c r="AD74" s="23">
        <f t="shared" si="33"/>
        <v>0</v>
      </c>
      <c r="AE74" s="23">
        <f t="shared" si="33"/>
        <v>0</v>
      </c>
      <c r="AF74" s="23">
        <f t="shared" si="33"/>
        <v>0</v>
      </c>
      <c r="AG74" s="23">
        <f t="shared" si="33"/>
        <v>0</v>
      </c>
      <c r="AH74" s="23">
        <f t="shared" si="33"/>
        <v>0</v>
      </c>
      <c r="AI74" s="23">
        <f t="shared" si="33"/>
        <v>0</v>
      </c>
      <c r="AJ74" s="24">
        <f t="shared" si="24"/>
        <v>0</v>
      </c>
    </row>
    <row r="75" spans="1:38" ht="15" customHeight="1">
      <c r="A75" s="2">
        <v>1</v>
      </c>
      <c r="B75" s="2" t="s">
        <v>129</v>
      </c>
      <c r="C75" s="503" t="s">
        <v>123</v>
      </c>
      <c r="D75" s="501"/>
      <c r="E75" s="102">
        <f t="shared" ref="E75:AI75" si="34">E32-D32</f>
        <v>617</v>
      </c>
      <c r="F75" s="102">
        <f t="shared" si="34"/>
        <v>0</v>
      </c>
      <c r="G75" s="102">
        <f t="shared" si="34"/>
        <v>622</v>
      </c>
      <c r="H75" s="102">
        <f t="shared" si="34"/>
        <v>345</v>
      </c>
      <c r="I75" s="102">
        <f t="shared" si="34"/>
        <v>0</v>
      </c>
      <c r="J75" s="102">
        <f t="shared" si="34"/>
        <v>511</v>
      </c>
      <c r="K75" s="102">
        <f t="shared" si="34"/>
        <v>481</v>
      </c>
      <c r="L75" s="102">
        <f t="shared" si="34"/>
        <v>498</v>
      </c>
      <c r="M75" s="102">
        <f t="shared" si="34"/>
        <v>519</v>
      </c>
      <c r="N75" s="102">
        <f t="shared" si="34"/>
        <v>446</v>
      </c>
      <c r="O75" s="102">
        <f t="shared" si="34"/>
        <v>352</v>
      </c>
      <c r="P75" s="102">
        <f t="shared" si="34"/>
        <v>0</v>
      </c>
      <c r="Q75" s="102">
        <f t="shared" si="34"/>
        <v>521</v>
      </c>
      <c r="R75" s="102">
        <f t="shared" si="34"/>
        <v>624</v>
      </c>
      <c r="S75" s="102">
        <f t="shared" si="34"/>
        <v>591</v>
      </c>
      <c r="T75" s="102">
        <f t="shared" si="34"/>
        <v>497</v>
      </c>
      <c r="U75" s="102">
        <f t="shared" si="34"/>
        <v>424</v>
      </c>
      <c r="V75" s="102">
        <f t="shared" si="34"/>
        <v>165</v>
      </c>
      <c r="W75" s="102">
        <f t="shared" si="34"/>
        <v>0</v>
      </c>
      <c r="X75" s="102">
        <f t="shared" si="34"/>
        <v>0</v>
      </c>
      <c r="Y75" s="102">
        <f t="shared" si="34"/>
        <v>557</v>
      </c>
      <c r="Z75" s="102">
        <f t="shared" si="34"/>
        <v>562</v>
      </c>
      <c r="AA75" s="102">
        <f t="shared" si="34"/>
        <v>366</v>
      </c>
      <c r="AB75" s="102">
        <f t="shared" si="34"/>
        <v>385</v>
      </c>
      <c r="AC75" s="102">
        <f t="shared" si="34"/>
        <v>173</v>
      </c>
      <c r="AD75" s="102">
        <f t="shared" si="34"/>
        <v>0</v>
      </c>
      <c r="AE75" s="102">
        <f t="shared" si="34"/>
        <v>504</v>
      </c>
      <c r="AF75" s="102">
        <f t="shared" si="34"/>
        <v>574</v>
      </c>
      <c r="AG75" s="102">
        <f t="shared" si="34"/>
        <v>548</v>
      </c>
      <c r="AH75" s="102">
        <f t="shared" si="34"/>
        <v>498</v>
      </c>
      <c r="AI75" s="102">
        <f t="shared" si="34"/>
        <v>194</v>
      </c>
      <c r="AJ75" s="21">
        <f t="shared" si="24"/>
        <v>11574</v>
      </c>
    </row>
    <row r="76" spans="1:38" ht="15" customHeight="1">
      <c r="A76" s="2">
        <v>2</v>
      </c>
      <c r="B76" s="2" t="s">
        <v>129</v>
      </c>
      <c r="C76" s="503" t="s">
        <v>124</v>
      </c>
      <c r="D76" s="501"/>
      <c r="E76" s="102">
        <f t="shared" ref="E76:AI76" si="35">E33-D33</f>
        <v>702</v>
      </c>
      <c r="F76" s="102">
        <f t="shared" si="35"/>
        <v>0</v>
      </c>
      <c r="G76" s="102">
        <f t="shared" si="35"/>
        <v>735</v>
      </c>
      <c r="H76" s="102">
        <f t="shared" si="35"/>
        <v>533</v>
      </c>
      <c r="I76" s="102">
        <f t="shared" si="35"/>
        <v>0</v>
      </c>
      <c r="J76" s="102">
        <f t="shared" si="35"/>
        <v>637</v>
      </c>
      <c r="K76" s="102">
        <f t="shared" si="35"/>
        <v>520</v>
      </c>
      <c r="L76" s="102">
        <f t="shared" si="35"/>
        <v>575</v>
      </c>
      <c r="M76" s="102">
        <f t="shared" si="35"/>
        <v>399</v>
      </c>
      <c r="N76" s="102">
        <f t="shared" si="35"/>
        <v>446</v>
      </c>
      <c r="O76" s="102">
        <f t="shared" si="35"/>
        <v>324</v>
      </c>
      <c r="P76" s="102">
        <f t="shared" si="35"/>
        <v>0</v>
      </c>
      <c r="Q76" s="102">
        <f t="shared" si="35"/>
        <v>554</v>
      </c>
      <c r="R76" s="102">
        <f t="shared" si="35"/>
        <v>509</v>
      </c>
      <c r="S76" s="102">
        <f t="shared" si="35"/>
        <v>475</v>
      </c>
      <c r="T76" s="102">
        <f t="shared" si="35"/>
        <v>482</v>
      </c>
      <c r="U76" s="102">
        <f t="shared" si="35"/>
        <v>464</v>
      </c>
      <c r="V76" s="102">
        <f t="shared" si="35"/>
        <v>69</v>
      </c>
      <c r="W76" s="102">
        <f t="shared" si="35"/>
        <v>0</v>
      </c>
      <c r="X76" s="102">
        <f t="shared" si="35"/>
        <v>0</v>
      </c>
      <c r="Y76" s="102">
        <f t="shared" si="35"/>
        <v>618</v>
      </c>
      <c r="Z76" s="102">
        <f t="shared" si="35"/>
        <v>472</v>
      </c>
      <c r="AA76" s="102">
        <f t="shared" si="35"/>
        <v>347</v>
      </c>
      <c r="AB76" s="102">
        <f t="shared" si="35"/>
        <v>366</v>
      </c>
      <c r="AC76" s="102">
        <f t="shared" si="35"/>
        <v>79</v>
      </c>
      <c r="AD76" s="102">
        <f t="shared" si="35"/>
        <v>0</v>
      </c>
      <c r="AE76" s="102">
        <f t="shared" si="35"/>
        <v>540</v>
      </c>
      <c r="AF76" s="102">
        <f t="shared" si="35"/>
        <v>415</v>
      </c>
      <c r="AG76" s="102">
        <f t="shared" si="35"/>
        <v>394</v>
      </c>
      <c r="AH76" s="102">
        <f t="shared" si="35"/>
        <v>431</v>
      </c>
      <c r="AI76" s="102">
        <f t="shared" si="35"/>
        <v>218</v>
      </c>
      <c r="AJ76" s="21">
        <f t="shared" si="24"/>
        <v>11304</v>
      </c>
    </row>
    <row r="77" spans="1:38" ht="15" customHeight="1">
      <c r="A77" s="2">
        <v>3</v>
      </c>
      <c r="B77" s="2" t="s">
        <v>129</v>
      </c>
      <c r="C77" s="503" t="s">
        <v>125</v>
      </c>
      <c r="D77" s="501"/>
      <c r="E77" s="102">
        <f t="shared" ref="E77:AI77" si="36">E34-D34</f>
        <v>870</v>
      </c>
      <c r="F77" s="102">
        <f t="shared" si="36"/>
        <v>0</v>
      </c>
      <c r="G77" s="102">
        <f t="shared" si="36"/>
        <v>609</v>
      </c>
      <c r="H77" s="102">
        <f t="shared" si="36"/>
        <v>425</v>
      </c>
      <c r="I77" s="102">
        <f t="shared" si="36"/>
        <v>0</v>
      </c>
      <c r="J77" s="102">
        <f t="shared" si="36"/>
        <v>643</v>
      </c>
      <c r="K77" s="102">
        <f t="shared" si="36"/>
        <v>559</v>
      </c>
      <c r="L77" s="102">
        <f t="shared" si="36"/>
        <v>663</v>
      </c>
      <c r="M77" s="102">
        <f t="shared" si="36"/>
        <v>526</v>
      </c>
      <c r="N77" s="102">
        <f t="shared" si="36"/>
        <v>481</v>
      </c>
      <c r="O77" s="102">
        <f t="shared" si="36"/>
        <v>331</v>
      </c>
      <c r="P77" s="102">
        <f t="shared" si="36"/>
        <v>0</v>
      </c>
      <c r="Q77" s="102">
        <f t="shared" si="36"/>
        <v>650</v>
      </c>
      <c r="R77" s="102">
        <f t="shared" si="36"/>
        <v>511</v>
      </c>
      <c r="S77" s="102">
        <f t="shared" si="36"/>
        <v>498</v>
      </c>
      <c r="T77" s="102">
        <f t="shared" si="36"/>
        <v>523</v>
      </c>
      <c r="U77" s="102">
        <f t="shared" si="36"/>
        <v>482</v>
      </c>
      <c r="V77" s="102">
        <f t="shared" si="36"/>
        <v>255</v>
      </c>
      <c r="W77" s="102">
        <f t="shared" si="36"/>
        <v>0</v>
      </c>
      <c r="X77" s="102">
        <f t="shared" si="36"/>
        <v>0</v>
      </c>
      <c r="Y77" s="102">
        <f t="shared" si="36"/>
        <v>676</v>
      </c>
      <c r="Z77" s="102">
        <f t="shared" si="36"/>
        <v>453</v>
      </c>
      <c r="AA77" s="102">
        <f t="shared" si="36"/>
        <v>479</v>
      </c>
      <c r="AB77" s="102">
        <f t="shared" si="36"/>
        <v>347</v>
      </c>
      <c r="AC77" s="102">
        <f t="shared" si="36"/>
        <v>279</v>
      </c>
      <c r="AD77" s="102">
        <f t="shared" si="36"/>
        <v>0</v>
      </c>
      <c r="AE77" s="102">
        <f t="shared" si="36"/>
        <v>499</v>
      </c>
      <c r="AF77" s="102">
        <f t="shared" si="36"/>
        <v>515</v>
      </c>
      <c r="AG77" s="102">
        <f t="shared" si="36"/>
        <v>693</v>
      </c>
      <c r="AH77" s="102">
        <f t="shared" si="36"/>
        <v>694</v>
      </c>
      <c r="AI77" s="102">
        <f t="shared" si="36"/>
        <v>375</v>
      </c>
      <c r="AJ77" s="21">
        <f t="shared" si="24"/>
        <v>13036</v>
      </c>
    </row>
    <row r="78" spans="1:38" ht="15" customHeight="1">
      <c r="A78" s="2">
        <v>4</v>
      </c>
      <c r="B78" s="2" t="s">
        <v>129</v>
      </c>
      <c r="C78" s="503" t="s">
        <v>126</v>
      </c>
      <c r="D78" s="501"/>
      <c r="E78" s="102">
        <f t="shared" ref="E78:AI78" si="37">E35-D35</f>
        <v>1093</v>
      </c>
      <c r="F78" s="102">
        <f t="shared" si="37"/>
        <v>0</v>
      </c>
      <c r="G78" s="102">
        <f t="shared" si="37"/>
        <v>998</v>
      </c>
      <c r="H78" s="102">
        <f t="shared" si="37"/>
        <v>565</v>
      </c>
      <c r="I78" s="102">
        <f t="shared" si="37"/>
        <v>0</v>
      </c>
      <c r="J78" s="102">
        <f t="shared" si="37"/>
        <v>888</v>
      </c>
      <c r="K78" s="102">
        <f t="shared" si="37"/>
        <v>985</v>
      </c>
      <c r="L78" s="102">
        <f t="shared" si="37"/>
        <v>851</v>
      </c>
      <c r="M78" s="102">
        <f t="shared" si="37"/>
        <v>753</v>
      </c>
      <c r="N78" s="102">
        <f t="shared" si="37"/>
        <v>843</v>
      </c>
      <c r="O78" s="102">
        <f t="shared" si="37"/>
        <v>262</v>
      </c>
      <c r="P78" s="102">
        <f t="shared" si="37"/>
        <v>0</v>
      </c>
      <c r="Q78" s="102">
        <f t="shared" si="37"/>
        <v>812</v>
      </c>
      <c r="R78" s="102">
        <f t="shared" si="37"/>
        <v>857</v>
      </c>
      <c r="S78" s="102">
        <f t="shared" si="37"/>
        <v>838</v>
      </c>
      <c r="T78" s="102">
        <f t="shared" si="37"/>
        <v>869</v>
      </c>
      <c r="U78" s="102">
        <f t="shared" si="37"/>
        <v>838</v>
      </c>
      <c r="V78" s="102">
        <f t="shared" si="37"/>
        <v>109</v>
      </c>
      <c r="W78" s="102">
        <f t="shared" si="37"/>
        <v>0</v>
      </c>
      <c r="X78" s="102">
        <f t="shared" si="37"/>
        <v>0</v>
      </c>
      <c r="Y78" s="102">
        <f t="shared" si="37"/>
        <v>735</v>
      </c>
      <c r="Z78" s="102">
        <f t="shared" si="37"/>
        <v>693</v>
      </c>
      <c r="AA78" s="102">
        <f t="shared" si="37"/>
        <v>706</v>
      </c>
      <c r="AB78" s="102">
        <f t="shared" si="37"/>
        <v>620</v>
      </c>
      <c r="AC78" s="102">
        <f t="shared" si="37"/>
        <v>197</v>
      </c>
      <c r="AD78" s="102">
        <f t="shared" si="37"/>
        <v>0</v>
      </c>
      <c r="AE78" s="102">
        <f t="shared" si="37"/>
        <v>809</v>
      </c>
      <c r="AF78" s="102">
        <f t="shared" si="37"/>
        <v>748</v>
      </c>
      <c r="AG78" s="102">
        <f t="shared" si="37"/>
        <v>785</v>
      </c>
      <c r="AH78" s="102">
        <f t="shared" si="37"/>
        <v>701</v>
      </c>
      <c r="AI78" s="102">
        <f t="shared" si="37"/>
        <v>401</v>
      </c>
      <c r="AJ78" s="21">
        <f t="shared" si="24"/>
        <v>17956</v>
      </c>
    </row>
    <row r="79" spans="1:38" ht="15" customHeight="1">
      <c r="A79" s="99"/>
      <c r="B79" s="99"/>
      <c r="C79" s="500" t="s">
        <v>136</v>
      </c>
      <c r="D79" s="501"/>
      <c r="E79" s="23">
        <f t="shared" ref="E79:AJ79" si="38">SUM(E75:E78)</f>
        <v>3282</v>
      </c>
      <c r="F79" s="23">
        <f t="shared" si="38"/>
        <v>0</v>
      </c>
      <c r="G79" s="23">
        <f t="shared" si="38"/>
        <v>2964</v>
      </c>
      <c r="H79" s="23">
        <f t="shared" si="38"/>
        <v>1868</v>
      </c>
      <c r="I79" s="23">
        <f t="shared" si="38"/>
        <v>0</v>
      </c>
      <c r="J79" s="23">
        <f t="shared" si="38"/>
        <v>2679</v>
      </c>
      <c r="K79" s="23">
        <f t="shared" si="38"/>
        <v>2545</v>
      </c>
      <c r="L79" s="23">
        <f t="shared" si="38"/>
        <v>2587</v>
      </c>
      <c r="M79" s="23">
        <f t="shared" si="38"/>
        <v>2197</v>
      </c>
      <c r="N79" s="23">
        <f t="shared" si="38"/>
        <v>2216</v>
      </c>
      <c r="O79" s="23">
        <f t="shared" si="38"/>
        <v>1269</v>
      </c>
      <c r="P79" s="23">
        <f t="shared" si="38"/>
        <v>0</v>
      </c>
      <c r="Q79" s="23">
        <f t="shared" si="38"/>
        <v>2537</v>
      </c>
      <c r="R79" s="23">
        <f t="shared" si="38"/>
        <v>2501</v>
      </c>
      <c r="S79" s="23">
        <f t="shared" si="38"/>
        <v>2402</v>
      </c>
      <c r="T79" s="23">
        <f t="shared" si="38"/>
        <v>2371</v>
      </c>
      <c r="U79" s="23">
        <f t="shared" si="38"/>
        <v>2208</v>
      </c>
      <c r="V79" s="23">
        <f t="shared" si="38"/>
        <v>598</v>
      </c>
      <c r="W79" s="23">
        <f t="shared" si="38"/>
        <v>0</v>
      </c>
      <c r="X79" s="23">
        <f t="shared" si="38"/>
        <v>0</v>
      </c>
      <c r="Y79" s="23">
        <f t="shared" si="38"/>
        <v>2586</v>
      </c>
      <c r="Z79" s="23">
        <f t="shared" si="38"/>
        <v>2180</v>
      </c>
      <c r="AA79" s="23">
        <f t="shared" si="38"/>
        <v>1898</v>
      </c>
      <c r="AB79" s="23">
        <f t="shared" si="38"/>
        <v>1718</v>
      </c>
      <c r="AC79" s="23">
        <f t="shared" si="38"/>
        <v>728</v>
      </c>
      <c r="AD79" s="23">
        <f t="shared" si="38"/>
        <v>0</v>
      </c>
      <c r="AE79" s="23">
        <f t="shared" si="38"/>
        <v>2352</v>
      </c>
      <c r="AF79" s="23">
        <f t="shared" si="38"/>
        <v>2252</v>
      </c>
      <c r="AG79" s="23">
        <f t="shared" si="38"/>
        <v>2420</v>
      </c>
      <c r="AH79" s="23">
        <f t="shared" si="38"/>
        <v>2324</v>
      </c>
      <c r="AI79" s="23">
        <f t="shared" si="38"/>
        <v>1188</v>
      </c>
      <c r="AJ79" s="217">
        <f t="shared" si="38"/>
        <v>53870</v>
      </c>
    </row>
    <row r="87" spans="33:33">
      <c r="AG87" s="64"/>
    </row>
  </sheetData>
  <mergeCells count="49">
    <mergeCell ref="AJ40:AJ43"/>
    <mergeCell ref="C62:D62"/>
    <mergeCell ref="C68:D68"/>
    <mergeCell ref="C58:D58"/>
    <mergeCell ref="C40:D43"/>
    <mergeCell ref="C45:D45"/>
    <mergeCell ref="C67:D67"/>
    <mergeCell ref="C57:D57"/>
    <mergeCell ref="C66:D66"/>
    <mergeCell ref="C53:D53"/>
    <mergeCell ref="AJ2:AJ5"/>
    <mergeCell ref="E1:AH1"/>
    <mergeCell ref="C74:D74"/>
    <mergeCell ref="B2:B5"/>
    <mergeCell ref="C64:D64"/>
    <mergeCell ref="A1:D1"/>
    <mergeCell ref="A22:AJ22"/>
    <mergeCell ref="C60:D60"/>
    <mergeCell ref="C51:D51"/>
    <mergeCell ref="A2:A5"/>
    <mergeCell ref="C71:D71"/>
    <mergeCell ref="C2:C5"/>
    <mergeCell ref="C52:D52"/>
    <mergeCell ref="C70:D70"/>
    <mergeCell ref="C48:D48"/>
    <mergeCell ref="A31:AJ31"/>
    <mergeCell ref="B38:D38"/>
    <mergeCell ref="D2:D5"/>
    <mergeCell ref="C73:D73"/>
    <mergeCell ref="C47:D47"/>
    <mergeCell ref="C54:D54"/>
    <mergeCell ref="C65:D65"/>
    <mergeCell ref="C55:D55"/>
    <mergeCell ref="C50:D50"/>
    <mergeCell ref="C44:D44"/>
    <mergeCell ref="C56:D56"/>
    <mergeCell ref="C59:D59"/>
    <mergeCell ref="C49:D49"/>
    <mergeCell ref="C46:D46"/>
    <mergeCell ref="B40:B43"/>
    <mergeCell ref="C72:D72"/>
    <mergeCell ref="B39:D39"/>
    <mergeCell ref="C78:D78"/>
    <mergeCell ref="C69:D69"/>
    <mergeCell ref="A40:A43"/>
    <mergeCell ref="C79:D79"/>
    <mergeCell ref="C75:D75"/>
    <mergeCell ref="C77:D77"/>
    <mergeCell ref="C76:D7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K87"/>
  <sheetViews>
    <sheetView topLeftCell="AB51" zoomScale="80" zoomScaleNormal="80" workbookViewId="0">
      <selection activeCell="AJ68" sqref="AJ68:AK71"/>
    </sheetView>
  </sheetViews>
  <sheetFormatPr defaultRowHeight="14.5"/>
  <cols>
    <col min="1" max="1" width="14" customWidth="1"/>
    <col min="2" max="2" width="27" customWidth="1"/>
    <col min="3" max="3" width="32" bestFit="1" customWidth="1"/>
    <col min="4" max="4" width="20" customWidth="1"/>
    <col min="5" max="28" width="23" customWidth="1"/>
    <col min="29" max="29" width="23" bestFit="1" customWidth="1"/>
    <col min="30" max="30" width="23" customWidth="1"/>
    <col min="31" max="31" width="23" bestFit="1" customWidth="1"/>
    <col min="32" max="34" width="23" customWidth="1"/>
    <col min="35" max="35" width="18" customWidth="1"/>
    <col min="36" max="36" width="14" customWidth="1"/>
    <col min="37" max="37" width="18" customWidth="1"/>
  </cols>
  <sheetData>
    <row r="1" spans="1:35" ht="26" customHeight="1">
      <c r="A1" s="573"/>
      <c r="B1" s="526"/>
      <c r="C1" s="526"/>
      <c r="D1" s="527"/>
      <c r="E1" s="581" t="s">
        <v>167</v>
      </c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  <c r="AI1" s="50"/>
    </row>
    <row r="2" spans="1:35">
      <c r="A2" s="510" t="s">
        <v>99</v>
      </c>
      <c r="B2" s="510" t="s">
        <v>100</v>
      </c>
      <c r="C2" s="580" t="s">
        <v>101</v>
      </c>
      <c r="D2" s="572" t="s">
        <v>102</v>
      </c>
      <c r="E2" s="51">
        <v>45901</v>
      </c>
      <c r="F2" s="51">
        <v>45902</v>
      </c>
      <c r="G2" s="51">
        <v>45903</v>
      </c>
      <c r="H2" s="51">
        <v>45904</v>
      </c>
      <c r="I2" s="51">
        <v>45905</v>
      </c>
      <c r="J2" s="51">
        <v>45906</v>
      </c>
      <c r="K2" s="51">
        <v>45907</v>
      </c>
      <c r="L2" s="51">
        <v>45908</v>
      </c>
      <c r="M2" s="51">
        <v>45909</v>
      </c>
      <c r="N2" s="51">
        <v>45910</v>
      </c>
      <c r="O2" s="51">
        <v>45911</v>
      </c>
      <c r="P2" s="51">
        <v>45912</v>
      </c>
      <c r="Q2" s="51">
        <v>45913</v>
      </c>
      <c r="R2" s="51">
        <v>45914</v>
      </c>
      <c r="S2" s="51">
        <v>45915</v>
      </c>
      <c r="T2" s="51">
        <v>45916</v>
      </c>
      <c r="U2" s="51">
        <v>45917</v>
      </c>
      <c r="V2" s="51">
        <v>45918</v>
      </c>
      <c r="W2" s="51">
        <v>45919</v>
      </c>
      <c r="X2" s="51">
        <v>45920</v>
      </c>
      <c r="Y2" s="51">
        <v>45921</v>
      </c>
      <c r="Z2" s="51">
        <v>45922</v>
      </c>
      <c r="AA2" s="51">
        <v>45923</v>
      </c>
      <c r="AB2" s="51">
        <v>45924</v>
      </c>
      <c r="AC2" s="51">
        <v>45925</v>
      </c>
      <c r="AD2" s="51">
        <v>45926</v>
      </c>
      <c r="AE2" s="51">
        <v>45927</v>
      </c>
      <c r="AF2" s="51">
        <v>45928</v>
      </c>
      <c r="AG2" s="51">
        <v>45929</v>
      </c>
      <c r="AH2" s="51">
        <v>45930</v>
      </c>
      <c r="AI2" s="514" t="s">
        <v>1</v>
      </c>
    </row>
    <row r="3" spans="1:35">
      <c r="A3" s="511"/>
      <c r="B3" s="511"/>
      <c r="C3" s="511"/>
      <c r="D3" s="511"/>
      <c r="E3" s="96" t="s">
        <v>106</v>
      </c>
      <c r="F3" s="96" t="s">
        <v>107</v>
      </c>
      <c r="G3" s="96" t="s">
        <v>108</v>
      </c>
      <c r="H3" s="96" t="s">
        <v>109</v>
      </c>
      <c r="I3" s="96" t="s">
        <v>103</v>
      </c>
      <c r="J3" s="96" t="s">
        <v>104</v>
      </c>
      <c r="K3" s="96" t="s">
        <v>105</v>
      </c>
      <c r="L3" s="96" t="s">
        <v>106</v>
      </c>
      <c r="M3" s="96" t="s">
        <v>107</v>
      </c>
      <c r="N3" s="96" t="s">
        <v>108</v>
      </c>
      <c r="O3" s="96" t="s">
        <v>109</v>
      </c>
      <c r="P3" s="96" t="s">
        <v>103</v>
      </c>
      <c r="Q3" s="96" t="s">
        <v>104</v>
      </c>
      <c r="R3" s="96" t="s">
        <v>105</v>
      </c>
      <c r="S3" s="96" t="s">
        <v>106</v>
      </c>
      <c r="T3" s="96" t="s">
        <v>107</v>
      </c>
      <c r="U3" s="96" t="s">
        <v>108</v>
      </c>
      <c r="V3" s="96" t="s">
        <v>109</v>
      </c>
      <c r="W3" s="96" t="s">
        <v>103</v>
      </c>
      <c r="X3" s="96" t="s">
        <v>104</v>
      </c>
      <c r="Y3" s="96" t="s">
        <v>105</v>
      </c>
      <c r="Z3" s="96" t="s">
        <v>106</v>
      </c>
      <c r="AA3" s="96" t="s">
        <v>107</v>
      </c>
      <c r="AB3" s="96" t="s">
        <v>108</v>
      </c>
      <c r="AC3" s="96" t="s">
        <v>109</v>
      </c>
      <c r="AD3" s="96" t="s">
        <v>103</v>
      </c>
      <c r="AE3" s="96" t="s">
        <v>104</v>
      </c>
      <c r="AF3" s="96" t="s">
        <v>105</v>
      </c>
      <c r="AG3" s="96" t="s">
        <v>106</v>
      </c>
      <c r="AH3" s="96" t="s">
        <v>107</v>
      </c>
      <c r="AI3" s="511"/>
    </row>
    <row r="4" spans="1:35">
      <c r="A4" s="511"/>
      <c r="B4" s="511"/>
      <c r="C4" s="511"/>
      <c r="D4" s="511"/>
      <c r="E4" s="52" t="s">
        <v>110</v>
      </c>
      <c r="F4" s="52" t="s">
        <v>110</v>
      </c>
      <c r="G4" s="52" t="s">
        <v>110</v>
      </c>
      <c r="H4" s="52" t="s">
        <v>110</v>
      </c>
      <c r="I4" s="52" t="s">
        <v>110</v>
      </c>
      <c r="J4" s="52" t="s">
        <v>110</v>
      </c>
      <c r="K4" s="52" t="s">
        <v>110</v>
      </c>
      <c r="L4" s="52" t="s">
        <v>110</v>
      </c>
      <c r="M4" s="52" t="s">
        <v>110</v>
      </c>
      <c r="N4" s="52" t="s">
        <v>110</v>
      </c>
      <c r="O4" s="52" t="s">
        <v>110</v>
      </c>
      <c r="P4" s="52" t="s">
        <v>110</v>
      </c>
      <c r="Q4" s="52" t="s">
        <v>110</v>
      </c>
      <c r="R4" s="52" t="s">
        <v>110</v>
      </c>
      <c r="S4" s="52" t="s">
        <v>110</v>
      </c>
      <c r="T4" s="52" t="s">
        <v>110</v>
      </c>
      <c r="U4" s="52" t="s">
        <v>110</v>
      </c>
      <c r="V4" s="52" t="s">
        <v>110</v>
      </c>
      <c r="W4" s="52" t="s">
        <v>110</v>
      </c>
      <c r="X4" s="52" t="s">
        <v>110</v>
      </c>
      <c r="Y4" s="52" t="s">
        <v>110</v>
      </c>
      <c r="Z4" s="52" t="s">
        <v>110</v>
      </c>
      <c r="AA4" s="52" t="s">
        <v>110</v>
      </c>
      <c r="AB4" s="52" t="s">
        <v>110</v>
      </c>
      <c r="AC4" s="52" t="s">
        <v>110</v>
      </c>
      <c r="AD4" s="52" t="s">
        <v>110</v>
      </c>
      <c r="AE4" s="52" t="s">
        <v>110</v>
      </c>
      <c r="AF4" s="52" t="s">
        <v>110</v>
      </c>
      <c r="AG4" s="52" t="s">
        <v>110</v>
      </c>
      <c r="AH4" s="52" t="s">
        <v>110</v>
      </c>
      <c r="AI4" s="511"/>
    </row>
    <row r="5" spans="1:35">
      <c r="A5" s="512"/>
      <c r="B5" s="512"/>
      <c r="C5" s="512"/>
      <c r="D5" s="512"/>
      <c r="E5" s="53">
        <v>0.33333333333333331</v>
      </c>
      <c r="F5" s="53">
        <v>0.33333333333333331</v>
      </c>
      <c r="G5" s="53">
        <v>0.33333333333333331</v>
      </c>
      <c r="H5" s="53">
        <v>0.33333333333333331</v>
      </c>
      <c r="I5" s="53">
        <v>0.33333333333333331</v>
      </c>
      <c r="J5" s="53">
        <v>0.33333333333333331</v>
      </c>
      <c r="K5" s="53">
        <v>0.33333333333333331</v>
      </c>
      <c r="L5" s="53">
        <v>0.33333333333333331</v>
      </c>
      <c r="M5" s="53">
        <v>0.33333333333333331</v>
      </c>
      <c r="N5" s="53">
        <v>0.33333333333333331</v>
      </c>
      <c r="O5" s="53">
        <v>0.33333333333333331</v>
      </c>
      <c r="P5" s="53">
        <v>0.33333333333333331</v>
      </c>
      <c r="Q5" s="53">
        <v>0.33333333333333331</v>
      </c>
      <c r="R5" s="53">
        <v>0.33333333333333331</v>
      </c>
      <c r="S5" s="53">
        <v>0.33333333333333331</v>
      </c>
      <c r="T5" s="53">
        <v>0.33333333333333331</v>
      </c>
      <c r="U5" s="53">
        <v>0.33333333333333331</v>
      </c>
      <c r="V5" s="53">
        <v>0.33333333333333331</v>
      </c>
      <c r="W5" s="53">
        <v>0.33333333333333331</v>
      </c>
      <c r="X5" s="53">
        <v>0.33333333333333331</v>
      </c>
      <c r="Y5" s="53">
        <v>0.33333333333333331</v>
      </c>
      <c r="Z5" s="53">
        <v>0.33333333333333331</v>
      </c>
      <c r="AA5" s="53">
        <v>0.33333333333333331</v>
      </c>
      <c r="AB5" s="199">
        <v>0.33333333333333331</v>
      </c>
      <c r="AC5" s="53">
        <v>0.33333333333333331</v>
      </c>
      <c r="AD5" s="53">
        <v>0.33333333333333331</v>
      </c>
      <c r="AE5" s="53">
        <v>0.33333333333333331</v>
      </c>
      <c r="AF5" s="53">
        <v>0.33333333333333331</v>
      </c>
      <c r="AG5" s="53">
        <v>0.33333333333333331</v>
      </c>
      <c r="AH5" s="53">
        <v>0.33333333333333331</v>
      </c>
      <c r="AI5" s="512"/>
    </row>
    <row r="6" spans="1:35">
      <c r="A6" s="48">
        <v>1</v>
      </c>
      <c r="B6" s="4" t="s">
        <v>129</v>
      </c>
      <c r="C6" s="139" t="s">
        <v>111</v>
      </c>
      <c r="D6" s="48">
        <v>137403</v>
      </c>
      <c r="E6" s="48">
        <v>137778</v>
      </c>
      <c r="F6" s="48">
        <v>137998</v>
      </c>
      <c r="G6" s="48">
        <v>138285</v>
      </c>
      <c r="H6" s="48">
        <v>138563</v>
      </c>
      <c r="I6" s="48">
        <v>138839</v>
      </c>
      <c r="J6" s="48">
        <v>139050</v>
      </c>
      <c r="K6" s="48">
        <v>139264</v>
      </c>
      <c r="L6" s="48">
        <v>139537</v>
      </c>
      <c r="M6" s="48">
        <v>139823</v>
      </c>
      <c r="N6" s="48">
        <v>140115</v>
      </c>
      <c r="O6" s="58">
        <v>140390</v>
      </c>
      <c r="P6" s="184">
        <v>140672</v>
      </c>
      <c r="Q6" s="48">
        <v>140882</v>
      </c>
      <c r="R6" s="59">
        <v>141098</v>
      </c>
      <c r="S6" s="4">
        <v>141289</v>
      </c>
      <c r="T6" s="4">
        <v>141563</v>
      </c>
      <c r="U6" s="4">
        <v>141838</v>
      </c>
      <c r="V6" s="125">
        <v>142093</v>
      </c>
      <c r="W6" s="4">
        <v>142385</v>
      </c>
      <c r="X6" s="4">
        <v>142594</v>
      </c>
      <c r="Y6" s="4">
        <v>142804</v>
      </c>
      <c r="Z6" s="4">
        <v>143073</v>
      </c>
      <c r="AA6" s="58">
        <v>143346</v>
      </c>
      <c r="AB6" s="58">
        <v>143628</v>
      </c>
      <c r="AC6" s="58">
        <v>143911</v>
      </c>
      <c r="AD6" s="4">
        <v>144177</v>
      </c>
      <c r="AE6" s="4">
        <v>144385</v>
      </c>
      <c r="AF6" s="4">
        <v>144583</v>
      </c>
      <c r="AG6" s="48">
        <v>144860</v>
      </c>
      <c r="AH6" s="169">
        <v>145003</v>
      </c>
      <c r="AI6" s="57">
        <f t="shared" ref="AI6:AI21" si="0">AH6-D6</f>
        <v>7600</v>
      </c>
    </row>
    <row r="7" spans="1:35">
      <c r="A7" s="8"/>
      <c r="B7" s="8"/>
      <c r="C7" s="140" t="s">
        <v>22</v>
      </c>
      <c r="D7" s="8">
        <v>4175</v>
      </c>
      <c r="E7" s="8">
        <v>4175</v>
      </c>
      <c r="F7" s="8">
        <v>4175</v>
      </c>
      <c r="G7" s="8">
        <v>4175</v>
      </c>
      <c r="H7" s="8">
        <v>4175</v>
      </c>
      <c r="I7" s="8">
        <v>4175</v>
      </c>
      <c r="J7" s="8">
        <v>4175</v>
      </c>
      <c r="K7" s="8">
        <v>4175</v>
      </c>
      <c r="L7" s="8">
        <v>4175</v>
      </c>
      <c r="M7" s="8">
        <v>4175</v>
      </c>
      <c r="N7" s="8">
        <v>4175</v>
      </c>
      <c r="O7" s="8">
        <v>4175</v>
      </c>
      <c r="P7" s="8">
        <v>4175</v>
      </c>
      <c r="Q7" s="8">
        <v>4175</v>
      </c>
      <c r="R7" s="8">
        <v>4175</v>
      </c>
      <c r="S7" s="8">
        <v>4258</v>
      </c>
      <c r="T7" s="8">
        <v>4258</v>
      </c>
      <c r="U7" s="8">
        <v>4258</v>
      </c>
      <c r="V7" s="8">
        <v>4258</v>
      </c>
      <c r="W7" s="8">
        <v>4258</v>
      </c>
      <c r="X7" s="8">
        <v>4258</v>
      </c>
      <c r="Y7" s="8">
        <v>4258</v>
      </c>
      <c r="Z7" s="8">
        <v>4258</v>
      </c>
      <c r="AA7" s="8">
        <v>4258</v>
      </c>
      <c r="AB7" s="8">
        <v>4258</v>
      </c>
      <c r="AC7" s="8">
        <v>4258</v>
      </c>
      <c r="AD7" s="8">
        <v>4258</v>
      </c>
      <c r="AE7" s="8">
        <v>4268</v>
      </c>
      <c r="AF7" s="8">
        <v>4278</v>
      </c>
      <c r="AG7" s="8">
        <v>4278</v>
      </c>
      <c r="AH7" s="8">
        <v>4278</v>
      </c>
      <c r="AI7" s="57">
        <f t="shared" si="0"/>
        <v>103</v>
      </c>
    </row>
    <row r="8" spans="1:35">
      <c r="A8" s="4">
        <v>2</v>
      </c>
      <c r="B8" s="4" t="s">
        <v>129</v>
      </c>
      <c r="C8" s="141" t="s">
        <v>112</v>
      </c>
      <c r="D8" s="4">
        <v>1956</v>
      </c>
      <c r="E8" s="4">
        <v>1956</v>
      </c>
      <c r="F8" s="4">
        <v>1956</v>
      </c>
      <c r="G8" s="4">
        <v>1956</v>
      </c>
      <c r="H8" s="4">
        <v>1956</v>
      </c>
      <c r="I8" s="4">
        <v>1956</v>
      </c>
      <c r="J8" s="4">
        <v>1956</v>
      </c>
      <c r="K8" s="4">
        <v>1956</v>
      </c>
      <c r="L8" s="4">
        <v>1956</v>
      </c>
      <c r="M8" s="4">
        <v>1956</v>
      </c>
      <c r="N8" s="4">
        <v>1956</v>
      </c>
      <c r="O8" s="4">
        <v>1956</v>
      </c>
      <c r="P8" s="4">
        <v>1956</v>
      </c>
      <c r="Q8" s="4">
        <v>1956</v>
      </c>
      <c r="R8" s="4">
        <v>1956</v>
      </c>
      <c r="S8" s="4">
        <v>1956</v>
      </c>
      <c r="T8" s="4">
        <v>1956</v>
      </c>
      <c r="U8" s="4">
        <v>1956</v>
      </c>
      <c r="V8" s="4">
        <v>1956</v>
      </c>
      <c r="W8" s="4">
        <v>1956</v>
      </c>
      <c r="X8" s="4">
        <v>1956</v>
      </c>
      <c r="Y8" s="4">
        <v>1956</v>
      </c>
      <c r="Z8" s="4">
        <v>1956</v>
      </c>
      <c r="AA8" s="4">
        <v>1956</v>
      </c>
      <c r="AB8" s="4">
        <v>1956</v>
      </c>
      <c r="AC8" s="4">
        <v>1956</v>
      </c>
      <c r="AD8" s="4">
        <v>1956</v>
      </c>
      <c r="AE8" s="4">
        <v>1956</v>
      </c>
      <c r="AF8" s="4">
        <v>1956</v>
      </c>
      <c r="AG8" s="4">
        <v>1956</v>
      </c>
      <c r="AH8" s="4">
        <v>1956</v>
      </c>
      <c r="AI8" s="57">
        <f t="shared" si="0"/>
        <v>0</v>
      </c>
    </row>
    <row r="9" spans="1:35">
      <c r="A9" s="4"/>
      <c r="B9" s="4"/>
      <c r="C9" s="140" t="s">
        <v>22</v>
      </c>
      <c r="D9" s="4">
        <v>28.6</v>
      </c>
      <c r="E9" s="4">
        <v>28.6</v>
      </c>
      <c r="F9" s="4">
        <v>28.6</v>
      </c>
      <c r="G9" s="4">
        <v>28.6</v>
      </c>
      <c r="H9" s="4">
        <v>28.6</v>
      </c>
      <c r="I9" s="4">
        <v>28.6</v>
      </c>
      <c r="J9" s="4">
        <v>28.6</v>
      </c>
      <c r="K9" s="4">
        <v>28.6</v>
      </c>
      <c r="L9" s="4">
        <v>28.6</v>
      </c>
      <c r="M9" s="4">
        <v>28.6</v>
      </c>
      <c r="N9" s="4">
        <v>28.6</v>
      </c>
      <c r="O9" s="4">
        <v>28.6</v>
      </c>
      <c r="P9" s="4">
        <v>28.6</v>
      </c>
      <c r="Q9" s="4">
        <v>28.6</v>
      </c>
      <c r="R9" s="4">
        <v>28.6</v>
      </c>
      <c r="S9" s="4">
        <v>28.6</v>
      </c>
      <c r="T9" s="4">
        <v>28.6</v>
      </c>
      <c r="U9" s="4">
        <v>28.6</v>
      </c>
      <c r="V9" s="4">
        <v>28.6</v>
      </c>
      <c r="W9" s="4">
        <v>28.6</v>
      </c>
      <c r="X9" s="4">
        <v>28.6</v>
      </c>
      <c r="Y9" s="4">
        <v>28.6</v>
      </c>
      <c r="Z9" s="4">
        <v>28.6</v>
      </c>
      <c r="AA9" s="4">
        <v>28.6</v>
      </c>
      <c r="AB9" s="4">
        <v>28.6</v>
      </c>
      <c r="AC9" s="4">
        <v>28.6</v>
      </c>
      <c r="AD9" s="4">
        <v>28.6</v>
      </c>
      <c r="AE9" s="4">
        <v>28.6</v>
      </c>
      <c r="AF9" s="4">
        <v>28.6</v>
      </c>
      <c r="AG9" s="4">
        <v>28.6</v>
      </c>
      <c r="AH9" s="4">
        <v>28.6</v>
      </c>
      <c r="AI9" s="57">
        <f t="shared" si="0"/>
        <v>0</v>
      </c>
    </row>
    <row r="10" spans="1:35">
      <c r="A10" s="4">
        <v>3</v>
      </c>
      <c r="B10" s="4" t="s">
        <v>129</v>
      </c>
      <c r="C10" s="141" t="s">
        <v>113</v>
      </c>
      <c r="D10" s="48">
        <v>200443</v>
      </c>
      <c r="E10" s="4">
        <v>200988</v>
      </c>
      <c r="F10" s="4">
        <v>201316</v>
      </c>
      <c r="G10" s="4">
        <v>201714</v>
      </c>
      <c r="H10" s="4">
        <v>202131</v>
      </c>
      <c r="I10" s="4">
        <v>202536</v>
      </c>
      <c r="J10" s="4">
        <v>202817</v>
      </c>
      <c r="K10" s="4">
        <v>203103</v>
      </c>
      <c r="L10" s="4">
        <v>203511</v>
      </c>
      <c r="M10" s="4">
        <v>203942</v>
      </c>
      <c r="N10" s="4">
        <v>204378</v>
      </c>
      <c r="O10" s="4">
        <v>204795</v>
      </c>
      <c r="P10" s="4">
        <v>205218</v>
      </c>
      <c r="Q10" s="4">
        <v>205500</v>
      </c>
      <c r="R10" s="4">
        <v>205787</v>
      </c>
      <c r="S10" s="4">
        <v>206065</v>
      </c>
      <c r="T10" s="4">
        <v>206473</v>
      </c>
      <c r="U10" s="4">
        <v>206888</v>
      </c>
      <c r="V10" s="4">
        <v>207301</v>
      </c>
      <c r="W10" s="4">
        <v>207695</v>
      </c>
      <c r="X10" s="4">
        <v>207981</v>
      </c>
      <c r="Y10" s="4">
        <v>208255</v>
      </c>
      <c r="Z10" s="4">
        <v>208659</v>
      </c>
      <c r="AA10" s="58">
        <v>209065</v>
      </c>
      <c r="AB10" s="58">
        <v>209482</v>
      </c>
      <c r="AC10" s="58">
        <v>209903</v>
      </c>
      <c r="AD10" s="4">
        <v>210296</v>
      </c>
      <c r="AE10" s="8">
        <v>210578</v>
      </c>
      <c r="AF10" s="8">
        <v>210844</v>
      </c>
      <c r="AG10" s="8">
        <v>211255</v>
      </c>
      <c r="AH10" s="128">
        <v>211463</v>
      </c>
      <c r="AI10" s="57">
        <f t="shared" si="0"/>
        <v>11020</v>
      </c>
    </row>
    <row r="11" spans="1:35">
      <c r="A11" s="4"/>
      <c r="B11" s="4"/>
      <c r="C11" s="140" t="s">
        <v>22</v>
      </c>
      <c r="D11" s="4">
        <v>6242</v>
      </c>
      <c r="E11" s="4">
        <v>6242</v>
      </c>
      <c r="F11" s="4">
        <v>6242</v>
      </c>
      <c r="G11" s="4">
        <v>6242</v>
      </c>
      <c r="H11" s="4">
        <v>6242</v>
      </c>
      <c r="I11" s="4">
        <v>6242</v>
      </c>
      <c r="J11" s="4">
        <v>6242</v>
      </c>
      <c r="K11" s="4">
        <v>6242</v>
      </c>
      <c r="L11" s="4">
        <v>6242</v>
      </c>
      <c r="M11" s="4">
        <v>6242</v>
      </c>
      <c r="N11" s="4">
        <v>6242</v>
      </c>
      <c r="O11" s="4">
        <v>6242</v>
      </c>
      <c r="P11" s="4">
        <v>6242</v>
      </c>
      <c r="Q11" s="4">
        <v>6242</v>
      </c>
      <c r="R11" s="4">
        <v>6242</v>
      </c>
      <c r="S11" s="4">
        <v>6375</v>
      </c>
      <c r="T11" s="4">
        <v>6375</v>
      </c>
      <c r="U11" s="4">
        <v>6375</v>
      </c>
      <c r="V11" s="4">
        <v>6375</v>
      </c>
      <c r="W11" s="4">
        <v>6375</v>
      </c>
      <c r="X11" s="4">
        <v>6375</v>
      </c>
      <c r="Y11" s="4">
        <v>6375</v>
      </c>
      <c r="Z11" s="4">
        <v>6375</v>
      </c>
      <c r="AA11" s="4">
        <v>6375</v>
      </c>
      <c r="AB11" s="4">
        <v>6375</v>
      </c>
      <c r="AC11" s="4">
        <v>6375</v>
      </c>
      <c r="AD11" s="4">
        <v>6375</v>
      </c>
      <c r="AE11" s="4">
        <v>6389</v>
      </c>
      <c r="AF11" s="4">
        <v>6403</v>
      </c>
      <c r="AG11" s="4">
        <v>6403</v>
      </c>
      <c r="AH11" s="4">
        <v>6403</v>
      </c>
      <c r="AI11" s="57">
        <f t="shared" si="0"/>
        <v>161</v>
      </c>
    </row>
    <row r="12" spans="1:35">
      <c r="A12" s="4">
        <v>4</v>
      </c>
      <c r="B12" s="4" t="s">
        <v>129</v>
      </c>
      <c r="C12" s="141" t="s">
        <v>114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57">
        <f t="shared" si="0"/>
        <v>0</v>
      </c>
    </row>
    <row r="13" spans="1:35">
      <c r="A13" s="4"/>
      <c r="B13" s="4"/>
      <c r="C13" s="140" t="s">
        <v>22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57">
        <f t="shared" si="0"/>
        <v>0</v>
      </c>
    </row>
    <row r="14" spans="1:35">
      <c r="A14" s="4">
        <v>5</v>
      </c>
      <c r="B14" s="4" t="s">
        <v>129</v>
      </c>
      <c r="C14" s="141" t="s">
        <v>115</v>
      </c>
      <c r="D14" s="48">
        <v>97925</v>
      </c>
      <c r="E14" s="4">
        <v>98247</v>
      </c>
      <c r="F14" s="4">
        <v>98452</v>
      </c>
      <c r="G14" s="4">
        <v>98667</v>
      </c>
      <c r="H14" s="4">
        <v>98930</v>
      </c>
      <c r="I14" s="4">
        <v>99184</v>
      </c>
      <c r="J14" s="4">
        <v>99344</v>
      </c>
      <c r="K14" s="4">
        <v>99492</v>
      </c>
      <c r="L14" s="4">
        <v>99747</v>
      </c>
      <c r="M14" s="4">
        <v>100012</v>
      </c>
      <c r="N14" s="4">
        <v>100279</v>
      </c>
      <c r="O14" s="4">
        <v>100540</v>
      </c>
      <c r="P14" s="4">
        <v>100800</v>
      </c>
      <c r="Q14" s="4">
        <v>100947</v>
      </c>
      <c r="R14" s="4">
        <v>101087</v>
      </c>
      <c r="S14" s="4">
        <v>101252</v>
      </c>
      <c r="T14" s="4">
        <v>101496</v>
      </c>
      <c r="U14" s="33">
        <v>101745</v>
      </c>
      <c r="V14" s="4">
        <v>102006</v>
      </c>
      <c r="W14" s="4">
        <v>102250</v>
      </c>
      <c r="X14" s="4">
        <v>102417</v>
      </c>
      <c r="Y14" s="4">
        <v>102560</v>
      </c>
      <c r="Z14" s="4">
        <v>102807</v>
      </c>
      <c r="AA14" s="58">
        <v>103052</v>
      </c>
      <c r="AB14" s="58">
        <v>103294</v>
      </c>
      <c r="AC14" s="58">
        <v>103547</v>
      </c>
      <c r="AD14" s="4">
        <v>103790</v>
      </c>
      <c r="AE14" s="33">
        <v>103949</v>
      </c>
      <c r="AF14" s="33">
        <v>104087</v>
      </c>
      <c r="AG14" s="33">
        <v>104335</v>
      </c>
      <c r="AH14" s="200">
        <v>104459</v>
      </c>
      <c r="AI14" s="57">
        <f t="shared" si="0"/>
        <v>6534</v>
      </c>
    </row>
    <row r="15" spans="1:35">
      <c r="A15" s="4"/>
      <c r="B15" s="4"/>
      <c r="C15" s="140" t="s">
        <v>22</v>
      </c>
      <c r="D15" s="60">
        <v>3188</v>
      </c>
      <c r="E15" s="60">
        <v>3188</v>
      </c>
      <c r="F15" s="60">
        <v>3188</v>
      </c>
      <c r="G15" s="60">
        <v>3188</v>
      </c>
      <c r="H15" s="60">
        <v>3188</v>
      </c>
      <c r="I15" s="60">
        <v>3188</v>
      </c>
      <c r="J15" s="60">
        <v>3188</v>
      </c>
      <c r="K15" s="60">
        <v>3188</v>
      </c>
      <c r="L15" s="60">
        <v>3188</v>
      </c>
      <c r="M15" s="60">
        <v>3188</v>
      </c>
      <c r="N15" s="60">
        <v>3188</v>
      </c>
      <c r="O15" s="60">
        <v>3188</v>
      </c>
      <c r="P15" s="60">
        <v>3188</v>
      </c>
      <c r="Q15" s="60">
        <v>3188</v>
      </c>
      <c r="R15" s="60">
        <v>3188</v>
      </c>
      <c r="S15" s="60">
        <v>3260</v>
      </c>
      <c r="T15" s="60">
        <v>3260</v>
      </c>
      <c r="U15" s="60">
        <v>3260</v>
      </c>
      <c r="V15" s="60">
        <v>3260</v>
      </c>
      <c r="W15" s="60">
        <v>3260</v>
      </c>
      <c r="X15" s="60">
        <v>3260</v>
      </c>
      <c r="Y15" s="60">
        <v>3260</v>
      </c>
      <c r="Z15" s="60">
        <v>3260</v>
      </c>
      <c r="AA15" s="60">
        <v>3260</v>
      </c>
      <c r="AB15" s="60">
        <v>3260</v>
      </c>
      <c r="AC15" s="60">
        <v>3260</v>
      </c>
      <c r="AD15" s="60">
        <v>3260</v>
      </c>
      <c r="AE15" s="60">
        <v>3268</v>
      </c>
      <c r="AF15" s="60">
        <v>3276</v>
      </c>
      <c r="AG15" s="60">
        <v>3276</v>
      </c>
      <c r="AH15" s="60">
        <v>3276</v>
      </c>
      <c r="AI15" s="57">
        <f t="shared" si="0"/>
        <v>88</v>
      </c>
    </row>
    <row r="16" spans="1:35">
      <c r="A16" s="4">
        <v>6</v>
      </c>
      <c r="B16" s="4" t="s">
        <v>129</v>
      </c>
      <c r="C16" s="141" t="s">
        <v>142</v>
      </c>
      <c r="D16" s="48">
        <v>116441</v>
      </c>
      <c r="E16" s="198">
        <v>116753</v>
      </c>
      <c r="F16" s="4">
        <v>116974</v>
      </c>
      <c r="G16" s="4">
        <v>117223</v>
      </c>
      <c r="H16" s="4">
        <v>117482</v>
      </c>
      <c r="I16" s="4">
        <v>117751</v>
      </c>
      <c r="J16" s="4">
        <v>117891</v>
      </c>
      <c r="K16" s="58">
        <v>118008</v>
      </c>
      <c r="L16" s="127">
        <v>118301</v>
      </c>
      <c r="M16" s="178">
        <v>118559</v>
      </c>
      <c r="N16" s="178">
        <v>118851</v>
      </c>
      <c r="O16" s="178">
        <v>119109</v>
      </c>
      <c r="P16" s="178">
        <v>119393</v>
      </c>
      <c r="Q16" s="179">
        <v>119499</v>
      </c>
      <c r="R16" s="178">
        <v>119617</v>
      </c>
      <c r="S16" s="59">
        <v>119795</v>
      </c>
      <c r="T16" s="4">
        <v>120070</v>
      </c>
      <c r="U16" s="4">
        <v>120327</v>
      </c>
      <c r="V16" s="4">
        <v>120599</v>
      </c>
      <c r="W16" s="4">
        <v>120841</v>
      </c>
      <c r="X16" s="4">
        <v>120969</v>
      </c>
      <c r="Y16" s="4">
        <v>121065</v>
      </c>
      <c r="Z16" s="4">
        <v>121334</v>
      </c>
      <c r="AA16" s="58">
        <v>121596</v>
      </c>
      <c r="AB16" s="58">
        <v>121855</v>
      </c>
      <c r="AC16" s="58">
        <v>122119</v>
      </c>
      <c r="AD16" s="58">
        <v>122379</v>
      </c>
      <c r="AE16" s="48">
        <v>122507</v>
      </c>
      <c r="AF16" s="48">
        <v>122647</v>
      </c>
      <c r="AG16" s="48">
        <v>122934</v>
      </c>
      <c r="AH16" s="48">
        <v>123060</v>
      </c>
      <c r="AI16" s="57">
        <f t="shared" si="0"/>
        <v>6619</v>
      </c>
    </row>
    <row r="17" spans="1:35">
      <c r="A17" s="4"/>
      <c r="B17" s="4"/>
      <c r="C17" s="140" t="s">
        <v>22</v>
      </c>
      <c r="D17" s="129">
        <v>4155</v>
      </c>
      <c r="E17" s="129">
        <v>4155</v>
      </c>
      <c r="F17" s="129">
        <v>4155</v>
      </c>
      <c r="G17" s="129">
        <v>4155</v>
      </c>
      <c r="H17" s="129">
        <v>4155</v>
      </c>
      <c r="I17" s="129">
        <v>4155</v>
      </c>
      <c r="J17" s="129">
        <v>4155</v>
      </c>
      <c r="K17" s="129">
        <v>4155</v>
      </c>
      <c r="L17" s="129">
        <v>4155</v>
      </c>
      <c r="M17" s="129">
        <v>4155</v>
      </c>
      <c r="N17" s="129">
        <v>4155</v>
      </c>
      <c r="O17" s="129">
        <v>4155</v>
      </c>
      <c r="P17" s="129">
        <v>4155</v>
      </c>
      <c r="Q17" s="129">
        <v>4155</v>
      </c>
      <c r="R17" s="129">
        <v>4155</v>
      </c>
      <c r="S17" s="129">
        <v>4244</v>
      </c>
      <c r="T17" s="129">
        <v>4244</v>
      </c>
      <c r="U17" s="129">
        <v>4244</v>
      </c>
      <c r="V17" s="129">
        <v>4244</v>
      </c>
      <c r="W17" s="129">
        <v>4244</v>
      </c>
      <c r="X17" s="129">
        <v>4244</v>
      </c>
      <c r="Y17" s="129">
        <v>4244</v>
      </c>
      <c r="Z17" s="129">
        <v>4244</v>
      </c>
      <c r="AA17" s="129">
        <v>4244</v>
      </c>
      <c r="AB17" s="129">
        <v>4244</v>
      </c>
      <c r="AC17" s="129">
        <v>4244</v>
      </c>
      <c r="AD17" s="129">
        <v>4244</v>
      </c>
      <c r="AE17" s="129">
        <v>4250</v>
      </c>
      <c r="AF17" s="129">
        <v>4261</v>
      </c>
      <c r="AG17" s="129">
        <v>4261</v>
      </c>
      <c r="AH17" s="129">
        <v>4261</v>
      </c>
      <c r="AI17" s="57">
        <f t="shared" si="0"/>
        <v>106</v>
      </c>
    </row>
    <row r="18" spans="1:35">
      <c r="A18" s="4">
        <v>7</v>
      </c>
      <c r="B18" s="4" t="s">
        <v>129</v>
      </c>
      <c r="C18" s="141" t="s">
        <v>117</v>
      </c>
      <c r="D18" s="48">
        <v>378252</v>
      </c>
      <c r="E18" s="4">
        <v>379282</v>
      </c>
      <c r="F18" s="4">
        <v>380004</v>
      </c>
      <c r="G18" s="4">
        <v>380733</v>
      </c>
      <c r="H18" s="4">
        <v>381547</v>
      </c>
      <c r="I18" s="4">
        <v>382327</v>
      </c>
      <c r="J18" s="4">
        <v>382968</v>
      </c>
      <c r="K18" s="4">
        <v>383491</v>
      </c>
      <c r="L18" s="4">
        <v>384287</v>
      </c>
      <c r="M18" s="4">
        <v>385096</v>
      </c>
      <c r="N18" s="5">
        <v>385931</v>
      </c>
      <c r="O18" s="4">
        <v>386708</v>
      </c>
      <c r="P18" s="4">
        <v>387510</v>
      </c>
      <c r="Q18" s="4">
        <v>388116</v>
      </c>
      <c r="R18" s="8">
        <v>388616</v>
      </c>
      <c r="S18" s="5">
        <v>389153</v>
      </c>
      <c r="T18" s="4">
        <v>389919</v>
      </c>
      <c r="U18" s="4">
        <v>390697</v>
      </c>
      <c r="V18" s="4">
        <v>391519</v>
      </c>
      <c r="W18" s="4">
        <v>392266</v>
      </c>
      <c r="X18" s="33">
        <v>392853</v>
      </c>
      <c r="Y18" s="4">
        <v>393313</v>
      </c>
      <c r="Z18" s="4">
        <v>394041</v>
      </c>
      <c r="AA18" s="58">
        <v>394825</v>
      </c>
      <c r="AB18" s="58">
        <v>395587</v>
      </c>
      <c r="AC18" s="58">
        <v>396409</v>
      </c>
      <c r="AD18" s="58">
        <v>397183</v>
      </c>
      <c r="AE18" s="48">
        <v>397787</v>
      </c>
      <c r="AF18" s="201">
        <v>398207</v>
      </c>
      <c r="AG18" s="8">
        <v>398990</v>
      </c>
      <c r="AH18" s="128">
        <v>399411</v>
      </c>
      <c r="AI18" s="57">
        <f t="shared" si="0"/>
        <v>21159</v>
      </c>
    </row>
    <row r="19" spans="1:35">
      <c r="A19" s="4"/>
      <c r="B19" s="4"/>
      <c r="C19" s="140" t="s">
        <v>22</v>
      </c>
      <c r="D19" s="4">
        <v>11338</v>
      </c>
      <c r="E19" s="4">
        <v>11338</v>
      </c>
      <c r="F19" s="4">
        <v>11338</v>
      </c>
      <c r="G19" s="4">
        <v>11338</v>
      </c>
      <c r="H19" s="4">
        <v>11338</v>
      </c>
      <c r="I19" s="4">
        <v>11338</v>
      </c>
      <c r="J19" s="4">
        <v>11338</v>
      </c>
      <c r="K19" s="4">
        <v>11338</v>
      </c>
      <c r="L19" s="4">
        <v>11338</v>
      </c>
      <c r="M19" s="4">
        <v>11338</v>
      </c>
      <c r="N19" s="4">
        <v>11338</v>
      </c>
      <c r="O19" s="4">
        <v>11338</v>
      </c>
      <c r="P19" s="4">
        <v>11338</v>
      </c>
      <c r="Q19" s="4">
        <v>11338</v>
      </c>
      <c r="R19" s="4">
        <v>11338</v>
      </c>
      <c r="S19" s="4">
        <v>11352</v>
      </c>
      <c r="T19" s="4">
        <v>11352</v>
      </c>
      <c r="U19" s="4">
        <v>11352</v>
      </c>
      <c r="V19" s="4">
        <v>11352</v>
      </c>
      <c r="W19" s="4">
        <v>11352</v>
      </c>
      <c r="X19" s="4">
        <v>11352</v>
      </c>
      <c r="Y19" s="4">
        <v>11352</v>
      </c>
      <c r="Z19" s="4">
        <v>11352</v>
      </c>
      <c r="AA19" s="4">
        <v>11352</v>
      </c>
      <c r="AB19" s="4">
        <v>11352</v>
      </c>
      <c r="AC19" s="4">
        <v>11352</v>
      </c>
      <c r="AD19" s="4">
        <v>11352</v>
      </c>
      <c r="AE19" s="4">
        <v>11352</v>
      </c>
      <c r="AF19" s="4">
        <v>11600</v>
      </c>
      <c r="AG19" s="4">
        <v>11600</v>
      </c>
      <c r="AH19" s="4">
        <v>11600</v>
      </c>
      <c r="AI19" s="57">
        <f t="shared" si="0"/>
        <v>262</v>
      </c>
    </row>
    <row r="20" spans="1:35">
      <c r="A20" s="4">
        <v>8</v>
      </c>
      <c r="B20" s="4" t="s">
        <v>129</v>
      </c>
      <c r="C20" s="141" t="s">
        <v>118</v>
      </c>
      <c r="D20" s="48">
        <v>76796</v>
      </c>
      <c r="E20" s="4">
        <v>76998</v>
      </c>
      <c r="F20" s="4">
        <v>77124</v>
      </c>
      <c r="G20" s="4">
        <v>77248</v>
      </c>
      <c r="H20" s="4">
        <v>77371</v>
      </c>
      <c r="I20" s="4">
        <v>77504</v>
      </c>
      <c r="J20" s="4">
        <v>77607</v>
      </c>
      <c r="K20" s="4">
        <v>77752</v>
      </c>
      <c r="L20" s="4">
        <v>77884</v>
      </c>
      <c r="M20" s="4">
        <v>78029</v>
      </c>
      <c r="N20" s="4">
        <v>78157</v>
      </c>
      <c r="O20" s="4">
        <v>78281</v>
      </c>
      <c r="P20" s="4">
        <v>78281</v>
      </c>
      <c r="Q20" s="4">
        <v>78532</v>
      </c>
      <c r="R20" s="4">
        <v>78689</v>
      </c>
      <c r="S20" s="4">
        <v>78838</v>
      </c>
      <c r="T20" s="4">
        <v>78958</v>
      </c>
      <c r="U20" s="4">
        <v>79094</v>
      </c>
      <c r="V20" s="4">
        <v>79215</v>
      </c>
      <c r="W20" s="4">
        <v>79366</v>
      </c>
      <c r="X20" s="4">
        <v>79482</v>
      </c>
      <c r="Y20" s="4">
        <v>79621</v>
      </c>
      <c r="Z20" s="4">
        <v>79758</v>
      </c>
      <c r="AA20" s="8">
        <v>79905</v>
      </c>
      <c r="AB20" s="8">
        <v>80035</v>
      </c>
      <c r="AC20" s="4">
        <v>80185</v>
      </c>
      <c r="AD20" s="4">
        <v>80325</v>
      </c>
      <c r="AE20" s="8">
        <v>80476</v>
      </c>
      <c r="AF20" s="8">
        <v>80565</v>
      </c>
      <c r="AG20" s="8">
        <v>80704</v>
      </c>
      <c r="AH20" s="128">
        <v>80798</v>
      </c>
      <c r="AI20" s="57">
        <f t="shared" si="0"/>
        <v>4002</v>
      </c>
    </row>
    <row r="21" spans="1:35">
      <c r="A21" s="4"/>
      <c r="B21" s="4"/>
      <c r="C21" s="140" t="s">
        <v>22</v>
      </c>
      <c r="D21" s="4">
        <v>2164</v>
      </c>
      <c r="E21" s="4">
        <v>2164</v>
      </c>
      <c r="F21" s="4">
        <v>2164</v>
      </c>
      <c r="G21" s="4">
        <v>2164</v>
      </c>
      <c r="H21" s="4">
        <v>2164</v>
      </c>
      <c r="I21" s="4">
        <v>2164</v>
      </c>
      <c r="J21" s="4">
        <v>2164</v>
      </c>
      <c r="K21" s="4">
        <v>2164</v>
      </c>
      <c r="L21" s="4">
        <v>2164</v>
      </c>
      <c r="M21" s="4">
        <v>2164</v>
      </c>
      <c r="N21" s="4">
        <v>2164</v>
      </c>
      <c r="O21" s="4">
        <v>2164</v>
      </c>
      <c r="P21" s="4">
        <v>2164</v>
      </c>
      <c r="Q21" s="4">
        <v>2164</v>
      </c>
      <c r="R21" s="4">
        <v>2164</v>
      </c>
      <c r="S21" s="4">
        <v>2201</v>
      </c>
      <c r="T21" s="4">
        <v>2201</v>
      </c>
      <c r="U21" s="4">
        <v>2201</v>
      </c>
      <c r="V21" s="4">
        <v>2201</v>
      </c>
      <c r="W21" s="4">
        <v>2201</v>
      </c>
      <c r="X21" s="4">
        <v>2201</v>
      </c>
      <c r="Y21" s="4">
        <v>2201</v>
      </c>
      <c r="Z21" s="4">
        <v>2201</v>
      </c>
      <c r="AA21" s="4">
        <v>2201</v>
      </c>
      <c r="AB21" s="4">
        <v>2201</v>
      </c>
      <c r="AC21" s="4">
        <v>2201</v>
      </c>
      <c r="AD21" s="4">
        <v>2201</v>
      </c>
      <c r="AE21" s="4">
        <v>2207</v>
      </c>
      <c r="AF21" s="4">
        <v>2212</v>
      </c>
      <c r="AG21" s="4">
        <v>2212</v>
      </c>
      <c r="AH21" s="4">
        <v>2212</v>
      </c>
      <c r="AI21" s="57">
        <f t="shared" si="0"/>
        <v>48</v>
      </c>
    </row>
    <row r="22" spans="1:35">
      <c r="A22" s="503"/>
      <c r="B22" s="504"/>
      <c r="C22" s="504"/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4"/>
      <c r="W22" s="504"/>
      <c r="X22" s="504"/>
      <c r="Y22" s="504"/>
      <c r="Z22" s="504"/>
      <c r="AA22" s="504"/>
      <c r="AB22" s="504"/>
      <c r="AC22" s="504"/>
      <c r="AD22" s="504"/>
      <c r="AE22" s="504"/>
      <c r="AF22" s="504"/>
      <c r="AG22" s="504"/>
      <c r="AH22" s="504"/>
      <c r="AI22" s="501"/>
    </row>
    <row r="23" spans="1:35">
      <c r="A23" s="4">
        <v>1</v>
      </c>
      <c r="B23" s="4" t="s">
        <v>129</v>
      </c>
      <c r="C23" s="141" t="s">
        <v>119</v>
      </c>
      <c r="D23" s="8">
        <v>34660</v>
      </c>
      <c r="E23" s="4">
        <v>34780</v>
      </c>
      <c r="F23" s="4">
        <v>34932</v>
      </c>
      <c r="G23" s="4">
        <v>35052</v>
      </c>
      <c r="H23" s="4">
        <v>35251</v>
      </c>
      <c r="I23" s="4">
        <v>35449</v>
      </c>
      <c r="J23" s="4">
        <v>35641</v>
      </c>
      <c r="K23" s="4">
        <v>35708</v>
      </c>
      <c r="L23" s="4">
        <v>35876</v>
      </c>
      <c r="M23" s="4">
        <v>35981</v>
      </c>
      <c r="N23" s="4">
        <v>36056</v>
      </c>
      <c r="O23" s="4">
        <v>36145</v>
      </c>
      <c r="P23" s="4">
        <v>36250</v>
      </c>
      <c r="Q23" s="4">
        <v>36326</v>
      </c>
      <c r="R23" s="4">
        <v>36361</v>
      </c>
      <c r="S23" s="4">
        <v>36448</v>
      </c>
      <c r="T23" s="4">
        <v>36585</v>
      </c>
      <c r="U23" s="4">
        <v>36691</v>
      </c>
      <c r="V23" s="4">
        <v>36762</v>
      </c>
      <c r="W23" s="4">
        <v>36830</v>
      </c>
      <c r="X23" s="4">
        <v>36556</v>
      </c>
      <c r="Y23" s="4">
        <v>36886</v>
      </c>
      <c r="Z23" s="4">
        <v>36963</v>
      </c>
      <c r="AA23" s="4">
        <v>37077</v>
      </c>
      <c r="AB23" s="4">
        <v>37184</v>
      </c>
      <c r="AC23" s="4">
        <v>37304</v>
      </c>
      <c r="AD23" s="4">
        <v>37426</v>
      </c>
      <c r="AE23" s="4">
        <v>37493</v>
      </c>
      <c r="AF23" s="4">
        <v>37516</v>
      </c>
      <c r="AG23" s="4">
        <v>37587</v>
      </c>
      <c r="AH23" s="8">
        <v>37637</v>
      </c>
      <c r="AI23" s="57">
        <f t="shared" ref="AI23:AI30" si="1">AH23-D23</f>
        <v>2977</v>
      </c>
    </row>
    <row r="24" spans="1:35">
      <c r="A24" s="4"/>
      <c r="B24" s="4"/>
      <c r="C24" s="142" t="s">
        <v>22</v>
      </c>
      <c r="D24" s="4">
        <v>1882</v>
      </c>
      <c r="E24" s="4">
        <v>1882</v>
      </c>
      <c r="F24" s="4">
        <v>1882</v>
      </c>
      <c r="G24" s="4">
        <v>1882</v>
      </c>
      <c r="H24" s="4">
        <v>1882</v>
      </c>
      <c r="I24" s="4">
        <v>1882</v>
      </c>
      <c r="J24" s="4">
        <v>1882</v>
      </c>
      <c r="K24" s="4">
        <v>1882</v>
      </c>
      <c r="L24" s="4">
        <v>1882</v>
      </c>
      <c r="M24" s="4">
        <v>1882</v>
      </c>
      <c r="N24" s="4">
        <v>1882</v>
      </c>
      <c r="O24" s="33">
        <v>1882</v>
      </c>
      <c r="P24" s="33">
        <v>1882</v>
      </c>
      <c r="Q24" s="33">
        <v>1882</v>
      </c>
      <c r="R24" s="33">
        <v>1882</v>
      </c>
      <c r="S24" s="33">
        <v>1918</v>
      </c>
      <c r="T24" s="33">
        <v>1918</v>
      </c>
      <c r="U24" s="33">
        <v>1918</v>
      </c>
      <c r="V24" s="33">
        <v>1918</v>
      </c>
      <c r="W24" s="33">
        <v>1918</v>
      </c>
      <c r="X24" s="33">
        <v>1918</v>
      </c>
      <c r="Y24" s="33">
        <v>1918</v>
      </c>
      <c r="Z24" s="33">
        <v>1918</v>
      </c>
      <c r="AA24" s="33">
        <v>1918</v>
      </c>
      <c r="AB24" s="33">
        <v>1918</v>
      </c>
      <c r="AC24" s="33">
        <v>1918</v>
      </c>
      <c r="AD24" s="33">
        <v>1918</v>
      </c>
      <c r="AE24" s="33">
        <v>1918</v>
      </c>
      <c r="AF24" s="4">
        <v>1921</v>
      </c>
      <c r="AG24" s="4">
        <v>1921</v>
      </c>
      <c r="AH24" s="4">
        <v>1921</v>
      </c>
      <c r="AI24" s="57">
        <f t="shared" si="1"/>
        <v>39</v>
      </c>
    </row>
    <row r="25" spans="1:35">
      <c r="A25" s="4">
        <v>2</v>
      </c>
      <c r="B25" s="4" t="s">
        <v>129</v>
      </c>
      <c r="C25" s="141" t="s">
        <v>120</v>
      </c>
      <c r="D25" s="8">
        <v>38471</v>
      </c>
      <c r="E25" s="4">
        <v>38607</v>
      </c>
      <c r="F25" s="4">
        <v>38752</v>
      </c>
      <c r="G25" s="4">
        <v>38885</v>
      </c>
      <c r="H25" s="4">
        <v>39076</v>
      </c>
      <c r="I25" s="4">
        <v>39276</v>
      </c>
      <c r="J25" s="4">
        <v>39464</v>
      </c>
      <c r="K25" s="4">
        <v>39525</v>
      </c>
      <c r="L25" s="4">
        <v>39708</v>
      </c>
      <c r="M25" s="4">
        <v>39829</v>
      </c>
      <c r="N25" s="4">
        <v>39960</v>
      </c>
      <c r="O25" s="4">
        <v>40073</v>
      </c>
      <c r="P25" s="4">
        <v>40191</v>
      </c>
      <c r="Q25" s="4">
        <v>40318</v>
      </c>
      <c r="R25" s="4">
        <v>40361</v>
      </c>
      <c r="S25" s="4">
        <v>40470</v>
      </c>
      <c r="T25" s="4">
        <v>40608</v>
      </c>
      <c r="U25" s="4">
        <v>40776</v>
      </c>
      <c r="V25" s="4">
        <v>40869</v>
      </c>
      <c r="W25" s="4">
        <v>40959</v>
      </c>
      <c r="X25" s="4">
        <v>41025</v>
      </c>
      <c r="Y25" s="4">
        <v>41025</v>
      </c>
      <c r="Z25" s="4">
        <v>41123</v>
      </c>
      <c r="AA25" s="4">
        <v>41224</v>
      </c>
      <c r="AB25" s="4">
        <v>41361</v>
      </c>
      <c r="AC25" s="4">
        <v>41518</v>
      </c>
      <c r="AD25" s="4">
        <v>41653</v>
      </c>
      <c r="AE25" s="4">
        <v>41731</v>
      </c>
      <c r="AF25" s="4">
        <v>41758</v>
      </c>
      <c r="AG25" s="4">
        <v>41852</v>
      </c>
      <c r="AH25" s="8">
        <v>41922</v>
      </c>
      <c r="AI25" s="57">
        <f t="shared" si="1"/>
        <v>3451</v>
      </c>
    </row>
    <row r="26" spans="1:35">
      <c r="A26" s="4"/>
      <c r="B26" s="4"/>
      <c r="C26" s="142" t="s">
        <v>22</v>
      </c>
      <c r="D26" s="4">
        <v>1861</v>
      </c>
      <c r="E26" s="4">
        <v>1861</v>
      </c>
      <c r="F26" s="4">
        <v>1861</v>
      </c>
      <c r="G26" s="4">
        <v>1861</v>
      </c>
      <c r="H26" s="4">
        <v>1861</v>
      </c>
      <c r="I26" s="4">
        <v>1861</v>
      </c>
      <c r="J26" s="4">
        <v>1861</v>
      </c>
      <c r="K26" s="4">
        <v>1861</v>
      </c>
      <c r="L26" s="4">
        <v>1861</v>
      </c>
      <c r="M26" s="4">
        <v>1861</v>
      </c>
      <c r="N26" s="4">
        <v>1861</v>
      </c>
      <c r="O26" s="4">
        <v>1861</v>
      </c>
      <c r="P26" s="4">
        <v>1861</v>
      </c>
      <c r="Q26" s="4">
        <v>1861</v>
      </c>
      <c r="R26" s="4">
        <v>1903</v>
      </c>
      <c r="S26" s="4">
        <v>1903</v>
      </c>
      <c r="T26" s="4">
        <v>1903</v>
      </c>
      <c r="U26" s="4">
        <v>1903</v>
      </c>
      <c r="V26" s="4">
        <v>1903</v>
      </c>
      <c r="W26" s="4">
        <v>1903</v>
      </c>
      <c r="X26" s="4">
        <v>1903</v>
      </c>
      <c r="Y26" s="4">
        <v>1903</v>
      </c>
      <c r="Z26" s="4">
        <v>1903</v>
      </c>
      <c r="AA26" s="4">
        <v>1903</v>
      </c>
      <c r="AB26" s="4">
        <v>1903</v>
      </c>
      <c r="AC26" s="4">
        <v>1903</v>
      </c>
      <c r="AD26" s="4">
        <v>1903</v>
      </c>
      <c r="AE26" s="4">
        <v>1903</v>
      </c>
      <c r="AF26" s="4">
        <v>1909</v>
      </c>
      <c r="AG26" s="4">
        <v>1909</v>
      </c>
      <c r="AH26" s="4">
        <v>1909</v>
      </c>
      <c r="AI26" s="57">
        <f t="shared" si="1"/>
        <v>48</v>
      </c>
    </row>
    <row r="27" spans="1:35">
      <c r="A27" s="4">
        <v>3</v>
      </c>
      <c r="B27" s="4" t="s">
        <v>129</v>
      </c>
      <c r="C27" s="141" t="s">
        <v>121</v>
      </c>
      <c r="D27" s="8">
        <v>41989</v>
      </c>
      <c r="E27" s="4">
        <v>42143</v>
      </c>
      <c r="F27" s="4">
        <v>42294</v>
      </c>
      <c r="G27" s="4">
        <v>42445</v>
      </c>
      <c r="H27" s="4">
        <v>42670</v>
      </c>
      <c r="I27" s="4">
        <v>42901</v>
      </c>
      <c r="J27" s="4">
        <v>43103</v>
      </c>
      <c r="K27" s="4">
        <v>43252</v>
      </c>
      <c r="L27" s="4">
        <v>43460</v>
      </c>
      <c r="M27" s="4">
        <v>43589</v>
      </c>
      <c r="N27" s="4">
        <v>43713</v>
      </c>
      <c r="O27" s="4">
        <v>43840</v>
      </c>
      <c r="P27" s="4">
        <v>43989</v>
      </c>
      <c r="Q27" s="4">
        <v>44089</v>
      </c>
      <c r="R27" s="4">
        <v>44130</v>
      </c>
      <c r="S27" s="4">
        <v>44217</v>
      </c>
      <c r="T27" s="4">
        <v>44341</v>
      </c>
      <c r="U27" s="4">
        <v>44471</v>
      </c>
      <c r="V27" s="4">
        <v>44597</v>
      </c>
      <c r="W27" s="4">
        <v>44713</v>
      </c>
      <c r="X27" s="4">
        <v>44783</v>
      </c>
      <c r="Y27" s="4">
        <v>44783</v>
      </c>
      <c r="Z27" s="4">
        <v>44893</v>
      </c>
      <c r="AA27" s="4">
        <v>45062</v>
      </c>
      <c r="AB27" s="4">
        <v>45234</v>
      </c>
      <c r="AC27" s="4">
        <v>45404</v>
      </c>
      <c r="AD27" s="4">
        <v>45581</v>
      </c>
      <c r="AE27" s="4">
        <v>45735</v>
      </c>
      <c r="AF27" s="4">
        <v>45749</v>
      </c>
      <c r="AG27" s="4">
        <v>45914</v>
      </c>
      <c r="AH27" s="4">
        <v>45953</v>
      </c>
      <c r="AI27" s="57">
        <f t="shared" si="1"/>
        <v>3964</v>
      </c>
    </row>
    <row r="28" spans="1:35">
      <c r="A28" s="4"/>
      <c r="B28" s="4"/>
      <c r="C28" s="142" t="s">
        <v>22</v>
      </c>
      <c r="D28" s="4">
        <v>2016</v>
      </c>
      <c r="E28" s="4">
        <v>2016</v>
      </c>
      <c r="F28" s="4">
        <v>2016</v>
      </c>
      <c r="G28" s="4">
        <v>2016</v>
      </c>
      <c r="H28" s="4">
        <v>2016</v>
      </c>
      <c r="I28" s="4">
        <v>2016</v>
      </c>
      <c r="J28" s="4">
        <v>2016</v>
      </c>
      <c r="K28" s="4">
        <v>2016</v>
      </c>
      <c r="L28" s="4">
        <v>2016</v>
      </c>
      <c r="M28" s="4">
        <v>2016</v>
      </c>
      <c r="N28" s="4">
        <v>2016</v>
      </c>
      <c r="O28" s="4">
        <v>2016</v>
      </c>
      <c r="P28" s="4">
        <v>2016</v>
      </c>
      <c r="Q28" s="4">
        <v>2016</v>
      </c>
      <c r="R28" s="4">
        <v>2016</v>
      </c>
      <c r="S28" s="4">
        <v>2058</v>
      </c>
      <c r="T28" s="4">
        <v>2058</v>
      </c>
      <c r="U28" s="4">
        <v>2058</v>
      </c>
      <c r="V28" s="4">
        <v>2058</v>
      </c>
      <c r="W28" s="4">
        <v>2058</v>
      </c>
      <c r="X28" s="4">
        <v>2058</v>
      </c>
      <c r="Y28" s="4">
        <v>2058</v>
      </c>
      <c r="Z28" s="4">
        <v>2058</v>
      </c>
      <c r="AA28" s="4">
        <v>2058</v>
      </c>
      <c r="AB28" s="4">
        <v>2058</v>
      </c>
      <c r="AC28" s="4">
        <v>2058</v>
      </c>
      <c r="AD28" s="4">
        <v>2058</v>
      </c>
      <c r="AE28" s="4">
        <v>2058</v>
      </c>
      <c r="AF28" s="4">
        <v>2065</v>
      </c>
      <c r="AG28" s="4">
        <v>2065</v>
      </c>
      <c r="AH28" s="4">
        <v>2065</v>
      </c>
      <c r="AI28" s="57">
        <f t="shared" si="1"/>
        <v>49</v>
      </c>
    </row>
    <row r="29" spans="1:35">
      <c r="A29" s="4">
        <v>4</v>
      </c>
      <c r="B29" s="4" t="s">
        <v>129</v>
      </c>
      <c r="C29" s="141" t="s">
        <v>122</v>
      </c>
      <c r="D29" s="8">
        <v>33144</v>
      </c>
      <c r="E29" s="4">
        <v>33289</v>
      </c>
      <c r="F29" s="4">
        <v>33401</v>
      </c>
      <c r="G29" s="4">
        <v>33525</v>
      </c>
      <c r="H29" s="4">
        <v>33632</v>
      </c>
      <c r="I29" s="4">
        <v>33738</v>
      </c>
      <c r="J29" s="4">
        <v>33860</v>
      </c>
      <c r="K29" s="4">
        <v>33861</v>
      </c>
      <c r="L29" s="4">
        <v>33999</v>
      </c>
      <c r="M29" s="4">
        <v>34081</v>
      </c>
      <c r="N29" s="4">
        <v>34166</v>
      </c>
      <c r="O29" s="4">
        <v>34261</v>
      </c>
      <c r="P29" s="4">
        <v>34340</v>
      </c>
      <c r="Q29" s="4">
        <v>34394</v>
      </c>
      <c r="R29" s="4">
        <v>34429</v>
      </c>
      <c r="S29" s="4">
        <v>34496</v>
      </c>
      <c r="T29" s="4">
        <v>34600</v>
      </c>
      <c r="U29" s="4">
        <v>34698</v>
      </c>
      <c r="V29" s="4">
        <v>34787</v>
      </c>
      <c r="W29" s="4">
        <v>34875</v>
      </c>
      <c r="X29" s="4">
        <v>34939</v>
      </c>
      <c r="Y29" s="4">
        <v>34939</v>
      </c>
      <c r="Z29" s="4">
        <v>35047</v>
      </c>
      <c r="AA29" s="4">
        <v>35149</v>
      </c>
      <c r="AB29" s="4">
        <v>35248</v>
      </c>
      <c r="AC29" s="4">
        <v>35353</v>
      </c>
      <c r="AD29" s="4">
        <v>35464</v>
      </c>
      <c r="AE29" s="4">
        <v>35553</v>
      </c>
      <c r="AF29" s="4">
        <v>35558</v>
      </c>
      <c r="AG29" s="4">
        <v>35666</v>
      </c>
      <c r="AH29" s="8">
        <v>35709</v>
      </c>
      <c r="AI29" s="57">
        <f t="shared" si="1"/>
        <v>2565</v>
      </c>
    </row>
    <row r="30" spans="1:35">
      <c r="A30" s="4"/>
      <c r="B30" s="4"/>
      <c r="C30" s="142" t="s">
        <v>22</v>
      </c>
      <c r="D30" s="4">
        <v>1744</v>
      </c>
      <c r="E30" s="4">
        <v>1744</v>
      </c>
      <c r="F30" s="4">
        <v>1744</v>
      </c>
      <c r="G30" s="4">
        <v>1744</v>
      </c>
      <c r="H30" s="4">
        <v>1744</v>
      </c>
      <c r="I30" s="4">
        <v>1744</v>
      </c>
      <c r="J30" s="4">
        <v>1744</v>
      </c>
      <c r="K30" s="4">
        <v>1744</v>
      </c>
      <c r="L30" s="4">
        <v>1744</v>
      </c>
      <c r="M30" s="4">
        <v>1744</v>
      </c>
      <c r="N30" s="4">
        <v>1744</v>
      </c>
      <c r="O30" s="4">
        <v>1744</v>
      </c>
      <c r="P30" s="4">
        <v>1744</v>
      </c>
      <c r="Q30" s="4">
        <v>1744</v>
      </c>
      <c r="R30" s="4">
        <v>1744</v>
      </c>
      <c r="S30" s="4">
        <v>1779</v>
      </c>
      <c r="T30" s="4">
        <v>1779</v>
      </c>
      <c r="U30" s="4">
        <v>1779</v>
      </c>
      <c r="V30" s="4">
        <v>1779</v>
      </c>
      <c r="W30" s="4">
        <v>1779</v>
      </c>
      <c r="X30" s="4">
        <v>1779</v>
      </c>
      <c r="Y30" s="4">
        <v>1779</v>
      </c>
      <c r="Z30" s="4">
        <v>1779</v>
      </c>
      <c r="AA30" s="4">
        <v>1779</v>
      </c>
      <c r="AB30" s="4">
        <v>1779</v>
      </c>
      <c r="AC30" s="4">
        <v>1779</v>
      </c>
      <c r="AD30" s="4">
        <v>1779</v>
      </c>
      <c r="AE30" s="4">
        <v>1779</v>
      </c>
      <c r="AF30" s="4">
        <v>1786</v>
      </c>
      <c r="AG30" s="4">
        <v>1786</v>
      </c>
      <c r="AH30" s="4">
        <v>1786</v>
      </c>
      <c r="AI30" s="57">
        <f t="shared" si="1"/>
        <v>42</v>
      </c>
    </row>
    <row r="31" spans="1:35">
      <c r="A31" s="564"/>
      <c r="B31" s="504"/>
      <c r="C31" s="504"/>
      <c r="D31" s="504"/>
      <c r="E31" s="504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4"/>
      <c r="AH31" s="504"/>
      <c r="AI31" s="501"/>
    </row>
    <row r="32" spans="1:35">
      <c r="A32" s="4">
        <v>1</v>
      </c>
      <c r="B32" s="4" t="s">
        <v>129</v>
      </c>
      <c r="C32" s="141" t="s">
        <v>123</v>
      </c>
      <c r="D32" s="161">
        <v>345400</v>
      </c>
      <c r="E32" s="44">
        <v>346008</v>
      </c>
      <c r="F32" s="150">
        <v>346419</v>
      </c>
      <c r="G32" s="150">
        <v>346968</v>
      </c>
      <c r="H32" s="150">
        <v>347443</v>
      </c>
      <c r="I32" s="44">
        <v>347969</v>
      </c>
      <c r="J32" s="150">
        <v>348406</v>
      </c>
      <c r="K32" s="150">
        <v>348406</v>
      </c>
      <c r="L32" s="150">
        <v>349481</v>
      </c>
      <c r="M32" s="44">
        <v>350187</v>
      </c>
      <c r="N32" s="150">
        <v>350810</v>
      </c>
      <c r="O32" s="150">
        <v>351468</v>
      </c>
      <c r="P32" s="150">
        <v>351963</v>
      </c>
      <c r="Q32" s="44">
        <v>352293</v>
      </c>
      <c r="R32" s="150">
        <v>352473</v>
      </c>
      <c r="S32" s="150">
        <v>353087</v>
      </c>
      <c r="T32" s="150">
        <v>353856</v>
      </c>
      <c r="U32" s="44">
        <v>354556</v>
      </c>
      <c r="V32" s="150">
        <v>355243</v>
      </c>
      <c r="W32" s="150">
        <v>355948</v>
      </c>
      <c r="X32" s="150">
        <v>356323</v>
      </c>
      <c r="Y32" s="44">
        <v>356329</v>
      </c>
      <c r="Z32" s="150">
        <v>356885</v>
      </c>
      <c r="AA32" s="150">
        <v>357547</v>
      </c>
      <c r="AB32" s="150">
        <v>358077</v>
      </c>
      <c r="AC32" s="44">
        <v>358615</v>
      </c>
      <c r="AD32" s="150">
        <v>359113</v>
      </c>
      <c r="AE32" s="150">
        <v>359666</v>
      </c>
      <c r="AF32" s="150">
        <v>359706</v>
      </c>
      <c r="AG32" s="44">
        <v>360376</v>
      </c>
      <c r="AH32" s="150">
        <v>360811</v>
      </c>
      <c r="AI32" s="57">
        <f>AH32-D32</f>
        <v>15411</v>
      </c>
    </row>
    <row r="33" spans="1:35">
      <c r="A33" s="4">
        <v>2</v>
      </c>
      <c r="B33" s="4" t="s">
        <v>129</v>
      </c>
      <c r="C33" s="141" t="s">
        <v>124</v>
      </c>
      <c r="D33" s="161">
        <v>320953</v>
      </c>
      <c r="E33" s="150">
        <v>321668</v>
      </c>
      <c r="F33" s="150">
        <v>322316</v>
      </c>
      <c r="G33" s="150">
        <v>322981</v>
      </c>
      <c r="H33" s="150">
        <v>323518</v>
      </c>
      <c r="I33" s="150">
        <v>324170</v>
      </c>
      <c r="J33" s="150">
        <v>324646</v>
      </c>
      <c r="K33" s="150">
        <v>324646</v>
      </c>
      <c r="L33" s="150">
        <v>325954</v>
      </c>
      <c r="M33" s="150">
        <v>326702</v>
      </c>
      <c r="N33" s="150">
        <v>327439</v>
      </c>
      <c r="O33" s="150">
        <v>328042</v>
      </c>
      <c r="P33" s="150">
        <v>328658</v>
      </c>
      <c r="Q33" s="150">
        <v>329030</v>
      </c>
      <c r="R33" s="150">
        <v>329234</v>
      </c>
      <c r="S33" s="150">
        <v>330021</v>
      </c>
      <c r="T33" s="150">
        <v>330724</v>
      </c>
      <c r="U33" s="150">
        <v>331452</v>
      </c>
      <c r="V33" s="150">
        <v>331947</v>
      </c>
      <c r="W33" s="150">
        <v>332480</v>
      </c>
      <c r="X33" s="150">
        <v>333015</v>
      </c>
      <c r="Y33" s="150">
        <v>333015</v>
      </c>
      <c r="Z33" s="150">
        <v>333752</v>
      </c>
      <c r="AA33" s="150">
        <v>334359</v>
      </c>
      <c r="AB33" s="150">
        <v>335057</v>
      </c>
      <c r="AC33" s="150">
        <v>335694</v>
      </c>
      <c r="AD33" s="150">
        <v>336323</v>
      </c>
      <c r="AE33" s="150">
        <v>336887</v>
      </c>
      <c r="AF33" s="150">
        <v>336936</v>
      </c>
      <c r="AG33" s="150">
        <v>337797</v>
      </c>
      <c r="AH33" s="150">
        <v>338439</v>
      </c>
      <c r="AI33" s="57">
        <f>AH33-D33</f>
        <v>17486</v>
      </c>
    </row>
    <row r="34" spans="1:35">
      <c r="A34" s="4">
        <v>3</v>
      </c>
      <c r="B34" s="4" t="s">
        <v>129</v>
      </c>
      <c r="C34" s="141" t="s">
        <v>125</v>
      </c>
      <c r="D34" s="161">
        <v>335256</v>
      </c>
      <c r="E34" s="150">
        <v>335875</v>
      </c>
      <c r="F34" s="150">
        <v>336400</v>
      </c>
      <c r="G34" s="150">
        <v>336888</v>
      </c>
      <c r="H34" s="150">
        <v>337565</v>
      </c>
      <c r="I34" s="150">
        <v>338154</v>
      </c>
      <c r="J34" s="150">
        <v>339021</v>
      </c>
      <c r="K34" s="150">
        <v>339021</v>
      </c>
      <c r="L34" s="150">
        <v>340632</v>
      </c>
      <c r="M34" s="150">
        <v>341333</v>
      </c>
      <c r="N34" s="150">
        <v>341900</v>
      </c>
      <c r="O34" s="150">
        <v>342533</v>
      </c>
      <c r="P34" s="150">
        <v>343069</v>
      </c>
      <c r="Q34" s="150">
        <v>343312</v>
      </c>
      <c r="R34" s="150">
        <v>343554</v>
      </c>
      <c r="S34" s="150">
        <v>344468</v>
      </c>
      <c r="T34" s="150">
        <v>345140</v>
      </c>
      <c r="U34" s="150">
        <v>345871</v>
      </c>
      <c r="V34" s="150">
        <v>346359</v>
      </c>
      <c r="W34" s="150">
        <v>346940</v>
      </c>
      <c r="X34" s="150">
        <v>347336</v>
      </c>
      <c r="Y34" s="150">
        <v>347336</v>
      </c>
      <c r="Z34" s="150">
        <v>348077</v>
      </c>
      <c r="AA34" s="150">
        <v>348849</v>
      </c>
      <c r="AB34" s="150">
        <v>349557</v>
      </c>
      <c r="AC34" s="150">
        <v>350075</v>
      </c>
      <c r="AD34" s="150">
        <v>350662</v>
      </c>
      <c r="AE34" s="150">
        <v>351326</v>
      </c>
      <c r="AF34" s="150">
        <v>351389</v>
      </c>
      <c r="AG34" s="150">
        <v>352341</v>
      </c>
      <c r="AH34" s="150">
        <v>353063</v>
      </c>
      <c r="AI34" s="57">
        <f>AH34-D34</f>
        <v>17807</v>
      </c>
    </row>
    <row r="35" spans="1:35">
      <c r="A35" s="4">
        <v>4</v>
      </c>
      <c r="B35" s="4" t="s">
        <v>129</v>
      </c>
      <c r="C35" s="141" t="s">
        <v>126</v>
      </c>
      <c r="D35" s="161">
        <v>358992</v>
      </c>
      <c r="E35" s="150">
        <v>359953</v>
      </c>
      <c r="F35" s="150">
        <v>360704</v>
      </c>
      <c r="G35" s="150">
        <v>361527</v>
      </c>
      <c r="H35" s="150">
        <v>362427</v>
      </c>
      <c r="I35" s="150">
        <v>363317</v>
      </c>
      <c r="J35" s="150">
        <v>363937</v>
      </c>
      <c r="K35" s="150">
        <v>363937</v>
      </c>
      <c r="L35" s="150">
        <v>365234</v>
      </c>
      <c r="M35" s="150">
        <v>366335</v>
      </c>
      <c r="N35" s="150">
        <v>367191</v>
      </c>
      <c r="O35" s="150">
        <v>368146</v>
      </c>
      <c r="P35" s="202">
        <v>368993</v>
      </c>
      <c r="Q35" s="150">
        <v>369464</v>
      </c>
      <c r="R35" s="150">
        <v>369699</v>
      </c>
      <c r="S35" s="150">
        <v>370527</v>
      </c>
      <c r="T35" s="150">
        <v>371468</v>
      </c>
      <c r="U35" s="150">
        <v>372372</v>
      </c>
      <c r="V35" s="150">
        <v>373227</v>
      </c>
      <c r="W35" s="150">
        <v>374083</v>
      </c>
      <c r="X35" s="150">
        <v>374557</v>
      </c>
      <c r="Y35" s="150">
        <v>374611</v>
      </c>
      <c r="Z35" s="150">
        <v>375463</v>
      </c>
      <c r="AA35" s="150">
        <v>376444</v>
      </c>
      <c r="AB35" s="150">
        <v>377302</v>
      </c>
      <c r="AC35" s="150">
        <v>378211</v>
      </c>
      <c r="AD35" s="150">
        <v>379061</v>
      </c>
      <c r="AE35" s="150">
        <v>379798</v>
      </c>
      <c r="AF35" s="150">
        <v>379916</v>
      </c>
      <c r="AG35" s="150">
        <v>380898</v>
      </c>
      <c r="AH35" s="150">
        <v>381662</v>
      </c>
      <c r="AI35" s="57">
        <f>AH35-D35</f>
        <v>22670</v>
      </c>
    </row>
    <row r="36" spans="1:35">
      <c r="A36" s="180"/>
      <c r="B36" s="180"/>
      <c r="C36" s="143"/>
      <c r="D36" s="180"/>
      <c r="E36" s="13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6"/>
      <c r="AD36" s="180"/>
      <c r="AE36" s="180"/>
      <c r="AF36" s="180"/>
      <c r="AG36" s="180"/>
      <c r="AH36" s="180"/>
      <c r="AI36" s="181"/>
    </row>
    <row r="37" spans="1:35">
      <c r="A37" s="14"/>
      <c r="B37" s="137"/>
      <c r="C37" s="144"/>
      <c r="D37" s="138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</row>
    <row r="38" spans="1:35">
      <c r="A38" s="93"/>
      <c r="B38" s="534" t="s">
        <v>127</v>
      </c>
      <c r="C38" s="504"/>
      <c r="D38" s="501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</row>
    <row r="39" spans="1:35">
      <c r="A39" s="94"/>
      <c r="B39" s="538" t="s">
        <v>128</v>
      </c>
      <c r="C39" s="504"/>
      <c r="D39" s="501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</row>
    <row r="40" spans="1:35">
      <c r="A40" s="529" t="s">
        <v>99</v>
      </c>
      <c r="B40" s="529" t="s">
        <v>100</v>
      </c>
      <c r="C40" s="529" t="s">
        <v>101</v>
      </c>
      <c r="D40" s="517"/>
      <c r="E40" s="95">
        <f t="shared" ref="E40:AH40" si="2">E2</f>
        <v>45901</v>
      </c>
      <c r="F40" s="95">
        <f t="shared" si="2"/>
        <v>45902</v>
      </c>
      <c r="G40" s="95">
        <f t="shared" si="2"/>
        <v>45903</v>
      </c>
      <c r="H40" s="95">
        <f t="shared" si="2"/>
        <v>45904</v>
      </c>
      <c r="I40" s="95">
        <f t="shared" si="2"/>
        <v>45905</v>
      </c>
      <c r="J40" s="95">
        <f t="shared" si="2"/>
        <v>45906</v>
      </c>
      <c r="K40" s="95">
        <f t="shared" si="2"/>
        <v>45907</v>
      </c>
      <c r="L40" s="95">
        <f t="shared" si="2"/>
        <v>45908</v>
      </c>
      <c r="M40" s="95">
        <f t="shared" si="2"/>
        <v>45909</v>
      </c>
      <c r="N40" s="95">
        <f t="shared" si="2"/>
        <v>45910</v>
      </c>
      <c r="O40" s="95">
        <f t="shared" si="2"/>
        <v>45911</v>
      </c>
      <c r="P40" s="95">
        <f t="shared" si="2"/>
        <v>45912</v>
      </c>
      <c r="Q40" s="95">
        <f t="shared" si="2"/>
        <v>45913</v>
      </c>
      <c r="R40" s="95">
        <f t="shared" si="2"/>
        <v>45914</v>
      </c>
      <c r="S40" s="95">
        <f t="shared" si="2"/>
        <v>45915</v>
      </c>
      <c r="T40" s="95">
        <f t="shared" si="2"/>
        <v>45916</v>
      </c>
      <c r="U40" s="95">
        <f t="shared" si="2"/>
        <v>45917</v>
      </c>
      <c r="V40" s="95">
        <f t="shared" si="2"/>
        <v>45918</v>
      </c>
      <c r="W40" s="95">
        <f t="shared" si="2"/>
        <v>45919</v>
      </c>
      <c r="X40" s="95">
        <f t="shared" si="2"/>
        <v>45920</v>
      </c>
      <c r="Y40" s="95">
        <f t="shared" si="2"/>
        <v>45921</v>
      </c>
      <c r="Z40" s="95">
        <f t="shared" si="2"/>
        <v>45922</v>
      </c>
      <c r="AA40" s="95">
        <f t="shared" si="2"/>
        <v>45923</v>
      </c>
      <c r="AB40" s="95">
        <f t="shared" si="2"/>
        <v>45924</v>
      </c>
      <c r="AC40" s="95">
        <f t="shared" si="2"/>
        <v>45925</v>
      </c>
      <c r="AD40" s="95">
        <f t="shared" si="2"/>
        <v>45926</v>
      </c>
      <c r="AE40" s="95">
        <f t="shared" si="2"/>
        <v>45927</v>
      </c>
      <c r="AF40" s="95">
        <f t="shared" si="2"/>
        <v>45928</v>
      </c>
      <c r="AG40" s="95">
        <f t="shared" si="2"/>
        <v>45929</v>
      </c>
      <c r="AH40" s="95">
        <f t="shared" si="2"/>
        <v>45930</v>
      </c>
      <c r="AI40" s="529" t="s">
        <v>1</v>
      </c>
    </row>
    <row r="41" spans="1:35">
      <c r="A41" s="508"/>
      <c r="B41" s="508"/>
      <c r="C41" s="518"/>
      <c r="D41" s="519"/>
      <c r="E41" s="96" t="s">
        <v>106</v>
      </c>
      <c r="F41" s="96" t="s">
        <v>107</v>
      </c>
      <c r="G41" s="96" t="s">
        <v>108</v>
      </c>
      <c r="H41" s="96" t="s">
        <v>109</v>
      </c>
      <c r="I41" s="96" t="s">
        <v>103</v>
      </c>
      <c r="J41" s="96" t="s">
        <v>104</v>
      </c>
      <c r="K41" s="96" t="s">
        <v>105</v>
      </c>
      <c r="L41" s="96" t="s">
        <v>106</v>
      </c>
      <c r="M41" s="96" t="s">
        <v>107</v>
      </c>
      <c r="N41" s="96" t="s">
        <v>108</v>
      </c>
      <c r="O41" s="96" t="s">
        <v>109</v>
      </c>
      <c r="P41" s="96" t="s">
        <v>103</v>
      </c>
      <c r="Q41" s="96" t="s">
        <v>104</v>
      </c>
      <c r="R41" s="96" t="s">
        <v>105</v>
      </c>
      <c r="S41" s="96" t="s">
        <v>106</v>
      </c>
      <c r="T41" s="96" t="s">
        <v>107</v>
      </c>
      <c r="U41" s="96" t="s">
        <v>108</v>
      </c>
      <c r="V41" s="96" t="s">
        <v>109</v>
      </c>
      <c r="W41" s="96" t="s">
        <v>103</v>
      </c>
      <c r="X41" s="96" t="s">
        <v>104</v>
      </c>
      <c r="Y41" s="96" t="s">
        <v>105</v>
      </c>
      <c r="Z41" s="96" t="s">
        <v>106</v>
      </c>
      <c r="AA41" s="96" t="s">
        <v>107</v>
      </c>
      <c r="AB41" s="96" t="s">
        <v>108</v>
      </c>
      <c r="AC41" s="96" t="s">
        <v>109</v>
      </c>
      <c r="AD41" s="96" t="s">
        <v>103</v>
      </c>
      <c r="AE41" s="96" t="s">
        <v>104</v>
      </c>
      <c r="AF41" s="96" t="s">
        <v>105</v>
      </c>
      <c r="AG41" s="96" t="s">
        <v>106</v>
      </c>
      <c r="AH41" s="96" t="s">
        <v>107</v>
      </c>
      <c r="AI41" s="508"/>
    </row>
    <row r="42" spans="1:35">
      <c r="A42" s="508"/>
      <c r="B42" s="508"/>
      <c r="C42" s="518"/>
      <c r="D42" s="519"/>
      <c r="E42" s="97" t="s">
        <v>110</v>
      </c>
      <c r="F42" s="97" t="s">
        <v>110</v>
      </c>
      <c r="G42" s="97" t="s">
        <v>110</v>
      </c>
      <c r="H42" s="97" t="s">
        <v>110</v>
      </c>
      <c r="I42" s="97" t="s">
        <v>110</v>
      </c>
      <c r="J42" s="97" t="s">
        <v>110</v>
      </c>
      <c r="K42" s="97" t="s">
        <v>110</v>
      </c>
      <c r="L42" s="97" t="s">
        <v>110</v>
      </c>
      <c r="M42" s="97" t="s">
        <v>110</v>
      </c>
      <c r="N42" s="97" t="s">
        <v>110</v>
      </c>
      <c r="O42" s="97" t="s">
        <v>110</v>
      </c>
      <c r="P42" s="97" t="s">
        <v>110</v>
      </c>
      <c r="Q42" s="97" t="s">
        <v>110</v>
      </c>
      <c r="R42" s="97" t="s">
        <v>110</v>
      </c>
      <c r="S42" s="97" t="s">
        <v>110</v>
      </c>
      <c r="T42" s="97" t="s">
        <v>110</v>
      </c>
      <c r="U42" s="97" t="s">
        <v>110</v>
      </c>
      <c r="V42" s="97" t="s">
        <v>110</v>
      </c>
      <c r="W42" s="97" t="s">
        <v>110</v>
      </c>
      <c r="X42" s="97" t="s">
        <v>110</v>
      </c>
      <c r="Y42" s="97" t="s">
        <v>110</v>
      </c>
      <c r="Z42" s="97" t="s">
        <v>110</v>
      </c>
      <c r="AA42" s="97" t="s">
        <v>110</v>
      </c>
      <c r="AB42" s="97" t="s">
        <v>110</v>
      </c>
      <c r="AC42" s="97" t="s">
        <v>110</v>
      </c>
      <c r="AD42" s="97" t="s">
        <v>110</v>
      </c>
      <c r="AE42" s="97" t="s">
        <v>110</v>
      </c>
      <c r="AF42" s="97" t="s">
        <v>110</v>
      </c>
      <c r="AG42" s="97" t="s">
        <v>110</v>
      </c>
      <c r="AH42" s="95" t="str">
        <f>AH4</f>
        <v>Time</v>
      </c>
      <c r="AI42" s="508"/>
    </row>
    <row r="43" spans="1:35">
      <c r="A43" s="509"/>
      <c r="B43" s="509"/>
      <c r="C43" s="520"/>
      <c r="D43" s="521"/>
      <c r="E43" s="98">
        <v>0.33333333333333331</v>
      </c>
      <c r="F43" s="98">
        <v>0.33333333333333331</v>
      </c>
      <c r="G43" s="98">
        <v>0.33333333333333331</v>
      </c>
      <c r="H43" s="98">
        <v>0.33333333333333331</v>
      </c>
      <c r="I43" s="98">
        <v>0.33333333333333331</v>
      </c>
      <c r="J43" s="98">
        <v>0.33333333333333331</v>
      </c>
      <c r="K43" s="98">
        <v>0.33333333333333331</v>
      </c>
      <c r="L43" s="98">
        <v>0.33333333333333331</v>
      </c>
      <c r="M43" s="98">
        <v>0.33333333333333331</v>
      </c>
      <c r="N43" s="98">
        <v>0.33333333333333331</v>
      </c>
      <c r="O43" s="98">
        <v>0.33333333333333331</v>
      </c>
      <c r="P43" s="98">
        <v>0.33333333333333331</v>
      </c>
      <c r="Q43" s="98">
        <v>0.33333333333333331</v>
      </c>
      <c r="R43" s="98">
        <v>0.33333333333333331</v>
      </c>
      <c r="S43" s="98">
        <v>0.33333333333333331</v>
      </c>
      <c r="T43" s="98">
        <v>0.33333333333333331</v>
      </c>
      <c r="U43" s="98">
        <v>0.33333333333333331</v>
      </c>
      <c r="V43" s="98">
        <v>0.33333333333333331</v>
      </c>
      <c r="W43" s="98">
        <v>0.33333333333333331</v>
      </c>
      <c r="X43" s="98">
        <v>0.33333333333333331</v>
      </c>
      <c r="Y43" s="98">
        <v>0.33333333333333331</v>
      </c>
      <c r="Z43" s="98">
        <v>0.33333333333333331</v>
      </c>
      <c r="AA43" s="98">
        <v>0.33333333333333331</v>
      </c>
      <c r="AB43" s="98">
        <v>0.33333333333333331</v>
      </c>
      <c r="AC43" s="98">
        <v>0.33333333333333331</v>
      </c>
      <c r="AD43" s="98">
        <v>0.33333333333333331</v>
      </c>
      <c r="AE43" s="98">
        <v>0.33333333333333331</v>
      </c>
      <c r="AF43" s="98">
        <v>0.33333333333333331</v>
      </c>
      <c r="AG43" s="98">
        <v>0.33333333333333331</v>
      </c>
      <c r="AH43" s="98">
        <v>0.33333333333333331</v>
      </c>
      <c r="AI43" s="509"/>
    </row>
    <row r="44" spans="1:35" ht="15" customHeight="1">
      <c r="A44" s="2">
        <v>1</v>
      </c>
      <c r="B44" s="2" t="s">
        <v>129</v>
      </c>
      <c r="C44" s="503" t="s">
        <v>111</v>
      </c>
      <c r="D44" s="501"/>
      <c r="E44" s="20">
        <f t="shared" ref="E44:AH44" si="3">E6-D6</f>
        <v>375</v>
      </c>
      <c r="F44" s="20">
        <f t="shared" si="3"/>
        <v>220</v>
      </c>
      <c r="G44" s="20">
        <f t="shared" si="3"/>
        <v>287</v>
      </c>
      <c r="H44" s="20">
        <f t="shared" si="3"/>
        <v>278</v>
      </c>
      <c r="I44" s="20">
        <f t="shared" si="3"/>
        <v>276</v>
      </c>
      <c r="J44" s="20">
        <f t="shared" si="3"/>
        <v>211</v>
      </c>
      <c r="K44" s="20">
        <f t="shared" si="3"/>
        <v>214</v>
      </c>
      <c r="L44" s="20">
        <f t="shared" si="3"/>
        <v>273</v>
      </c>
      <c r="M44" s="20">
        <f t="shared" si="3"/>
        <v>286</v>
      </c>
      <c r="N44" s="20">
        <f t="shared" si="3"/>
        <v>292</v>
      </c>
      <c r="O44" s="20">
        <f t="shared" si="3"/>
        <v>275</v>
      </c>
      <c r="P44" s="20">
        <f t="shared" si="3"/>
        <v>282</v>
      </c>
      <c r="Q44" s="20">
        <f t="shared" si="3"/>
        <v>210</v>
      </c>
      <c r="R44" s="20">
        <f t="shared" si="3"/>
        <v>216</v>
      </c>
      <c r="S44" s="20">
        <f t="shared" si="3"/>
        <v>191</v>
      </c>
      <c r="T44" s="20">
        <f t="shared" si="3"/>
        <v>274</v>
      </c>
      <c r="U44" s="20">
        <f t="shared" si="3"/>
        <v>275</v>
      </c>
      <c r="V44" s="20">
        <f t="shared" si="3"/>
        <v>255</v>
      </c>
      <c r="W44" s="20">
        <f t="shared" si="3"/>
        <v>292</v>
      </c>
      <c r="X44" s="20">
        <f t="shared" si="3"/>
        <v>209</v>
      </c>
      <c r="Y44" s="20">
        <f t="shared" si="3"/>
        <v>210</v>
      </c>
      <c r="Z44" s="20">
        <f t="shared" si="3"/>
        <v>269</v>
      </c>
      <c r="AA44" s="20">
        <f t="shared" si="3"/>
        <v>273</v>
      </c>
      <c r="AB44" s="20">
        <f t="shared" si="3"/>
        <v>282</v>
      </c>
      <c r="AC44" s="20">
        <f t="shared" si="3"/>
        <v>283</v>
      </c>
      <c r="AD44" s="20">
        <f t="shared" si="3"/>
        <v>266</v>
      </c>
      <c r="AE44" s="20">
        <f t="shared" si="3"/>
        <v>208</v>
      </c>
      <c r="AF44" s="20">
        <f t="shared" si="3"/>
        <v>198</v>
      </c>
      <c r="AG44" s="20">
        <f t="shared" si="3"/>
        <v>277</v>
      </c>
      <c r="AH44" s="20">
        <f t="shared" si="3"/>
        <v>143</v>
      </c>
      <c r="AI44" s="21">
        <f t="shared" ref="AI44:AI61" si="4">SUM(E44:AH44)</f>
        <v>7600</v>
      </c>
    </row>
    <row r="45" spans="1:35" ht="15" customHeight="1">
      <c r="A45" s="2"/>
      <c r="B45" s="2"/>
      <c r="C45" s="531" t="s">
        <v>22</v>
      </c>
      <c r="D45" s="501"/>
      <c r="E45" s="20">
        <f t="shared" ref="E45:AH45" si="5">E7-D7</f>
        <v>0</v>
      </c>
      <c r="F45" s="20">
        <f t="shared" si="5"/>
        <v>0</v>
      </c>
      <c r="G45" s="20">
        <f t="shared" si="5"/>
        <v>0</v>
      </c>
      <c r="H45" s="20">
        <f t="shared" si="5"/>
        <v>0</v>
      </c>
      <c r="I45" s="20">
        <f t="shared" si="5"/>
        <v>0</v>
      </c>
      <c r="J45" s="20">
        <f t="shared" si="5"/>
        <v>0</v>
      </c>
      <c r="K45" s="20">
        <f t="shared" si="5"/>
        <v>0</v>
      </c>
      <c r="L45" s="20">
        <f t="shared" si="5"/>
        <v>0</v>
      </c>
      <c r="M45" s="20">
        <f t="shared" si="5"/>
        <v>0</v>
      </c>
      <c r="N45" s="20">
        <f t="shared" si="5"/>
        <v>0</v>
      </c>
      <c r="O45" s="20">
        <f t="shared" si="5"/>
        <v>0</v>
      </c>
      <c r="P45" s="20">
        <f t="shared" si="5"/>
        <v>0</v>
      </c>
      <c r="Q45" s="20">
        <f t="shared" si="5"/>
        <v>0</v>
      </c>
      <c r="R45" s="20">
        <f t="shared" si="5"/>
        <v>0</v>
      </c>
      <c r="S45" s="20">
        <f t="shared" si="5"/>
        <v>83</v>
      </c>
      <c r="T45" s="20">
        <f t="shared" si="5"/>
        <v>0</v>
      </c>
      <c r="U45" s="20">
        <f t="shared" si="5"/>
        <v>0</v>
      </c>
      <c r="V45" s="20">
        <f t="shared" si="5"/>
        <v>0</v>
      </c>
      <c r="W45" s="20">
        <f t="shared" si="5"/>
        <v>0</v>
      </c>
      <c r="X45" s="20">
        <f t="shared" si="5"/>
        <v>0</v>
      </c>
      <c r="Y45" s="20">
        <f t="shared" si="5"/>
        <v>0</v>
      </c>
      <c r="Z45" s="20">
        <f t="shared" si="5"/>
        <v>0</v>
      </c>
      <c r="AA45" s="20">
        <f t="shared" si="5"/>
        <v>0</v>
      </c>
      <c r="AB45" s="20">
        <f t="shared" si="5"/>
        <v>0</v>
      </c>
      <c r="AC45" s="20">
        <f t="shared" si="5"/>
        <v>0</v>
      </c>
      <c r="AD45" s="20">
        <f t="shared" si="5"/>
        <v>0</v>
      </c>
      <c r="AE45" s="20">
        <f t="shared" si="5"/>
        <v>10</v>
      </c>
      <c r="AF45" s="20">
        <f t="shared" si="5"/>
        <v>10</v>
      </c>
      <c r="AG45" s="20">
        <f t="shared" si="5"/>
        <v>0</v>
      </c>
      <c r="AH45" s="20">
        <f t="shared" si="5"/>
        <v>0</v>
      </c>
      <c r="AI45" s="21">
        <f t="shared" si="4"/>
        <v>103</v>
      </c>
    </row>
    <row r="46" spans="1:35" ht="15" customHeight="1">
      <c r="A46" s="2">
        <v>2</v>
      </c>
      <c r="B46" s="2" t="s">
        <v>129</v>
      </c>
      <c r="C46" s="503" t="s">
        <v>112</v>
      </c>
      <c r="D46" s="501"/>
      <c r="E46" s="20">
        <f t="shared" ref="E46:AH46" si="6">E8-D8</f>
        <v>0</v>
      </c>
      <c r="F46" s="20">
        <f t="shared" si="6"/>
        <v>0</v>
      </c>
      <c r="G46" s="20">
        <f t="shared" si="6"/>
        <v>0</v>
      </c>
      <c r="H46" s="20">
        <f t="shared" si="6"/>
        <v>0</v>
      </c>
      <c r="I46" s="20">
        <f t="shared" si="6"/>
        <v>0</v>
      </c>
      <c r="J46" s="20">
        <f t="shared" si="6"/>
        <v>0</v>
      </c>
      <c r="K46" s="20">
        <f t="shared" si="6"/>
        <v>0</v>
      </c>
      <c r="L46" s="20">
        <f t="shared" si="6"/>
        <v>0</v>
      </c>
      <c r="M46" s="20">
        <f t="shared" si="6"/>
        <v>0</v>
      </c>
      <c r="N46" s="20">
        <f t="shared" si="6"/>
        <v>0</v>
      </c>
      <c r="O46" s="20">
        <f t="shared" si="6"/>
        <v>0</v>
      </c>
      <c r="P46" s="20">
        <f t="shared" si="6"/>
        <v>0</v>
      </c>
      <c r="Q46" s="20">
        <f t="shared" si="6"/>
        <v>0</v>
      </c>
      <c r="R46" s="20">
        <f t="shared" si="6"/>
        <v>0</v>
      </c>
      <c r="S46" s="20">
        <f t="shared" si="6"/>
        <v>0</v>
      </c>
      <c r="T46" s="20">
        <f t="shared" si="6"/>
        <v>0</v>
      </c>
      <c r="U46" s="20">
        <f t="shared" si="6"/>
        <v>0</v>
      </c>
      <c r="V46" s="20">
        <f t="shared" si="6"/>
        <v>0</v>
      </c>
      <c r="W46" s="20">
        <f t="shared" si="6"/>
        <v>0</v>
      </c>
      <c r="X46" s="20">
        <f t="shared" si="6"/>
        <v>0</v>
      </c>
      <c r="Y46" s="20">
        <f t="shared" si="6"/>
        <v>0</v>
      </c>
      <c r="Z46" s="20">
        <f t="shared" si="6"/>
        <v>0</v>
      </c>
      <c r="AA46" s="20">
        <f t="shared" si="6"/>
        <v>0</v>
      </c>
      <c r="AB46" s="20">
        <f t="shared" si="6"/>
        <v>0</v>
      </c>
      <c r="AC46" s="20">
        <f t="shared" si="6"/>
        <v>0</v>
      </c>
      <c r="AD46" s="20">
        <f t="shared" si="6"/>
        <v>0</v>
      </c>
      <c r="AE46" s="20">
        <f t="shared" si="6"/>
        <v>0</v>
      </c>
      <c r="AF46" s="20">
        <f t="shared" si="6"/>
        <v>0</v>
      </c>
      <c r="AG46" s="20">
        <f t="shared" si="6"/>
        <v>0</v>
      </c>
      <c r="AH46" s="20">
        <f t="shared" si="6"/>
        <v>0</v>
      </c>
      <c r="AI46" s="21">
        <f t="shared" si="4"/>
        <v>0</v>
      </c>
    </row>
    <row r="47" spans="1:35" ht="15" customHeight="1">
      <c r="A47" s="2"/>
      <c r="B47" s="2"/>
      <c r="C47" s="531" t="s">
        <v>22</v>
      </c>
      <c r="D47" s="501"/>
      <c r="E47" s="20">
        <f t="shared" ref="E47:AH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0">
        <f t="shared" si="7"/>
        <v>0</v>
      </c>
      <c r="AH47" s="20">
        <f t="shared" si="7"/>
        <v>0</v>
      </c>
      <c r="AI47" s="21">
        <f t="shared" si="4"/>
        <v>0</v>
      </c>
    </row>
    <row r="48" spans="1:35" ht="15" customHeight="1">
      <c r="A48" s="2">
        <v>3</v>
      </c>
      <c r="B48" s="2" t="s">
        <v>129</v>
      </c>
      <c r="C48" s="503" t="s">
        <v>113</v>
      </c>
      <c r="D48" s="501"/>
      <c r="E48" s="20">
        <f t="shared" ref="E48:AH48" si="8">E10-D10</f>
        <v>545</v>
      </c>
      <c r="F48" s="20">
        <f t="shared" si="8"/>
        <v>328</v>
      </c>
      <c r="G48" s="20">
        <f t="shared" si="8"/>
        <v>398</v>
      </c>
      <c r="H48" s="20">
        <f t="shared" si="8"/>
        <v>417</v>
      </c>
      <c r="I48" s="20">
        <f t="shared" si="8"/>
        <v>405</v>
      </c>
      <c r="J48" s="20">
        <f t="shared" si="8"/>
        <v>281</v>
      </c>
      <c r="K48" s="20">
        <f t="shared" si="8"/>
        <v>286</v>
      </c>
      <c r="L48" s="20">
        <f t="shared" si="8"/>
        <v>408</v>
      </c>
      <c r="M48" s="20">
        <f t="shared" si="8"/>
        <v>431</v>
      </c>
      <c r="N48" s="20">
        <f t="shared" si="8"/>
        <v>436</v>
      </c>
      <c r="O48" s="20">
        <f t="shared" si="8"/>
        <v>417</v>
      </c>
      <c r="P48" s="20">
        <f t="shared" si="8"/>
        <v>423</v>
      </c>
      <c r="Q48" s="20">
        <f t="shared" si="8"/>
        <v>282</v>
      </c>
      <c r="R48" s="20">
        <f t="shared" si="8"/>
        <v>287</v>
      </c>
      <c r="S48" s="20">
        <f t="shared" si="8"/>
        <v>278</v>
      </c>
      <c r="T48" s="20">
        <f t="shared" si="8"/>
        <v>408</v>
      </c>
      <c r="U48" s="20">
        <f t="shared" si="8"/>
        <v>415</v>
      </c>
      <c r="V48" s="20">
        <f t="shared" si="8"/>
        <v>413</v>
      </c>
      <c r="W48" s="20">
        <f t="shared" si="8"/>
        <v>394</v>
      </c>
      <c r="X48" s="20">
        <f t="shared" si="8"/>
        <v>286</v>
      </c>
      <c r="Y48" s="20">
        <f t="shared" si="8"/>
        <v>274</v>
      </c>
      <c r="Z48" s="20">
        <f t="shared" si="8"/>
        <v>404</v>
      </c>
      <c r="AA48" s="20">
        <f t="shared" si="8"/>
        <v>406</v>
      </c>
      <c r="AB48" s="20">
        <f t="shared" si="8"/>
        <v>417</v>
      </c>
      <c r="AC48" s="20">
        <f t="shared" si="8"/>
        <v>421</v>
      </c>
      <c r="AD48" s="20">
        <f t="shared" si="8"/>
        <v>393</v>
      </c>
      <c r="AE48" s="20">
        <f t="shared" si="8"/>
        <v>282</v>
      </c>
      <c r="AF48" s="20">
        <f t="shared" si="8"/>
        <v>266</v>
      </c>
      <c r="AG48" s="20">
        <f t="shared" si="8"/>
        <v>411</v>
      </c>
      <c r="AH48" s="20">
        <f t="shared" si="8"/>
        <v>208</v>
      </c>
      <c r="AI48" s="21">
        <f t="shared" si="4"/>
        <v>11020</v>
      </c>
    </row>
    <row r="49" spans="1:35" ht="15" customHeight="1">
      <c r="A49" s="2"/>
      <c r="B49" s="2"/>
      <c r="C49" s="531" t="s">
        <v>22</v>
      </c>
      <c r="D49" s="501"/>
      <c r="E49" s="20">
        <f t="shared" ref="E49:AH49" si="9">E11-D11</f>
        <v>0</v>
      </c>
      <c r="F49" s="20">
        <f t="shared" si="9"/>
        <v>0</v>
      </c>
      <c r="G49" s="20">
        <f t="shared" si="9"/>
        <v>0</v>
      </c>
      <c r="H49" s="20">
        <f t="shared" si="9"/>
        <v>0</v>
      </c>
      <c r="I49" s="20">
        <f t="shared" si="9"/>
        <v>0</v>
      </c>
      <c r="J49" s="20">
        <f t="shared" si="9"/>
        <v>0</v>
      </c>
      <c r="K49" s="20">
        <f t="shared" si="9"/>
        <v>0</v>
      </c>
      <c r="L49" s="20">
        <f t="shared" si="9"/>
        <v>0</v>
      </c>
      <c r="M49" s="20">
        <f t="shared" si="9"/>
        <v>0</v>
      </c>
      <c r="N49" s="20">
        <f t="shared" si="9"/>
        <v>0</v>
      </c>
      <c r="O49" s="20">
        <f t="shared" si="9"/>
        <v>0</v>
      </c>
      <c r="P49" s="20">
        <f t="shared" si="9"/>
        <v>0</v>
      </c>
      <c r="Q49" s="20">
        <f t="shared" si="9"/>
        <v>0</v>
      </c>
      <c r="R49" s="20">
        <f t="shared" si="9"/>
        <v>0</v>
      </c>
      <c r="S49" s="20">
        <f t="shared" si="9"/>
        <v>133</v>
      </c>
      <c r="T49" s="20">
        <f t="shared" si="9"/>
        <v>0</v>
      </c>
      <c r="U49" s="20">
        <f t="shared" si="9"/>
        <v>0</v>
      </c>
      <c r="V49" s="20">
        <f t="shared" si="9"/>
        <v>0</v>
      </c>
      <c r="W49" s="20">
        <f t="shared" si="9"/>
        <v>0</v>
      </c>
      <c r="X49" s="20">
        <f t="shared" si="9"/>
        <v>0</v>
      </c>
      <c r="Y49" s="20">
        <f t="shared" si="9"/>
        <v>0</v>
      </c>
      <c r="Z49" s="20">
        <f t="shared" si="9"/>
        <v>0</v>
      </c>
      <c r="AA49" s="20">
        <f t="shared" si="9"/>
        <v>0</v>
      </c>
      <c r="AB49" s="20">
        <f t="shared" si="9"/>
        <v>0</v>
      </c>
      <c r="AC49" s="20">
        <f t="shared" si="9"/>
        <v>0</v>
      </c>
      <c r="AD49" s="20">
        <f t="shared" si="9"/>
        <v>0</v>
      </c>
      <c r="AE49" s="20">
        <f t="shared" si="9"/>
        <v>14</v>
      </c>
      <c r="AF49" s="20">
        <f t="shared" si="9"/>
        <v>14</v>
      </c>
      <c r="AG49" s="20">
        <f t="shared" si="9"/>
        <v>0</v>
      </c>
      <c r="AH49" s="20">
        <f t="shared" si="9"/>
        <v>0</v>
      </c>
      <c r="AI49" s="21">
        <f t="shared" si="4"/>
        <v>161</v>
      </c>
    </row>
    <row r="50" spans="1:35" ht="15" customHeight="1">
      <c r="A50" s="2">
        <v>4</v>
      </c>
      <c r="B50" s="2" t="s">
        <v>129</v>
      </c>
      <c r="C50" s="503" t="s">
        <v>114</v>
      </c>
      <c r="D50" s="501"/>
      <c r="E50" s="20">
        <f t="shared" ref="E50:AH50" si="10">E12-D12</f>
        <v>0</v>
      </c>
      <c r="F50" s="20">
        <f t="shared" si="10"/>
        <v>0</v>
      </c>
      <c r="G50" s="20">
        <f t="shared" si="10"/>
        <v>0</v>
      </c>
      <c r="H50" s="20">
        <f t="shared" si="10"/>
        <v>0</v>
      </c>
      <c r="I50" s="20">
        <f t="shared" si="10"/>
        <v>0</v>
      </c>
      <c r="J50" s="20">
        <f t="shared" si="10"/>
        <v>0</v>
      </c>
      <c r="K50" s="20">
        <f t="shared" si="10"/>
        <v>0</v>
      </c>
      <c r="L50" s="20">
        <f t="shared" si="10"/>
        <v>0</v>
      </c>
      <c r="M50" s="20">
        <f t="shared" si="10"/>
        <v>0</v>
      </c>
      <c r="N50" s="20">
        <f t="shared" si="10"/>
        <v>0</v>
      </c>
      <c r="O50" s="20">
        <f t="shared" si="10"/>
        <v>0</v>
      </c>
      <c r="P50" s="20">
        <f t="shared" si="10"/>
        <v>0</v>
      </c>
      <c r="Q50" s="20">
        <f t="shared" si="10"/>
        <v>0</v>
      </c>
      <c r="R50" s="20">
        <f t="shared" si="10"/>
        <v>0</v>
      </c>
      <c r="S50" s="20">
        <f t="shared" si="10"/>
        <v>0</v>
      </c>
      <c r="T50" s="20">
        <f t="shared" si="10"/>
        <v>0</v>
      </c>
      <c r="U50" s="20">
        <f t="shared" si="10"/>
        <v>0</v>
      </c>
      <c r="V50" s="20">
        <f t="shared" si="10"/>
        <v>0</v>
      </c>
      <c r="W50" s="20">
        <f t="shared" si="10"/>
        <v>0</v>
      </c>
      <c r="X50" s="20">
        <f t="shared" si="10"/>
        <v>0</v>
      </c>
      <c r="Y50" s="20">
        <f t="shared" si="10"/>
        <v>0</v>
      </c>
      <c r="Z50" s="20">
        <f t="shared" si="10"/>
        <v>0</v>
      </c>
      <c r="AA50" s="20">
        <f t="shared" si="10"/>
        <v>0</v>
      </c>
      <c r="AB50" s="20">
        <f t="shared" si="10"/>
        <v>0</v>
      </c>
      <c r="AC50" s="20">
        <f t="shared" si="10"/>
        <v>0</v>
      </c>
      <c r="AD50" s="20">
        <f t="shared" si="10"/>
        <v>0</v>
      </c>
      <c r="AE50" s="20">
        <f t="shared" si="10"/>
        <v>0</v>
      </c>
      <c r="AF50" s="20">
        <f t="shared" si="10"/>
        <v>0</v>
      </c>
      <c r="AG50" s="20">
        <f t="shared" si="10"/>
        <v>0</v>
      </c>
      <c r="AH50" s="20">
        <f t="shared" si="10"/>
        <v>0</v>
      </c>
      <c r="AI50" s="21">
        <f t="shared" si="4"/>
        <v>0</v>
      </c>
    </row>
    <row r="51" spans="1:35" ht="15" customHeight="1">
      <c r="A51" s="2"/>
      <c r="B51" s="2"/>
      <c r="C51" s="531" t="s">
        <v>22</v>
      </c>
      <c r="D51" s="501"/>
      <c r="E51" s="20">
        <f t="shared" ref="E51:AH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0">
        <f t="shared" si="11"/>
        <v>0</v>
      </c>
      <c r="AH51" s="20">
        <f t="shared" si="11"/>
        <v>0</v>
      </c>
      <c r="AI51" s="21">
        <f t="shared" si="4"/>
        <v>0</v>
      </c>
    </row>
    <row r="52" spans="1:35" ht="15" customHeight="1">
      <c r="A52" s="2">
        <v>5</v>
      </c>
      <c r="B52" s="2" t="s">
        <v>129</v>
      </c>
      <c r="C52" s="503" t="s">
        <v>115</v>
      </c>
      <c r="D52" s="501"/>
      <c r="E52" s="20">
        <f t="shared" ref="E52:AH52" si="12">E14-D14</f>
        <v>322</v>
      </c>
      <c r="F52" s="20">
        <f t="shared" si="12"/>
        <v>205</v>
      </c>
      <c r="G52" s="20">
        <f t="shared" si="12"/>
        <v>215</v>
      </c>
      <c r="H52" s="20">
        <f t="shared" si="12"/>
        <v>263</v>
      </c>
      <c r="I52" s="20">
        <f t="shared" si="12"/>
        <v>254</v>
      </c>
      <c r="J52" s="20">
        <f t="shared" si="12"/>
        <v>160</v>
      </c>
      <c r="K52" s="20">
        <f t="shared" si="12"/>
        <v>148</v>
      </c>
      <c r="L52" s="20">
        <f t="shared" si="12"/>
        <v>255</v>
      </c>
      <c r="M52" s="20">
        <f t="shared" si="12"/>
        <v>265</v>
      </c>
      <c r="N52" s="20">
        <f t="shared" si="12"/>
        <v>267</v>
      </c>
      <c r="O52" s="20">
        <f t="shared" si="12"/>
        <v>261</v>
      </c>
      <c r="P52" s="20">
        <f t="shared" si="12"/>
        <v>260</v>
      </c>
      <c r="Q52" s="20">
        <f t="shared" si="12"/>
        <v>147</v>
      </c>
      <c r="R52" s="20">
        <f t="shared" si="12"/>
        <v>140</v>
      </c>
      <c r="S52" s="20">
        <f t="shared" si="12"/>
        <v>165</v>
      </c>
      <c r="T52" s="20">
        <f t="shared" si="12"/>
        <v>244</v>
      </c>
      <c r="U52" s="20">
        <f t="shared" si="12"/>
        <v>249</v>
      </c>
      <c r="V52" s="20">
        <f t="shared" si="12"/>
        <v>261</v>
      </c>
      <c r="W52" s="20">
        <f t="shared" si="12"/>
        <v>244</v>
      </c>
      <c r="X52" s="20">
        <f t="shared" si="12"/>
        <v>167</v>
      </c>
      <c r="Y52" s="20">
        <f t="shared" si="12"/>
        <v>143</v>
      </c>
      <c r="Z52" s="20">
        <f t="shared" si="12"/>
        <v>247</v>
      </c>
      <c r="AA52" s="20">
        <f t="shared" si="12"/>
        <v>245</v>
      </c>
      <c r="AB52" s="20">
        <f t="shared" si="12"/>
        <v>242</v>
      </c>
      <c r="AC52" s="20">
        <f t="shared" si="12"/>
        <v>253</v>
      </c>
      <c r="AD52" s="20">
        <f t="shared" si="12"/>
        <v>243</v>
      </c>
      <c r="AE52" s="20">
        <f t="shared" si="12"/>
        <v>159</v>
      </c>
      <c r="AF52" s="20">
        <f t="shared" si="12"/>
        <v>138</v>
      </c>
      <c r="AG52" s="20">
        <f t="shared" si="12"/>
        <v>248</v>
      </c>
      <c r="AH52" s="20">
        <f t="shared" si="12"/>
        <v>124</v>
      </c>
      <c r="AI52" s="21">
        <f t="shared" si="4"/>
        <v>6534</v>
      </c>
    </row>
    <row r="53" spans="1:35" ht="15" customHeight="1">
      <c r="A53" s="2"/>
      <c r="B53" s="2"/>
      <c r="C53" s="531" t="s">
        <v>22</v>
      </c>
      <c r="D53" s="501"/>
      <c r="E53" s="20">
        <f t="shared" ref="E53:AH53" si="13">E15-D15</f>
        <v>0</v>
      </c>
      <c r="F53" s="20">
        <f t="shared" si="13"/>
        <v>0</v>
      </c>
      <c r="G53" s="20">
        <f t="shared" si="13"/>
        <v>0</v>
      </c>
      <c r="H53" s="20">
        <f t="shared" si="13"/>
        <v>0</v>
      </c>
      <c r="I53" s="20">
        <f t="shared" si="13"/>
        <v>0</v>
      </c>
      <c r="J53" s="20">
        <f t="shared" si="13"/>
        <v>0</v>
      </c>
      <c r="K53" s="20">
        <f t="shared" si="13"/>
        <v>0</v>
      </c>
      <c r="L53" s="20">
        <f t="shared" si="13"/>
        <v>0</v>
      </c>
      <c r="M53" s="20">
        <f t="shared" si="13"/>
        <v>0</v>
      </c>
      <c r="N53" s="20">
        <f t="shared" si="13"/>
        <v>0</v>
      </c>
      <c r="O53" s="20">
        <f t="shared" si="13"/>
        <v>0</v>
      </c>
      <c r="P53" s="20">
        <f t="shared" si="13"/>
        <v>0</v>
      </c>
      <c r="Q53" s="20">
        <f t="shared" si="13"/>
        <v>0</v>
      </c>
      <c r="R53" s="20">
        <f t="shared" si="13"/>
        <v>0</v>
      </c>
      <c r="S53" s="20">
        <f t="shared" si="13"/>
        <v>72</v>
      </c>
      <c r="T53" s="20">
        <f t="shared" si="13"/>
        <v>0</v>
      </c>
      <c r="U53" s="20">
        <f t="shared" si="13"/>
        <v>0</v>
      </c>
      <c r="V53" s="20">
        <f t="shared" si="13"/>
        <v>0</v>
      </c>
      <c r="W53" s="20">
        <f t="shared" si="13"/>
        <v>0</v>
      </c>
      <c r="X53" s="20">
        <f t="shared" si="13"/>
        <v>0</v>
      </c>
      <c r="Y53" s="20">
        <f t="shared" si="13"/>
        <v>0</v>
      </c>
      <c r="Z53" s="20">
        <f t="shared" si="13"/>
        <v>0</v>
      </c>
      <c r="AA53" s="20">
        <f t="shared" si="13"/>
        <v>0</v>
      </c>
      <c r="AB53" s="20">
        <f t="shared" si="13"/>
        <v>0</v>
      </c>
      <c r="AC53" s="20">
        <f t="shared" si="13"/>
        <v>0</v>
      </c>
      <c r="AD53" s="20">
        <f t="shared" si="13"/>
        <v>0</v>
      </c>
      <c r="AE53" s="20">
        <f t="shared" si="13"/>
        <v>8</v>
      </c>
      <c r="AF53" s="20">
        <f t="shared" si="13"/>
        <v>8</v>
      </c>
      <c r="AG53" s="20">
        <f t="shared" si="13"/>
        <v>0</v>
      </c>
      <c r="AH53" s="20">
        <f t="shared" si="13"/>
        <v>0</v>
      </c>
      <c r="AI53" s="21">
        <f t="shared" si="4"/>
        <v>88</v>
      </c>
    </row>
    <row r="54" spans="1:35" ht="15" customHeight="1">
      <c r="A54" s="2">
        <v>6</v>
      </c>
      <c r="B54" s="2" t="s">
        <v>129</v>
      </c>
      <c r="C54" s="503" t="s">
        <v>116</v>
      </c>
      <c r="D54" s="501"/>
      <c r="E54" s="20">
        <f t="shared" ref="E54:AH54" si="14">E16-D16</f>
        <v>312</v>
      </c>
      <c r="F54" s="20">
        <f t="shared" si="14"/>
        <v>221</v>
      </c>
      <c r="G54" s="20">
        <f t="shared" si="14"/>
        <v>249</v>
      </c>
      <c r="H54" s="20">
        <f t="shared" si="14"/>
        <v>259</v>
      </c>
      <c r="I54" s="20">
        <f t="shared" si="14"/>
        <v>269</v>
      </c>
      <c r="J54" s="20">
        <f t="shared" si="14"/>
        <v>140</v>
      </c>
      <c r="K54" s="20">
        <f t="shared" si="14"/>
        <v>117</v>
      </c>
      <c r="L54" s="20">
        <f t="shared" si="14"/>
        <v>293</v>
      </c>
      <c r="M54" s="20">
        <f t="shared" si="14"/>
        <v>258</v>
      </c>
      <c r="N54" s="20">
        <f t="shared" si="14"/>
        <v>292</v>
      </c>
      <c r="O54" s="20">
        <f t="shared" si="14"/>
        <v>258</v>
      </c>
      <c r="P54" s="20">
        <f t="shared" si="14"/>
        <v>284</v>
      </c>
      <c r="Q54" s="20">
        <f t="shared" si="14"/>
        <v>106</v>
      </c>
      <c r="R54" s="20">
        <f t="shared" si="14"/>
        <v>118</v>
      </c>
      <c r="S54" s="20">
        <f t="shared" si="14"/>
        <v>178</v>
      </c>
      <c r="T54" s="20">
        <f t="shared" si="14"/>
        <v>275</v>
      </c>
      <c r="U54" s="20">
        <f t="shared" si="14"/>
        <v>257</v>
      </c>
      <c r="V54" s="20">
        <f t="shared" si="14"/>
        <v>272</v>
      </c>
      <c r="W54" s="20">
        <f t="shared" si="14"/>
        <v>242</v>
      </c>
      <c r="X54" s="20">
        <f t="shared" si="14"/>
        <v>128</v>
      </c>
      <c r="Y54" s="20">
        <f t="shared" si="14"/>
        <v>96</v>
      </c>
      <c r="Z54" s="20">
        <f t="shared" si="14"/>
        <v>269</v>
      </c>
      <c r="AA54" s="20">
        <f t="shared" si="14"/>
        <v>262</v>
      </c>
      <c r="AB54" s="20">
        <f t="shared" si="14"/>
        <v>259</v>
      </c>
      <c r="AC54" s="20">
        <f t="shared" si="14"/>
        <v>264</v>
      </c>
      <c r="AD54" s="20">
        <f t="shared" si="14"/>
        <v>260</v>
      </c>
      <c r="AE54" s="20">
        <f t="shared" si="14"/>
        <v>128</v>
      </c>
      <c r="AF54" s="20">
        <f t="shared" si="14"/>
        <v>140</v>
      </c>
      <c r="AG54" s="20">
        <f t="shared" si="14"/>
        <v>287</v>
      </c>
      <c r="AH54" s="20">
        <f t="shared" si="14"/>
        <v>126</v>
      </c>
      <c r="AI54" s="21">
        <f t="shared" si="4"/>
        <v>6619</v>
      </c>
    </row>
    <row r="55" spans="1:35" ht="15" customHeight="1">
      <c r="A55" s="2"/>
      <c r="B55" s="2"/>
      <c r="C55" s="531" t="s">
        <v>22</v>
      </c>
      <c r="D55" s="501"/>
      <c r="E55" s="20">
        <f t="shared" ref="E55:AH55" si="15">E17-D17</f>
        <v>0</v>
      </c>
      <c r="F55" s="20">
        <f t="shared" si="15"/>
        <v>0</v>
      </c>
      <c r="G55" s="20">
        <f t="shared" si="15"/>
        <v>0</v>
      </c>
      <c r="H55" s="20">
        <f t="shared" si="15"/>
        <v>0</v>
      </c>
      <c r="I55" s="20">
        <f t="shared" si="15"/>
        <v>0</v>
      </c>
      <c r="J55" s="20">
        <f t="shared" si="15"/>
        <v>0</v>
      </c>
      <c r="K55" s="20">
        <f t="shared" si="15"/>
        <v>0</v>
      </c>
      <c r="L55" s="20">
        <f t="shared" si="15"/>
        <v>0</v>
      </c>
      <c r="M55" s="20">
        <f t="shared" si="15"/>
        <v>0</v>
      </c>
      <c r="N55" s="20">
        <f t="shared" si="15"/>
        <v>0</v>
      </c>
      <c r="O55" s="20">
        <f t="shared" si="15"/>
        <v>0</v>
      </c>
      <c r="P55" s="20">
        <f t="shared" si="15"/>
        <v>0</v>
      </c>
      <c r="Q55" s="20">
        <f t="shared" si="15"/>
        <v>0</v>
      </c>
      <c r="R55" s="20">
        <f t="shared" si="15"/>
        <v>0</v>
      </c>
      <c r="S55" s="20">
        <f t="shared" si="15"/>
        <v>89</v>
      </c>
      <c r="T55" s="20">
        <f t="shared" si="15"/>
        <v>0</v>
      </c>
      <c r="U55" s="20">
        <f t="shared" si="15"/>
        <v>0</v>
      </c>
      <c r="V55" s="20">
        <f t="shared" si="15"/>
        <v>0</v>
      </c>
      <c r="W55" s="20">
        <f t="shared" si="15"/>
        <v>0</v>
      </c>
      <c r="X55" s="20">
        <f t="shared" si="15"/>
        <v>0</v>
      </c>
      <c r="Y55" s="20">
        <f t="shared" si="15"/>
        <v>0</v>
      </c>
      <c r="Z55" s="20">
        <f t="shared" si="15"/>
        <v>0</v>
      </c>
      <c r="AA55" s="20">
        <f t="shared" si="15"/>
        <v>0</v>
      </c>
      <c r="AB55" s="20">
        <f t="shared" si="15"/>
        <v>0</v>
      </c>
      <c r="AC55" s="20">
        <f t="shared" si="15"/>
        <v>0</v>
      </c>
      <c r="AD55" s="20">
        <f t="shared" si="15"/>
        <v>0</v>
      </c>
      <c r="AE55" s="20">
        <f t="shared" si="15"/>
        <v>6</v>
      </c>
      <c r="AF55" s="20">
        <f t="shared" si="15"/>
        <v>11</v>
      </c>
      <c r="AG55" s="20">
        <f t="shared" si="15"/>
        <v>0</v>
      </c>
      <c r="AH55" s="20">
        <f t="shared" si="15"/>
        <v>0</v>
      </c>
      <c r="AI55" s="21">
        <f t="shared" si="4"/>
        <v>106</v>
      </c>
    </row>
    <row r="56" spans="1:35" ht="15" customHeight="1">
      <c r="A56" s="2">
        <v>7</v>
      </c>
      <c r="B56" s="2" t="s">
        <v>129</v>
      </c>
      <c r="C56" s="503" t="s">
        <v>117</v>
      </c>
      <c r="D56" s="501"/>
      <c r="E56" s="20">
        <f t="shared" ref="E56:AH56" si="16">E18-D18</f>
        <v>1030</v>
      </c>
      <c r="F56" s="20">
        <f t="shared" si="16"/>
        <v>722</v>
      </c>
      <c r="G56" s="20">
        <f t="shared" si="16"/>
        <v>729</v>
      </c>
      <c r="H56" s="20">
        <f t="shared" si="16"/>
        <v>814</v>
      </c>
      <c r="I56" s="20">
        <f t="shared" si="16"/>
        <v>780</v>
      </c>
      <c r="J56" s="20">
        <f t="shared" si="16"/>
        <v>641</v>
      </c>
      <c r="K56" s="20">
        <f t="shared" si="16"/>
        <v>523</v>
      </c>
      <c r="L56" s="20">
        <f t="shared" si="16"/>
        <v>796</v>
      </c>
      <c r="M56" s="20">
        <f t="shared" si="16"/>
        <v>809</v>
      </c>
      <c r="N56" s="20">
        <f t="shared" si="16"/>
        <v>835</v>
      </c>
      <c r="O56" s="20">
        <f t="shared" si="16"/>
        <v>777</v>
      </c>
      <c r="P56" s="20">
        <f t="shared" si="16"/>
        <v>802</v>
      </c>
      <c r="Q56" s="20">
        <f t="shared" si="16"/>
        <v>606</v>
      </c>
      <c r="R56" s="20">
        <f t="shared" si="16"/>
        <v>500</v>
      </c>
      <c r="S56" s="20">
        <f t="shared" si="16"/>
        <v>537</v>
      </c>
      <c r="T56" s="20">
        <f t="shared" si="16"/>
        <v>766</v>
      </c>
      <c r="U56" s="20">
        <f t="shared" si="16"/>
        <v>778</v>
      </c>
      <c r="V56" s="20">
        <f t="shared" si="16"/>
        <v>822</v>
      </c>
      <c r="W56" s="20">
        <f t="shared" si="16"/>
        <v>747</v>
      </c>
      <c r="X56" s="20">
        <f t="shared" si="16"/>
        <v>587</v>
      </c>
      <c r="Y56" s="20">
        <f t="shared" si="16"/>
        <v>460</v>
      </c>
      <c r="Z56" s="20">
        <f t="shared" si="16"/>
        <v>728</v>
      </c>
      <c r="AA56" s="20">
        <f t="shared" si="16"/>
        <v>784</v>
      </c>
      <c r="AB56" s="20">
        <f t="shared" si="16"/>
        <v>762</v>
      </c>
      <c r="AC56" s="20">
        <f t="shared" si="16"/>
        <v>822</v>
      </c>
      <c r="AD56" s="20">
        <f t="shared" si="16"/>
        <v>774</v>
      </c>
      <c r="AE56" s="20">
        <f t="shared" si="16"/>
        <v>604</v>
      </c>
      <c r="AF56" s="20">
        <f t="shared" si="16"/>
        <v>420</v>
      </c>
      <c r="AG56" s="20">
        <f t="shared" si="16"/>
        <v>783</v>
      </c>
      <c r="AH56" s="20">
        <f t="shared" si="16"/>
        <v>421</v>
      </c>
      <c r="AI56" s="21">
        <f t="shared" si="4"/>
        <v>21159</v>
      </c>
    </row>
    <row r="57" spans="1:35" ht="15" customHeight="1">
      <c r="A57" s="2"/>
      <c r="B57" s="2"/>
      <c r="C57" s="531" t="s">
        <v>22</v>
      </c>
      <c r="D57" s="501"/>
      <c r="E57" s="20">
        <f t="shared" ref="E57:X57" si="17">E19-D19</f>
        <v>0</v>
      </c>
      <c r="F57" s="20">
        <f t="shared" si="17"/>
        <v>0</v>
      </c>
      <c r="G57" s="20">
        <f t="shared" si="17"/>
        <v>0</v>
      </c>
      <c r="H57" s="20">
        <f t="shared" si="17"/>
        <v>0</v>
      </c>
      <c r="I57" s="20">
        <f t="shared" si="17"/>
        <v>0</v>
      </c>
      <c r="J57" s="20">
        <f t="shared" si="17"/>
        <v>0</v>
      </c>
      <c r="K57" s="20">
        <f t="shared" si="17"/>
        <v>0</v>
      </c>
      <c r="L57" s="20">
        <f t="shared" si="17"/>
        <v>0</v>
      </c>
      <c r="M57" s="20">
        <f t="shared" si="17"/>
        <v>0</v>
      </c>
      <c r="N57" s="20">
        <f t="shared" si="17"/>
        <v>0</v>
      </c>
      <c r="O57" s="20">
        <f t="shared" si="17"/>
        <v>0</v>
      </c>
      <c r="P57" s="20">
        <f t="shared" si="17"/>
        <v>0</v>
      </c>
      <c r="Q57" s="20">
        <f t="shared" si="17"/>
        <v>0</v>
      </c>
      <c r="R57" s="20">
        <f t="shared" si="17"/>
        <v>0</v>
      </c>
      <c r="S57" s="20">
        <f t="shared" si="17"/>
        <v>14</v>
      </c>
      <c r="T57" s="20">
        <f t="shared" si="17"/>
        <v>0</v>
      </c>
      <c r="U57" s="20">
        <f t="shared" si="17"/>
        <v>0</v>
      </c>
      <c r="V57" s="20">
        <f t="shared" si="17"/>
        <v>0</v>
      </c>
      <c r="W57" s="20">
        <f t="shared" si="17"/>
        <v>0</v>
      </c>
      <c r="X57" s="20">
        <f t="shared" si="17"/>
        <v>0</v>
      </c>
      <c r="Y57" s="20">
        <v>0</v>
      </c>
      <c r="Z57" s="20">
        <f>Z19-Y19</f>
        <v>0</v>
      </c>
      <c r="AA57" s="20">
        <v>0</v>
      </c>
      <c r="AB57" s="20">
        <f t="shared" ref="AB57:AH59" si="18">AB19-AA19</f>
        <v>0</v>
      </c>
      <c r="AC57" s="20">
        <f t="shared" si="18"/>
        <v>0</v>
      </c>
      <c r="AD57" s="20">
        <f t="shared" si="18"/>
        <v>0</v>
      </c>
      <c r="AE57" s="20">
        <f t="shared" si="18"/>
        <v>0</v>
      </c>
      <c r="AF57" s="20">
        <f t="shared" si="18"/>
        <v>248</v>
      </c>
      <c r="AG57" s="20">
        <f t="shared" si="18"/>
        <v>0</v>
      </c>
      <c r="AH57" s="20">
        <f t="shared" si="18"/>
        <v>0</v>
      </c>
      <c r="AI57" s="21">
        <f t="shared" si="4"/>
        <v>262</v>
      </c>
    </row>
    <row r="58" spans="1:35" ht="15" customHeight="1">
      <c r="A58" s="2">
        <v>8</v>
      </c>
      <c r="B58" s="2" t="s">
        <v>129</v>
      </c>
      <c r="C58" s="503" t="s">
        <v>118</v>
      </c>
      <c r="D58" s="501"/>
      <c r="E58" s="20">
        <f t="shared" ref="E58:X58" si="19">E20-D20</f>
        <v>202</v>
      </c>
      <c r="F58" s="20">
        <f t="shared" si="19"/>
        <v>126</v>
      </c>
      <c r="G58" s="20">
        <f t="shared" si="19"/>
        <v>124</v>
      </c>
      <c r="H58" s="20">
        <f t="shared" si="19"/>
        <v>123</v>
      </c>
      <c r="I58" s="20">
        <f t="shared" si="19"/>
        <v>133</v>
      </c>
      <c r="J58" s="20">
        <f t="shared" si="19"/>
        <v>103</v>
      </c>
      <c r="K58" s="20">
        <f t="shared" si="19"/>
        <v>145</v>
      </c>
      <c r="L58" s="20">
        <f t="shared" si="19"/>
        <v>132</v>
      </c>
      <c r="M58" s="20">
        <f t="shared" si="19"/>
        <v>145</v>
      </c>
      <c r="N58" s="20">
        <f t="shared" si="19"/>
        <v>128</v>
      </c>
      <c r="O58" s="20">
        <f t="shared" si="19"/>
        <v>124</v>
      </c>
      <c r="P58" s="20">
        <f t="shared" si="19"/>
        <v>0</v>
      </c>
      <c r="Q58" s="20">
        <f t="shared" si="19"/>
        <v>251</v>
      </c>
      <c r="R58" s="20">
        <f t="shared" si="19"/>
        <v>157</v>
      </c>
      <c r="S58" s="20">
        <f t="shared" si="19"/>
        <v>149</v>
      </c>
      <c r="T58" s="20">
        <f t="shared" si="19"/>
        <v>120</v>
      </c>
      <c r="U58" s="20">
        <f t="shared" si="19"/>
        <v>136</v>
      </c>
      <c r="V58" s="20">
        <f t="shared" si="19"/>
        <v>121</v>
      </c>
      <c r="W58" s="20">
        <f t="shared" si="19"/>
        <v>151</v>
      </c>
      <c r="X58" s="20">
        <f t="shared" si="19"/>
        <v>116</v>
      </c>
      <c r="Y58" s="20">
        <f>Y20-X20</f>
        <v>139</v>
      </c>
      <c r="Z58" s="20">
        <f>Z20-Y20</f>
        <v>137</v>
      </c>
      <c r="AA58" s="20">
        <f>AA20-Z20</f>
        <v>147</v>
      </c>
      <c r="AB58" s="20">
        <f t="shared" si="18"/>
        <v>130</v>
      </c>
      <c r="AC58" s="20">
        <f t="shared" si="18"/>
        <v>150</v>
      </c>
      <c r="AD58" s="20">
        <f t="shared" si="18"/>
        <v>140</v>
      </c>
      <c r="AE58" s="20">
        <f t="shared" si="18"/>
        <v>151</v>
      </c>
      <c r="AF58" s="20">
        <f t="shared" si="18"/>
        <v>89</v>
      </c>
      <c r="AG58" s="20">
        <f t="shared" si="18"/>
        <v>139</v>
      </c>
      <c r="AH58" s="20">
        <f t="shared" si="18"/>
        <v>94</v>
      </c>
      <c r="AI58" s="21">
        <f t="shared" si="4"/>
        <v>4002</v>
      </c>
    </row>
    <row r="59" spans="1:35" ht="15" customHeight="1">
      <c r="A59" s="2"/>
      <c r="B59" s="2"/>
      <c r="C59" s="531" t="s">
        <v>22</v>
      </c>
      <c r="D59" s="501"/>
      <c r="E59" s="20">
        <f t="shared" ref="E59:X59" si="20">E21-D21</f>
        <v>0</v>
      </c>
      <c r="F59" s="20">
        <f t="shared" si="20"/>
        <v>0</v>
      </c>
      <c r="G59" s="20">
        <f t="shared" si="20"/>
        <v>0</v>
      </c>
      <c r="H59" s="20">
        <f t="shared" si="20"/>
        <v>0</v>
      </c>
      <c r="I59" s="20">
        <f t="shared" si="20"/>
        <v>0</v>
      </c>
      <c r="J59" s="20">
        <f t="shared" si="20"/>
        <v>0</v>
      </c>
      <c r="K59" s="20">
        <f t="shared" si="20"/>
        <v>0</v>
      </c>
      <c r="L59" s="20">
        <f t="shared" si="20"/>
        <v>0</v>
      </c>
      <c r="M59" s="20">
        <f t="shared" si="20"/>
        <v>0</v>
      </c>
      <c r="N59" s="20">
        <f t="shared" si="20"/>
        <v>0</v>
      </c>
      <c r="O59" s="20">
        <f t="shared" si="20"/>
        <v>0</v>
      </c>
      <c r="P59" s="20">
        <f t="shared" si="20"/>
        <v>0</v>
      </c>
      <c r="Q59" s="20">
        <f t="shared" si="20"/>
        <v>0</v>
      </c>
      <c r="R59" s="20">
        <f t="shared" si="20"/>
        <v>0</v>
      </c>
      <c r="S59" s="20">
        <f t="shared" si="20"/>
        <v>37</v>
      </c>
      <c r="T59" s="20">
        <f t="shared" si="20"/>
        <v>0</v>
      </c>
      <c r="U59" s="20">
        <f t="shared" si="20"/>
        <v>0</v>
      </c>
      <c r="V59" s="20">
        <f t="shared" si="20"/>
        <v>0</v>
      </c>
      <c r="W59" s="20">
        <f t="shared" si="20"/>
        <v>0</v>
      </c>
      <c r="X59" s="20">
        <f t="shared" si="20"/>
        <v>0</v>
      </c>
      <c r="Y59" s="20">
        <f>Y21-X21</f>
        <v>0</v>
      </c>
      <c r="Z59" s="20">
        <f>Z21-Y21</f>
        <v>0</v>
      </c>
      <c r="AA59" s="20">
        <f>AA21-Z21</f>
        <v>0</v>
      </c>
      <c r="AB59" s="20">
        <f t="shared" si="18"/>
        <v>0</v>
      </c>
      <c r="AC59" s="20">
        <f t="shared" si="18"/>
        <v>0</v>
      </c>
      <c r="AD59" s="20">
        <f t="shared" si="18"/>
        <v>0</v>
      </c>
      <c r="AE59" s="20">
        <f t="shared" si="18"/>
        <v>6</v>
      </c>
      <c r="AF59" s="20">
        <f t="shared" si="18"/>
        <v>5</v>
      </c>
      <c r="AG59" s="20">
        <f t="shared" si="18"/>
        <v>0</v>
      </c>
      <c r="AH59" s="20">
        <f t="shared" si="18"/>
        <v>0</v>
      </c>
      <c r="AI59" s="21">
        <f t="shared" si="4"/>
        <v>48</v>
      </c>
    </row>
    <row r="60" spans="1:35" ht="15" customHeight="1">
      <c r="A60" s="99"/>
      <c r="B60" s="99"/>
      <c r="C60" s="500" t="s">
        <v>130</v>
      </c>
      <c r="D60" s="501"/>
      <c r="E60" s="23">
        <f t="shared" ref="E60:AH60" si="21">SUM(E58,E56,E54,E52,E50,E48,E46,E44)</f>
        <v>2786</v>
      </c>
      <c r="F60" s="23">
        <f t="shared" si="21"/>
        <v>1822</v>
      </c>
      <c r="G60" s="23">
        <f t="shared" si="21"/>
        <v>2002</v>
      </c>
      <c r="H60" s="23">
        <f t="shared" si="21"/>
        <v>2154</v>
      </c>
      <c r="I60" s="23">
        <f t="shared" si="21"/>
        <v>2117</v>
      </c>
      <c r="J60" s="23">
        <f t="shared" si="21"/>
        <v>1536</v>
      </c>
      <c r="K60" s="23">
        <f t="shared" si="21"/>
        <v>1433</v>
      </c>
      <c r="L60" s="23">
        <f t="shared" si="21"/>
        <v>2157</v>
      </c>
      <c r="M60" s="23">
        <f t="shared" si="21"/>
        <v>2194</v>
      </c>
      <c r="N60" s="23">
        <f t="shared" si="21"/>
        <v>2250</v>
      </c>
      <c r="O60" s="23">
        <f t="shared" si="21"/>
        <v>2112</v>
      </c>
      <c r="P60" s="23">
        <f t="shared" si="21"/>
        <v>2051</v>
      </c>
      <c r="Q60" s="23">
        <f t="shared" si="21"/>
        <v>1602</v>
      </c>
      <c r="R60" s="23">
        <f t="shared" si="21"/>
        <v>1418</v>
      </c>
      <c r="S60" s="23">
        <f t="shared" si="21"/>
        <v>1498</v>
      </c>
      <c r="T60" s="23">
        <f t="shared" si="21"/>
        <v>2087</v>
      </c>
      <c r="U60" s="23">
        <f t="shared" si="21"/>
        <v>2110</v>
      </c>
      <c r="V60" s="23">
        <f t="shared" si="21"/>
        <v>2144</v>
      </c>
      <c r="W60" s="23">
        <f t="shared" si="21"/>
        <v>2070</v>
      </c>
      <c r="X60" s="23">
        <f t="shared" si="21"/>
        <v>1493</v>
      </c>
      <c r="Y60" s="23">
        <f t="shared" si="21"/>
        <v>1322</v>
      </c>
      <c r="Z60" s="23">
        <f t="shared" si="21"/>
        <v>2054</v>
      </c>
      <c r="AA60" s="23">
        <f t="shared" si="21"/>
        <v>2117</v>
      </c>
      <c r="AB60" s="23">
        <f t="shared" si="21"/>
        <v>2092</v>
      </c>
      <c r="AC60" s="23">
        <f t="shared" si="21"/>
        <v>2193</v>
      </c>
      <c r="AD60" s="23">
        <f t="shared" si="21"/>
        <v>2076</v>
      </c>
      <c r="AE60" s="23">
        <f t="shared" si="21"/>
        <v>1532</v>
      </c>
      <c r="AF60" s="23">
        <f t="shared" si="21"/>
        <v>1251</v>
      </c>
      <c r="AG60" s="23">
        <f t="shared" si="21"/>
        <v>2145</v>
      </c>
      <c r="AH60" s="23">
        <f t="shared" si="21"/>
        <v>1116</v>
      </c>
      <c r="AI60" s="24">
        <f t="shared" si="4"/>
        <v>56934</v>
      </c>
    </row>
    <row r="61" spans="1:35" ht="15" customHeight="1">
      <c r="A61" s="99"/>
      <c r="B61" s="99"/>
      <c r="C61" s="145" t="s">
        <v>131</v>
      </c>
      <c r="D61" s="108"/>
      <c r="E61" s="23">
        <f t="shared" ref="E61:AH61" si="22">SUM(E45,E47,E49,E51,E53,E55,E57,E59)</f>
        <v>0</v>
      </c>
      <c r="F61" s="23">
        <f t="shared" si="22"/>
        <v>0</v>
      </c>
      <c r="G61" s="23">
        <f t="shared" si="22"/>
        <v>0</v>
      </c>
      <c r="H61" s="23">
        <f t="shared" si="22"/>
        <v>0</v>
      </c>
      <c r="I61" s="23">
        <f t="shared" si="22"/>
        <v>0</v>
      </c>
      <c r="J61" s="23">
        <f t="shared" si="22"/>
        <v>0</v>
      </c>
      <c r="K61" s="23">
        <f t="shared" si="22"/>
        <v>0</v>
      </c>
      <c r="L61" s="23">
        <f t="shared" si="22"/>
        <v>0</v>
      </c>
      <c r="M61" s="23">
        <f t="shared" si="22"/>
        <v>0</v>
      </c>
      <c r="N61" s="23">
        <f t="shared" si="22"/>
        <v>0</v>
      </c>
      <c r="O61" s="23">
        <f t="shared" si="22"/>
        <v>0</v>
      </c>
      <c r="P61" s="23">
        <f t="shared" si="22"/>
        <v>0</v>
      </c>
      <c r="Q61" s="23">
        <f t="shared" si="22"/>
        <v>0</v>
      </c>
      <c r="R61" s="23">
        <f t="shared" si="22"/>
        <v>0</v>
      </c>
      <c r="S61" s="23">
        <f t="shared" si="22"/>
        <v>428</v>
      </c>
      <c r="T61" s="23">
        <f t="shared" si="22"/>
        <v>0</v>
      </c>
      <c r="U61" s="23">
        <f t="shared" si="22"/>
        <v>0</v>
      </c>
      <c r="V61" s="23">
        <f t="shared" si="22"/>
        <v>0</v>
      </c>
      <c r="W61" s="23">
        <f t="shared" si="22"/>
        <v>0</v>
      </c>
      <c r="X61" s="23">
        <f t="shared" si="22"/>
        <v>0</v>
      </c>
      <c r="Y61" s="23">
        <f t="shared" si="22"/>
        <v>0</v>
      </c>
      <c r="Z61" s="23">
        <f t="shared" si="22"/>
        <v>0</v>
      </c>
      <c r="AA61" s="23">
        <f t="shared" si="22"/>
        <v>0</v>
      </c>
      <c r="AB61" s="23">
        <f t="shared" si="22"/>
        <v>0</v>
      </c>
      <c r="AC61" s="23">
        <f t="shared" si="22"/>
        <v>0</v>
      </c>
      <c r="AD61" s="23">
        <f t="shared" si="22"/>
        <v>0</v>
      </c>
      <c r="AE61" s="23">
        <f t="shared" si="22"/>
        <v>44</v>
      </c>
      <c r="AF61" s="23">
        <f t="shared" si="22"/>
        <v>296</v>
      </c>
      <c r="AG61" s="23">
        <f t="shared" si="22"/>
        <v>0</v>
      </c>
      <c r="AH61" s="23">
        <f t="shared" si="22"/>
        <v>0</v>
      </c>
      <c r="AI61" s="24">
        <f t="shared" si="4"/>
        <v>768</v>
      </c>
    </row>
    <row r="62" spans="1:35">
      <c r="A62" s="101"/>
      <c r="B62" s="101"/>
      <c r="C62" s="539" t="s">
        <v>132</v>
      </c>
      <c r="D62" s="501"/>
      <c r="E62" s="102">
        <f t="shared" ref="E62:AI62" si="23">E60</f>
        <v>2786</v>
      </c>
      <c r="F62" s="102">
        <f t="shared" si="23"/>
        <v>1822</v>
      </c>
      <c r="G62" s="102">
        <f t="shared" si="23"/>
        <v>2002</v>
      </c>
      <c r="H62" s="102">
        <f t="shared" si="23"/>
        <v>2154</v>
      </c>
      <c r="I62" s="102">
        <f t="shared" si="23"/>
        <v>2117</v>
      </c>
      <c r="J62" s="102">
        <f t="shared" si="23"/>
        <v>1536</v>
      </c>
      <c r="K62" s="102">
        <f t="shared" si="23"/>
        <v>1433</v>
      </c>
      <c r="L62" s="102">
        <f t="shared" si="23"/>
        <v>2157</v>
      </c>
      <c r="M62" s="102">
        <f t="shared" si="23"/>
        <v>2194</v>
      </c>
      <c r="N62" s="102">
        <f t="shared" si="23"/>
        <v>2250</v>
      </c>
      <c r="O62" s="102">
        <f t="shared" si="23"/>
        <v>2112</v>
      </c>
      <c r="P62" s="102">
        <f t="shared" si="23"/>
        <v>2051</v>
      </c>
      <c r="Q62" s="102">
        <f t="shared" si="23"/>
        <v>1602</v>
      </c>
      <c r="R62" s="102">
        <f t="shared" si="23"/>
        <v>1418</v>
      </c>
      <c r="S62" s="102">
        <f t="shared" si="23"/>
        <v>1498</v>
      </c>
      <c r="T62" s="102">
        <f t="shared" si="23"/>
        <v>2087</v>
      </c>
      <c r="U62" s="102">
        <f t="shared" si="23"/>
        <v>2110</v>
      </c>
      <c r="V62" s="102">
        <f t="shared" si="23"/>
        <v>2144</v>
      </c>
      <c r="W62" s="102">
        <f t="shared" si="23"/>
        <v>2070</v>
      </c>
      <c r="X62" s="102">
        <f t="shared" si="23"/>
        <v>1493</v>
      </c>
      <c r="Y62" s="102">
        <f t="shared" si="23"/>
        <v>1322</v>
      </c>
      <c r="Z62" s="102">
        <f t="shared" si="23"/>
        <v>2054</v>
      </c>
      <c r="AA62" s="102">
        <f t="shared" si="23"/>
        <v>2117</v>
      </c>
      <c r="AB62" s="102">
        <f t="shared" si="23"/>
        <v>2092</v>
      </c>
      <c r="AC62" s="102">
        <f t="shared" si="23"/>
        <v>2193</v>
      </c>
      <c r="AD62" s="102">
        <f t="shared" si="23"/>
        <v>2076</v>
      </c>
      <c r="AE62" s="102">
        <f t="shared" si="23"/>
        <v>1532</v>
      </c>
      <c r="AF62" s="102">
        <f t="shared" si="23"/>
        <v>1251</v>
      </c>
      <c r="AG62" s="102">
        <f t="shared" si="23"/>
        <v>2145</v>
      </c>
      <c r="AH62" s="102">
        <f t="shared" si="23"/>
        <v>1116</v>
      </c>
      <c r="AI62" s="102">
        <f t="shared" si="23"/>
        <v>56934</v>
      </c>
    </row>
    <row r="63" spans="1:35">
      <c r="A63" s="94"/>
      <c r="B63" s="27"/>
      <c r="C63" s="146"/>
      <c r="D63" s="10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</row>
    <row r="64" spans="1:35">
      <c r="A64" s="28" t="s">
        <v>133</v>
      </c>
      <c r="B64" s="28" t="s">
        <v>100</v>
      </c>
      <c r="C64" s="523" t="s">
        <v>101</v>
      </c>
      <c r="D64" s="501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103"/>
    </row>
    <row r="65" spans="1:37">
      <c r="A65" s="2">
        <v>1</v>
      </c>
      <c r="B65" s="2" t="s">
        <v>129</v>
      </c>
      <c r="C65" s="506" t="s">
        <v>119</v>
      </c>
      <c r="D65" s="501"/>
      <c r="E65" s="102">
        <f t="shared" ref="E65:AH65" si="24">E23-D23</f>
        <v>120</v>
      </c>
      <c r="F65" s="102">
        <f t="shared" si="24"/>
        <v>152</v>
      </c>
      <c r="G65" s="102">
        <f t="shared" si="24"/>
        <v>120</v>
      </c>
      <c r="H65" s="102">
        <f t="shared" si="24"/>
        <v>199</v>
      </c>
      <c r="I65" s="102">
        <f t="shared" si="24"/>
        <v>198</v>
      </c>
      <c r="J65" s="102">
        <f t="shared" si="24"/>
        <v>192</v>
      </c>
      <c r="K65" s="102">
        <f t="shared" si="24"/>
        <v>67</v>
      </c>
      <c r="L65" s="102">
        <f t="shared" si="24"/>
        <v>168</v>
      </c>
      <c r="M65" s="102">
        <f t="shared" si="24"/>
        <v>105</v>
      </c>
      <c r="N65" s="102">
        <f t="shared" si="24"/>
        <v>75</v>
      </c>
      <c r="O65" s="102">
        <f t="shared" si="24"/>
        <v>89</v>
      </c>
      <c r="P65" s="102">
        <f t="shared" si="24"/>
        <v>105</v>
      </c>
      <c r="Q65" s="102">
        <f t="shared" si="24"/>
        <v>76</v>
      </c>
      <c r="R65" s="102">
        <f t="shared" si="24"/>
        <v>35</v>
      </c>
      <c r="S65" s="102">
        <f t="shared" si="24"/>
        <v>87</v>
      </c>
      <c r="T65" s="102">
        <f t="shared" si="24"/>
        <v>137</v>
      </c>
      <c r="U65" s="102">
        <f t="shared" si="24"/>
        <v>106</v>
      </c>
      <c r="V65" s="102">
        <f t="shared" si="24"/>
        <v>71</v>
      </c>
      <c r="W65" s="102">
        <f t="shared" si="24"/>
        <v>68</v>
      </c>
      <c r="X65" s="102">
        <f t="shared" si="24"/>
        <v>-274</v>
      </c>
      <c r="Y65" s="102">
        <f t="shared" si="24"/>
        <v>330</v>
      </c>
      <c r="Z65" s="102">
        <f t="shared" si="24"/>
        <v>77</v>
      </c>
      <c r="AA65" s="102">
        <f t="shared" si="24"/>
        <v>114</v>
      </c>
      <c r="AB65" s="102">
        <f t="shared" si="24"/>
        <v>107</v>
      </c>
      <c r="AC65" s="102">
        <f t="shared" si="24"/>
        <v>120</v>
      </c>
      <c r="AD65" s="102">
        <f t="shared" si="24"/>
        <v>122</v>
      </c>
      <c r="AE65" s="102">
        <f t="shared" si="24"/>
        <v>67</v>
      </c>
      <c r="AF65" s="102">
        <f t="shared" si="24"/>
        <v>23</v>
      </c>
      <c r="AG65" s="102">
        <f t="shared" si="24"/>
        <v>71</v>
      </c>
      <c r="AH65" s="102">
        <f t="shared" si="24"/>
        <v>50</v>
      </c>
      <c r="AI65" s="102">
        <f t="shared" ref="AI65:AI78" si="25">SUM(E65:AH65)</f>
        <v>2977</v>
      </c>
    </row>
    <row r="66" spans="1:37">
      <c r="A66" s="2"/>
      <c r="B66" s="2"/>
      <c r="C66" s="532" t="s">
        <v>22</v>
      </c>
      <c r="D66" s="501"/>
      <c r="E66" s="102">
        <f t="shared" ref="E66:AH66" si="26">E24-D24</f>
        <v>0</v>
      </c>
      <c r="F66" s="102">
        <f t="shared" si="26"/>
        <v>0</v>
      </c>
      <c r="G66" s="102">
        <f t="shared" si="26"/>
        <v>0</v>
      </c>
      <c r="H66" s="102">
        <f t="shared" si="26"/>
        <v>0</v>
      </c>
      <c r="I66" s="102">
        <f t="shared" si="26"/>
        <v>0</v>
      </c>
      <c r="J66" s="102">
        <f t="shared" si="26"/>
        <v>0</v>
      </c>
      <c r="K66" s="102">
        <f t="shared" si="26"/>
        <v>0</v>
      </c>
      <c r="L66" s="102">
        <f t="shared" si="26"/>
        <v>0</v>
      </c>
      <c r="M66" s="102">
        <f t="shared" si="26"/>
        <v>0</v>
      </c>
      <c r="N66" s="102">
        <f t="shared" si="26"/>
        <v>0</v>
      </c>
      <c r="O66" s="102">
        <f t="shared" si="26"/>
        <v>0</v>
      </c>
      <c r="P66" s="102">
        <f t="shared" si="26"/>
        <v>0</v>
      </c>
      <c r="Q66" s="102">
        <f t="shared" si="26"/>
        <v>0</v>
      </c>
      <c r="R66" s="102">
        <f t="shared" si="26"/>
        <v>0</v>
      </c>
      <c r="S66" s="102">
        <f t="shared" si="26"/>
        <v>36</v>
      </c>
      <c r="T66" s="102">
        <f t="shared" si="26"/>
        <v>0</v>
      </c>
      <c r="U66" s="102">
        <f t="shared" si="26"/>
        <v>0</v>
      </c>
      <c r="V66" s="102">
        <f t="shared" si="26"/>
        <v>0</v>
      </c>
      <c r="W66" s="102">
        <f t="shared" si="26"/>
        <v>0</v>
      </c>
      <c r="X66" s="102">
        <f t="shared" si="26"/>
        <v>0</v>
      </c>
      <c r="Y66" s="102">
        <f t="shared" si="26"/>
        <v>0</v>
      </c>
      <c r="Z66" s="102">
        <f t="shared" si="26"/>
        <v>0</v>
      </c>
      <c r="AA66" s="102">
        <f t="shared" si="26"/>
        <v>0</v>
      </c>
      <c r="AB66" s="102">
        <f t="shared" si="26"/>
        <v>0</v>
      </c>
      <c r="AC66" s="102">
        <f t="shared" si="26"/>
        <v>0</v>
      </c>
      <c r="AD66" s="102">
        <f t="shared" si="26"/>
        <v>0</v>
      </c>
      <c r="AE66" s="102">
        <f t="shared" si="26"/>
        <v>0</v>
      </c>
      <c r="AF66" s="102">
        <f t="shared" si="26"/>
        <v>3</v>
      </c>
      <c r="AG66" s="102">
        <f t="shared" si="26"/>
        <v>0</v>
      </c>
      <c r="AH66" s="102">
        <f t="shared" si="26"/>
        <v>0</v>
      </c>
      <c r="AI66" s="102">
        <f t="shared" si="25"/>
        <v>39</v>
      </c>
    </row>
    <row r="67" spans="1:37">
      <c r="A67" s="2">
        <v>2</v>
      </c>
      <c r="B67" s="2" t="s">
        <v>129</v>
      </c>
      <c r="C67" s="506" t="s">
        <v>120</v>
      </c>
      <c r="D67" s="501"/>
      <c r="E67" s="102">
        <f t="shared" ref="E67:AH67" si="27">E25-D25</f>
        <v>136</v>
      </c>
      <c r="F67" s="102">
        <f t="shared" si="27"/>
        <v>145</v>
      </c>
      <c r="G67" s="102">
        <f t="shared" si="27"/>
        <v>133</v>
      </c>
      <c r="H67" s="102">
        <f t="shared" si="27"/>
        <v>191</v>
      </c>
      <c r="I67" s="102">
        <f t="shared" si="27"/>
        <v>200</v>
      </c>
      <c r="J67" s="102">
        <f t="shared" si="27"/>
        <v>188</v>
      </c>
      <c r="K67" s="102">
        <f t="shared" si="27"/>
        <v>61</v>
      </c>
      <c r="L67" s="102">
        <f t="shared" si="27"/>
        <v>183</v>
      </c>
      <c r="M67" s="102">
        <f t="shared" si="27"/>
        <v>121</v>
      </c>
      <c r="N67" s="102">
        <f t="shared" si="27"/>
        <v>131</v>
      </c>
      <c r="O67" s="102">
        <f t="shared" si="27"/>
        <v>113</v>
      </c>
      <c r="P67" s="102">
        <f t="shared" si="27"/>
        <v>118</v>
      </c>
      <c r="Q67" s="102">
        <f t="shared" si="27"/>
        <v>127</v>
      </c>
      <c r="R67" s="102">
        <f t="shared" si="27"/>
        <v>43</v>
      </c>
      <c r="S67" s="102">
        <f t="shared" si="27"/>
        <v>109</v>
      </c>
      <c r="T67" s="102">
        <f t="shared" si="27"/>
        <v>138</v>
      </c>
      <c r="U67" s="102">
        <f t="shared" si="27"/>
        <v>168</v>
      </c>
      <c r="V67" s="102">
        <f t="shared" si="27"/>
        <v>93</v>
      </c>
      <c r="W67" s="102">
        <f t="shared" si="27"/>
        <v>90</v>
      </c>
      <c r="X67" s="102">
        <f t="shared" si="27"/>
        <v>66</v>
      </c>
      <c r="Y67" s="102">
        <f t="shared" si="27"/>
        <v>0</v>
      </c>
      <c r="Z67" s="102">
        <f t="shared" si="27"/>
        <v>98</v>
      </c>
      <c r="AA67" s="102">
        <f t="shared" si="27"/>
        <v>101</v>
      </c>
      <c r="AB67" s="102">
        <f t="shared" si="27"/>
        <v>137</v>
      </c>
      <c r="AC67" s="102">
        <f t="shared" si="27"/>
        <v>157</v>
      </c>
      <c r="AD67" s="102">
        <f t="shared" si="27"/>
        <v>135</v>
      </c>
      <c r="AE67" s="102">
        <f t="shared" si="27"/>
        <v>78</v>
      </c>
      <c r="AF67" s="102">
        <f t="shared" si="27"/>
        <v>27</v>
      </c>
      <c r="AG67" s="102">
        <f t="shared" si="27"/>
        <v>94</v>
      </c>
      <c r="AH67" s="102">
        <f t="shared" si="27"/>
        <v>70</v>
      </c>
      <c r="AI67" s="102">
        <f t="shared" si="25"/>
        <v>3451</v>
      </c>
    </row>
    <row r="68" spans="1:37">
      <c r="A68" s="2"/>
      <c r="B68" s="2"/>
      <c r="C68" s="532" t="s">
        <v>22</v>
      </c>
      <c r="D68" s="501"/>
      <c r="E68" s="102">
        <f t="shared" ref="E68:AH68" si="28">E26-D26</f>
        <v>0</v>
      </c>
      <c r="F68" s="102">
        <f t="shared" si="28"/>
        <v>0</v>
      </c>
      <c r="G68" s="102">
        <f t="shared" si="28"/>
        <v>0</v>
      </c>
      <c r="H68" s="102">
        <f t="shared" si="28"/>
        <v>0</v>
      </c>
      <c r="I68" s="102">
        <f t="shared" si="28"/>
        <v>0</v>
      </c>
      <c r="J68" s="102">
        <f t="shared" si="28"/>
        <v>0</v>
      </c>
      <c r="K68" s="102">
        <f t="shared" si="28"/>
        <v>0</v>
      </c>
      <c r="L68" s="102">
        <f t="shared" si="28"/>
        <v>0</v>
      </c>
      <c r="M68" s="102">
        <f t="shared" si="28"/>
        <v>0</v>
      </c>
      <c r="N68" s="102">
        <f t="shared" si="28"/>
        <v>0</v>
      </c>
      <c r="O68" s="102">
        <f t="shared" si="28"/>
        <v>0</v>
      </c>
      <c r="P68" s="102">
        <f t="shared" si="28"/>
        <v>0</v>
      </c>
      <c r="Q68" s="102">
        <f t="shared" si="28"/>
        <v>0</v>
      </c>
      <c r="R68" s="102">
        <f t="shared" si="28"/>
        <v>42</v>
      </c>
      <c r="S68" s="102">
        <f t="shared" si="28"/>
        <v>0</v>
      </c>
      <c r="T68" s="102">
        <f t="shared" si="28"/>
        <v>0</v>
      </c>
      <c r="U68" s="102">
        <f t="shared" si="28"/>
        <v>0</v>
      </c>
      <c r="V68" s="102">
        <f t="shared" si="28"/>
        <v>0</v>
      </c>
      <c r="W68" s="102">
        <f t="shared" si="28"/>
        <v>0</v>
      </c>
      <c r="X68" s="102">
        <f t="shared" si="28"/>
        <v>0</v>
      </c>
      <c r="Y68" s="102">
        <f t="shared" si="28"/>
        <v>0</v>
      </c>
      <c r="Z68" s="102">
        <f t="shared" si="28"/>
        <v>0</v>
      </c>
      <c r="AA68" s="102">
        <f t="shared" si="28"/>
        <v>0</v>
      </c>
      <c r="AB68" s="102">
        <f t="shared" si="28"/>
        <v>0</v>
      </c>
      <c r="AC68" s="102">
        <f t="shared" si="28"/>
        <v>0</v>
      </c>
      <c r="AD68" s="102">
        <f t="shared" si="28"/>
        <v>0</v>
      </c>
      <c r="AE68" s="102">
        <f t="shared" si="28"/>
        <v>0</v>
      </c>
      <c r="AF68" s="102">
        <f t="shared" si="28"/>
        <v>6</v>
      </c>
      <c r="AG68" s="102">
        <f t="shared" si="28"/>
        <v>0</v>
      </c>
      <c r="AH68" s="102">
        <f t="shared" si="28"/>
        <v>0</v>
      </c>
      <c r="AI68" s="102">
        <f t="shared" si="25"/>
        <v>48</v>
      </c>
      <c r="AJ68" s="115" t="s">
        <v>20</v>
      </c>
      <c r="AK68" s="116">
        <f>AI60</f>
        <v>56934</v>
      </c>
    </row>
    <row r="69" spans="1:37">
      <c r="A69" s="2">
        <v>3</v>
      </c>
      <c r="B69" s="2" t="s">
        <v>129</v>
      </c>
      <c r="C69" s="506" t="s">
        <v>121</v>
      </c>
      <c r="D69" s="501"/>
      <c r="E69" s="102">
        <f t="shared" ref="E69:AH69" si="29">E27-D27</f>
        <v>154</v>
      </c>
      <c r="F69" s="102">
        <f t="shared" si="29"/>
        <v>151</v>
      </c>
      <c r="G69" s="102">
        <f t="shared" si="29"/>
        <v>151</v>
      </c>
      <c r="H69" s="102">
        <f t="shared" si="29"/>
        <v>225</v>
      </c>
      <c r="I69" s="102">
        <f t="shared" si="29"/>
        <v>231</v>
      </c>
      <c r="J69" s="102">
        <f t="shared" si="29"/>
        <v>202</v>
      </c>
      <c r="K69" s="102">
        <f t="shared" si="29"/>
        <v>149</v>
      </c>
      <c r="L69" s="102">
        <f t="shared" si="29"/>
        <v>208</v>
      </c>
      <c r="M69" s="102">
        <f t="shared" si="29"/>
        <v>129</v>
      </c>
      <c r="N69" s="102">
        <f t="shared" si="29"/>
        <v>124</v>
      </c>
      <c r="O69" s="102">
        <f t="shared" si="29"/>
        <v>127</v>
      </c>
      <c r="P69" s="102">
        <f t="shared" si="29"/>
        <v>149</v>
      </c>
      <c r="Q69" s="102">
        <f t="shared" si="29"/>
        <v>100</v>
      </c>
      <c r="R69" s="102">
        <f t="shared" si="29"/>
        <v>41</v>
      </c>
      <c r="S69" s="102">
        <f t="shared" si="29"/>
        <v>87</v>
      </c>
      <c r="T69" s="102">
        <f t="shared" si="29"/>
        <v>124</v>
      </c>
      <c r="U69" s="102">
        <f t="shared" si="29"/>
        <v>130</v>
      </c>
      <c r="V69" s="102">
        <f t="shared" si="29"/>
        <v>126</v>
      </c>
      <c r="W69" s="102">
        <f t="shared" si="29"/>
        <v>116</v>
      </c>
      <c r="X69" s="102">
        <f t="shared" si="29"/>
        <v>70</v>
      </c>
      <c r="Y69" s="102">
        <f t="shared" si="29"/>
        <v>0</v>
      </c>
      <c r="Z69" s="102">
        <f t="shared" si="29"/>
        <v>110</v>
      </c>
      <c r="AA69" s="102">
        <f t="shared" si="29"/>
        <v>169</v>
      </c>
      <c r="AB69" s="102">
        <f t="shared" si="29"/>
        <v>172</v>
      </c>
      <c r="AC69" s="102">
        <f t="shared" si="29"/>
        <v>170</v>
      </c>
      <c r="AD69" s="102">
        <f t="shared" si="29"/>
        <v>177</v>
      </c>
      <c r="AE69" s="102">
        <f t="shared" si="29"/>
        <v>154</v>
      </c>
      <c r="AF69" s="102">
        <f t="shared" si="29"/>
        <v>14</v>
      </c>
      <c r="AG69" s="102">
        <f t="shared" si="29"/>
        <v>165</v>
      </c>
      <c r="AH69" s="102">
        <f t="shared" si="29"/>
        <v>39</v>
      </c>
      <c r="AI69" s="102">
        <f t="shared" si="25"/>
        <v>3964</v>
      </c>
      <c r="AJ69" s="115" t="s">
        <v>21</v>
      </c>
      <c r="AK69" s="116">
        <f>AI73</f>
        <v>12957</v>
      </c>
    </row>
    <row r="70" spans="1:37">
      <c r="A70" s="2"/>
      <c r="B70" s="2"/>
      <c r="C70" s="532" t="s">
        <v>22</v>
      </c>
      <c r="D70" s="501"/>
      <c r="E70" s="102">
        <f t="shared" ref="E70:AH70" si="30">E28-D28</f>
        <v>0</v>
      </c>
      <c r="F70" s="102">
        <f t="shared" si="30"/>
        <v>0</v>
      </c>
      <c r="G70" s="102">
        <f t="shared" si="30"/>
        <v>0</v>
      </c>
      <c r="H70" s="102">
        <f t="shared" si="30"/>
        <v>0</v>
      </c>
      <c r="I70" s="102">
        <f t="shared" si="30"/>
        <v>0</v>
      </c>
      <c r="J70" s="102">
        <f t="shared" si="30"/>
        <v>0</v>
      </c>
      <c r="K70" s="102">
        <f t="shared" si="30"/>
        <v>0</v>
      </c>
      <c r="L70" s="102">
        <f t="shared" si="30"/>
        <v>0</v>
      </c>
      <c r="M70" s="102">
        <f t="shared" si="30"/>
        <v>0</v>
      </c>
      <c r="N70" s="102">
        <f t="shared" si="30"/>
        <v>0</v>
      </c>
      <c r="O70" s="102">
        <f t="shared" si="30"/>
        <v>0</v>
      </c>
      <c r="P70" s="102">
        <f t="shared" si="30"/>
        <v>0</v>
      </c>
      <c r="Q70" s="102">
        <f t="shared" si="30"/>
        <v>0</v>
      </c>
      <c r="R70" s="102">
        <f t="shared" si="30"/>
        <v>0</v>
      </c>
      <c r="S70" s="102">
        <f t="shared" si="30"/>
        <v>42</v>
      </c>
      <c r="T70" s="102">
        <f t="shared" si="30"/>
        <v>0</v>
      </c>
      <c r="U70" s="102">
        <f t="shared" si="30"/>
        <v>0</v>
      </c>
      <c r="V70" s="102">
        <f t="shared" si="30"/>
        <v>0</v>
      </c>
      <c r="W70" s="102">
        <f t="shared" si="30"/>
        <v>0</v>
      </c>
      <c r="X70" s="102">
        <f t="shared" si="30"/>
        <v>0</v>
      </c>
      <c r="Y70" s="102">
        <f t="shared" si="30"/>
        <v>0</v>
      </c>
      <c r="Z70" s="102">
        <f t="shared" si="30"/>
        <v>0</v>
      </c>
      <c r="AA70" s="102">
        <f t="shared" si="30"/>
        <v>0</v>
      </c>
      <c r="AB70" s="102">
        <f t="shared" si="30"/>
        <v>0</v>
      </c>
      <c r="AC70" s="102">
        <f t="shared" si="30"/>
        <v>0</v>
      </c>
      <c r="AD70" s="102">
        <f t="shared" si="30"/>
        <v>0</v>
      </c>
      <c r="AE70" s="102">
        <f t="shared" si="30"/>
        <v>0</v>
      </c>
      <c r="AF70" s="102">
        <f t="shared" si="30"/>
        <v>7</v>
      </c>
      <c r="AG70" s="102">
        <f t="shared" si="30"/>
        <v>0</v>
      </c>
      <c r="AH70" s="102">
        <f t="shared" si="30"/>
        <v>0</v>
      </c>
      <c r="AI70" s="102">
        <f t="shared" si="25"/>
        <v>49</v>
      </c>
      <c r="AJ70" s="115" t="s">
        <v>23</v>
      </c>
      <c r="AK70" s="116">
        <f>AI79*40%</f>
        <v>29349.600000000002</v>
      </c>
    </row>
    <row r="71" spans="1:37">
      <c r="A71" s="2">
        <v>4</v>
      </c>
      <c r="B71" s="2" t="s">
        <v>129</v>
      </c>
      <c r="C71" s="506" t="s">
        <v>122</v>
      </c>
      <c r="D71" s="501"/>
      <c r="E71" s="102">
        <f t="shared" ref="E71:AH71" si="31">E29-D29</f>
        <v>145</v>
      </c>
      <c r="F71" s="102">
        <f t="shared" si="31"/>
        <v>112</v>
      </c>
      <c r="G71" s="102">
        <f t="shared" si="31"/>
        <v>124</v>
      </c>
      <c r="H71" s="102">
        <f t="shared" si="31"/>
        <v>107</v>
      </c>
      <c r="I71" s="102">
        <f t="shared" si="31"/>
        <v>106</v>
      </c>
      <c r="J71" s="102">
        <f t="shared" si="31"/>
        <v>122</v>
      </c>
      <c r="K71" s="102">
        <f t="shared" si="31"/>
        <v>1</v>
      </c>
      <c r="L71" s="102">
        <f t="shared" si="31"/>
        <v>138</v>
      </c>
      <c r="M71" s="102">
        <f t="shared" si="31"/>
        <v>82</v>
      </c>
      <c r="N71" s="102">
        <f t="shared" si="31"/>
        <v>85</v>
      </c>
      <c r="O71" s="102">
        <f t="shared" si="31"/>
        <v>95</v>
      </c>
      <c r="P71" s="102">
        <f t="shared" si="31"/>
        <v>79</v>
      </c>
      <c r="Q71" s="102">
        <f t="shared" si="31"/>
        <v>54</v>
      </c>
      <c r="R71" s="102">
        <f t="shared" si="31"/>
        <v>35</v>
      </c>
      <c r="S71" s="102">
        <f t="shared" si="31"/>
        <v>67</v>
      </c>
      <c r="T71" s="102">
        <f t="shared" si="31"/>
        <v>104</v>
      </c>
      <c r="U71" s="102">
        <f t="shared" si="31"/>
        <v>98</v>
      </c>
      <c r="V71" s="102">
        <f t="shared" si="31"/>
        <v>89</v>
      </c>
      <c r="W71" s="102">
        <f t="shared" si="31"/>
        <v>88</v>
      </c>
      <c r="X71" s="102">
        <f t="shared" si="31"/>
        <v>64</v>
      </c>
      <c r="Y71" s="102">
        <f t="shared" si="31"/>
        <v>0</v>
      </c>
      <c r="Z71" s="102">
        <f t="shared" si="31"/>
        <v>108</v>
      </c>
      <c r="AA71" s="102">
        <f t="shared" si="31"/>
        <v>102</v>
      </c>
      <c r="AB71" s="102">
        <f t="shared" si="31"/>
        <v>99</v>
      </c>
      <c r="AC71" s="102">
        <f t="shared" si="31"/>
        <v>105</v>
      </c>
      <c r="AD71" s="102">
        <f t="shared" si="31"/>
        <v>111</v>
      </c>
      <c r="AE71" s="102">
        <f t="shared" si="31"/>
        <v>89</v>
      </c>
      <c r="AF71" s="102">
        <f t="shared" si="31"/>
        <v>5</v>
      </c>
      <c r="AG71" s="102">
        <f t="shared" si="31"/>
        <v>108</v>
      </c>
      <c r="AH71" s="102">
        <f t="shared" si="31"/>
        <v>43</v>
      </c>
      <c r="AI71" s="102">
        <f t="shared" si="25"/>
        <v>2565</v>
      </c>
      <c r="AJ71" s="117" t="s">
        <v>22</v>
      </c>
      <c r="AK71" s="118">
        <f>AI74+AI61</f>
        <v>946</v>
      </c>
    </row>
    <row r="72" spans="1:37">
      <c r="A72" s="2"/>
      <c r="B72" s="2"/>
      <c r="C72" s="532" t="s">
        <v>22</v>
      </c>
      <c r="D72" s="501"/>
      <c r="E72" s="102">
        <f t="shared" ref="E72:AH72" si="32">E30-D30</f>
        <v>0</v>
      </c>
      <c r="F72" s="102">
        <f t="shared" si="32"/>
        <v>0</v>
      </c>
      <c r="G72" s="102">
        <f t="shared" si="32"/>
        <v>0</v>
      </c>
      <c r="H72" s="102">
        <f t="shared" si="32"/>
        <v>0</v>
      </c>
      <c r="I72" s="102">
        <f t="shared" si="32"/>
        <v>0</v>
      </c>
      <c r="J72" s="102">
        <f t="shared" si="32"/>
        <v>0</v>
      </c>
      <c r="K72" s="102">
        <f t="shared" si="32"/>
        <v>0</v>
      </c>
      <c r="L72" s="102">
        <f t="shared" si="32"/>
        <v>0</v>
      </c>
      <c r="M72" s="102">
        <f t="shared" si="32"/>
        <v>0</v>
      </c>
      <c r="N72" s="102">
        <f t="shared" si="32"/>
        <v>0</v>
      </c>
      <c r="O72" s="102">
        <f t="shared" si="32"/>
        <v>0</v>
      </c>
      <c r="P72" s="102">
        <f t="shared" si="32"/>
        <v>0</v>
      </c>
      <c r="Q72" s="102">
        <f t="shared" si="32"/>
        <v>0</v>
      </c>
      <c r="R72" s="102">
        <f t="shared" si="32"/>
        <v>0</v>
      </c>
      <c r="S72" s="102">
        <f t="shared" si="32"/>
        <v>35</v>
      </c>
      <c r="T72" s="102">
        <f t="shared" si="32"/>
        <v>0</v>
      </c>
      <c r="U72" s="102">
        <f t="shared" si="32"/>
        <v>0</v>
      </c>
      <c r="V72" s="102">
        <f t="shared" si="32"/>
        <v>0</v>
      </c>
      <c r="W72" s="102">
        <f t="shared" si="32"/>
        <v>0</v>
      </c>
      <c r="X72" s="102">
        <f t="shared" si="32"/>
        <v>0</v>
      </c>
      <c r="Y72" s="102">
        <f t="shared" si="32"/>
        <v>0</v>
      </c>
      <c r="Z72" s="102">
        <f t="shared" si="32"/>
        <v>0</v>
      </c>
      <c r="AA72" s="102">
        <f t="shared" si="32"/>
        <v>0</v>
      </c>
      <c r="AB72" s="102">
        <f t="shared" si="32"/>
        <v>0</v>
      </c>
      <c r="AC72" s="102">
        <f t="shared" si="32"/>
        <v>0</v>
      </c>
      <c r="AD72" s="102">
        <f t="shared" si="32"/>
        <v>0</v>
      </c>
      <c r="AE72" s="102">
        <f t="shared" si="32"/>
        <v>0</v>
      </c>
      <c r="AF72" s="102">
        <f t="shared" si="32"/>
        <v>7</v>
      </c>
      <c r="AG72" s="102">
        <f t="shared" si="32"/>
        <v>0</v>
      </c>
      <c r="AH72" s="102">
        <f t="shared" si="32"/>
        <v>0</v>
      </c>
      <c r="AI72" s="102">
        <f t="shared" si="25"/>
        <v>42</v>
      </c>
    </row>
    <row r="73" spans="1:37" ht="15" customHeight="1">
      <c r="A73" s="99"/>
      <c r="B73" s="99"/>
      <c r="C73" s="500" t="s">
        <v>134</v>
      </c>
      <c r="D73" s="501"/>
      <c r="E73" s="23">
        <f t="shared" ref="E73:AH73" si="33">SUM(E65,E67,E69,E71)</f>
        <v>555</v>
      </c>
      <c r="F73" s="23">
        <f t="shared" si="33"/>
        <v>560</v>
      </c>
      <c r="G73" s="23">
        <f t="shared" si="33"/>
        <v>528</v>
      </c>
      <c r="H73" s="23">
        <f t="shared" si="33"/>
        <v>722</v>
      </c>
      <c r="I73" s="23">
        <f t="shared" si="33"/>
        <v>735</v>
      </c>
      <c r="J73" s="23">
        <f t="shared" si="33"/>
        <v>704</v>
      </c>
      <c r="K73" s="23">
        <f t="shared" si="33"/>
        <v>278</v>
      </c>
      <c r="L73" s="23">
        <f t="shared" si="33"/>
        <v>697</v>
      </c>
      <c r="M73" s="23">
        <f t="shared" si="33"/>
        <v>437</v>
      </c>
      <c r="N73" s="23">
        <f t="shared" si="33"/>
        <v>415</v>
      </c>
      <c r="O73" s="23">
        <f t="shared" si="33"/>
        <v>424</v>
      </c>
      <c r="P73" s="23">
        <f t="shared" si="33"/>
        <v>451</v>
      </c>
      <c r="Q73" s="23">
        <f t="shared" si="33"/>
        <v>357</v>
      </c>
      <c r="R73" s="23">
        <f t="shared" si="33"/>
        <v>154</v>
      </c>
      <c r="S73" s="23">
        <f t="shared" si="33"/>
        <v>350</v>
      </c>
      <c r="T73" s="23">
        <f t="shared" si="33"/>
        <v>503</v>
      </c>
      <c r="U73" s="23">
        <f t="shared" si="33"/>
        <v>502</v>
      </c>
      <c r="V73" s="23">
        <f t="shared" si="33"/>
        <v>379</v>
      </c>
      <c r="W73" s="23">
        <f t="shared" si="33"/>
        <v>362</v>
      </c>
      <c r="X73" s="23">
        <f t="shared" si="33"/>
        <v>-74</v>
      </c>
      <c r="Y73" s="23">
        <f t="shared" si="33"/>
        <v>330</v>
      </c>
      <c r="Z73" s="23">
        <f t="shared" si="33"/>
        <v>393</v>
      </c>
      <c r="AA73" s="23">
        <f t="shared" si="33"/>
        <v>486</v>
      </c>
      <c r="AB73" s="23">
        <f t="shared" si="33"/>
        <v>515</v>
      </c>
      <c r="AC73" s="23">
        <f t="shared" si="33"/>
        <v>552</v>
      </c>
      <c r="AD73" s="23">
        <f t="shared" si="33"/>
        <v>545</v>
      </c>
      <c r="AE73" s="23">
        <f t="shared" si="33"/>
        <v>388</v>
      </c>
      <c r="AF73" s="23">
        <f t="shared" si="33"/>
        <v>69</v>
      </c>
      <c r="AG73" s="23">
        <f t="shared" si="33"/>
        <v>438</v>
      </c>
      <c r="AH73" s="23">
        <f t="shared" si="33"/>
        <v>202</v>
      </c>
      <c r="AI73" s="24">
        <f t="shared" si="25"/>
        <v>12957</v>
      </c>
    </row>
    <row r="74" spans="1:37" ht="15" customHeight="1">
      <c r="A74" s="99"/>
      <c r="B74" s="99"/>
      <c r="C74" s="513" t="s">
        <v>135</v>
      </c>
      <c r="D74" s="501"/>
      <c r="E74" s="23">
        <f t="shared" ref="E74:AH74" si="34">SUM(E66,E68,E70,E72)</f>
        <v>0</v>
      </c>
      <c r="F74" s="23">
        <f t="shared" si="34"/>
        <v>0</v>
      </c>
      <c r="G74" s="23">
        <f t="shared" si="34"/>
        <v>0</v>
      </c>
      <c r="H74" s="23">
        <f t="shared" si="34"/>
        <v>0</v>
      </c>
      <c r="I74" s="23">
        <f t="shared" si="34"/>
        <v>0</v>
      </c>
      <c r="J74" s="23">
        <f t="shared" si="34"/>
        <v>0</v>
      </c>
      <c r="K74" s="23">
        <f t="shared" si="34"/>
        <v>0</v>
      </c>
      <c r="L74" s="23">
        <f t="shared" si="34"/>
        <v>0</v>
      </c>
      <c r="M74" s="23">
        <f t="shared" si="34"/>
        <v>0</v>
      </c>
      <c r="N74" s="23">
        <f t="shared" si="34"/>
        <v>0</v>
      </c>
      <c r="O74" s="23">
        <f t="shared" si="34"/>
        <v>0</v>
      </c>
      <c r="P74" s="23">
        <f t="shared" si="34"/>
        <v>0</v>
      </c>
      <c r="Q74" s="23">
        <f t="shared" si="34"/>
        <v>0</v>
      </c>
      <c r="R74" s="23">
        <f t="shared" si="34"/>
        <v>42</v>
      </c>
      <c r="S74" s="23">
        <f t="shared" si="34"/>
        <v>113</v>
      </c>
      <c r="T74" s="23">
        <f t="shared" si="34"/>
        <v>0</v>
      </c>
      <c r="U74" s="23">
        <f t="shared" si="34"/>
        <v>0</v>
      </c>
      <c r="V74" s="23">
        <f t="shared" si="34"/>
        <v>0</v>
      </c>
      <c r="W74" s="23">
        <f t="shared" si="34"/>
        <v>0</v>
      </c>
      <c r="X74" s="23">
        <f t="shared" si="34"/>
        <v>0</v>
      </c>
      <c r="Y74" s="23">
        <f t="shared" si="34"/>
        <v>0</v>
      </c>
      <c r="Z74" s="23">
        <f t="shared" si="34"/>
        <v>0</v>
      </c>
      <c r="AA74" s="23">
        <f t="shared" si="34"/>
        <v>0</v>
      </c>
      <c r="AB74" s="23">
        <f t="shared" si="34"/>
        <v>0</v>
      </c>
      <c r="AC74" s="23">
        <f t="shared" si="34"/>
        <v>0</v>
      </c>
      <c r="AD74" s="23">
        <f t="shared" si="34"/>
        <v>0</v>
      </c>
      <c r="AE74" s="23">
        <f t="shared" si="34"/>
        <v>0</v>
      </c>
      <c r="AF74" s="23">
        <f t="shared" si="34"/>
        <v>23</v>
      </c>
      <c r="AG74" s="23">
        <f t="shared" si="34"/>
        <v>0</v>
      </c>
      <c r="AH74" s="23">
        <f t="shared" si="34"/>
        <v>0</v>
      </c>
      <c r="AI74" s="24">
        <f t="shared" si="25"/>
        <v>178</v>
      </c>
    </row>
    <row r="75" spans="1:37">
      <c r="A75" s="2">
        <v>1</v>
      </c>
      <c r="B75" s="2" t="s">
        <v>129</v>
      </c>
      <c r="C75" s="503" t="s">
        <v>123</v>
      </c>
      <c r="D75" s="501"/>
      <c r="E75" s="102">
        <f t="shared" ref="E75:AH75" si="35">E32-D32</f>
        <v>608</v>
      </c>
      <c r="F75" s="102">
        <f t="shared" si="35"/>
        <v>411</v>
      </c>
      <c r="G75" s="102">
        <f t="shared" si="35"/>
        <v>549</v>
      </c>
      <c r="H75" s="102">
        <f t="shared" si="35"/>
        <v>475</v>
      </c>
      <c r="I75" s="102">
        <f t="shared" si="35"/>
        <v>526</v>
      </c>
      <c r="J75" s="102">
        <f t="shared" si="35"/>
        <v>437</v>
      </c>
      <c r="K75" s="102">
        <f t="shared" si="35"/>
        <v>0</v>
      </c>
      <c r="L75" s="102">
        <f t="shared" si="35"/>
        <v>1075</v>
      </c>
      <c r="M75" s="102">
        <f t="shared" si="35"/>
        <v>706</v>
      </c>
      <c r="N75" s="102">
        <f t="shared" si="35"/>
        <v>623</v>
      </c>
      <c r="O75" s="102">
        <f t="shared" si="35"/>
        <v>658</v>
      </c>
      <c r="P75" s="102">
        <f t="shared" si="35"/>
        <v>495</v>
      </c>
      <c r="Q75" s="102">
        <f t="shared" si="35"/>
        <v>330</v>
      </c>
      <c r="R75" s="102">
        <f t="shared" si="35"/>
        <v>180</v>
      </c>
      <c r="S75" s="102">
        <f t="shared" si="35"/>
        <v>614</v>
      </c>
      <c r="T75" s="102">
        <f t="shared" si="35"/>
        <v>769</v>
      </c>
      <c r="U75" s="102">
        <f t="shared" si="35"/>
        <v>700</v>
      </c>
      <c r="V75" s="102">
        <f t="shared" si="35"/>
        <v>687</v>
      </c>
      <c r="W75" s="102">
        <f t="shared" si="35"/>
        <v>705</v>
      </c>
      <c r="X75" s="102">
        <f t="shared" si="35"/>
        <v>375</v>
      </c>
      <c r="Y75" s="102">
        <f t="shared" si="35"/>
        <v>6</v>
      </c>
      <c r="Z75" s="102">
        <f t="shared" si="35"/>
        <v>556</v>
      </c>
      <c r="AA75" s="102">
        <f t="shared" si="35"/>
        <v>662</v>
      </c>
      <c r="AB75" s="102">
        <f t="shared" si="35"/>
        <v>530</v>
      </c>
      <c r="AC75" s="102">
        <f t="shared" si="35"/>
        <v>538</v>
      </c>
      <c r="AD75" s="102">
        <f t="shared" si="35"/>
        <v>498</v>
      </c>
      <c r="AE75" s="102">
        <f t="shared" si="35"/>
        <v>553</v>
      </c>
      <c r="AF75" s="102">
        <f t="shared" si="35"/>
        <v>40</v>
      </c>
      <c r="AG75" s="102">
        <f t="shared" si="35"/>
        <v>670</v>
      </c>
      <c r="AH75" s="102">
        <f t="shared" si="35"/>
        <v>435</v>
      </c>
      <c r="AI75" s="102">
        <f t="shared" si="25"/>
        <v>15411</v>
      </c>
    </row>
    <row r="76" spans="1:37">
      <c r="A76" s="2">
        <v>2</v>
      </c>
      <c r="B76" s="2" t="s">
        <v>129</v>
      </c>
      <c r="C76" s="503" t="s">
        <v>124</v>
      </c>
      <c r="D76" s="501"/>
      <c r="E76" s="102">
        <f t="shared" ref="E76:AH76" si="36">E33-D33</f>
        <v>715</v>
      </c>
      <c r="F76" s="102">
        <f t="shared" si="36"/>
        <v>648</v>
      </c>
      <c r="G76" s="102">
        <f t="shared" si="36"/>
        <v>665</v>
      </c>
      <c r="H76" s="102">
        <f t="shared" si="36"/>
        <v>537</v>
      </c>
      <c r="I76" s="102">
        <f t="shared" si="36"/>
        <v>652</v>
      </c>
      <c r="J76" s="102">
        <f t="shared" si="36"/>
        <v>476</v>
      </c>
      <c r="K76" s="102">
        <f t="shared" si="36"/>
        <v>0</v>
      </c>
      <c r="L76" s="102">
        <f t="shared" si="36"/>
        <v>1308</v>
      </c>
      <c r="M76" s="102">
        <f t="shared" si="36"/>
        <v>748</v>
      </c>
      <c r="N76" s="102">
        <f t="shared" si="36"/>
        <v>737</v>
      </c>
      <c r="O76" s="102">
        <f t="shared" si="36"/>
        <v>603</v>
      </c>
      <c r="P76" s="102">
        <f t="shared" si="36"/>
        <v>616</v>
      </c>
      <c r="Q76" s="102">
        <f t="shared" si="36"/>
        <v>372</v>
      </c>
      <c r="R76" s="102">
        <f t="shared" si="36"/>
        <v>204</v>
      </c>
      <c r="S76" s="102">
        <f t="shared" si="36"/>
        <v>787</v>
      </c>
      <c r="T76" s="102">
        <f t="shared" si="36"/>
        <v>703</v>
      </c>
      <c r="U76" s="102">
        <f t="shared" si="36"/>
        <v>728</v>
      </c>
      <c r="V76" s="102">
        <f t="shared" si="36"/>
        <v>495</v>
      </c>
      <c r="W76" s="102">
        <f t="shared" si="36"/>
        <v>533</v>
      </c>
      <c r="X76" s="102">
        <f t="shared" si="36"/>
        <v>535</v>
      </c>
      <c r="Y76" s="102">
        <f t="shared" si="36"/>
        <v>0</v>
      </c>
      <c r="Z76" s="102">
        <f t="shared" si="36"/>
        <v>737</v>
      </c>
      <c r="AA76" s="102">
        <f t="shared" si="36"/>
        <v>607</v>
      </c>
      <c r="AB76" s="102">
        <f t="shared" si="36"/>
        <v>698</v>
      </c>
      <c r="AC76" s="102">
        <f t="shared" si="36"/>
        <v>637</v>
      </c>
      <c r="AD76" s="102">
        <f t="shared" si="36"/>
        <v>629</v>
      </c>
      <c r="AE76" s="102">
        <f t="shared" si="36"/>
        <v>564</v>
      </c>
      <c r="AF76" s="102">
        <f t="shared" si="36"/>
        <v>49</v>
      </c>
      <c r="AG76" s="102">
        <f t="shared" si="36"/>
        <v>861</v>
      </c>
      <c r="AH76" s="102">
        <f t="shared" si="36"/>
        <v>642</v>
      </c>
      <c r="AI76" s="102">
        <f t="shared" si="25"/>
        <v>17486</v>
      </c>
    </row>
    <row r="77" spans="1:37">
      <c r="A77" s="2">
        <v>3</v>
      </c>
      <c r="B77" s="2" t="s">
        <v>129</v>
      </c>
      <c r="C77" s="503" t="s">
        <v>125</v>
      </c>
      <c r="D77" s="501"/>
      <c r="E77" s="102">
        <f t="shared" ref="E77:AH77" si="37">E34-D34</f>
        <v>619</v>
      </c>
      <c r="F77" s="102">
        <f t="shared" si="37"/>
        <v>525</v>
      </c>
      <c r="G77" s="102">
        <f t="shared" si="37"/>
        <v>488</v>
      </c>
      <c r="H77" s="102">
        <f t="shared" si="37"/>
        <v>677</v>
      </c>
      <c r="I77" s="102">
        <f t="shared" si="37"/>
        <v>589</v>
      </c>
      <c r="J77" s="102">
        <f t="shared" si="37"/>
        <v>867</v>
      </c>
      <c r="K77" s="102">
        <f t="shared" si="37"/>
        <v>0</v>
      </c>
      <c r="L77" s="102">
        <f t="shared" si="37"/>
        <v>1611</v>
      </c>
      <c r="M77" s="102">
        <f t="shared" si="37"/>
        <v>701</v>
      </c>
      <c r="N77" s="102">
        <f t="shared" si="37"/>
        <v>567</v>
      </c>
      <c r="O77" s="102">
        <f t="shared" si="37"/>
        <v>633</v>
      </c>
      <c r="P77" s="102">
        <f t="shared" si="37"/>
        <v>536</v>
      </c>
      <c r="Q77" s="102">
        <f t="shared" si="37"/>
        <v>243</v>
      </c>
      <c r="R77" s="102">
        <f t="shared" si="37"/>
        <v>242</v>
      </c>
      <c r="S77" s="102">
        <f t="shared" si="37"/>
        <v>914</v>
      </c>
      <c r="T77" s="102">
        <f t="shared" si="37"/>
        <v>672</v>
      </c>
      <c r="U77" s="102">
        <f t="shared" si="37"/>
        <v>731</v>
      </c>
      <c r="V77" s="102">
        <f t="shared" si="37"/>
        <v>488</v>
      </c>
      <c r="W77" s="102">
        <f t="shared" si="37"/>
        <v>581</v>
      </c>
      <c r="X77" s="102">
        <f t="shared" si="37"/>
        <v>396</v>
      </c>
      <c r="Y77" s="102">
        <f t="shared" si="37"/>
        <v>0</v>
      </c>
      <c r="Z77" s="102">
        <f t="shared" si="37"/>
        <v>741</v>
      </c>
      <c r="AA77" s="102">
        <f t="shared" si="37"/>
        <v>772</v>
      </c>
      <c r="AB77" s="102">
        <f t="shared" si="37"/>
        <v>708</v>
      </c>
      <c r="AC77" s="102">
        <f t="shared" si="37"/>
        <v>518</v>
      </c>
      <c r="AD77" s="102">
        <f t="shared" si="37"/>
        <v>587</v>
      </c>
      <c r="AE77" s="102">
        <f t="shared" si="37"/>
        <v>664</v>
      </c>
      <c r="AF77" s="102">
        <f t="shared" si="37"/>
        <v>63</v>
      </c>
      <c r="AG77" s="102">
        <f t="shared" si="37"/>
        <v>952</v>
      </c>
      <c r="AH77" s="102">
        <f t="shared" si="37"/>
        <v>722</v>
      </c>
      <c r="AI77" s="102">
        <f t="shared" si="25"/>
        <v>17807</v>
      </c>
    </row>
    <row r="78" spans="1:37">
      <c r="A78" s="2">
        <v>4</v>
      </c>
      <c r="B78" s="2" t="s">
        <v>129</v>
      </c>
      <c r="C78" s="503" t="s">
        <v>126</v>
      </c>
      <c r="D78" s="501"/>
      <c r="E78" s="102">
        <f t="shared" ref="E78:AH78" si="38">E35-D35</f>
        <v>961</v>
      </c>
      <c r="F78" s="102">
        <f t="shared" si="38"/>
        <v>751</v>
      </c>
      <c r="G78" s="102">
        <f t="shared" si="38"/>
        <v>823</v>
      </c>
      <c r="H78" s="102">
        <f t="shared" si="38"/>
        <v>900</v>
      </c>
      <c r="I78" s="102">
        <f t="shared" si="38"/>
        <v>890</v>
      </c>
      <c r="J78" s="102">
        <f t="shared" si="38"/>
        <v>620</v>
      </c>
      <c r="K78" s="102">
        <f t="shared" si="38"/>
        <v>0</v>
      </c>
      <c r="L78" s="102">
        <f t="shared" si="38"/>
        <v>1297</v>
      </c>
      <c r="M78" s="102">
        <f t="shared" si="38"/>
        <v>1101</v>
      </c>
      <c r="N78" s="102">
        <f t="shared" si="38"/>
        <v>856</v>
      </c>
      <c r="O78" s="102">
        <f t="shared" si="38"/>
        <v>955</v>
      </c>
      <c r="P78" s="102">
        <f t="shared" si="38"/>
        <v>847</v>
      </c>
      <c r="Q78" s="102">
        <f t="shared" si="38"/>
        <v>471</v>
      </c>
      <c r="R78" s="102">
        <f t="shared" si="38"/>
        <v>235</v>
      </c>
      <c r="S78" s="102">
        <f t="shared" si="38"/>
        <v>828</v>
      </c>
      <c r="T78" s="102">
        <f t="shared" si="38"/>
        <v>941</v>
      </c>
      <c r="U78" s="102">
        <f t="shared" si="38"/>
        <v>904</v>
      </c>
      <c r="V78" s="102">
        <f t="shared" si="38"/>
        <v>855</v>
      </c>
      <c r="W78" s="102">
        <f t="shared" si="38"/>
        <v>856</v>
      </c>
      <c r="X78" s="102">
        <f t="shared" si="38"/>
        <v>474</v>
      </c>
      <c r="Y78" s="102">
        <f t="shared" si="38"/>
        <v>54</v>
      </c>
      <c r="Z78" s="102">
        <f t="shared" si="38"/>
        <v>852</v>
      </c>
      <c r="AA78" s="102">
        <f t="shared" si="38"/>
        <v>981</v>
      </c>
      <c r="AB78" s="102">
        <f t="shared" si="38"/>
        <v>858</v>
      </c>
      <c r="AC78" s="102">
        <f t="shared" si="38"/>
        <v>909</v>
      </c>
      <c r="AD78" s="102">
        <f t="shared" si="38"/>
        <v>850</v>
      </c>
      <c r="AE78" s="102">
        <f t="shared" si="38"/>
        <v>737</v>
      </c>
      <c r="AF78" s="102">
        <f t="shared" si="38"/>
        <v>118</v>
      </c>
      <c r="AG78" s="102">
        <f t="shared" si="38"/>
        <v>982</v>
      </c>
      <c r="AH78" s="102">
        <f t="shared" si="38"/>
        <v>764</v>
      </c>
      <c r="AI78" s="102">
        <f t="shared" si="25"/>
        <v>22670</v>
      </c>
    </row>
    <row r="79" spans="1:37" ht="15" customHeight="1">
      <c r="A79" s="99"/>
      <c r="B79" s="99"/>
      <c r="C79" s="500" t="s">
        <v>136</v>
      </c>
      <c r="D79" s="501"/>
      <c r="E79" s="23">
        <f t="shared" ref="E79:AI79" si="39">SUM(E75:E78)</f>
        <v>2903</v>
      </c>
      <c r="F79" s="23">
        <f t="shared" si="39"/>
        <v>2335</v>
      </c>
      <c r="G79" s="23">
        <f t="shared" si="39"/>
        <v>2525</v>
      </c>
      <c r="H79" s="23">
        <f t="shared" si="39"/>
        <v>2589</v>
      </c>
      <c r="I79" s="23">
        <f t="shared" si="39"/>
        <v>2657</v>
      </c>
      <c r="J79" s="23">
        <f t="shared" si="39"/>
        <v>2400</v>
      </c>
      <c r="K79" s="23">
        <f t="shared" si="39"/>
        <v>0</v>
      </c>
      <c r="L79" s="23">
        <f t="shared" si="39"/>
        <v>5291</v>
      </c>
      <c r="M79" s="23">
        <f t="shared" si="39"/>
        <v>3256</v>
      </c>
      <c r="N79" s="23">
        <f t="shared" si="39"/>
        <v>2783</v>
      </c>
      <c r="O79" s="23">
        <f t="shared" si="39"/>
        <v>2849</v>
      </c>
      <c r="P79" s="23">
        <f t="shared" si="39"/>
        <v>2494</v>
      </c>
      <c r="Q79" s="23">
        <f t="shared" si="39"/>
        <v>1416</v>
      </c>
      <c r="R79" s="23">
        <f t="shared" si="39"/>
        <v>861</v>
      </c>
      <c r="S79" s="23">
        <f t="shared" si="39"/>
        <v>3143</v>
      </c>
      <c r="T79" s="23">
        <f t="shared" si="39"/>
        <v>3085</v>
      </c>
      <c r="U79" s="23">
        <f t="shared" si="39"/>
        <v>3063</v>
      </c>
      <c r="V79" s="23">
        <f t="shared" si="39"/>
        <v>2525</v>
      </c>
      <c r="W79" s="23">
        <f t="shared" si="39"/>
        <v>2675</v>
      </c>
      <c r="X79" s="23">
        <f t="shared" si="39"/>
        <v>1780</v>
      </c>
      <c r="Y79" s="23">
        <f t="shared" si="39"/>
        <v>60</v>
      </c>
      <c r="Z79" s="23">
        <f t="shared" si="39"/>
        <v>2886</v>
      </c>
      <c r="AA79" s="23">
        <f t="shared" si="39"/>
        <v>3022</v>
      </c>
      <c r="AB79" s="23">
        <f t="shared" si="39"/>
        <v>2794</v>
      </c>
      <c r="AC79" s="23">
        <f t="shared" si="39"/>
        <v>2602</v>
      </c>
      <c r="AD79" s="23">
        <f t="shared" si="39"/>
        <v>2564</v>
      </c>
      <c r="AE79" s="23">
        <f t="shared" si="39"/>
        <v>2518</v>
      </c>
      <c r="AF79" s="23">
        <f t="shared" si="39"/>
        <v>270</v>
      </c>
      <c r="AG79" s="23">
        <f t="shared" si="39"/>
        <v>3465</v>
      </c>
      <c r="AH79" s="23">
        <f t="shared" si="39"/>
        <v>2563</v>
      </c>
      <c r="AI79" s="24">
        <f t="shared" si="39"/>
        <v>73374</v>
      </c>
    </row>
    <row r="87" spans="33:33">
      <c r="AG87" s="64"/>
    </row>
  </sheetData>
  <mergeCells count="49">
    <mergeCell ref="C76:D76"/>
    <mergeCell ref="E1:AH1"/>
    <mergeCell ref="C74:D74"/>
    <mergeCell ref="C64:D64"/>
    <mergeCell ref="B2:B5"/>
    <mergeCell ref="A40:A43"/>
    <mergeCell ref="A1:D1"/>
    <mergeCell ref="C60:D60"/>
    <mergeCell ref="C51:D51"/>
    <mergeCell ref="A2:A5"/>
    <mergeCell ref="C71:D71"/>
    <mergeCell ref="C2:C5"/>
    <mergeCell ref="C52:D52"/>
    <mergeCell ref="C70:D70"/>
    <mergeCell ref="C48:D48"/>
    <mergeCell ref="C62:D62"/>
    <mergeCell ref="C68:D68"/>
    <mergeCell ref="C79:D79"/>
    <mergeCell ref="B38:D38"/>
    <mergeCell ref="D2:D5"/>
    <mergeCell ref="C73:D73"/>
    <mergeCell ref="AI40:AI43"/>
    <mergeCell ref="C47:D47"/>
    <mergeCell ref="C54:D54"/>
    <mergeCell ref="C65:D65"/>
    <mergeCell ref="C55:D55"/>
    <mergeCell ref="C50:D50"/>
    <mergeCell ref="C44:D44"/>
    <mergeCell ref="C75:D75"/>
    <mergeCell ref="C56:D56"/>
    <mergeCell ref="C59:D59"/>
    <mergeCell ref="C46:D46"/>
    <mergeCell ref="B40:B43"/>
    <mergeCell ref="C78:D78"/>
    <mergeCell ref="C69:D69"/>
    <mergeCell ref="C49:D49"/>
    <mergeCell ref="AI2:AI5"/>
    <mergeCell ref="C72:D72"/>
    <mergeCell ref="C67:D67"/>
    <mergeCell ref="C57:D57"/>
    <mergeCell ref="C66:D66"/>
    <mergeCell ref="A22:AI22"/>
    <mergeCell ref="C53:D53"/>
    <mergeCell ref="B39:D39"/>
    <mergeCell ref="A31:AI31"/>
    <mergeCell ref="C45:D45"/>
    <mergeCell ref="C77:D77"/>
    <mergeCell ref="C40:D43"/>
    <mergeCell ref="C58:D5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L87"/>
  <sheetViews>
    <sheetView topLeftCell="AC54" zoomScale="80" zoomScaleNormal="80" workbookViewId="0">
      <selection activeCell="AK65" sqref="AK65:AL72"/>
    </sheetView>
  </sheetViews>
  <sheetFormatPr defaultRowHeight="14.5"/>
  <cols>
    <col min="1" max="1" width="14" customWidth="1"/>
    <col min="2" max="2" width="27" customWidth="1"/>
    <col min="3" max="3" width="32" bestFit="1" customWidth="1"/>
    <col min="4" max="4" width="20" customWidth="1"/>
    <col min="5" max="35" width="23" customWidth="1"/>
    <col min="36" max="36" width="18" customWidth="1"/>
    <col min="37" max="37" width="14" customWidth="1"/>
    <col min="38" max="38" width="18" customWidth="1"/>
  </cols>
  <sheetData>
    <row r="1" spans="1:36" ht="26" customHeight="1">
      <c r="A1" s="573"/>
      <c r="B1" s="526"/>
      <c r="C1" s="526"/>
      <c r="D1" s="527"/>
      <c r="E1" s="581" t="s">
        <v>168</v>
      </c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  <c r="AI1" s="159"/>
      <c r="AJ1" s="50"/>
    </row>
    <row r="2" spans="1:36">
      <c r="A2" s="510" t="s">
        <v>99</v>
      </c>
      <c r="B2" s="510" t="s">
        <v>100</v>
      </c>
      <c r="C2" s="580" t="s">
        <v>101</v>
      </c>
      <c r="D2" s="572" t="s">
        <v>102</v>
      </c>
      <c r="E2" s="51">
        <v>45870</v>
      </c>
      <c r="F2" s="51">
        <v>45871</v>
      </c>
      <c r="G2" s="51">
        <v>45872</v>
      </c>
      <c r="H2" s="51">
        <v>45873</v>
      </c>
      <c r="I2" s="51">
        <v>45874</v>
      </c>
      <c r="J2" s="51">
        <v>45875</v>
      </c>
      <c r="K2" s="51">
        <v>45876</v>
      </c>
      <c r="L2" s="51">
        <v>45877</v>
      </c>
      <c r="M2" s="51">
        <v>45878</v>
      </c>
      <c r="N2" s="51">
        <v>45879</v>
      </c>
      <c r="O2" s="51">
        <v>45880</v>
      </c>
      <c r="P2" s="51">
        <v>45881</v>
      </c>
      <c r="Q2" s="51">
        <v>45882</v>
      </c>
      <c r="R2" s="51">
        <v>45883</v>
      </c>
      <c r="S2" s="51">
        <v>45884</v>
      </c>
      <c r="T2" s="51">
        <v>45885</v>
      </c>
      <c r="U2" s="51">
        <v>45886</v>
      </c>
      <c r="V2" s="51">
        <v>45887</v>
      </c>
      <c r="W2" s="51">
        <v>45888</v>
      </c>
      <c r="X2" s="51">
        <v>45889</v>
      </c>
      <c r="Y2" s="51">
        <v>45890</v>
      </c>
      <c r="Z2" s="51">
        <v>45891</v>
      </c>
      <c r="AA2" s="51">
        <v>45892</v>
      </c>
      <c r="AB2" s="51">
        <v>45893</v>
      </c>
      <c r="AC2" s="51">
        <v>45894</v>
      </c>
      <c r="AD2" s="51">
        <v>45895</v>
      </c>
      <c r="AE2" s="51">
        <v>45896</v>
      </c>
      <c r="AF2" s="51">
        <v>45897</v>
      </c>
      <c r="AG2" s="51">
        <v>45898</v>
      </c>
      <c r="AH2" s="51">
        <v>45899</v>
      </c>
      <c r="AI2" s="51">
        <v>45900</v>
      </c>
      <c r="AJ2" s="514" t="s">
        <v>1</v>
      </c>
    </row>
    <row r="3" spans="1:36">
      <c r="A3" s="511"/>
      <c r="B3" s="511"/>
      <c r="C3" s="511"/>
      <c r="D3" s="511"/>
      <c r="E3" s="96" t="s">
        <v>103</v>
      </c>
      <c r="F3" s="96" t="s">
        <v>104</v>
      </c>
      <c r="G3" s="96" t="s">
        <v>105</v>
      </c>
      <c r="H3" s="96" t="s">
        <v>106</v>
      </c>
      <c r="I3" s="96" t="s">
        <v>107</v>
      </c>
      <c r="J3" s="96" t="s">
        <v>108</v>
      </c>
      <c r="K3" s="96" t="s">
        <v>109</v>
      </c>
      <c r="L3" s="96" t="s">
        <v>103</v>
      </c>
      <c r="M3" s="96" t="s">
        <v>104</v>
      </c>
      <c r="N3" s="96" t="s">
        <v>105</v>
      </c>
      <c r="O3" s="96" t="s">
        <v>106</v>
      </c>
      <c r="P3" s="96" t="s">
        <v>107</v>
      </c>
      <c r="Q3" s="96" t="s">
        <v>108</v>
      </c>
      <c r="R3" s="96" t="s">
        <v>109</v>
      </c>
      <c r="S3" s="96" t="s">
        <v>103</v>
      </c>
      <c r="T3" s="96" t="s">
        <v>104</v>
      </c>
      <c r="U3" s="96" t="s">
        <v>105</v>
      </c>
      <c r="V3" s="96" t="s">
        <v>106</v>
      </c>
      <c r="W3" s="96" t="s">
        <v>107</v>
      </c>
      <c r="X3" s="96" t="s">
        <v>108</v>
      </c>
      <c r="Y3" s="96" t="s">
        <v>109</v>
      </c>
      <c r="Z3" s="96" t="s">
        <v>103</v>
      </c>
      <c r="AA3" s="96" t="s">
        <v>104</v>
      </c>
      <c r="AB3" s="96" t="s">
        <v>105</v>
      </c>
      <c r="AC3" s="96" t="s">
        <v>106</v>
      </c>
      <c r="AD3" s="96" t="s">
        <v>107</v>
      </c>
      <c r="AE3" s="96" t="s">
        <v>108</v>
      </c>
      <c r="AF3" s="96" t="s">
        <v>109</v>
      </c>
      <c r="AG3" s="96" t="s">
        <v>103</v>
      </c>
      <c r="AH3" s="96" t="s">
        <v>104</v>
      </c>
      <c r="AI3" s="96" t="s">
        <v>105</v>
      </c>
      <c r="AJ3" s="511"/>
    </row>
    <row r="4" spans="1:36">
      <c r="A4" s="511"/>
      <c r="B4" s="511"/>
      <c r="C4" s="511"/>
      <c r="D4" s="511"/>
      <c r="E4" s="52" t="s">
        <v>110</v>
      </c>
      <c r="F4" s="52" t="s">
        <v>110</v>
      </c>
      <c r="G4" s="52" t="s">
        <v>110</v>
      </c>
      <c r="H4" s="52" t="s">
        <v>110</v>
      </c>
      <c r="I4" s="52" t="s">
        <v>110</v>
      </c>
      <c r="J4" s="52" t="s">
        <v>110</v>
      </c>
      <c r="K4" s="52" t="s">
        <v>110</v>
      </c>
      <c r="L4" s="52" t="s">
        <v>110</v>
      </c>
      <c r="M4" s="52" t="s">
        <v>110</v>
      </c>
      <c r="N4" s="52" t="s">
        <v>110</v>
      </c>
      <c r="O4" s="52" t="s">
        <v>110</v>
      </c>
      <c r="P4" s="52" t="s">
        <v>110</v>
      </c>
      <c r="Q4" s="52" t="s">
        <v>110</v>
      </c>
      <c r="R4" s="52" t="s">
        <v>110</v>
      </c>
      <c r="S4" s="52" t="s">
        <v>110</v>
      </c>
      <c r="T4" s="52" t="s">
        <v>110</v>
      </c>
      <c r="U4" s="52" t="s">
        <v>110</v>
      </c>
      <c r="V4" s="52" t="s">
        <v>110</v>
      </c>
      <c r="W4" s="52" t="s">
        <v>110</v>
      </c>
      <c r="X4" s="52" t="s">
        <v>110</v>
      </c>
      <c r="Y4" s="52" t="s">
        <v>110</v>
      </c>
      <c r="Z4" s="52" t="s">
        <v>110</v>
      </c>
      <c r="AA4" s="52" t="s">
        <v>110</v>
      </c>
      <c r="AB4" s="52" t="s">
        <v>110</v>
      </c>
      <c r="AC4" s="52" t="s">
        <v>110</v>
      </c>
      <c r="AD4" s="52" t="s">
        <v>110</v>
      </c>
      <c r="AE4" s="52" t="s">
        <v>110</v>
      </c>
      <c r="AF4" s="52" t="s">
        <v>110</v>
      </c>
      <c r="AG4" s="52" t="s">
        <v>110</v>
      </c>
      <c r="AH4" s="52" t="s">
        <v>110</v>
      </c>
      <c r="AI4" s="52" t="s">
        <v>110</v>
      </c>
      <c r="AJ4" s="511"/>
    </row>
    <row r="5" spans="1:36">
      <c r="A5" s="512"/>
      <c r="B5" s="512"/>
      <c r="C5" s="512"/>
      <c r="D5" s="512"/>
      <c r="E5" s="53">
        <v>0.33333333333333331</v>
      </c>
      <c r="F5" s="53">
        <v>0.33333333333333331</v>
      </c>
      <c r="G5" s="53">
        <v>0.33333333333333331</v>
      </c>
      <c r="H5" s="53">
        <v>0.33333333333333331</v>
      </c>
      <c r="I5" s="53">
        <v>0.33333333333333331</v>
      </c>
      <c r="J5" s="53">
        <v>0.33333333333333331</v>
      </c>
      <c r="K5" s="53">
        <v>0.33333333333333331</v>
      </c>
      <c r="L5" s="53">
        <v>0.33333333333333331</v>
      </c>
      <c r="M5" s="53">
        <v>0.33333333333333331</v>
      </c>
      <c r="N5" s="53">
        <v>0.33333333333333331</v>
      </c>
      <c r="O5" s="53">
        <v>0.33333333333333331</v>
      </c>
      <c r="P5" s="53">
        <v>0.33333333333333331</v>
      </c>
      <c r="Q5" s="53">
        <v>0.33333333333333331</v>
      </c>
      <c r="R5" s="53">
        <v>0.33333333333333331</v>
      </c>
      <c r="S5" s="53">
        <v>0.33333333333333331</v>
      </c>
      <c r="T5" s="53">
        <v>0.33333333333333331</v>
      </c>
      <c r="U5" s="53">
        <v>0.33333333333333331</v>
      </c>
      <c r="V5" s="53">
        <v>0.33333333333333331</v>
      </c>
      <c r="W5" s="53">
        <v>0.33333333333333331</v>
      </c>
      <c r="X5" s="53">
        <v>0.33333333333333331</v>
      </c>
      <c r="Y5" s="53">
        <v>0.33333333333333331</v>
      </c>
      <c r="Z5" s="53">
        <v>0.33333333333333331</v>
      </c>
      <c r="AA5" s="53">
        <v>0.33333333333333331</v>
      </c>
      <c r="AB5" s="53">
        <v>0.33333333333333331</v>
      </c>
      <c r="AC5" s="53">
        <v>0.33333333333333331</v>
      </c>
      <c r="AD5" s="53">
        <v>0.33333333333333331</v>
      </c>
      <c r="AE5" s="53">
        <v>0.33333333333333331</v>
      </c>
      <c r="AF5" s="53">
        <v>0.33333333333333331</v>
      </c>
      <c r="AG5" s="53">
        <v>0.33333333333333331</v>
      </c>
      <c r="AH5" s="53">
        <v>0.33333333333333331</v>
      </c>
      <c r="AI5" s="53">
        <v>0.33333333333333331</v>
      </c>
      <c r="AJ5" s="512"/>
    </row>
    <row r="6" spans="1:36">
      <c r="A6" s="48">
        <v>1</v>
      </c>
      <c r="B6" s="4" t="s">
        <v>129</v>
      </c>
      <c r="C6" s="139" t="s">
        <v>111</v>
      </c>
      <c r="D6" s="48">
        <v>129726</v>
      </c>
      <c r="E6" s="48">
        <v>129984</v>
      </c>
      <c r="F6" s="48">
        <v>130203</v>
      </c>
      <c r="G6" s="48">
        <v>130405</v>
      </c>
      <c r="H6" s="48">
        <v>130673</v>
      </c>
      <c r="I6" s="48">
        <v>130960</v>
      </c>
      <c r="J6" s="48">
        <v>131234</v>
      </c>
      <c r="K6" s="48">
        <v>131571</v>
      </c>
      <c r="L6" s="48">
        <v>131787</v>
      </c>
      <c r="M6" s="48">
        <v>131986</v>
      </c>
      <c r="N6" s="48">
        <v>132192</v>
      </c>
      <c r="O6" s="58">
        <v>132461</v>
      </c>
      <c r="P6" s="184">
        <v>132731</v>
      </c>
      <c r="Q6" s="48">
        <v>132992</v>
      </c>
      <c r="R6" s="59">
        <v>133259</v>
      </c>
      <c r="S6" s="4">
        <v>133471</v>
      </c>
      <c r="T6" s="4">
        <v>133679</v>
      </c>
      <c r="U6" s="4">
        <v>133890</v>
      </c>
      <c r="V6" s="125">
        <v>134167</v>
      </c>
      <c r="W6" s="4">
        <v>134443</v>
      </c>
      <c r="X6" s="4">
        <v>134722</v>
      </c>
      <c r="Y6" s="4">
        <v>135007</v>
      </c>
      <c r="Z6" s="4">
        <v>135286</v>
      </c>
      <c r="AA6" s="4">
        <v>135502</v>
      </c>
      <c r="AB6" s="4">
        <v>135688</v>
      </c>
      <c r="AC6" s="4">
        <v>135986</v>
      </c>
      <c r="AD6" s="4">
        <v>136252</v>
      </c>
      <c r="AE6" s="4">
        <v>136541</v>
      </c>
      <c r="AF6" s="4">
        <v>136802</v>
      </c>
      <c r="AG6" s="48">
        <v>137069</v>
      </c>
      <c r="AH6" s="169">
        <v>137288</v>
      </c>
      <c r="AI6" s="48">
        <v>137403</v>
      </c>
      <c r="AJ6" s="57">
        <f t="shared" ref="AJ6:AJ21" si="0">AI6-D6</f>
        <v>7677</v>
      </c>
    </row>
    <row r="7" spans="1:36">
      <c r="A7" s="8"/>
      <c r="B7" s="8"/>
      <c r="C7" s="140" t="s">
        <v>22</v>
      </c>
      <c r="D7" s="48">
        <v>4175</v>
      </c>
      <c r="E7" s="48">
        <v>4175</v>
      </c>
      <c r="F7" s="48">
        <v>4175</v>
      </c>
      <c r="G7" s="48">
        <v>4175</v>
      </c>
      <c r="H7" s="48">
        <v>4175</v>
      </c>
      <c r="I7" s="48">
        <v>4175</v>
      </c>
      <c r="J7" s="48">
        <v>4175</v>
      </c>
      <c r="K7" s="48">
        <v>4175</v>
      </c>
      <c r="L7" s="48">
        <v>4175</v>
      </c>
      <c r="M7" s="48">
        <v>4175</v>
      </c>
      <c r="N7" s="48">
        <v>4175</v>
      </c>
      <c r="O7" s="48">
        <v>4175</v>
      </c>
      <c r="P7" s="48">
        <v>4175</v>
      </c>
      <c r="Q7" s="48">
        <v>4175</v>
      </c>
      <c r="R7" s="48">
        <v>4175</v>
      </c>
      <c r="S7" s="48">
        <v>4175</v>
      </c>
      <c r="T7" s="48">
        <v>4175</v>
      </c>
      <c r="U7" s="48">
        <v>4175</v>
      </c>
      <c r="V7" s="48">
        <v>4175</v>
      </c>
      <c r="W7" s="48">
        <v>4175</v>
      </c>
      <c r="X7" s="8">
        <v>4175</v>
      </c>
      <c r="Y7" s="8">
        <v>4175</v>
      </c>
      <c r="Z7" s="8">
        <v>4175</v>
      </c>
      <c r="AA7" s="8">
        <v>4175</v>
      </c>
      <c r="AB7" s="8">
        <v>4175</v>
      </c>
      <c r="AC7" s="8">
        <v>4175</v>
      </c>
      <c r="AD7" s="8">
        <v>4175</v>
      </c>
      <c r="AE7" s="8">
        <v>4175</v>
      </c>
      <c r="AF7" s="8">
        <v>4175</v>
      </c>
      <c r="AG7" s="8">
        <v>4175</v>
      </c>
      <c r="AH7" s="8">
        <v>4175</v>
      </c>
      <c r="AI7" s="8">
        <v>4175</v>
      </c>
      <c r="AJ7" s="57">
        <f t="shared" si="0"/>
        <v>0</v>
      </c>
    </row>
    <row r="8" spans="1:36">
      <c r="A8" s="4">
        <v>2</v>
      </c>
      <c r="B8" s="4" t="s">
        <v>129</v>
      </c>
      <c r="C8" s="141" t="s">
        <v>112</v>
      </c>
      <c r="D8" s="48">
        <v>1956</v>
      </c>
      <c r="E8" s="48">
        <v>1956</v>
      </c>
      <c r="F8" s="48">
        <v>1956</v>
      </c>
      <c r="G8" s="48">
        <v>1956</v>
      </c>
      <c r="H8" s="48">
        <v>1956</v>
      </c>
      <c r="I8" s="48">
        <v>1956</v>
      </c>
      <c r="J8" s="48">
        <v>1956</v>
      </c>
      <c r="K8" s="48">
        <v>1956</v>
      </c>
      <c r="L8" s="48">
        <v>1956</v>
      </c>
      <c r="M8" s="48">
        <v>1956</v>
      </c>
      <c r="N8" s="48">
        <v>1956</v>
      </c>
      <c r="O8" s="48">
        <v>1956</v>
      </c>
      <c r="P8" s="48">
        <v>1956</v>
      </c>
      <c r="Q8" s="48">
        <v>1956</v>
      </c>
      <c r="R8" s="48">
        <v>1956</v>
      </c>
      <c r="S8" s="48">
        <v>1956</v>
      </c>
      <c r="T8" s="48">
        <v>1956</v>
      </c>
      <c r="U8" s="48">
        <v>1956</v>
      </c>
      <c r="V8" s="48">
        <v>1956</v>
      </c>
      <c r="W8" s="4">
        <v>1956</v>
      </c>
      <c r="X8" s="4">
        <v>1956</v>
      </c>
      <c r="Y8" s="4">
        <v>1956</v>
      </c>
      <c r="Z8" s="4">
        <v>1956</v>
      </c>
      <c r="AA8" s="4">
        <v>1956</v>
      </c>
      <c r="AB8" s="4">
        <v>1956</v>
      </c>
      <c r="AC8" s="4">
        <v>1956</v>
      </c>
      <c r="AD8" s="4">
        <v>1956</v>
      </c>
      <c r="AE8" s="4">
        <v>1956</v>
      </c>
      <c r="AF8" s="4">
        <v>1956</v>
      </c>
      <c r="AG8" s="4">
        <v>1956</v>
      </c>
      <c r="AH8" s="4">
        <v>1956</v>
      </c>
      <c r="AI8" s="4">
        <v>1956</v>
      </c>
      <c r="AJ8" s="57">
        <f t="shared" si="0"/>
        <v>0</v>
      </c>
    </row>
    <row r="9" spans="1:36">
      <c r="A9" s="4"/>
      <c r="B9" s="4"/>
      <c r="C9" s="140" t="s">
        <v>22</v>
      </c>
      <c r="D9" s="48">
        <v>28.6</v>
      </c>
      <c r="E9" s="48">
        <v>28.6</v>
      </c>
      <c r="F9" s="48">
        <v>28.6</v>
      </c>
      <c r="G9" s="48">
        <v>28.6</v>
      </c>
      <c r="H9" s="48">
        <v>28.6</v>
      </c>
      <c r="I9" s="48">
        <v>28.6</v>
      </c>
      <c r="J9" s="48">
        <v>28.6</v>
      </c>
      <c r="K9" s="48">
        <v>28.6</v>
      </c>
      <c r="L9" s="48">
        <v>28.6</v>
      </c>
      <c r="M9" s="48">
        <v>28.6</v>
      </c>
      <c r="N9" s="48">
        <v>28.6</v>
      </c>
      <c r="O9" s="48">
        <v>28.6</v>
      </c>
      <c r="P9" s="48">
        <v>28.6</v>
      </c>
      <c r="Q9" s="48">
        <v>28.6</v>
      </c>
      <c r="R9" s="48">
        <v>28.6</v>
      </c>
      <c r="S9" s="48">
        <v>28.6</v>
      </c>
      <c r="T9" s="48">
        <v>28.6</v>
      </c>
      <c r="U9" s="48">
        <v>28.6</v>
      </c>
      <c r="V9" s="48">
        <v>28.6</v>
      </c>
      <c r="W9" s="48">
        <v>28.6</v>
      </c>
      <c r="X9" s="4">
        <v>28.6</v>
      </c>
      <c r="Y9" s="4">
        <v>28.6</v>
      </c>
      <c r="Z9" s="4">
        <v>28.6</v>
      </c>
      <c r="AA9" s="4">
        <v>28.6</v>
      </c>
      <c r="AB9" s="4">
        <v>28.6</v>
      </c>
      <c r="AC9" s="4">
        <v>28.6</v>
      </c>
      <c r="AD9" s="4">
        <v>28.6</v>
      </c>
      <c r="AE9" s="4">
        <v>28.6</v>
      </c>
      <c r="AF9" s="4">
        <v>28.6</v>
      </c>
      <c r="AG9" s="4">
        <v>28.6</v>
      </c>
      <c r="AH9" s="4">
        <v>28.6</v>
      </c>
      <c r="AI9" s="4">
        <v>28.6</v>
      </c>
      <c r="AJ9" s="57">
        <f t="shared" si="0"/>
        <v>0</v>
      </c>
    </row>
    <row r="10" spans="1:36">
      <c r="A10" s="4">
        <v>3</v>
      </c>
      <c r="B10" s="4" t="s">
        <v>129</v>
      </c>
      <c r="C10" s="141" t="s">
        <v>113</v>
      </c>
      <c r="D10" s="48">
        <v>189365</v>
      </c>
      <c r="E10" s="4">
        <v>189738</v>
      </c>
      <c r="F10" s="4">
        <v>190033</v>
      </c>
      <c r="G10" s="4">
        <v>190307</v>
      </c>
      <c r="H10" s="4">
        <v>190703</v>
      </c>
      <c r="I10" s="4">
        <v>191130</v>
      </c>
      <c r="J10" s="4">
        <v>191544</v>
      </c>
      <c r="K10" s="4">
        <v>191958</v>
      </c>
      <c r="L10" s="4">
        <v>192368</v>
      </c>
      <c r="M10" s="4">
        <v>192635</v>
      </c>
      <c r="N10" s="4">
        <v>192906</v>
      </c>
      <c r="O10" s="4">
        <v>193302</v>
      </c>
      <c r="P10" s="4">
        <v>193699</v>
      </c>
      <c r="Q10" s="4">
        <v>194108</v>
      </c>
      <c r="R10" s="4">
        <v>194475</v>
      </c>
      <c r="S10" s="4">
        <v>194759</v>
      </c>
      <c r="T10" s="4">
        <v>195038</v>
      </c>
      <c r="U10" s="4">
        <v>195321</v>
      </c>
      <c r="V10" s="4">
        <v>195735</v>
      </c>
      <c r="W10" s="4">
        <v>196151</v>
      </c>
      <c r="X10" s="4">
        <v>196571</v>
      </c>
      <c r="Y10" s="4">
        <v>196996</v>
      </c>
      <c r="Z10" s="4">
        <v>197414</v>
      </c>
      <c r="AA10" s="8">
        <v>197702</v>
      </c>
      <c r="AB10" s="8">
        <v>197982</v>
      </c>
      <c r="AC10" s="4">
        <v>198390</v>
      </c>
      <c r="AD10" s="4">
        <v>198484</v>
      </c>
      <c r="AE10" s="8">
        <v>199212</v>
      </c>
      <c r="AF10" s="8">
        <v>199600</v>
      </c>
      <c r="AG10" s="8">
        <v>200003</v>
      </c>
      <c r="AH10" s="128">
        <v>200291</v>
      </c>
      <c r="AI10" s="48">
        <v>200443</v>
      </c>
      <c r="AJ10" s="57">
        <f t="shared" si="0"/>
        <v>11078</v>
      </c>
    </row>
    <row r="11" spans="1:36">
      <c r="A11" s="4"/>
      <c r="B11" s="4"/>
      <c r="C11" s="140" t="s">
        <v>22</v>
      </c>
      <c r="D11" s="48">
        <v>6242</v>
      </c>
      <c r="E11" s="48">
        <v>6242</v>
      </c>
      <c r="F11" s="48">
        <v>6242</v>
      </c>
      <c r="G11" s="48">
        <v>6242</v>
      </c>
      <c r="H11" s="4">
        <v>6242</v>
      </c>
      <c r="I11" s="4">
        <v>6242</v>
      </c>
      <c r="J11" s="4">
        <v>6242</v>
      </c>
      <c r="K11" s="4">
        <v>6242</v>
      </c>
      <c r="L11" s="4">
        <v>6242</v>
      </c>
      <c r="M11" s="4">
        <v>6242</v>
      </c>
      <c r="N11" s="4">
        <v>6242</v>
      </c>
      <c r="O11" s="4">
        <v>6242</v>
      </c>
      <c r="P11" s="4">
        <v>6242</v>
      </c>
      <c r="Q11" s="4">
        <v>6242</v>
      </c>
      <c r="R11" s="4">
        <v>6242</v>
      </c>
      <c r="S11" s="4">
        <v>6242</v>
      </c>
      <c r="T11" s="4">
        <v>6242</v>
      </c>
      <c r="U11" s="4">
        <v>6242</v>
      </c>
      <c r="V11" s="4">
        <v>6242</v>
      </c>
      <c r="W11" s="4">
        <v>6242</v>
      </c>
      <c r="X11" s="4">
        <v>6242</v>
      </c>
      <c r="Y11" s="4">
        <v>6242</v>
      </c>
      <c r="Z11" s="4">
        <v>6242</v>
      </c>
      <c r="AA11" s="4">
        <v>6242</v>
      </c>
      <c r="AB11" s="4">
        <v>6242</v>
      </c>
      <c r="AC11" s="4">
        <v>6242</v>
      </c>
      <c r="AD11" s="4">
        <v>6242</v>
      </c>
      <c r="AE11" s="4">
        <v>6242</v>
      </c>
      <c r="AF11" s="4">
        <v>6242</v>
      </c>
      <c r="AG11" s="4">
        <v>6242</v>
      </c>
      <c r="AH11" s="4">
        <v>6242</v>
      </c>
      <c r="AI11" s="4">
        <v>6242</v>
      </c>
      <c r="AJ11" s="57">
        <f t="shared" si="0"/>
        <v>0</v>
      </c>
    </row>
    <row r="12" spans="1:36">
      <c r="A12" s="4">
        <v>4</v>
      </c>
      <c r="B12" s="4" t="s">
        <v>129</v>
      </c>
      <c r="C12" s="141" t="s">
        <v>114</v>
      </c>
      <c r="D12" s="48">
        <v>0</v>
      </c>
      <c r="E12" s="48">
        <v>0</v>
      </c>
      <c r="F12" s="48">
        <v>0</v>
      </c>
      <c r="G12" s="48">
        <v>0</v>
      </c>
      <c r="H12" s="48">
        <v>0</v>
      </c>
      <c r="I12" s="48">
        <v>0</v>
      </c>
      <c r="J12" s="48">
        <v>0</v>
      </c>
      <c r="K12" s="48">
        <v>0</v>
      </c>
      <c r="L12" s="48">
        <v>0</v>
      </c>
      <c r="M12" s="48">
        <v>0</v>
      </c>
      <c r="N12" s="48">
        <v>0</v>
      </c>
      <c r="O12" s="48">
        <v>0</v>
      </c>
      <c r="P12" s="48">
        <v>0</v>
      </c>
      <c r="Q12" s="48">
        <v>0</v>
      </c>
      <c r="R12" s="48">
        <v>0</v>
      </c>
      <c r="S12" s="48">
        <v>0</v>
      </c>
      <c r="T12" s="48">
        <v>0</v>
      </c>
      <c r="U12" s="48">
        <v>0</v>
      </c>
      <c r="V12" s="48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57">
        <f t="shared" si="0"/>
        <v>0</v>
      </c>
    </row>
    <row r="13" spans="1:36">
      <c r="A13" s="4"/>
      <c r="B13" s="4"/>
      <c r="C13" s="140" t="s">
        <v>22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57">
        <f t="shared" si="0"/>
        <v>0</v>
      </c>
    </row>
    <row r="14" spans="1:36">
      <c r="A14" s="4">
        <v>5</v>
      </c>
      <c r="B14" s="4" t="s">
        <v>129</v>
      </c>
      <c r="C14" s="141" t="s">
        <v>115</v>
      </c>
      <c r="D14" s="48">
        <v>91678</v>
      </c>
      <c r="E14" s="4">
        <v>91896</v>
      </c>
      <c r="F14" s="4">
        <v>92057</v>
      </c>
      <c r="G14" s="4">
        <v>92185</v>
      </c>
      <c r="H14" s="4">
        <v>92427</v>
      </c>
      <c r="I14" s="4">
        <v>92681</v>
      </c>
      <c r="J14" s="4">
        <v>92920</v>
      </c>
      <c r="K14" s="4">
        <v>93161</v>
      </c>
      <c r="L14" s="4">
        <v>93411</v>
      </c>
      <c r="M14" s="4">
        <v>93531</v>
      </c>
      <c r="N14" s="4">
        <v>93639</v>
      </c>
      <c r="O14" s="4">
        <v>93873</v>
      </c>
      <c r="P14" s="4">
        <v>94109</v>
      </c>
      <c r="Q14" s="4">
        <v>94358</v>
      </c>
      <c r="R14" s="4">
        <v>94584</v>
      </c>
      <c r="S14" s="4">
        <v>94704</v>
      </c>
      <c r="T14" s="4">
        <v>94816</v>
      </c>
      <c r="U14" s="33">
        <v>94927</v>
      </c>
      <c r="V14" s="4">
        <v>95165</v>
      </c>
      <c r="W14" s="4">
        <v>95406</v>
      </c>
      <c r="X14" s="4">
        <v>95601</v>
      </c>
      <c r="Y14" s="4">
        <v>95915</v>
      </c>
      <c r="Z14" s="4">
        <v>96179</v>
      </c>
      <c r="AA14" s="8">
        <v>96317</v>
      </c>
      <c r="AB14" s="8">
        <v>96446</v>
      </c>
      <c r="AC14" s="4">
        <v>96701</v>
      </c>
      <c r="AD14" s="4">
        <v>96944</v>
      </c>
      <c r="AE14" s="8">
        <v>97198</v>
      </c>
      <c r="AF14" s="8">
        <v>97438</v>
      </c>
      <c r="AG14" s="8">
        <v>97696</v>
      </c>
      <c r="AH14" s="128">
        <v>97853</v>
      </c>
      <c r="AI14" s="48">
        <v>97925</v>
      </c>
      <c r="AJ14" s="57">
        <f t="shared" si="0"/>
        <v>6247</v>
      </c>
    </row>
    <row r="15" spans="1:36">
      <c r="A15" s="4"/>
      <c r="B15" s="4"/>
      <c r="C15" s="140" t="s">
        <v>22</v>
      </c>
      <c r="D15" s="48">
        <v>3188</v>
      </c>
      <c r="E15" s="48">
        <v>3188</v>
      </c>
      <c r="F15" s="48">
        <v>3188</v>
      </c>
      <c r="G15" s="48">
        <v>3188</v>
      </c>
      <c r="H15" s="4">
        <v>3188</v>
      </c>
      <c r="I15" s="4">
        <v>3188</v>
      </c>
      <c r="J15" s="4">
        <v>3188</v>
      </c>
      <c r="K15" s="4">
        <v>3188</v>
      </c>
      <c r="L15" s="4">
        <v>3188</v>
      </c>
      <c r="M15" s="4">
        <v>3188</v>
      </c>
      <c r="N15" s="4">
        <v>3188</v>
      </c>
      <c r="O15" s="4">
        <v>3188</v>
      </c>
      <c r="P15" s="4">
        <v>3188</v>
      </c>
      <c r="Q15" s="4">
        <v>3188</v>
      </c>
      <c r="R15" s="4">
        <v>3188</v>
      </c>
      <c r="S15" s="4">
        <v>3188</v>
      </c>
      <c r="T15" s="4">
        <v>3188</v>
      </c>
      <c r="U15" s="4">
        <v>3188</v>
      </c>
      <c r="V15" s="4">
        <v>3188</v>
      </c>
      <c r="W15" s="4">
        <v>3188</v>
      </c>
      <c r="X15" s="60">
        <v>3188</v>
      </c>
      <c r="Y15" s="60">
        <v>3188</v>
      </c>
      <c r="Z15" s="60">
        <v>3188</v>
      </c>
      <c r="AA15" s="60">
        <v>3188</v>
      </c>
      <c r="AB15" s="60">
        <v>3188</v>
      </c>
      <c r="AC15" s="60">
        <v>3188</v>
      </c>
      <c r="AD15" s="60">
        <v>3188</v>
      </c>
      <c r="AE15" s="60">
        <v>3188</v>
      </c>
      <c r="AF15" s="60">
        <v>3188</v>
      </c>
      <c r="AG15" s="60">
        <v>3188</v>
      </c>
      <c r="AH15" s="60">
        <v>3188</v>
      </c>
      <c r="AI15" s="60">
        <v>3188</v>
      </c>
      <c r="AJ15" s="57">
        <f t="shared" si="0"/>
        <v>0</v>
      </c>
    </row>
    <row r="16" spans="1:36">
      <c r="A16" s="4">
        <v>6</v>
      </c>
      <c r="B16" s="4" t="s">
        <v>129</v>
      </c>
      <c r="C16" s="141" t="s">
        <v>142</v>
      </c>
      <c r="D16" s="48">
        <v>110040</v>
      </c>
      <c r="E16" s="198">
        <v>110257</v>
      </c>
      <c r="F16" s="4">
        <v>110388</v>
      </c>
      <c r="G16" s="4">
        <v>110486</v>
      </c>
      <c r="H16" s="4">
        <v>110747</v>
      </c>
      <c r="I16" s="4">
        <v>110991</v>
      </c>
      <c r="J16" s="4">
        <v>111221</v>
      </c>
      <c r="K16" s="58">
        <v>111514</v>
      </c>
      <c r="L16" s="127">
        <v>111784</v>
      </c>
      <c r="M16" s="178">
        <v>111850</v>
      </c>
      <c r="N16" s="178">
        <v>111984</v>
      </c>
      <c r="O16" s="178">
        <v>112228</v>
      </c>
      <c r="P16" s="178">
        <v>112492</v>
      </c>
      <c r="Q16" s="179">
        <v>112764</v>
      </c>
      <c r="R16" s="178">
        <v>112998</v>
      </c>
      <c r="S16" s="59">
        <v>113092</v>
      </c>
      <c r="T16" s="4">
        <v>113175</v>
      </c>
      <c r="U16" s="4">
        <v>113290</v>
      </c>
      <c r="V16" s="4">
        <v>113559</v>
      </c>
      <c r="W16" s="4">
        <v>113829</v>
      </c>
      <c r="X16" s="4">
        <v>114091</v>
      </c>
      <c r="Y16" s="4">
        <v>114361</v>
      </c>
      <c r="Z16" s="4">
        <v>114633</v>
      </c>
      <c r="AA16" s="4">
        <v>114762</v>
      </c>
      <c r="AB16" s="8">
        <v>114867</v>
      </c>
      <c r="AC16" s="4">
        <v>115152</v>
      </c>
      <c r="AD16" s="4">
        <v>115414</v>
      </c>
      <c r="AE16" s="8">
        <v>115707</v>
      </c>
      <c r="AF16" s="8">
        <v>115882</v>
      </c>
      <c r="AG16" s="4">
        <v>116245</v>
      </c>
      <c r="AH16" s="128">
        <v>116371</v>
      </c>
      <c r="AI16" s="48">
        <v>116441</v>
      </c>
      <c r="AJ16" s="57">
        <f t="shared" si="0"/>
        <v>6401</v>
      </c>
    </row>
    <row r="17" spans="1:36">
      <c r="A17" s="4"/>
      <c r="B17" s="4"/>
      <c r="C17" s="140" t="s">
        <v>22</v>
      </c>
      <c r="D17" s="48">
        <v>4155</v>
      </c>
      <c r="E17" s="48">
        <v>4155</v>
      </c>
      <c r="F17" s="48">
        <v>4155</v>
      </c>
      <c r="G17" s="48">
        <v>4155</v>
      </c>
      <c r="H17" s="4">
        <v>4155</v>
      </c>
      <c r="I17" s="4">
        <v>4155</v>
      </c>
      <c r="J17" s="4">
        <v>4155</v>
      </c>
      <c r="K17" s="4">
        <v>4155</v>
      </c>
      <c r="L17" s="4">
        <v>4155</v>
      </c>
      <c r="M17" s="4">
        <v>4155</v>
      </c>
      <c r="N17" s="4">
        <v>4155</v>
      </c>
      <c r="O17" s="4">
        <v>4155</v>
      </c>
      <c r="P17" s="4">
        <v>4155</v>
      </c>
      <c r="Q17" s="4">
        <v>4155</v>
      </c>
      <c r="R17" s="4">
        <v>4155</v>
      </c>
      <c r="S17" s="4">
        <v>4155</v>
      </c>
      <c r="T17" s="4">
        <v>4155</v>
      </c>
      <c r="U17" s="4">
        <v>4155</v>
      </c>
      <c r="V17" s="4">
        <v>4155</v>
      </c>
      <c r="W17" s="4">
        <v>4155</v>
      </c>
      <c r="X17" s="129">
        <v>4155</v>
      </c>
      <c r="Y17" s="129">
        <v>4155</v>
      </c>
      <c r="Z17" s="129">
        <v>4155</v>
      </c>
      <c r="AA17" s="129">
        <v>4155</v>
      </c>
      <c r="AB17" s="129">
        <v>4155</v>
      </c>
      <c r="AC17" s="129">
        <v>4155</v>
      </c>
      <c r="AD17" s="129">
        <v>4155</v>
      </c>
      <c r="AE17" s="129">
        <v>4155</v>
      </c>
      <c r="AF17" s="129">
        <v>4155</v>
      </c>
      <c r="AG17" s="129">
        <v>4155</v>
      </c>
      <c r="AH17" s="129">
        <v>4155</v>
      </c>
      <c r="AI17" s="129">
        <v>4155</v>
      </c>
      <c r="AJ17" s="57">
        <f t="shared" si="0"/>
        <v>0</v>
      </c>
    </row>
    <row r="18" spans="1:36">
      <c r="A18" s="4">
        <v>7</v>
      </c>
      <c r="B18" s="4" t="s">
        <v>129</v>
      </c>
      <c r="C18" s="141" t="s">
        <v>117</v>
      </c>
      <c r="D18" s="48">
        <v>357388</v>
      </c>
      <c r="E18" s="4">
        <v>358179</v>
      </c>
      <c r="F18" s="4">
        <v>358800</v>
      </c>
      <c r="G18" s="4">
        <v>359312</v>
      </c>
      <c r="H18" s="4">
        <v>360031</v>
      </c>
      <c r="I18" s="4">
        <v>360852</v>
      </c>
      <c r="J18" s="4">
        <v>361601</v>
      </c>
      <c r="K18" s="4">
        <v>362383</v>
      </c>
      <c r="L18" s="4">
        <v>363177</v>
      </c>
      <c r="M18" s="4">
        <v>363653</v>
      </c>
      <c r="N18" s="5">
        <v>364145</v>
      </c>
      <c r="O18" s="4">
        <v>364885</v>
      </c>
      <c r="P18" s="4">
        <v>365687</v>
      </c>
      <c r="Q18" s="4">
        <v>366465</v>
      </c>
      <c r="R18" s="8">
        <v>367268</v>
      </c>
      <c r="S18" s="5">
        <v>367558</v>
      </c>
      <c r="T18" s="4">
        <v>367968</v>
      </c>
      <c r="U18" s="4">
        <v>368435</v>
      </c>
      <c r="V18" s="4">
        <v>369200</v>
      </c>
      <c r="W18" s="4">
        <v>369977</v>
      </c>
      <c r="X18" s="33">
        <v>370759</v>
      </c>
      <c r="Y18" s="4">
        <v>371538</v>
      </c>
      <c r="Z18" s="4">
        <v>372321</v>
      </c>
      <c r="AA18" s="8">
        <v>372938</v>
      </c>
      <c r="AB18" s="8">
        <v>373420</v>
      </c>
      <c r="AC18" s="4">
        <v>374161</v>
      </c>
      <c r="AD18" s="4">
        <v>374931</v>
      </c>
      <c r="AE18" s="8">
        <v>375767</v>
      </c>
      <c r="AF18" s="170">
        <v>376562</v>
      </c>
      <c r="AG18" s="8">
        <v>377376</v>
      </c>
      <c r="AH18" s="128">
        <v>378032</v>
      </c>
      <c r="AI18" s="48">
        <v>378252</v>
      </c>
      <c r="AJ18" s="57">
        <f t="shared" si="0"/>
        <v>20864</v>
      </c>
    </row>
    <row r="19" spans="1:36">
      <c r="A19" s="4"/>
      <c r="B19" s="4"/>
      <c r="C19" s="140" t="s">
        <v>22</v>
      </c>
      <c r="D19" s="48">
        <v>11338</v>
      </c>
      <c r="E19" s="48">
        <v>11338</v>
      </c>
      <c r="F19" s="48">
        <v>11338</v>
      </c>
      <c r="G19" s="48">
        <v>11338</v>
      </c>
      <c r="H19" s="48">
        <v>11338</v>
      </c>
      <c r="I19" s="48">
        <v>11338</v>
      </c>
      <c r="J19" s="48">
        <v>11338</v>
      </c>
      <c r="K19" s="48">
        <v>11338</v>
      </c>
      <c r="L19" s="48">
        <v>11338</v>
      </c>
      <c r="M19" s="48">
        <v>11338</v>
      </c>
      <c r="N19" s="48">
        <v>11338</v>
      </c>
      <c r="O19" s="48">
        <v>11338</v>
      </c>
      <c r="P19" s="48">
        <v>11338</v>
      </c>
      <c r="Q19" s="48">
        <v>11338</v>
      </c>
      <c r="R19" s="48">
        <v>11338</v>
      </c>
      <c r="S19" s="48">
        <v>11338</v>
      </c>
      <c r="T19" s="48">
        <v>11338</v>
      </c>
      <c r="U19" s="48">
        <v>11338</v>
      </c>
      <c r="V19" s="48">
        <v>11338</v>
      </c>
      <c r="W19" s="48">
        <v>11338</v>
      </c>
      <c r="X19" s="48">
        <v>11338</v>
      </c>
      <c r="Y19" s="48">
        <v>11338</v>
      </c>
      <c r="Z19" s="48">
        <v>11338</v>
      </c>
      <c r="AA19" s="48">
        <v>11338</v>
      </c>
      <c r="AB19" s="48">
        <v>11338</v>
      </c>
      <c r="AC19" s="48">
        <v>11338</v>
      </c>
      <c r="AD19" s="48">
        <v>11338</v>
      </c>
      <c r="AE19" s="48">
        <v>11338</v>
      </c>
      <c r="AF19" s="48">
        <v>11338</v>
      </c>
      <c r="AG19" s="48">
        <v>11338</v>
      </c>
      <c r="AH19" s="48">
        <v>11338</v>
      </c>
      <c r="AI19" s="48">
        <v>11338</v>
      </c>
      <c r="AJ19" s="57">
        <f t="shared" si="0"/>
        <v>0</v>
      </c>
    </row>
    <row r="20" spans="1:36">
      <c r="A20" s="4">
        <v>8</v>
      </c>
      <c r="B20" s="4" t="s">
        <v>129</v>
      </c>
      <c r="C20" s="141" t="s">
        <v>118</v>
      </c>
      <c r="D20" s="48">
        <v>72776</v>
      </c>
      <c r="E20" s="4">
        <v>72915</v>
      </c>
      <c r="F20" s="4">
        <v>73044</v>
      </c>
      <c r="G20" s="4">
        <v>73171</v>
      </c>
      <c r="H20" s="4">
        <v>73298</v>
      </c>
      <c r="I20" s="4">
        <v>73437</v>
      </c>
      <c r="J20" s="4">
        <v>73555</v>
      </c>
      <c r="K20" s="4">
        <v>73702</v>
      </c>
      <c r="L20" s="4">
        <v>73842</v>
      </c>
      <c r="M20" s="4">
        <v>73969</v>
      </c>
      <c r="N20" s="4">
        <v>74088</v>
      </c>
      <c r="O20" s="4">
        <v>74260</v>
      </c>
      <c r="P20" s="4">
        <v>74407</v>
      </c>
      <c r="Q20" s="4">
        <v>74533</v>
      </c>
      <c r="R20" s="4">
        <v>74662</v>
      </c>
      <c r="S20" s="4">
        <v>74777</v>
      </c>
      <c r="T20" s="4">
        <v>74912</v>
      </c>
      <c r="U20" s="4">
        <v>75039</v>
      </c>
      <c r="V20" s="4">
        <v>75190</v>
      </c>
      <c r="W20" s="4">
        <v>75318</v>
      </c>
      <c r="X20" s="4">
        <v>75463</v>
      </c>
      <c r="Y20" s="4">
        <v>75585</v>
      </c>
      <c r="Z20" s="4">
        <v>75732</v>
      </c>
      <c r="AA20" s="8">
        <v>75846</v>
      </c>
      <c r="AB20" s="8">
        <v>75980</v>
      </c>
      <c r="AC20" s="4">
        <v>76117</v>
      </c>
      <c r="AD20" s="4">
        <v>76255</v>
      </c>
      <c r="AE20" s="8">
        <v>76380</v>
      </c>
      <c r="AF20" s="8">
        <v>76513</v>
      </c>
      <c r="AG20" s="8">
        <v>76628</v>
      </c>
      <c r="AH20" s="128">
        <v>76747</v>
      </c>
      <c r="AI20" s="48">
        <v>76796</v>
      </c>
      <c r="AJ20" s="57">
        <f t="shared" si="0"/>
        <v>4020</v>
      </c>
    </row>
    <row r="21" spans="1:36">
      <c r="A21" s="4"/>
      <c r="B21" s="4"/>
      <c r="C21" s="140" t="s">
        <v>22</v>
      </c>
      <c r="D21" s="48">
        <v>2164</v>
      </c>
      <c r="E21" s="48">
        <v>2164</v>
      </c>
      <c r="F21" s="48">
        <v>2164</v>
      </c>
      <c r="G21" s="4">
        <v>2164</v>
      </c>
      <c r="H21" s="4">
        <v>2164</v>
      </c>
      <c r="I21" s="4">
        <v>2164</v>
      </c>
      <c r="J21" s="4">
        <v>2164</v>
      </c>
      <c r="K21" s="4">
        <v>2164</v>
      </c>
      <c r="L21" s="4">
        <v>2164</v>
      </c>
      <c r="M21" s="4">
        <v>2164</v>
      </c>
      <c r="N21" s="4">
        <v>2164</v>
      </c>
      <c r="O21" s="4">
        <v>2164</v>
      </c>
      <c r="P21" s="4">
        <v>2164</v>
      </c>
      <c r="Q21" s="4">
        <v>2164</v>
      </c>
      <c r="R21" s="4">
        <v>2164</v>
      </c>
      <c r="S21" s="4">
        <v>2164</v>
      </c>
      <c r="T21" s="4">
        <v>2164</v>
      </c>
      <c r="U21" s="4">
        <v>2164</v>
      </c>
      <c r="V21" s="4">
        <v>2164</v>
      </c>
      <c r="W21" s="4">
        <v>2164</v>
      </c>
      <c r="X21" s="4">
        <v>2164</v>
      </c>
      <c r="Y21" s="4">
        <v>2164</v>
      </c>
      <c r="Z21" s="4">
        <v>2164</v>
      </c>
      <c r="AA21" s="4">
        <v>2164</v>
      </c>
      <c r="AB21" s="4">
        <v>2164</v>
      </c>
      <c r="AC21" s="4">
        <v>2164</v>
      </c>
      <c r="AD21" s="4">
        <v>2164</v>
      </c>
      <c r="AE21" s="4">
        <v>2164</v>
      </c>
      <c r="AF21" s="4">
        <v>2164</v>
      </c>
      <c r="AG21" s="4">
        <v>2164</v>
      </c>
      <c r="AH21" s="4">
        <v>2164</v>
      </c>
      <c r="AI21" s="4">
        <v>2164</v>
      </c>
      <c r="AJ21" s="57">
        <f t="shared" si="0"/>
        <v>0</v>
      </c>
    </row>
    <row r="22" spans="1:36">
      <c r="A22" s="503"/>
      <c r="B22" s="504"/>
      <c r="C22" s="504"/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4"/>
      <c r="W22" s="504"/>
      <c r="X22" s="504"/>
      <c r="Y22" s="504"/>
      <c r="Z22" s="504"/>
      <c r="AA22" s="504"/>
      <c r="AB22" s="504"/>
      <c r="AC22" s="504"/>
      <c r="AD22" s="504"/>
      <c r="AE22" s="504"/>
      <c r="AF22" s="504"/>
      <c r="AG22" s="504"/>
      <c r="AH22" s="504"/>
      <c r="AI22" s="504"/>
      <c r="AJ22" s="501"/>
    </row>
    <row r="23" spans="1:36">
      <c r="A23" s="4">
        <v>1</v>
      </c>
      <c r="B23" s="4" t="s">
        <v>129</v>
      </c>
      <c r="C23" s="141" t="s">
        <v>119</v>
      </c>
      <c r="D23" s="8">
        <v>31560</v>
      </c>
      <c r="E23" s="4">
        <v>31633</v>
      </c>
      <c r="F23" s="4">
        <v>31706</v>
      </c>
      <c r="G23" s="4">
        <v>31752</v>
      </c>
      <c r="H23" s="4">
        <v>31839</v>
      </c>
      <c r="I23" s="4">
        <v>31942</v>
      </c>
      <c r="J23" s="4">
        <v>32043</v>
      </c>
      <c r="K23" s="4">
        <v>32158</v>
      </c>
      <c r="L23" s="4">
        <v>32300</v>
      </c>
      <c r="M23" s="4">
        <v>32300</v>
      </c>
      <c r="N23" s="4">
        <v>32315</v>
      </c>
      <c r="O23" s="4">
        <v>32420</v>
      </c>
      <c r="P23" s="4">
        <v>32573</v>
      </c>
      <c r="Q23" s="4">
        <v>32694</v>
      </c>
      <c r="R23" s="4">
        <v>32835</v>
      </c>
      <c r="S23" s="4">
        <v>32835</v>
      </c>
      <c r="T23" s="4">
        <v>32931</v>
      </c>
      <c r="U23" s="4">
        <v>32989</v>
      </c>
      <c r="V23" s="4">
        <v>33129</v>
      </c>
      <c r="W23" s="4">
        <v>33305</v>
      </c>
      <c r="X23" s="4">
        <v>33471</v>
      </c>
      <c r="Y23" s="4">
        <v>33640</v>
      </c>
      <c r="Z23" s="4">
        <v>33793</v>
      </c>
      <c r="AA23" s="4">
        <v>33893</v>
      </c>
      <c r="AB23" s="4">
        <v>33893</v>
      </c>
      <c r="AC23" s="4">
        <v>34018</v>
      </c>
      <c r="AD23" s="4">
        <v>34107</v>
      </c>
      <c r="AE23" s="4">
        <v>34189</v>
      </c>
      <c r="AF23" s="4">
        <v>34336</v>
      </c>
      <c r="AG23" s="4">
        <v>34505</v>
      </c>
      <c r="AH23" s="8">
        <v>34660</v>
      </c>
      <c r="AI23" s="8">
        <v>34660</v>
      </c>
      <c r="AJ23" s="7">
        <f t="shared" ref="AJ23:AJ30" si="1">AI23-D23</f>
        <v>3100</v>
      </c>
    </row>
    <row r="24" spans="1:36">
      <c r="A24" s="4"/>
      <c r="B24" s="4"/>
      <c r="C24" s="142" t="s">
        <v>22</v>
      </c>
      <c r="D24" s="8">
        <v>1882</v>
      </c>
      <c r="E24" s="8">
        <v>1882</v>
      </c>
      <c r="F24" s="8">
        <v>1882</v>
      </c>
      <c r="G24" s="4">
        <v>1882</v>
      </c>
      <c r="H24" s="4">
        <v>1882</v>
      </c>
      <c r="I24" s="4">
        <v>1882</v>
      </c>
      <c r="J24" s="4">
        <v>1882</v>
      </c>
      <c r="K24" s="4">
        <v>1882</v>
      </c>
      <c r="L24" s="4">
        <v>1882</v>
      </c>
      <c r="M24" s="4">
        <v>1882</v>
      </c>
      <c r="N24" s="4">
        <v>1882</v>
      </c>
      <c r="O24" s="4">
        <v>1882</v>
      </c>
      <c r="P24" s="4">
        <v>1882</v>
      </c>
      <c r="Q24" s="4">
        <v>1882</v>
      </c>
      <c r="R24" s="4">
        <v>1882</v>
      </c>
      <c r="S24" s="4">
        <v>1882</v>
      </c>
      <c r="T24" s="4">
        <v>1882</v>
      </c>
      <c r="U24" s="4">
        <v>1882</v>
      </c>
      <c r="V24" s="4">
        <v>1882</v>
      </c>
      <c r="W24" s="4">
        <v>1882</v>
      </c>
      <c r="X24" s="4">
        <v>1882</v>
      </c>
      <c r="Y24" s="4">
        <v>1882</v>
      </c>
      <c r="Z24" s="4">
        <v>1882</v>
      </c>
      <c r="AA24" s="4">
        <v>1882</v>
      </c>
      <c r="AB24" s="4">
        <v>1882</v>
      </c>
      <c r="AC24" s="4">
        <v>1882</v>
      </c>
      <c r="AD24" s="4">
        <v>1882</v>
      </c>
      <c r="AE24" s="4">
        <v>1882</v>
      </c>
      <c r="AF24" s="4">
        <v>1882</v>
      </c>
      <c r="AG24" s="4">
        <v>1882</v>
      </c>
      <c r="AH24" s="4">
        <v>1882</v>
      </c>
      <c r="AI24" s="4">
        <v>1882</v>
      </c>
      <c r="AJ24" s="7">
        <f t="shared" si="1"/>
        <v>0</v>
      </c>
    </row>
    <row r="25" spans="1:36">
      <c r="A25" s="4">
        <v>2</v>
      </c>
      <c r="B25" s="4" t="s">
        <v>129</v>
      </c>
      <c r="C25" s="141" t="s">
        <v>120</v>
      </c>
      <c r="D25" s="8">
        <v>35090</v>
      </c>
      <c r="E25" s="4">
        <v>35275</v>
      </c>
      <c r="F25" s="4">
        <v>35398</v>
      </c>
      <c r="G25" s="4">
        <v>35418</v>
      </c>
      <c r="H25" s="4">
        <v>35562</v>
      </c>
      <c r="I25" s="4">
        <v>35734</v>
      </c>
      <c r="J25" s="4">
        <v>35851</v>
      </c>
      <c r="K25" s="4">
        <v>36046</v>
      </c>
      <c r="L25" s="4">
        <v>36265</v>
      </c>
      <c r="M25" s="4">
        <v>36265</v>
      </c>
      <c r="N25" s="4">
        <v>36265</v>
      </c>
      <c r="O25" s="4">
        <v>36411</v>
      </c>
      <c r="P25" s="4">
        <v>36590</v>
      </c>
      <c r="Q25" s="4">
        <v>36727</v>
      </c>
      <c r="R25" s="4">
        <v>36853</v>
      </c>
      <c r="S25" s="4">
        <v>36853</v>
      </c>
      <c r="T25" s="4">
        <v>36916</v>
      </c>
      <c r="U25" s="4">
        <v>36971</v>
      </c>
      <c r="V25" s="4">
        <v>37084</v>
      </c>
      <c r="W25" s="4">
        <v>37214</v>
      </c>
      <c r="X25" s="4">
        <v>37356</v>
      </c>
      <c r="Y25" s="4">
        <v>37487</v>
      </c>
      <c r="Z25" s="4">
        <v>37602</v>
      </c>
      <c r="AA25" s="4">
        <v>37664</v>
      </c>
      <c r="AB25" s="4">
        <v>37684</v>
      </c>
      <c r="AC25" s="4">
        <v>37796</v>
      </c>
      <c r="AD25" s="4">
        <v>37916</v>
      </c>
      <c r="AE25" s="4">
        <v>38020</v>
      </c>
      <c r="AF25" s="4">
        <v>38196</v>
      </c>
      <c r="AG25" s="4">
        <v>38357</v>
      </c>
      <c r="AH25" s="8">
        <v>38471</v>
      </c>
      <c r="AI25" s="8">
        <v>38471</v>
      </c>
      <c r="AJ25" s="7">
        <f t="shared" si="1"/>
        <v>3381</v>
      </c>
    </row>
    <row r="26" spans="1:36">
      <c r="A26" s="4"/>
      <c r="B26" s="4"/>
      <c r="C26" s="142" t="s">
        <v>22</v>
      </c>
      <c r="D26" s="8">
        <v>1861</v>
      </c>
      <c r="E26" s="8">
        <v>1861</v>
      </c>
      <c r="F26" s="8">
        <v>1861</v>
      </c>
      <c r="G26" s="4">
        <v>1861</v>
      </c>
      <c r="H26" s="4">
        <v>1861</v>
      </c>
      <c r="I26" s="4">
        <v>1861</v>
      </c>
      <c r="J26" s="4">
        <v>1861</v>
      </c>
      <c r="K26" s="4">
        <v>1861</v>
      </c>
      <c r="L26" s="4">
        <v>1861</v>
      </c>
      <c r="M26" s="4">
        <v>1861</v>
      </c>
      <c r="N26" s="4">
        <v>1861</v>
      </c>
      <c r="O26" s="4">
        <v>1861</v>
      </c>
      <c r="P26" s="4">
        <v>1861</v>
      </c>
      <c r="Q26" s="4">
        <v>1861</v>
      </c>
      <c r="R26" s="4">
        <v>1861</v>
      </c>
      <c r="S26" s="4">
        <v>1861</v>
      </c>
      <c r="T26" s="4">
        <v>1861</v>
      </c>
      <c r="U26" s="4">
        <v>1861</v>
      </c>
      <c r="V26" s="4">
        <v>1861</v>
      </c>
      <c r="W26" s="4">
        <v>1861</v>
      </c>
      <c r="X26" s="4">
        <v>1861</v>
      </c>
      <c r="Y26" s="4">
        <v>1861</v>
      </c>
      <c r="Z26" s="4">
        <v>1861</v>
      </c>
      <c r="AA26" s="4">
        <v>1861</v>
      </c>
      <c r="AB26" s="4">
        <v>1861</v>
      </c>
      <c r="AC26" s="4">
        <v>1861</v>
      </c>
      <c r="AD26" s="4">
        <v>1861</v>
      </c>
      <c r="AE26" s="4">
        <v>1861</v>
      </c>
      <c r="AF26" s="4">
        <v>1861</v>
      </c>
      <c r="AG26" s="4">
        <v>1861</v>
      </c>
      <c r="AH26" s="4">
        <v>1861</v>
      </c>
      <c r="AI26" s="4">
        <v>1861</v>
      </c>
      <c r="AJ26" s="7">
        <f t="shared" si="1"/>
        <v>0</v>
      </c>
    </row>
    <row r="27" spans="1:36">
      <c r="A27" s="4">
        <v>3</v>
      </c>
      <c r="B27" s="4" t="s">
        <v>129</v>
      </c>
      <c r="C27" s="141" t="s">
        <v>121</v>
      </c>
      <c r="D27" s="8">
        <v>38186</v>
      </c>
      <c r="E27" s="4">
        <v>38286</v>
      </c>
      <c r="F27" s="4">
        <v>38442</v>
      </c>
      <c r="G27" s="4">
        <v>38474</v>
      </c>
      <c r="H27" s="4">
        <v>38606</v>
      </c>
      <c r="I27" s="4">
        <v>38767</v>
      </c>
      <c r="J27" s="4">
        <v>38921</v>
      </c>
      <c r="K27" s="4">
        <v>39079</v>
      </c>
      <c r="L27" s="4">
        <v>39224</v>
      </c>
      <c r="M27" s="4">
        <v>39224</v>
      </c>
      <c r="N27" s="4">
        <v>39224</v>
      </c>
      <c r="O27" s="4">
        <v>39531</v>
      </c>
      <c r="P27" s="4">
        <v>39693</v>
      </c>
      <c r="Q27" s="4">
        <v>39816</v>
      </c>
      <c r="R27" s="4">
        <v>39948</v>
      </c>
      <c r="S27" s="4">
        <v>39948</v>
      </c>
      <c r="T27" s="4">
        <v>40005</v>
      </c>
      <c r="U27" s="4">
        <v>40053</v>
      </c>
      <c r="V27" s="4">
        <v>40180</v>
      </c>
      <c r="W27" s="4">
        <v>40319</v>
      </c>
      <c r="X27" s="4">
        <v>40427</v>
      </c>
      <c r="Y27" s="4">
        <v>40576</v>
      </c>
      <c r="Z27" s="4">
        <v>40720</v>
      </c>
      <c r="AA27" s="4">
        <v>40808</v>
      </c>
      <c r="AB27" s="4">
        <v>40808</v>
      </c>
      <c r="AC27" s="4">
        <v>40950</v>
      </c>
      <c r="AD27" s="4">
        <v>41061</v>
      </c>
      <c r="AE27" s="4">
        <v>41370</v>
      </c>
      <c r="AF27" s="4">
        <v>41596</v>
      </c>
      <c r="AG27" s="4">
        <v>41818</v>
      </c>
      <c r="AH27" s="4">
        <v>41989</v>
      </c>
      <c r="AI27" s="8">
        <v>41989</v>
      </c>
      <c r="AJ27" s="7">
        <f t="shared" si="1"/>
        <v>3803</v>
      </c>
    </row>
    <row r="28" spans="1:36">
      <c r="A28" s="4"/>
      <c r="B28" s="4"/>
      <c r="C28" s="142" t="s">
        <v>22</v>
      </c>
      <c r="D28" s="8">
        <v>2016</v>
      </c>
      <c r="E28" s="8">
        <v>2016</v>
      </c>
      <c r="F28" s="8">
        <v>2016</v>
      </c>
      <c r="G28" s="4">
        <v>2016</v>
      </c>
      <c r="H28" s="4">
        <v>2016</v>
      </c>
      <c r="I28" s="4">
        <v>2016</v>
      </c>
      <c r="J28" s="4">
        <v>2016</v>
      </c>
      <c r="K28" s="4">
        <v>2016</v>
      </c>
      <c r="L28" s="4">
        <v>2016</v>
      </c>
      <c r="M28" s="4">
        <v>2016</v>
      </c>
      <c r="N28" s="4">
        <v>2016</v>
      </c>
      <c r="O28" s="4">
        <v>2016</v>
      </c>
      <c r="P28" s="4">
        <v>2016</v>
      </c>
      <c r="Q28" s="4">
        <v>2016</v>
      </c>
      <c r="R28" s="4">
        <v>2016</v>
      </c>
      <c r="S28" s="4">
        <v>2016</v>
      </c>
      <c r="T28" s="4">
        <v>2016</v>
      </c>
      <c r="U28" s="4">
        <v>2016</v>
      </c>
      <c r="V28" s="4">
        <v>2016</v>
      </c>
      <c r="W28" s="4">
        <v>2016</v>
      </c>
      <c r="X28" s="4">
        <v>2016</v>
      </c>
      <c r="Y28" s="4">
        <v>2016</v>
      </c>
      <c r="Z28" s="4">
        <v>2016</v>
      </c>
      <c r="AA28" s="4">
        <v>2016</v>
      </c>
      <c r="AB28" s="4">
        <v>2016</v>
      </c>
      <c r="AC28" s="4">
        <v>2016</v>
      </c>
      <c r="AD28" s="4">
        <v>2016</v>
      </c>
      <c r="AE28" s="4">
        <v>2016</v>
      </c>
      <c r="AF28" s="4">
        <v>2016</v>
      </c>
      <c r="AG28" s="4">
        <v>2016</v>
      </c>
      <c r="AH28" s="4">
        <v>2016</v>
      </c>
      <c r="AI28" s="4">
        <v>2016</v>
      </c>
      <c r="AJ28" s="7">
        <f t="shared" si="1"/>
        <v>0</v>
      </c>
    </row>
    <row r="29" spans="1:36">
      <c r="A29" s="4">
        <v>4</v>
      </c>
      <c r="B29" s="4" t="s">
        <v>129</v>
      </c>
      <c r="C29" s="141" t="s">
        <v>122</v>
      </c>
      <c r="D29" s="8">
        <v>30931</v>
      </c>
      <c r="E29" s="4">
        <v>31022</v>
      </c>
      <c r="F29" s="4">
        <v>31062</v>
      </c>
      <c r="G29" s="4">
        <v>31078</v>
      </c>
      <c r="H29" s="4">
        <v>31171</v>
      </c>
      <c r="I29" s="4">
        <v>31264</v>
      </c>
      <c r="J29" s="4">
        <v>31362</v>
      </c>
      <c r="K29" s="4">
        <v>31456</v>
      </c>
      <c r="L29" s="4">
        <v>31543</v>
      </c>
      <c r="M29" s="4">
        <v>31543</v>
      </c>
      <c r="N29" s="4">
        <v>31543</v>
      </c>
      <c r="O29" s="4">
        <v>31652</v>
      </c>
      <c r="P29" s="4">
        <v>31730</v>
      </c>
      <c r="Q29" s="4">
        <v>31793</v>
      </c>
      <c r="R29" s="4">
        <v>31858</v>
      </c>
      <c r="S29" s="4">
        <v>31858</v>
      </c>
      <c r="T29" s="4">
        <v>31900</v>
      </c>
      <c r="U29" s="4">
        <v>31934</v>
      </c>
      <c r="V29" s="4">
        <v>32015</v>
      </c>
      <c r="W29" s="4">
        <v>32100</v>
      </c>
      <c r="X29" s="4">
        <v>32200</v>
      </c>
      <c r="Y29" s="4">
        <v>32302</v>
      </c>
      <c r="Z29" s="4">
        <v>32412</v>
      </c>
      <c r="AA29" s="4">
        <v>32416</v>
      </c>
      <c r="AB29" s="4">
        <v>32416</v>
      </c>
      <c r="AC29" s="4">
        <v>32529</v>
      </c>
      <c r="AD29" s="4">
        <v>32627</v>
      </c>
      <c r="AE29" s="4">
        <v>32733</v>
      </c>
      <c r="AF29" s="4">
        <v>32902</v>
      </c>
      <c r="AG29" s="4">
        <v>33035</v>
      </c>
      <c r="AH29" s="8">
        <v>33144</v>
      </c>
      <c r="AI29" s="8">
        <v>33144</v>
      </c>
      <c r="AJ29" s="7">
        <f t="shared" si="1"/>
        <v>2213</v>
      </c>
    </row>
    <row r="30" spans="1:36">
      <c r="A30" s="4"/>
      <c r="B30" s="4"/>
      <c r="C30" s="142" t="s">
        <v>22</v>
      </c>
      <c r="D30" s="8">
        <v>1744</v>
      </c>
      <c r="E30" s="8">
        <v>1744</v>
      </c>
      <c r="F30" s="8">
        <v>1744</v>
      </c>
      <c r="G30" s="4">
        <v>1744</v>
      </c>
      <c r="H30" s="4">
        <v>1744</v>
      </c>
      <c r="I30" s="4">
        <v>1744</v>
      </c>
      <c r="J30" s="4">
        <v>1744</v>
      </c>
      <c r="K30" s="4">
        <v>1744</v>
      </c>
      <c r="L30" s="4">
        <v>1744</v>
      </c>
      <c r="M30" s="4">
        <v>1744</v>
      </c>
      <c r="N30" s="4">
        <v>1744</v>
      </c>
      <c r="O30" s="4">
        <v>1744</v>
      </c>
      <c r="P30" s="4">
        <v>1744</v>
      </c>
      <c r="Q30" s="4">
        <v>1744</v>
      </c>
      <c r="R30" s="4">
        <v>1744</v>
      </c>
      <c r="S30" s="4">
        <v>1744</v>
      </c>
      <c r="T30" s="4">
        <v>1744</v>
      </c>
      <c r="U30" s="4">
        <v>1744</v>
      </c>
      <c r="V30" s="4">
        <v>1744</v>
      </c>
      <c r="W30" s="4">
        <v>1744</v>
      </c>
      <c r="X30" s="4">
        <v>1744</v>
      </c>
      <c r="Y30" s="4">
        <v>1744</v>
      </c>
      <c r="Z30" s="4">
        <v>1744</v>
      </c>
      <c r="AA30" s="4">
        <v>1744</v>
      </c>
      <c r="AB30" s="4">
        <v>1744</v>
      </c>
      <c r="AC30" s="4">
        <v>1744</v>
      </c>
      <c r="AD30" s="4">
        <v>1744</v>
      </c>
      <c r="AE30" s="4">
        <v>1744</v>
      </c>
      <c r="AF30" s="4">
        <v>1744</v>
      </c>
      <c r="AG30" s="4">
        <v>1744</v>
      </c>
      <c r="AH30" s="4">
        <v>1744</v>
      </c>
      <c r="AI30" s="4">
        <v>1744</v>
      </c>
      <c r="AJ30" s="7">
        <f t="shared" si="1"/>
        <v>0</v>
      </c>
    </row>
    <row r="31" spans="1:36">
      <c r="A31" s="564"/>
      <c r="B31" s="504"/>
      <c r="C31" s="504"/>
      <c r="D31" s="504"/>
      <c r="E31" s="504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4"/>
      <c r="AH31" s="504"/>
      <c r="AI31" s="504"/>
      <c r="AJ31" s="501"/>
    </row>
    <row r="32" spans="1:36">
      <c r="A32" s="4">
        <v>1</v>
      </c>
      <c r="B32" s="4" t="s">
        <v>129</v>
      </c>
      <c r="C32" s="141" t="s">
        <v>123</v>
      </c>
      <c r="D32" s="161">
        <v>322263</v>
      </c>
      <c r="E32" s="44">
        <v>323352</v>
      </c>
      <c r="F32" s="150">
        <v>324270</v>
      </c>
      <c r="G32" s="150">
        <v>324854</v>
      </c>
      <c r="H32" s="150">
        <v>325967</v>
      </c>
      <c r="I32" s="44">
        <v>327156</v>
      </c>
      <c r="J32" s="150">
        <v>328550</v>
      </c>
      <c r="K32" s="150">
        <v>329388</v>
      </c>
      <c r="L32" s="150">
        <v>330305</v>
      </c>
      <c r="M32" s="44">
        <v>330305</v>
      </c>
      <c r="N32" s="150">
        <v>330521</v>
      </c>
      <c r="O32" s="150">
        <v>331757</v>
      </c>
      <c r="P32" s="150">
        <v>333267</v>
      </c>
      <c r="Q32" s="44">
        <v>334565</v>
      </c>
      <c r="R32" s="150">
        <v>335539</v>
      </c>
      <c r="S32" s="150">
        <v>335539</v>
      </c>
      <c r="T32" s="150">
        <v>336061</v>
      </c>
      <c r="U32" s="44">
        <v>336455</v>
      </c>
      <c r="V32" s="150">
        <v>337768</v>
      </c>
      <c r="W32" s="150">
        <v>339318</v>
      </c>
      <c r="X32" s="150">
        <v>340373</v>
      </c>
      <c r="Y32" s="44">
        <v>340936</v>
      </c>
      <c r="Z32" s="150">
        <v>341615</v>
      </c>
      <c r="AA32" s="150">
        <v>342092</v>
      </c>
      <c r="AB32" s="150">
        <v>342111</v>
      </c>
      <c r="AC32" s="44">
        <v>342685</v>
      </c>
      <c r="AD32" s="150">
        <v>343238</v>
      </c>
      <c r="AE32" s="150">
        <v>343699</v>
      </c>
      <c r="AF32" s="150">
        <v>344329</v>
      </c>
      <c r="AG32" s="44">
        <v>344978</v>
      </c>
      <c r="AH32" s="150">
        <v>345400</v>
      </c>
      <c r="AI32" s="161">
        <v>345400</v>
      </c>
      <c r="AJ32" s="7">
        <f>AI32-D32</f>
        <v>23137</v>
      </c>
    </row>
    <row r="33" spans="1:36">
      <c r="A33" s="4">
        <v>2</v>
      </c>
      <c r="B33" s="4" t="s">
        <v>129</v>
      </c>
      <c r="C33" s="141" t="s">
        <v>124</v>
      </c>
      <c r="D33" s="161">
        <v>300479</v>
      </c>
      <c r="E33" s="150">
        <v>301330</v>
      </c>
      <c r="F33" s="150">
        <v>302186</v>
      </c>
      <c r="G33" s="150">
        <v>302186</v>
      </c>
      <c r="H33" s="150">
        <v>303550</v>
      </c>
      <c r="I33" s="150">
        <v>304510</v>
      </c>
      <c r="J33" s="150">
        <v>305363</v>
      </c>
      <c r="K33" s="150">
        <v>306411</v>
      </c>
      <c r="L33" s="150">
        <v>307453</v>
      </c>
      <c r="M33" s="150">
        <v>307453</v>
      </c>
      <c r="N33" s="150">
        <v>307564</v>
      </c>
      <c r="O33" s="150">
        <v>308518</v>
      </c>
      <c r="P33" s="150">
        <v>309429</v>
      </c>
      <c r="Q33" s="150">
        <v>310447</v>
      </c>
      <c r="R33" s="150">
        <v>310964</v>
      </c>
      <c r="S33" s="150">
        <v>310964</v>
      </c>
      <c r="T33" s="150">
        <v>311492</v>
      </c>
      <c r="U33" s="150">
        <v>311884</v>
      </c>
      <c r="V33" s="150">
        <v>312965</v>
      </c>
      <c r="W33" s="150">
        <v>314229</v>
      </c>
      <c r="X33" s="150">
        <v>315102</v>
      </c>
      <c r="Y33" s="150">
        <v>315759</v>
      </c>
      <c r="Z33" s="150">
        <v>316517</v>
      </c>
      <c r="AA33" s="150">
        <v>316976</v>
      </c>
      <c r="AB33" s="150">
        <v>316990</v>
      </c>
      <c r="AC33" s="150">
        <v>317751</v>
      </c>
      <c r="AD33" s="150">
        <v>318386</v>
      </c>
      <c r="AE33" s="150">
        <v>318848</v>
      </c>
      <c r="AF33" s="150">
        <v>319648</v>
      </c>
      <c r="AG33" s="150">
        <v>320417</v>
      </c>
      <c r="AH33" s="150">
        <v>320953</v>
      </c>
      <c r="AI33" s="161">
        <v>320953</v>
      </c>
      <c r="AJ33" s="7">
        <f>AI33-D33</f>
        <v>20474</v>
      </c>
    </row>
    <row r="34" spans="1:36">
      <c r="A34" s="4">
        <v>3</v>
      </c>
      <c r="B34" s="4" t="s">
        <v>129</v>
      </c>
      <c r="C34" s="141" t="s">
        <v>125</v>
      </c>
      <c r="D34" s="161">
        <v>312610</v>
      </c>
      <c r="E34" s="150">
        <v>313661</v>
      </c>
      <c r="F34" s="150">
        <v>314469</v>
      </c>
      <c r="G34" s="150">
        <v>314759</v>
      </c>
      <c r="H34" s="150">
        <v>316092</v>
      </c>
      <c r="I34" s="150">
        <v>317041</v>
      </c>
      <c r="J34" s="150">
        <v>317956</v>
      </c>
      <c r="K34" s="150">
        <v>318978</v>
      </c>
      <c r="L34" s="150">
        <v>319705</v>
      </c>
      <c r="M34" s="150">
        <v>319705</v>
      </c>
      <c r="N34" s="150">
        <v>320110</v>
      </c>
      <c r="O34" s="150">
        <v>321645</v>
      </c>
      <c r="P34" s="150">
        <v>322818</v>
      </c>
      <c r="Q34" s="150">
        <v>323842</v>
      </c>
      <c r="R34" s="150">
        <v>324452</v>
      </c>
      <c r="S34" s="150">
        <v>324452</v>
      </c>
      <c r="T34" s="150">
        <v>325078</v>
      </c>
      <c r="U34" s="150">
        <v>325602</v>
      </c>
      <c r="V34" s="150">
        <v>326648</v>
      </c>
      <c r="W34" s="150">
        <v>327549</v>
      </c>
      <c r="X34" s="150">
        <v>328463</v>
      </c>
      <c r="Y34" s="150">
        <v>329047</v>
      </c>
      <c r="Z34" s="150">
        <v>329749</v>
      </c>
      <c r="AA34" s="150">
        <v>330255</v>
      </c>
      <c r="AB34" s="150">
        <v>330264</v>
      </c>
      <c r="AC34" s="150">
        <v>331017</v>
      </c>
      <c r="AD34" s="150">
        <v>331861</v>
      </c>
      <c r="AE34" s="150">
        <v>332763</v>
      </c>
      <c r="AF34" s="150">
        <v>333608</v>
      </c>
      <c r="AG34" s="150">
        <v>334603</v>
      </c>
      <c r="AH34" s="150">
        <v>335256</v>
      </c>
      <c r="AI34" s="161">
        <v>335256</v>
      </c>
      <c r="AJ34" s="7">
        <f>AI34-D34</f>
        <v>22646</v>
      </c>
    </row>
    <row r="35" spans="1:36">
      <c r="A35" s="4">
        <v>4</v>
      </c>
      <c r="B35" s="4" t="s">
        <v>129</v>
      </c>
      <c r="C35" s="141" t="s">
        <v>126</v>
      </c>
      <c r="D35" s="161">
        <v>337491</v>
      </c>
      <c r="E35" s="150">
        <v>338457</v>
      </c>
      <c r="F35" s="150">
        <v>339026</v>
      </c>
      <c r="G35" s="150">
        <v>339026</v>
      </c>
      <c r="H35" s="150">
        <v>340091</v>
      </c>
      <c r="I35" s="150">
        <v>341102</v>
      </c>
      <c r="J35" s="150">
        <v>342103</v>
      </c>
      <c r="K35" s="150">
        <v>343092</v>
      </c>
      <c r="L35" s="150">
        <v>344103</v>
      </c>
      <c r="M35" s="150">
        <v>344103</v>
      </c>
      <c r="N35" s="150">
        <v>344400</v>
      </c>
      <c r="O35" s="150">
        <v>345485</v>
      </c>
      <c r="P35" s="150">
        <v>346471</v>
      </c>
      <c r="Q35" s="150">
        <v>347315</v>
      </c>
      <c r="R35" s="150">
        <v>347995</v>
      </c>
      <c r="S35" s="150">
        <v>347995</v>
      </c>
      <c r="T35" s="150">
        <v>348332</v>
      </c>
      <c r="U35" s="150">
        <v>348523</v>
      </c>
      <c r="V35" s="150">
        <v>349471</v>
      </c>
      <c r="W35" s="150">
        <v>350523</v>
      </c>
      <c r="X35" s="150">
        <v>351547</v>
      </c>
      <c r="Y35" s="150">
        <v>352461</v>
      </c>
      <c r="Z35" s="150">
        <v>353303</v>
      </c>
      <c r="AA35" s="150">
        <v>353486</v>
      </c>
      <c r="AB35" s="150">
        <v>353544</v>
      </c>
      <c r="AC35" s="150">
        <v>354459</v>
      </c>
      <c r="AD35" s="150">
        <v>355467</v>
      </c>
      <c r="AE35" s="150">
        <v>356180</v>
      </c>
      <c r="AF35" s="150">
        <v>357263</v>
      </c>
      <c r="AG35" s="150">
        <v>358394</v>
      </c>
      <c r="AH35" s="150">
        <v>358992</v>
      </c>
      <c r="AI35" s="161">
        <v>358992</v>
      </c>
      <c r="AJ35" s="7">
        <f>AI35-D35</f>
        <v>21501</v>
      </c>
    </row>
    <row r="36" spans="1:36">
      <c r="A36" s="180"/>
      <c r="B36" s="180"/>
      <c r="C36" s="143"/>
      <c r="D36" s="180"/>
      <c r="E36" s="13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6"/>
      <c r="AD36" s="180"/>
      <c r="AE36" s="180"/>
      <c r="AF36" s="180"/>
      <c r="AG36" s="180"/>
      <c r="AH36" s="180"/>
      <c r="AI36" s="180"/>
      <c r="AJ36" s="181"/>
    </row>
    <row r="37" spans="1:36">
      <c r="A37" s="14"/>
      <c r="B37" s="137"/>
      <c r="C37" s="144"/>
      <c r="D37" s="138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>
      <c r="A38" s="93"/>
      <c r="B38" s="534" t="s">
        <v>127</v>
      </c>
      <c r="C38" s="504"/>
      <c r="D38" s="501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</row>
    <row r="39" spans="1:36">
      <c r="A39" s="94"/>
      <c r="B39" s="538" t="s">
        <v>128</v>
      </c>
      <c r="C39" s="504"/>
      <c r="D39" s="501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</row>
    <row r="40" spans="1:36">
      <c r="A40" s="529" t="s">
        <v>99</v>
      </c>
      <c r="B40" s="529" t="s">
        <v>100</v>
      </c>
      <c r="C40" s="529" t="s">
        <v>101</v>
      </c>
      <c r="D40" s="517"/>
      <c r="E40" s="95">
        <f t="shared" ref="E40:AI40" si="2">E2</f>
        <v>45870</v>
      </c>
      <c r="F40" s="95">
        <f t="shared" si="2"/>
        <v>45871</v>
      </c>
      <c r="G40" s="95">
        <f t="shared" si="2"/>
        <v>45872</v>
      </c>
      <c r="H40" s="95">
        <f t="shared" si="2"/>
        <v>45873</v>
      </c>
      <c r="I40" s="95">
        <f t="shared" si="2"/>
        <v>45874</v>
      </c>
      <c r="J40" s="95">
        <f t="shared" si="2"/>
        <v>45875</v>
      </c>
      <c r="K40" s="95">
        <f t="shared" si="2"/>
        <v>45876</v>
      </c>
      <c r="L40" s="95">
        <f t="shared" si="2"/>
        <v>45877</v>
      </c>
      <c r="M40" s="95">
        <f t="shared" si="2"/>
        <v>45878</v>
      </c>
      <c r="N40" s="95">
        <f t="shared" si="2"/>
        <v>45879</v>
      </c>
      <c r="O40" s="95">
        <f t="shared" si="2"/>
        <v>45880</v>
      </c>
      <c r="P40" s="95">
        <f t="shared" si="2"/>
        <v>45881</v>
      </c>
      <c r="Q40" s="95">
        <f t="shared" si="2"/>
        <v>45882</v>
      </c>
      <c r="R40" s="95">
        <f t="shared" si="2"/>
        <v>45883</v>
      </c>
      <c r="S40" s="95">
        <f t="shared" si="2"/>
        <v>45884</v>
      </c>
      <c r="T40" s="95">
        <f t="shared" si="2"/>
        <v>45885</v>
      </c>
      <c r="U40" s="95">
        <f t="shared" si="2"/>
        <v>45886</v>
      </c>
      <c r="V40" s="95">
        <f t="shared" si="2"/>
        <v>45887</v>
      </c>
      <c r="W40" s="95">
        <f t="shared" si="2"/>
        <v>45888</v>
      </c>
      <c r="X40" s="95">
        <f t="shared" si="2"/>
        <v>45889</v>
      </c>
      <c r="Y40" s="95">
        <f t="shared" si="2"/>
        <v>45890</v>
      </c>
      <c r="Z40" s="95">
        <f t="shared" si="2"/>
        <v>45891</v>
      </c>
      <c r="AA40" s="95">
        <f t="shared" si="2"/>
        <v>45892</v>
      </c>
      <c r="AB40" s="95">
        <f t="shared" si="2"/>
        <v>45893</v>
      </c>
      <c r="AC40" s="95">
        <f t="shared" si="2"/>
        <v>45894</v>
      </c>
      <c r="AD40" s="95">
        <f t="shared" si="2"/>
        <v>45895</v>
      </c>
      <c r="AE40" s="95">
        <f t="shared" si="2"/>
        <v>45896</v>
      </c>
      <c r="AF40" s="95">
        <f t="shared" si="2"/>
        <v>45897</v>
      </c>
      <c r="AG40" s="95">
        <f t="shared" si="2"/>
        <v>45898</v>
      </c>
      <c r="AH40" s="95">
        <f t="shared" si="2"/>
        <v>45899</v>
      </c>
      <c r="AI40" s="95">
        <f t="shared" si="2"/>
        <v>45900</v>
      </c>
      <c r="AJ40" s="529" t="s">
        <v>1</v>
      </c>
    </row>
    <row r="41" spans="1:36">
      <c r="A41" s="508"/>
      <c r="B41" s="508"/>
      <c r="C41" s="518"/>
      <c r="D41" s="519"/>
      <c r="E41" s="96" t="s">
        <v>169</v>
      </c>
      <c r="F41" s="96" t="s">
        <v>170</v>
      </c>
      <c r="G41" s="96" t="s">
        <v>171</v>
      </c>
      <c r="H41" s="96" t="s">
        <v>172</v>
      </c>
      <c r="I41" s="96" t="s">
        <v>173</v>
      </c>
      <c r="J41" s="96" t="s">
        <v>174</v>
      </c>
      <c r="K41" s="96" t="s">
        <v>175</v>
      </c>
      <c r="L41" s="96" t="s">
        <v>169</v>
      </c>
      <c r="M41" s="96" t="s">
        <v>170</v>
      </c>
      <c r="N41" s="96" t="s">
        <v>171</v>
      </c>
      <c r="O41" s="96" t="s">
        <v>172</v>
      </c>
      <c r="P41" s="96" t="s">
        <v>173</v>
      </c>
      <c r="Q41" s="96" t="s">
        <v>174</v>
      </c>
      <c r="R41" s="96" t="s">
        <v>175</v>
      </c>
      <c r="S41" s="96" t="s">
        <v>169</v>
      </c>
      <c r="T41" s="96" t="s">
        <v>170</v>
      </c>
      <c r="U41" s="96" t="s">
        <v>171</v>
      </c>
      <c r="V41" s="96" t="s">
        <v>172</v>
      </c>
      <c r="W41" s="96" t="s">
        <v>173</v>
      </c>
      <c r="X41" s="96" t="s">
        <v>174</v>
      </c>
      <c r="Y41" s="96" t="s">
        <v>175</v>
      </c>
      <c r="Z41" s="96" t="s">
        <v>169</v>
      </c>
      <c r="AA41" s="96" t="s">
        <v>170</v>
      </c>
      <c r="AB41" s="96" t="s">
        <v>171</v>
      </c>
      <c r="AC41" s="96" t="s">
        <v>172</v>
      </c>
      <c r="AD41" s="96" t="s">
        <v>173</v>
      </c>
      <c r="AE41" s="96" t="s">
        <v>174</v>
      </c>
      <c r="AF41" s="96" t="s">
        <v>175</v>
      </c>
      <c r="AG41" s="96" t="s">
        <v>169</v>
      </c>
      <c r="AH41" s="96" t="s">
        <v>170</v>
      </c>
      <c r="AI41" s="96" t="s">
        <v>172</v>
      </c>
      <c r="AJ41" s="508"/>
    </row>
    <row r="42" spans="1:36">
      <c r="A42" s="508"/>
      <c r="B42" s="508"/>
      <c r="C42" s="518"/>
      <c r="D42" s="519"/>
      <c r="E42" s="97" t="s">
        <v>110</v>
      </c>
      <c r="F42" s="97" t="s">
        <v>110</v>
      </c>
      <c r="G42" s="97" t="s">
        <v>110</v>
      </c>
      <c r="H42" s="97" t="s">
        <v>110</v>
      </c>
      <c r="I42" s="97" t="s">
        <v>110</v>
      </c>
      <c r="J42" s="97" t="s">
        <v>110</v>
      </c>
      <c r="K42" s="97" t="s">
        <v>110</v>
      </c>
      <c r="L42" s="97" t="s">
        <v>110</v>
      </c>
      <c r="M42" s="97" t="s">
        <v>110</v>
      </c>
      <c r="N42" s="97" t="s">
        <v>110</v>
      </c>
      <c r="O42" s="97" t="s">
        <v>110</v>
      </c>
      <c r="P42" s="97" t="s">
        <v>110</v>
      </c>
      <c r="Q42" s="97" t="s">
        <v>110</v>
      </c>
      <c r="R42" s="97" t="s">
        <v>110</v>
      </c>
      <c r="S42" s="97" t="s">
        <v>110</v>
      </c>
      <c r="T42" s="97" t="s">
        <v>110</v>
      </c>
      <c r="U42" s="97" t="s">
        <v>110</v>
      </c>
      <c r="V42" s="97" t="s">
        <v>110</v>
      </c>
      <c r="W42" s="97" t="s">
        <v>110</v>
      </c>
      <c r="X42" s="97" t="s">
        <v>110</v>
      </c>
      <c r="Y42" s="97" t="s">
        <v>110</v>
      </c>
      <c r="Z42" s="97" t="s">
        <v>110</v>
      </c>
      <c r="AA42" s="97" t="s">
        <v>110</v>
      </c>
      <c r="AB42" s="97" t="s">
        <v>110</v>
      </c>
      <c r="AC42" s="97" t="s">
        <v>110</v>
      </c>
      <c r="AD42" s="97" t="s">
        <v>110</v>
      </c>
      <c r="AE42" s="97" t="s">
        <v>110</v>
      </c>
      <c r="AF42" s="97" t="s">
        <v>110</v>
      </c>
      <c r="AG42" s="97" t="s">
        <v>110</v>
      </c>
      <c r="AH42" s="95" t="str">
        <f>AH4</f>
        <v>Time</v>
      </c>
      <c r="AI42" s="95" t="str">
        <f>AI4</f>
        <v>Time</v>
      </c>
      <c r="AJ42" s="508"/>
    </row>
    <row r="43" spans="1:36">
      <c r="A43" s="509"/>
      <c r="B43" s="509"/>
      <c r="C43" s="520"/>
      <c r="D43" s="521"/>
      <c r="E43" s="98">
        <v>0.33333333333333331</v>
      </c>
      <c r="F43" s="98">
        <v>0.33333333333333331</v>
      </c>
      <c r="G43" s="98">
        <v>0.33333333333333331</v>
      </c>
      <c r="H43" s="98">
        <v>0.33333333333333331</v>
      </c>
      <c r="I43" s="98">
        <v>0.33333333333333331</v>
      </c>
      <c r="J43" s="98">
        <v>0.33333333333333331</v>
      </c>
      <c r="K43" s="98">
        <v>0.33333333333333331</v>
      </c>
      <c r="L43" s="98">
        <v>0.33333333333333331</v>
      </c>
      <c r="M43" s="98">
        <v>0.33333333333333331</v>
      </c>
      <c r="N43" s="98">
        <v>0.33333333333333331</v>
      </c>
      <c r="O43" s="98">
        <v>0.33333333333333331</v>
      </c>
      <c r="P43" s="98">
        <v>0.33333333333333331</v>
      </c>
      <c r="Q43" s="98">
        <v>0.33333333333333331</v>
      </c>
      <c r="R43" s="98">
        <v>0.33333333333333331</v>
      </c>
      <c r="S43" s="98">
        <v>0.33333333333333331</v>
      </c>
      <c r="T43" s="98">
        <v>0.33333333333333331</v>
      </c>
      <c r="U43" s="98">
        <v>0.33333333333333331</v>
      </c>
      <c r="V43" s="98">
        <v>0.33333333333333331</v>
      </c>
      <c r="W43" s="98">
        <v>0.33333333333333331</v>
      </c>
      <c r="X43" s="98">
        <v>0.33333333333333331</v>
      </c>
      <c r="Y43" s="98">
        <v>0.33333333333333331</v>
      </c>
      <c r="Z43" s="98">
        <v>0.33333333333333331</v>
      </c>
      <c r="AA43" s="98">
        <v>0.33333333333333331</v>
      </c>
      <c r="AB43" s="98">
        <v>0.33333333333333331</v>
      </c>
      <c r="AC43" s="98">
        <v>0.33333333333333331</v>
      </c>
      <c r="AD43" s="98">
        <v>0.33333333333333331</v>
      </c>
      <c r="AE43" s="98">
        <v>0.33333333333333331</v>
      </c>
      <c r="AF43" s="98">
        <v>0.33333333333333331</v>
      </c>
      <c r="AG43" s="98">
        <v>0.33333333333333331</v>
      </c>
      <c r="AH43" s="98">
        <v>0.33333333333333331</v>
      </c>
      <c r="AI43" s="98">
        <v>0.33333333333333331</v>
      </c>
      <c r="AJ43" s="509"/>
    </row>
    <row r="44" spans="1:36" ht="15" customHeight="1">
      <c r="A44" s="2">
        <v>1</v>
      </c>
      <c r="B44" s="2" t="s">
        <v>129</v>
      </c>
      <c r="C44" s="503" t="s">
        <v>111</v>
      </c>
      <c r="D44" s="501"/>
      <c r="E44" s="20">
        <f t="shared" ref="E44:AI44" si="3">E6-D6</f>
        <v>258</v>
      </c>
      <c r="F44" s="20">
        <f t="shared" si="3"/>
        <v>219</v>
      </c>
      <c r="G44" s="20">
        <f t="shared" si="3"/>
        <v>202</v>
      </c>
      <c r="H44" s="20">
        <f t="shared" si="3"/>
        <v>268</v>
      </c>
      <c r="I44" s="20">
        <f t="shared" si="3"/>
        <v>287</v>
      </c>
      <c r="J44" s="20">
        <f t="shared" si="3"/>
        <v>274</v>
      </c>
      <c r="K44" s="20">
        <f t="shared" si="3"/>
        <v>337</v>
      </c>
      <c r="L44" s="20">
        <f t="shared" si="3"/>
        <v>216</v>
      </c>
      <c r="M44" s="20">
        <f t="shared" si="3"/>
        <v>199</v>
      </c>
      <c r="N44" s="20">
        <f t="shared" si="3"/>
        <v>206</v>
      </c>
      <c r="O44" s="20">
        <f t="shared" si="3"/>
        <v>269</v>
      </c>
      <c r="P44" s="20">
        <f t="shared" si="3"/>
        <v>270</v>
      </c>
      <c r="Q44" s="20">
        <f t="shared" si="3"/>
        <v>261</v>
      </c>
      <c r="R44" s="20">
        <f t="shared" si="3"/>
        <v>267</v>
      </c>
      <c r="S44" s="20">
        <f t="shared" si="3"/>
        <v>212</v>
      </c>
      <c r="T44" s="20">
        <f t="shared" si="3"/>
        <v>208</v>
      </c>
      <c r="U44" s="20">
        <f t="shared" si="3"/>
        <v>211</v>
      </c>
      <c r="V44" s="20">
        <f t="shared" si="3"/>
        <v>277</v>
      </c>
      <c r="W44" s="20">
        <f t="shared" si="3"/>
        <v>276</v>
      </c>
      <c r="X44" s="20">
        <f t="shared" si="3"/>
        <v>279</v>
      </c>
      <c r="Y44" s="20">
        <f t="shared" si="3"/>
        <v>285</v>
      </c>
      <c r="Z44" s="20">
        <f t="shared" si="3"/>
        <v>279</v>
      </c>
      <c r="AA44" s="20">
        <f t="shared" si="3"/>
        <v>216</v>
      </c>
      <c r="AB44" s="20">
        <f t="shared" si="3"/>
        <v>186</v>
      </c>
      <c r="AC44" s="20">
        <f t="shared" si="3"/>
        <v>298</v>
      </c>
      <c r="AD44" s="20">
        <f t="shared" si="3"/>
        <v>266</v>
      </c>
      <c r="AE44" s="20">
        <f t="shared" si="3"/>
        <v>289</v>
      </c>
      <c r="AF44" s="20">
        <f t="shared" si="3"/>
        <v>261</v>
      </c>
      <c r="AG44" s="20">
        <f t="shared" si="3"/>
        <v>267</v>
      </c>
      <c r="AH44" s="20">
        <f t="shared" si="3"/>
        <v>219</v>
      </c>
      <c r="AI44" s="20">
        <f t="shared" si="3"/>
        <v>115</v>
      </c>
      <c r="AJ44" s="21">
        <f t="shared" ref="AJ44:AJ60" si="4">SUM(E44:AI44)</f>
        <v>7677</v>
      </c>
    </row>
    <row r="45" spans="1:36" ht="15" customHeight="1">
      <c r="A45" s="2"/>
      <c r="B45" s="2"/>
      <c r="C45" s="531" t="s">
        <v>22</v>
      </c>
      <c r="D45" s="501"/>
      <c r="E45" s="20">
        <f t="shared" ref="E45:AI45" si="5">E7-D7</f>
        <v>0</v>
      </c>
      <c r="F45" s="20">
        <f t="shared" si="5"/>
        <v>0</v>
      </c>
      <c r="G45" s="20">
        <f t="shared" si="5"/>
        <v>0</v>
      </c>
      <c r="H45" s="20">
        <f t="shared" si="5"/>
        <v>0</v>
      </c>
      <c r="I45" s="20">
        <f t="shared" si="5"/>
        <v>0</v>
      </c>
      <c r="J45" s="20">
        <f t="shared" si="5"/>
        <v>0</v>
      </c>
      <c r="K45" s="20">
        <f t="shared" si="5"/>
        <v>0</v>
      </c>
      <c r="L45" s="20">
        <f t="shared" si="5"/>
        <v>0</v>
      </c>
      <c r="M45" s="20">
        <f t="shared" si="5"/>
        <v>0</v>
      </c>
      <c r="N45" s="20">
        <f t="shared" si="5"/>
        <v>0</v>
      </c>
      <c r="O45" s="20">
        <f t="shared" si="5"/>
        <v>0</v>
      </c>
      <c r="P45" s="20">
        <f t="shared" si="5"/>
        <v>0</v>
      </c>
      <c r="Q45" s="20">
        <f t="shared" si="5"/>
        <v>0</v>
      </c>
      <c r="R45" s="20">
        <f t="shared" si="5"/>
        <v>0</v>
      </c>
      <c r="S45" s="20">
        <f t="shared" si="5"/>
        <v>0</v>
      </c>
      <c r="T45" s="20">
        <f t="shared" si="5"/>
        <v>0</v>
      </c>
      <c r="U45" s="20">
        <f t="shared" si="5"/>
        <v>0</v>
      </c>
      <c r="V45" s="20">
        <f t="shared" si="5"/>
        <v>0</v>
      </c>
      <c r="W45" s="20">
        <f t="shared" si="5"/>
        <v>0</v>
      </c>
      <c r="X45" s="20">
        <f t="shared" si="5"/>
        <v>0</v>
      </c>
      <c r="Y45" s="20">
        <f t="shared" si="5"/>
        <v>0</v>
      </c>
      <c r="Z45" s="20">
        <f t="shared" si="5"/>
        <v>0</v>
      </c>
      <c r="AA45" s="20">
        <f t="shared" si="5"/>
        <v>0</v>
      </c>
      <c r="AB45" s="20">
        <f t="shared" si="5"/>
        <v>0</v>
      </c>
      <c r="AC45" s="20">
        <f t="shared" si="5"/>
        <v>0</v>
      </c>
      <c r="AD45" s="20">
        <f t="shared" si="5"/>
        <v>0</v>
      </c>
      <c r="AE45" s="20">
        <f t="shared" si="5"/>
        <v>0</v>
      </c>
      <c r="AF45" s="20">
        <f t="shared" si="5"/>
        <v>0</v>
      </c>
      <c r="AG45" s="20">
        <f t="shared" si="5"/>
        <v>0</v>
      </c>
      <c r="AH45" s="20">
        <f t="shared" si="5"/>
        <v>0</v>
      </c>
      <c r="AI45" s="20">
        <f t="shared" si="5"/>
        <v>0</v>
      </c>
      <c r="AJ45" s="21">
        <f t="shared" si="4"/>
        <v>0</v>
      </c>
    </row>
    <row r="46" spans="1:36" ht="15" customHeight="1">
      <c r="A46" s="2">
        <v>2</v>
      </c>
      <c r="B46" s="2" t="s">
        <v>129</v>
      </c>
      <c r="C46" s="503" t="s">
        <v>112</v>
      </c>
      <c r="D46" s="501"/>
      <c r="E46" s="20">
        <f t="shared" ref="E46:AI46" si="6">E8-D8</f>
        <v>0</v>
      </c>
      <c r="F46" s="20">
        <f t="shared" si="6"/>
        <v>0</v>
      </c>
      <c r="G46" s="20">
        <f t="shared" si="6"/>
        <v>0</v>
      </c>
      <c r="H46" s="20">
        <f t="shared" si="6"/>
        <v>0</v>
      </c>
      <c r="I46" s="20">
        <f t="shared" si="6"/>
        <v>0</v>
      </c>
      <c r="J46" s="20">
        <f t="shared" si="6"/>
        <v>0</v>
      </c>
      <c r="K46" s="20">
        <f t="shared" si="6"/>
        <v>0</v>
      </c>
      <c r="L46" s="20">
        <f t="shared" si="6"/>
        <v>0</v>
      </c>
      <c r="M46" s="20">
        <f t="shared" si="6"/>
        <v>0</v>
      </c>
      <c r="N46" s="20">
        <f t="shared" si="6"/>
        <v>0</v>
      </c>
      <c r="O46" s="20">
        <f t="shared" si="6"/>
        <v>0</v>
      </c>
      <c r="P46" s="20">
        <f t="shared" si="6"/>
        <v>0</v>
      </c>
      <c r="Q46" s="20">
        <f t="shared" si="6"/>
        <v>0</v>
      </c>
      <c r="R46" s="20">
        <f t="shared" si="6"/>
        <v>0</v>
      </c>
      <c r="S46" s="20">
        <f t="shared" si="6"/>
        <v>0</v>
      </c>
      <c r="T46" s="20">
        <f t="shared" si="6"/>
        <v>0</v>
      </c>
      <c r="U46" s="20">
        <f t="shared" si="6"/>
        <v>0</v>
      </c>
      <c r="V46" s="20">
        <f t="shared" si="6"/>
        <v>0</v>
      </c>
      <c r="W46" s="20">
        <f t="shared" si="6"/>
        <v>0</v>
      </c>
      <c r="X46" s="20">
        <f t="shared" si="6"/>
        <v>0</v>
      </c>
      <c r="Y46" s="20">
        <f t="shared" si="6"/>
        <v>0</v>
      </c>
      <c r="Z46" s="20">
        <f t="shared" si="6"/>
        <v>0</v>
      </c>
      <c r="AA46" s="20">
        <f t="shared" si="6"/>
        <v>0</v>
      </c>
      <c r="AB46" s="20">
        <f t="shared" si="6"/>
        <v>0</v>
      </c>
      <c r="AC46" s="20">
        <f t="shared" si="6"/>
        <v>0</v>
      </c>
      <c r="AD46" s="20">
        <f t="shared" si="6"/>
        <v>0</v>
      </c>
      <c r="AE46" s="20">
        <f t="shared" si="6"/>
        <v>0</v>
      </c>
      <c r="AF46" s="20">
        <f t="shared" si="6"/>
        <v>0</v>
      </c>
      <c r="AG46" s="20">
        <f t="shared" si="6"/>
        <v>0</v>
      </c>
      <c r="AH46" s="20">
        <f t="shared" si="6"/>
        <v>0</v>
      </c>
      <c r="AI46" s="20">
        <f t="shared" si="6"/>
        <v>0</v>
      </c>
      <c r="AJ46" s="21">
        <f t="shared" si="4"/>
        <v>0</v>
      </c>
    </row>
    <row r="47" spans="1:36" ht="15" customHeight="1">
      <c r="A47" s="2"/>
      <c r="B47" s="2"/>
      <c r="C47" s="531" t="s">
        <v>22</v>
      </c>
      <c r="D47" s="501"/>
      <c r="E47" s="20">
        <f t="shared" ref="E47:AI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0">
        <f t="shared" si="7"/>
        <v>0</v>
      </c>
      <c r="AH47" s="20">
        <f t="shared" si="7"/>
        <v>0</v>
      </c>
      <c r="AI47" s="20">
        <f t="shared" si="7"/>
        <v>0</v>
      </c>
      <c r="AJ47" s="21">
        <f t="shared" si="4"/>
        <v>0</v>
      </c>
    </row>
    <row r="48" spans="1:36" ht="15" customHeight="1">
      <c r="A48" s="2">
        <v>3</v>
      </c>
      <c r="B48" s="2" t="s">
        <v>129</v>
      </c>
      <c r="C48" s="503" t="s">
        <v>113</v>
      </c>
      <c r="D48" s="501"/>
      <c r="E48" s="20">
        <f t="shared" ref="E48:AI48" si="8">E10-D10</f>
        <v>373</v>
      </c>
      <c r="F48" s="20">
        <f t="shared" si="8"/>
        <v>295</v>
      </c>
      <c r="G48" s="20">
        <f t="shared" si="8"/>
        <v>274</v>
      </c>
      <c r="H48" s="20">
        <f t="shared" si="8"/>
        <v>396</v>
      </c>
      <c r="I48" s="20">
        <f t="shared" si="8"/>
        <v>427</v>
      </c>
      <c r="J48" s="20">
        <f t="shared" si="8"/>
        <v>414</v>
      </c>
      <c r="K48" s="20">
        <f t="shared" si="8"/>
        <v>414</v>
      </c>
      <c r="L48" s="20">
        <f t="shared" si="8"/>
        <v>410</v>
      </c>
      <c r="M48" s="20">
        <f t="shared" si="8"/>
        <v>267</v>
      </c>
      <c r="N48" s="20">
        <f t="shared" si="8"/>
        <v>271</v>
      </c>
      <c r="O48" s="20">
        <f t="shared" si="8"/>
        <v>396</v>
      </c>
      <c r="P48" s="20">
        <f t="shared" si="8"/>
        <v>397</v>
      </c>
      <c r="Q48" s="20">
        <f t="shared" si="8"/>
        <v>409</v>
      </c>
      <c r="R48" s="20">
        <f t="shared" si="8"/>
        <v>367</v>
      </c>
      <c r="S48" s="20">
        <f t="shared" si="8"/>
        <v>284</v>
      </c>
      <c r="T48" s="20">
        <f t="shared" si="8"/>
        <v>279</v>
      </c>
      <c r="U48" s="20">
        <f t="shared" si="8"/>
        <v>283</v>
      </c>
      <c r="V48" s="20">
        <f t="shared" si="8"/>
        <v>414</v>
      </c>
      <c r="W48" s="20">
        <f t="shared" si="8"/>
        <v>416</v>
      </c>
      <c r="X48" s="20">
        <f t="shared" si="8"/>
        <v>420</v>
      </c>
      <c r="Y48" s="20">
        <f t="shared" si="8"/>
        <v>425</v>
      </c>
      <c r="Z48" s="20">
        <f t="shared" si="8"/>
        <v>418</v>
      </c>
      <c r="AA48" s="20">
        <f t="shared" si="8"/>
        <v>288</v>
      </c>
      <c r="AB48" s="20">
        <f t="shared" si="8"/>
        <v>280</v>
      </c>
      <c r="AC48" s="20">
        <f t="shared" si="8"/>
        <v>408</v>
      </c>
      <c r="AD48" s="20">
        <f t="shared" si="8"/>
        <v>94</v>
      </c>
      <c r="AE48" s="20">
        <f t="shared" si="8"/>
        <v>728</v>
      </c>
      <c r="AF48" s="20">
        <f t="shared" si="8"/>
        <v>388</v>
      </c>
      <c r="AG48" s="20">
        <f t="shared" si="8"/>
        <v>403</v>
      </c>
      <c r="AH48" s="20">
        <f t="shared" si="8"/>
        <v>288</v>
      </c>
      <c r="AI48" s="20">
        <f t="shared" si="8"/>
        <v>152</v>
      </c>
      <c r="AJ48" s="21">
        <f t="shared" si="4"/>
        <v>11078</v>
      </c>
    </row>
    <row r="49" spans="1:36" ht="15" customHeight="1">
      <c r="A49" s="2"/>
      <c r="B49" s="2"/>
      <c r="C49" s="531" t="s">
        <v>22</v>
      </c>
      <c r="D49" s="501"/>
      <c r="E49" s="20">
        <f t="shared" ref="E49:AI49" si="9">E11-D11</f>
        <v>0</v>
      </c>
      <c r="F49" s="20">
        <f t="shared" si="9"/>
        <v>0</v>
      </c>
      <c r="G49" s="20">
        <f t="shared" si="9"/>
        <v>0</v>
      </c>
      <c r="H49" s="20">
        <f t="shared" si="9"/>
        <v>0</v>
      </c>
      <c r="I49" s="20">
        <f t="shared" si="9"/>
        <v>0</v>
      </c>
      <c r="J49" s="20">
        <f t="shared" si="9"/>
        <v>0</v>
      </c>
      <c r="K49" s="20">
        <f t="shared" si="9"/>
        <v>0</v>
      </c>
      <c r="L49" s="20">
        <f t="shared" si="9"/>
        <v>0</v>
      </c>
      <c r="M49" s="20">
        <f t="shared" si="9"/>
        <v>0</v>
      </c>
      <c r="N49" s="20">
        <f t="shared" si="9"/>
        <v>0</v>
      </c>
      <c r="O49" s="20">
        <f t="shared" si="9"/>
        <v>0</v>
      </c>
      <c r="P49" s="20">
        <f t="shared" si="9"/>
        <v>0</v>
      </c>
      <c r="Q49" s="20">
        <f t="shared" si="9"/>
        <v>0</v>
      </c>
      <c r="R49" s="20">
        <f t="shared" si="9"/>
        <v>0</v>
      </c>
      <c r="S49" s="20">
        <f t="shared" si="9"/>
        <v>0</v>
      </c>
      <c r="T49" s="20">
        <f t="shared" si="9"/>
        <v>0</v>
      </c>
      <c r="U49" s="20">
        <f t="shared" si="9"/>
        <v>0</v>
      </c>
      <c r="V49" s="20">
        <f t="shared" si="9"/>
        <v>0</v>
      </c>
      <c r="W49" s="20">
        <f t="shared" si="9"/>
        <v>0</v>
      </c>
      <c r="X49" s="20">
        <f t="shared" si="9"/>
        <v>0</v>
      </c>
      <c r="Y49" s="20">
        <f t="shared" si="9"/>
        <v>0</v>
      </c>
      <c r="Z49" s="20">
        <f t="shared" si="9"/>
        <v>0</v>
      </c>
      <c r="AA49" s="20">
        <f t="shared" si="9"/>
        <v>0</v>
      </c>
      <c r="AB49" s="20">
        <f t="shared" si="9"/>
        <v>0</v>
      </c>
      <c r="AC49" s="20">
        <f t="shared" si="9"/>
        <v>0</v>
      </c>
      <c r="AD49" s="20">
        <f t="shared" si="9"/>
        <v>0</v>
      </c>
      <c r="AE49" s="20">
        <f t="shared" si="9"/>
        <v>0</v>
      </c>
      <c r="AF49" s="20">
        <f t="shared" si="9"/>
        <v>0</v>
      </c>
      <c r="AG49" s="20">
        <f t="shared" si="9"/>
        <v>0</v>
      </c>
      <c r="AH49" s="20">
        <f t="shared" si="9"/>
        <v>0</v>
      </c>
      <c r="AI49" s="20">
        <f t="shared" si="9"/>
        <v>0</v>
      </c>
      <c r="AJ49" s="21">
        <f t="shared" si="4"/>
        <v>0</v>
      </c>
    </row>
    <row r="50" spans="1:36" ht="15" customHeight="1">
      <c r="A50" s="2">
        <v>4</v>
      </c>
      <c r="B50" s="2" t="s">
        <v>129</v>
      </c>
      <c r="C50" s="503" t="s">
        <v>114</v>
      </c>
      <c r="D50" s="501"/>
      <c r="E50" s="20">
        <f t="shared" ref="E50:AI50" si="10">E12-D12</f>
        <v>0</v>
      </c>
      <c r="F50" s="20">
        <f t="shared" si="10"/>
        <v>0</v>
      </c>
      <c r="G50" s="20">
        <f t="shared" si="10"/>
        <v>0</v>
      </c>
      <c r="H50" s="20">
        <f t="shared" si="10"/>
        <v>0</v>
      </c>
      <c r="I50" s="20">
        <f t="shared" si="10"/>
        <v>0</v>
      </c>
      <c r="J50" s="20">
        <f t="shared" si="10"/>
        <v>0</v>
      </c>
      <c r="K50" s="20">
        <f t="shared" si="10"/>
        <v>0</v>
      </c>
      <c r="L50" s="20">
        <f t="shared" si="10"/>
        <v>0</v>
      </c>
      <c r="M50" s="20">
        <f t="shared" si="10"/>
        <v>0</v>
      </c>
      <c r="N50" s="20">
        <f t="shared" si="10"/>
        <v>0</v>
      </c>
      <c r="O50" s="20">
        <f t="shared" si="10"/>
        <v>0</v>
      </c>
      <c r="P50" s="20">
        <f t="shared" si="10"/>
        <v>0</v>
      </c>
      <c r="Q50" s="20">
        <f t="shared" si="10"/>
        <v>0</v>
      </c>
      <c r="R50" s="20">
        <f t="shared" si="10"/>
        <v>0</v>
      </c>
      <c r="S50" s="20">
        <f t="shared" si="10"/>
        <v>0</v>
      </c>
      <c r="T50" s="20">
        <f t="shared" si="10"/>
        <v>0</v>
      </c>
      <c r="U50" s="20">
        <f t="shared" si="10"/>
        <v>0</v>
      </c>
      <c r="V50" s="20">
        <f t="shared" si="10"/>
        <v>0</v>
      </c>
      <c r="W50" s="20">
        <f t="shared" si="10"/>
        <v>0</v>
      </c>
      <c r="X50" s="20">
        <f t="shared" si="10"/>
        <v>0</v>
      </c>
      <c r="Y50" s="20">
        <f t="shared" si="10"/>
        <v>0</v>
      </c>
      <c r="Z50" s="20">
        <f t="shared" si="10"/>
        <v>0</v>
      </c>
      <c r="AA50" s="20">
        <f t="shared" si="10"/>
        <v>0</v>
      </c>
      <c r="AB50" s="20">
        <f t="shared" si="10"/>
        <v>0</v>
      </c>
      <c r="AC50" s="20">
        <f t="shared" si="10"/>
        <v>0</v>
      </c>
      <c r="AD50" s="20">
        <f t="shared" si="10"/>
        <v>0</v>
      </c>
      <c r="AE50" s="20">
        <f t="shared" si="10"/>
        <v>0</v>
      </c>
      <c r="AF50" s="20">
        <f t="shared" si="10"/>
        <v>0</v>
      </c>
      <c r="AG50" s="20">
        <f t="shared" si="10"/>
        <v>0</v>
      </c>
      <c r="AH50" s="20">
        <f t="shared" si="10"/>
        <v>0</v>
      </c>
      <c r="AI50" s="20">
        <f t="shared" si="10"/>
        <v>0</v>
      </c>
      <c r="AJ50" s="21">
        <f t="shared" si="4"/>
        <v>0</v>
      </c>
    </row>
    <row r="51" spans="1:36" ht="15" customHeight="1">
      <c r="A51" s="2"/>
      <c r="B51" s="2"/>
      <c r="C51" s="531" t="s">
        <v>22</v>
      </c>
      <c r="D51" s="501"/>
      <c r="E51" s="20">
        <f t="shared" ref="E51:AI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0">
        <f t="shared" si="11"/>
        <v>0</v>
      </c>
      <c r="AH51" s="20">
        <f t="shared" si="11"/>
        <v>0</v>
      </c>
      <c r="AI51" s="20">
        <f t="shared" si="11"/>
        <v>0</v>
      </c>
      <c r="AJ51" s="21">
        <f t="shared" si="4"/>
        <v>0</v>
      </c>
    </row>
    <row r="52" spans="1:36" ht="15" customHeight="1">
      <c r="A52" s="2">
        <v>5</v>
      </c>
      <c r="B52" s="2" t="s">
        <v>129</v>
      </c>
      <c r="C52" s="503" t="s">
        <v>115</v>
      </c>
      <c r="D52" s="501"/>
      <c r="E52" s="20">
        <f t="shared" ref="E52:AI52" si="12">E14-D14</f>
        <v>218</v>
      </c>
      <c r="F52" s="20">
        <f t="shared" si="12"/>
        <v>161</v>
      </c>
      <c r="G52" s="20">
        <f t="shared" si="12"/>
        <v>128</v>
      </c>
      <c r="H52" s="20">
        <f t="shared" si="12"/>
        <v>242</v>
      </c>
      <c r="I52" s="20">
        <f t="shared" si="12"/>
        <v>254</v>
      </c>
      <c r="J52" s="20">
        <f t="shared" si="12"/>
        <v>239</v>
      </c>
      <c r="K52" s="20">
        <f t="shared" si="12"/>
        <v>241</v>
      </c>
      <c r="L52" s="20">
        <f t="shared" si="12"/>
        <v>250</v>
      </c>
      <c r="M52" s="20">
        <f t="shared" si="12"/>
        <v>120</v>
      </c>
      <c r="N52" s="20">
        <f t="shared" si="12"/>
        <v>108</v>
      </c>
      <c r="O52" s="20">
        <f t="shared" si="12"/>
        <v>234</v>
      </c>
      <c r="P52" s="20">
        <f t="shared" si="12"/>
        <v>236</v>
      </c>
      <c r="Q52" s="20">
        <f t="shared" si="12"/>
        <v>249</v>
      </c>
      <c r="R52" s="20">
        <f t="shared" si="12"/>
        <v>226</v>
      </c>
      <c r="S52" s="20">
        <f t="shared" si="12"/>
        <v>120</v>
      </c>
      <c r="T52" s="20">
        <f t="shared" si="12"/>
        <v>112</v>
      </c>
      <c r="U52" s="20">
        <f t="shared" si="12"/>
        <v>111</v>
      </c>
      <c r="V52" s="20">
        <f t="shared" si="12"/>
        <v>238</v>
      </c>
      <c r="W52" s="20">
        <f t="shared" si="12"/>
        <v>241</v>
      </c>
      <c r="X52" s="20">
        <f t="shared" si="12"/>
        <v>195</v>
      </c>
      <c r="Y52" s="20">
        <f t="shared" si="12"/>
        <v>314</v>
      </c>
      <c r="Z52" s="20">
        <f t="shared" si="12"/>
        <v>264</v>
      </c>
      <c r="AA52" s="20">
        <f t="shared" si="12"/>
        <v>138</v>
      </c>
      <c r="AB52" s="20">
        <f t="shared" si="12"/>
        <v>129</v>
      </c>
      <c r="AC52" s="20">
        <f t="shared" si="12"/>
        <v>255</v>
      </c>
      <c r="AD52" s="20">
        <f t="shared" si="12"/>
        <v>243</v>
      </c>
      <c r="AE52" s="20">
        <f t="shared" si="12"/>
        <v>254</v>
      </c>
      <c r="AF52" s="20">
        <f t="shared" si="12"/>
        <v>240</v>
      </c>
      <c r="AG52" s="20">
        <f t="shared" si="12"/>
        <v>258</v>
      </c>
      <c r="AH52" s="20">
        <f t="shared" si="12"/>
        <v>157</v>
      </c>
      <c r="AI52" s="20">
        <f t="shared" si="12"/>
        <v>72</v>
      </c>
      <c r="AJ52" s="21">
        <f t="shared" si="4"/>
        <v>6247</v>
      </c>
    </row>
    <row r="53" spans="1:36" ht="15" customHeight="1">
      <c r="A53" s="2"/>
      <c r="B53" s="2"/>
      <c r="C53" s="531" t="s">
        <v>22</v>
      </c>
      <c r="D53" s="501"/>
      <c r="E53" s="20">
        <f t="shared" ref="E53:AI53" si="13">E15-D15</f>
        <v>0</v>
      </c>
      <c r="F53" s="20">
        <f t="shared" si="13"/>
        <v>0</v>
      </c>
      <c r="G53" s="20">
        <f t="shared" si="13"/>
        <v>0</v>
      </c>
      <c r="H53" s="20">
        <f t="shared" si="13"/>
        <v>0</v>
      </c>
      <c r="I53" s="20">
        <f t="shared" si="13"/>
        <v>0</v>
      </c>
      <c r="J53" s="20">
        <f t="shared" si="13"/>
        <v>0</v>
      </c>
      <c r="K53" s="20">
        <f t="shared" si="13"/>
        <v>0</v>
      </c>
      <c r="L53" s="20">
        <f t="shared" si="13"/>
        <v>0</v>
      </c>
      <c r="M53" s="20">
        <f t="shared" si="13"/>
        <v>0</v>
      </c>
      <c r="N53" s="20">
        <f t="shared" si="13"/>
        <v>0</v>
      </c>
      <c r="O53" s="20">
        <f t="shared" si="13"/>
        <v>0</v>
      </c>
      <c r="P53" s="20">
        <f t="shared" si="13"/>
        <v>0</v>
      </c>
      <c r="Q53" s="20">
        <f t="shared" si="13"/>
        <v>0</v>
      </c>
      <c r="R53" s="20">
        <f t="shared" si="13"/>
        <v>0</v>
      </c>
      <c r="S53" s="20">
        <f t="shared" si="13"/>
        <v>0</v>
      </c>
      <c r="T53" s="20">
        <f t="shared" si="13"/>
        <v>0</v>
      </c>
      <c r="U53" s="20">
        <f t="shared" si="13"/>
        <v>0</v>
      </c>
      <c r="V53" s="20">
        <f t="shared" si="13"/>
        <v>0</v>
      </c>
      <c r="W53" s="20">
        <f t="shared" si="13"/>
        <v>0</v>
      </c>
      <c r="X53" s="20">
        <f t="shared" si="13"/>
        <v>0</v>
      </c>
      <c r="Y53" s="20">
        <f t="shared" si="13"/>
        <v>0</v>
      </c>
      <c r="Z53" s="20">
        <f t="shared" si="13"/>
        <v>0</v>
      </c>
      <c r="AA53" s="20">
        <f t="shared" si="13"/>
        <v>0</v>
      </c>
      <c r="AB53" s="20">
        <f t="shared" si="13"/>
        <v>0</v>
      </c>
      <c r="AC53" s="20">
        <f t="shared" si="13"/>
        <v>0</v>
      </c>
      <c r="AD53" s="20">
        <f t="shared" si="13"/>
        <v>0</v>
      </c>
      <c r="AE53" s="20">
        <f t="shared" si="13"/>
        <v>0</v>
      </c>
      <c r="AF53" s="20">
        <f t="shared" si="13"/>
        <v>0</v>
      </c>
      <c r="AG53" s="20">
        <f t="shared" si="13"/>
        <v>0</v>
      </c>
      <c r="AH53" s="20">
        <f t="shared" si="13"/>
        <v>0</v>
      </c>
      <c r="AI53" s="20">
        <f t="shared" si="13"/>
        <v>0</v>
      </c>
      <c r="AJ53" s="21">
        <f t="shared" si="4"/>
        <v>0</v>
      </c>
    </row>
    <row r="54" spans="1:36" ht="15" customHeight="1">
      <c r="A54" s="2">
        <v>6</v>
      </c>
      <c r="B54" s="2" t="s">
        <v>129</v>
      </c>
      <c r="C54" s="503" t="s">
        <v>116</v>
      </c>
      <c r="D54" s="501"/>
      <c r="E54" s="20">
        <f t="shared" ref="E54:AI54" si="14">E16-D16</f>
        <v>217</v>
      </c>
      <c r="F54" s="20">
        <f t="shared" si="14"/>
        <v>131</v>
      </c>
      <c r="G54" s="20">
        <f t="shared" si="14"/>
        <v>98</v>
      </c>
      <c r="H54" s="20">
        <f t="shared" si="14"/>
        <v>261</v>
      </c>
      <c r="I54" s="20">
        <f t="shared" si="14"/>
        <v>244</v>
      </c>
      <c r="J54" s="20">
        <f t="shared" si="14"/>
        <v>230</v>
      </c>
      <c r="K54" s="20">
        <f t="shared" si="14"/>
        <v>293</v>
      </c>
      <c r="L54" s="20">
        <f t="shared" si="14"/>
        <v>270</v>
      </c>
      <c r="M54" s="20">
        <f t="shared" si="14"/>
        <v>66</v>
      </c>
      <c r="N54" s="20">
        <f t="shared" si="14"/>
        <v>134</v>
      </c>
      <c r="O54" s="20">
        <f t="shared" si="14"/>
        <v>244</v>
      </c>
      <c r="P54" s="20">
        <f t="shared" si="14"/>
        <v>264</v>
      </c>
      <c r="Q54" s="20">
        <f t="shared" si="14"/>
        <v>272</v>
      </c>
      <c r="R54" s="20">
        <f t="shared" si="14"/>
        <v>234</v>
      </c>
      <c r="S54" s="20">
        <f t="shared" si="14"/>
        <v>94</v>
      </c>
      <c r="T54" s="20">
        <f t="shared" si="14"/>
        <v>83</v>
      </c>
      <c r="U54" s="20">
        <f t="shared" si="14"/>
        <v>115</v>
      </c>
      <c r="V54" s="20">
        <f t="shared" si="14"/>
        <v>269</v>
      </c>
      <c r="W54" s="20">
        <f t="shared" si="14"/>
        <v>270</v>
      </c>
      <c r="X54" s="20">
        <f t="shared" si="14"/>
        <v>262</v>
      </c>
      <c r="Y54" s="20">
        <f t="shared" si="14"/>
        <v>270</v>
      </c>
      <c r="Z54" s="20">
        <f t="shared" si="14"/>
        <v>272</v>
      </c>
      <c r="AA54" s="20">
        <f t="shared" si="14"/>
        <v>129</v>
      </c>
      <c r="AB54" s="20">
        <f t="shared" si="14"/>
        <v>105</v>
      </c>
      <c r="AC54" s="20">
        <f t="shared" si="14"/>
        <v>285</v>
      </c>
      <c r="AD54" s="20">
        <f t="shared" si="14"/>
        <v>262</v>
      </c>
      <c r="AE54" s="20">
        <f t="shared" si="14"/>
        <v>293</v>
      </c>
      <c r="AF54" s="20">
        <f t="shared" si="14"/>
        <v>175</v>
      </c>
      <c r="AG54" s="20">
        <f t="shared" si="14"/>
        <v>363</v>
      </c>
      <c r="AH54" s="20">
        <f t="shared" si="14"/>
        <v>126</v>
      </c>
      <c r="AI54" s="20">
        <f t="shared" si="14"/>
        <v>70</v>
      </c>
      <c r="AJ54" s="21">
        <f t="shared" si="4"/>
        <v>6401</v>
      </c>
    </row>
    <row r="55" spans="1:36" ht="15" customHeight="1">
      <c r="A55" s="2"/>
      <c r="B55" s="2"/>
      <c r="C55" s="531" t="s">
        <v>22</v>
      </c>
      <c r="D55" s="501"/>
      <c r="E55" s="20">
        <f t="shared" ref="E55:AI55" si="15">E17-D17</f>
        <v>0</v>
      </c>
      <c r="F55" s="20">
        <f t="shared" si="15"/>
        <v>0</v>
      </c>
      <c r="G55" s="20">
        <f t="shared" si="15"/>
        <v>0</v>
      </c>
      <c r="H55" s="20">
        <f t="shared" si="15"/>
        <v>0</v>
      </c>
      <c r="I55" s="20">
        <f t="shared" si="15"/>
        <v>0</v>
      </c>
      <c r="J55" s="20">
        <f t="shared" si="15"/>
        <v>0</v>
      </c>
      <c r="K55" s="20">
        <f t="shared" si="15"/>
        <v>0</v>
      </c>
      <c r="L55" s="20">
        <f t="shared" si="15"/>
        <v>0</v>
      </c>
      <c r="M55" s="20">
        <f t="shared" si="15"/>
        <v>0</v>
      </c>
      <c r="N55" s="20">
        <f t="shared" si="15"/>
        <v>0</v>
      </c>
      <c r="O55" s="20">
        <f t="shared" si="15"/>
        <v>0</v>
      </c>
      <c r="P55" s="20">
        <f t="shared" si="15"/>
        <v>0</v>
      </c>
      <c r="Q55" s="20">
        <f t="shared" si="15"/>
        <v>0</v>
      </c>
      <c r="R55" s="20">
        <f t="shared" si="15"/>
        <v>0</v>
      </c>
      <c r="S55" s="20">
        <f t="shared" si="15"/>
        <v>0</v>
      </c>
      <c r="T55" s="20">
        <f t="shared" si="15"/>
        <v>0</v>
      </c>
      <c r="U55" s="20">
        <f t="shared" si="15"/>
        <v>0</v>
      </c>
      <c r="V55" s="20">
        <f t="shared" si="15"/>
        <v>0</v>
      </c>
      <c r="W55" s="20">
        <f t="shared" si="15"/>
        <v>0</v>
      </c>
      <c r="X55" s="20">
        <f t="shared" si="15"/>
        <v>0</v>
      </c>
      <c r="Y55" s="20">
        <f t="shared" si="15"/>
        <v>0</v>
      </c>
      <c r="Z55" s="20">
        <f t="shared" si="15"/>
        <v>0</v>
      </c>
      <c r="AA55" s="20">
        <f t="shared" si="15"/>
        <v>0</v>
      </c>
      <c r="AB55" s="20">
        <f t="shared" si="15"/>
        <v>0</v>
      </c>
      <c r="AC55" s="20">
        <f t="shared" si="15"/>
        <v>0</v>
      </c>
      <c r="AD55" s="20">
        <f t="shared" si="15"/>
        <v>0</v>
      </c>
      <c r="AE55" s="20">
        <f t="shared" si="15"/>
        <v>0</v>
      </c>
      <c r="AF55" s="20">
        <f t="shared" si="15"/>
        <v>0</v>
      </c>
      <c r="AG55" s="20">
        <f t="shared" si="15"/>
        <v>0</v>
      </c>
      <c r="AH55" s="20">
        <f t="shared" si="15"/>
        <v>0</v>
      </c>
      <c r="AI55" s="20">
        <f t="shared" si="15"/>
        <v>0</v>
      </c>
      <c r="AJ55" s="21">
        <f t="shared" si="4"/>
        <v>0</v>
      </c>
    </row>
    <row r="56" spans="1:36" ht="15" customHeight="1">
      <c r="A56" s="2">
        <v>7</v>
      </c>
      <c r="B56" s="2" t="s">
        <v>129</v>
      </c>
      <c r="C56" s="503" t="s">
        <v>117</v>
      </c>
      <c r="D56" s="501"/>
      <c r="E56" s="20">
        <f t="shared" ref="E56:AI56" si="16">E18-D18</f>
        <v>791</v>
      </c>
      <c r="F56" s="20">
        <f t="shared" si="16"/>
        <v>621</v>
      </c>
      <c r="G56" s="20">
        <f t="shared" si="16"/>
        <v>512</v>
      </c>
      <c r="H56" s="20">
        <f t="shared" si="16"/>
        <v>719</v>
      </c>
      <c r="I56" s="20">
        <f t="shared" si="16"/>
        <v>821</v>
      </c>
      <c r="J56" s="20">
        <f t="shared" si="16"/>
        <v>749</v>
      </c>
      <c r="K56" s="20">
        <f t="shared" si="16"/>
        <v>782</v>
      </c>
      <c r="L56" s="20">
        <f t="shared" si="16"/>
        <v>794</v>
      </c>
      <c r="M56" s="20">
        <f t="shared" si="16"/>
        <v>476</v>
      </c>
      <c r="N56" s="20">
        <f t="shared" si="16"/>
        <v>492</v>
      </c>
      <c r="O56" s="20">
        <f t="shared" si="16"/>
        <v>740</v>
      </c>
      <c r="P56" s="20">
        <f t="shared" si="16"/>
        <v>802</v>
      </c>
      <c r="Q56" s="20">
        <f t="shared" si="16"/>
        <v>778</v>
      </c>
      <c r="R56" s="20">
        <f t="shared" si="16"/>
        <v>803</v>
      </c>
      <c r="S56" s="20">
        <f t="shared" si="16"/>
        <v>290</v>
      </c>
      <c r="T56" s="20">
        <f t="shared" si="16"/>
        <v>410</v>
      </c>
      <c r="U56" s="20">
        <f t="shared" si="16"/>
        <v>467</v>
      </c>
      <c r="V56" s="20">
        <f t="shared" si="16"/>
        <v>765</v>
      </c>
      <c r="W56" s="20">
        <f t="shared" si="16"/>
        <v>777</v>
      </c>
      <c r="X56" s="20">
        <f t="shared" si="16"/>
        <v>782</v>
      </c>
      <c r="Y56" s="20">
        <f t="shared" si="16"/>
        <v>779</v>
      </c>
      <c r="Z56" s="20">
        <f t="shared" si="16"/>
        <v>783</v>
      </c>
      <c r="AA56" s="20">
        <f t="shared" si="16"/>
        <v>617</v>
      </c>
      <c r="AB56" s="20">
        <f t="shared" si="16"/>
        <v>482</v>
      </c>
      <c r="AC56" s="20">
        <f t="shared" si="16"/>
        <v>741</v>
      </c>
      <c r="AD56" s="20">
        <f t="shared" si="16"/>
        <v>770</v>
      </c>
      <c r="AE56" s="20">
        <f t="shared" si="16"/>
        <v>836</v>
      </c>
      <c r="AF56" s="20">
        <f t="shared" si="16"/>
        <v>795</v>
      </c>
      <c r="AG56" s="20">
        <f t="shared" si="16"/>
        <v>814</v>
      </c>
      <c r="AH56" s="20">
        <f t="shared" si="16"/>
        <v>656</v>
      </c>
      <c r="AI56" s="20">
        <f t="shared" si="16"/>
        <v>220</v>
      </c>
      <c r="AJ56" s="21">
        <f t="shared" si="4"/>
        <v>20864</v>
      </c>
    </row>
    <row r="57" spans="1:36" ht="15" customHeight="1">
      <c r="A57" s="2"/>
      <c r="B57" s="2"/>
      <c r="C57" s="531" t="s">
        <v>22</v>
      </c>
      <c r="D57" s="501"/>
      <c r="E57" s="20">
        <f t="shared" ref="E57:X57" si="17">E19-D19</f>
        <v>0</v>
      </c>
      <c r="F57" s="20">
        <f t="shared" si="17"/>
        <v>0</v>
      </c>
      <c r="G57" s="20">
        <f t="shared" si="17"/>
        <v>0</v>
      </c>
      <c r="H57" s="20">
        <f t="shared" si="17"/>
        <v>0</v>
      </c>
      <c r="I57" s="20">
        <f t="shared" si="17"/>
        <v>0</v>
      </c>
      <c r="J57" s="20">
        <f t="shared" si="17"/>
        <v>0</v>
      </c>
      <c r="K57" s="20">
        <f t="shared" si="17"/>
        <v>0</v>
      </c>
      <c r="L57" s="20">
        <f t="shared" si="17"/>
        <v>0</v>
      </c>
      <c r="M57" s="20">
        <f t="shared" si="17"/>
        <v>0</v>
      </c>
      <c r="N57" s="20">
        <f t="shared" si="17"/>
        <v>0</v>
      </c>
      <c r="O57" s="20">
        <f t="shared" si="17"/>
        <v>0</v>
      </c>
      <c r="P57" s="20">
        <f t="shared" si="17"/>
        <v>0</v>
      </c>
      <c r="Q57" s="20">
        <f t="shared" si="17"/>
        <v>0</v>
      </c>
      <c r="R57" s="20">
        <f t="shared" si="17"/>
        <v>0</v>
      </c>
      <c r="S57" s="20">
        <f t="shared" si="17"/>
        <v>0</v>
      </c>
      <c r="T57" s="20">
        <f t="shared" si="17"/>
        <v>0</v>
      </c>
      <c r="U57" s="20">
        <f t="shared" si="17"/>
        <v>0</v>
      </c>
      <c r="V57" s="20">
        <f t="shared" si="17"/>
        <v>0</v>
      </c>
      <c r="W57" s="20">
        <f t="shared" si="17"/>
        <v>0</v>
      </c>
      <c r="X57" s="20">
        <f t="shared" si="17"/>
        <v>0</v>
      </c>
      <c r="Y57" s="20">
        <v>0</v>
      </c>
      <c r="Z57" s="20">
        <f>Z19-Y19</f>
        <v>0</v>
      </c>
      <c r="AA57" s="20">
        <v>0</v>
      </c>
      <c r="AB57" s="20">
        <f t="shared" ref="AB57:AI59" si="18">AB19-AA19</f>
        <v>0</v>
      </c>
      <c r="AC57" s="20">
        <f t="shared" si="18"/>
        <v>0</v>
      </c>
      <c r="AD57" s="20">
        <f t="shared" si="18"/>
        <v>0</v>
      </c>
      <c r="AE57" s="20">
        <f t="shared" si="18"/>
        <v>0</v>
      </c>
      <c r="AF57" s="20">
        <f t="shared" si="18"/>
        <v>0</v>
      </c>
      <c r="AG57" s="20">
        <f t="shared" si="18"/>
        <v>0</v>
      </c>
      <c r="AH57" s="20">
        <f t="shared" si="18"/>
        <v>0</v>
      </c>
      <c r="AI57" s="20">
        <f t="shared" si="18"/>
        <v>0</v>
      </c>
      <c r="AJ57" s="21">
        <f t="shared" si="4"/>
        <v>0</v>
      </c>
    </row>
    <row r="58" spans="1:36" ht="15" customHeight="1">
      <c r="A58" s="2">
        <v>8</v>
      </c>
      <c r="B58" s="2" t="s">
        <v>129</v>
      </c>
      <c r="C58" s="503" t="s">
        <v>118</v>
      </c>
      <c r="D58" s="501"/>
      <c r="E58" s="20">
        <f t="shared" ref="E58:X58" si="19">E20-D20</f>
        <v>139</v>
      </c>
      <c r="F58" s="20">
        <f t="shared" si="19"/>
        <v>129</v>
      </c>
      <c r="G58" s="20">
        <f t="shared" si="19"/>
        <v>127</v>
      </c>
      <c r="H58" s="20">
        <f t="shared" si="19"/>
        <v>127</v>
      </c>
      <c r="I58" s="20">
        <f t="shared" si="19"/>
        <v>139</v>
      </c>
      <c r="J58" s="20">
        <f t="shared" si="19"/>
        <v>118</v>
      </c>
      <c r="K58" s="20">
        <f t="shared" si="19"/>
        <v>147</v>
      </c>
      <c r="L58" s="20">
        <f t="shared" si="19"/>
        <v>140</v>
      </c>
      <c r="M58" s="20">
        <f t="shared" si="19"/>
        <v>127</v>
      </c>
      <c r="N58" s="20">
        <f t="shared" si="19"/>
        <v>119</v>
      </c>
      <c r="O58" s="20">
        <f t="shared" si="19"/>
        <v>172</v>
      </c>
      <c r="P58" s="20">
        <f t="shared" si="19"/>
        <v>147</v>
      </c>
      <c r="Q58" s="20">
        <f t="shared" si="19"/>
        <v>126</v>
      </c>
      <c r="R58" s="20">
        <f t="shared" si="19"/>
        <v>129</v>
      </c>
      <c r="S58" s="20">
        <f t="shared" si="19"/>
        <v>115</v>
      </c>
      <c r="T58" s="20">
        <f t="shared" si="19"/>
        <v>135</v>
      </c>
      <c r="U58" s="20">
        <f t="shared" si="19"/>
        <v>127</v>
      </c>
      <c r="V58" s="20">
        <f t="shared" si="19"/>
        <v>151</v>
      </c>
      <c r="W58" s="20">
        <f t="shared" si="19"/>
        <v>128</v>
      </c>
      <c r="X58" s="20">
        <f t="shared" si="19"/>
        <v>145</v>
      </c>
      <c r="Y58" s="20">
        <f>Y20-X20</f>
        <v>122</v>
      </c>
      <c r="Z58" s="20">
        <f>Z20-Y20</f>
        <v>147</v>
      </c>
      <c r="AA58" s="20">
        <f>AA20-Z20</f>
        <v>114</v>
      </c>
      <c r="AB58" s="20">
        <f t="shared" si="18"/>
        <v>134</v>
      </c>
      <c r="AC58" s="20">
        <f t="shared" si="18"/>
        <v>137</v>
      </c>
      <c r="AD58" s="20">
        <f t="shared" si="18"/>
        <v>138</v>
      </c>
      <c r="AE58" s="20">
        <f t="shared" si="18"/>
        <v>125</v>
      </c>
      <c r="AF58" s="20">
        <f t="shared" si="18"/>
        <v>133</v>
      </c>
      <c r="AG58" s="20">
        <f t="shared" si="18"/>
        <v>115</v>
      </c>
      <c r="AH58" s="20">
        <f t="shared" si="18"/>
        <v>119</v>
      </c>
      <c r="AI58" s="20">
        <f t="shared" si="18"/>
        <v>49</v>
      </c>
      <c r="AJ58" s="21">
        <f t="shared" si="4"/>
        <v>4020</v>
      </c>
    </row>
    <row r="59" spans="1:36" ht="15" customHeight="1">
      <c r="A59" s="2"/>
      <c r="B59" s="2"/>
      <c r="C59" s="531" t="s">
        <v>22</v>
      </c>
      <c r="D59" s="501"/>
      <c r="E59" s="20">
        <f t="shared" ref="E59:X59" si="20">E21-D21</f>
        <v>0</v>
      </c>
      <c r="F59" s="20">
        <f t="shared" si="20"/>
        <v>0</v>
      </c>
      <c r="G59" s="20">
        <f t="shared" si="20"/>
        <v>0</v>
      </c>
      <c r="H59" s="20">
        <f t="shared" si="20"/>
        <v>0</v>
      </c>
      <c r="I59" s="20">
        <f t="shared" si="20"/>
        <v>0</v>
      </c>
      <c r="J59" s="20">
        <f t="shared" si="20"/>
        <v>0</v>
      </c>
      <c r="K59" s="20">
        <f t="shared" si="20"/>
        <v>0</v>
      </c>
      <c r="L59" s="20">
        <f t="shared" si="20"/>
        <v>0</v>
      </c>
      <c r="M59" s="20">
        <f t="shared" si="20"/>
        <v>0</v>
      </c>
      <c r="N59" s="20">
        <f t="shared" si="20"/>
        <v>0</v>
      </c>
      <c r="O59" s="20">
        <f t="shared" si="20"/>
        <v>0</v>
      </c>
      <c r="P59" s="20">
        <f t="shared" si="20"/>
        <v>0</v>
      </c>
      <c r="Q59" s="20">
        <f t="shared" si="20"/>
        <v>0</v>
      </c>
      <c r="R59" s="20">
        <f t="shared" si="20"/>
        <v>0</v>
      </c>
      <c r="S59" s="20">
        <f t="shared" si="20"/>
        <v>0</v>
      </c>
      <c r="T59" s="20">
        <f t="shared" si="20"/>
        <v>0</v>
      </c>
      <c r="U59" s="20">
        <f t="shared" si="20"/>
        <v>0</v>
      </c>
      <c r="V59" s="20">
        <f t="shared" si="20"/>
        <v>0</v>
      </c>
      <c r="W59" s="20">
        <f t="shared" si="20"/>
        <v>0</v>
      </c>
      <c r="X59" s="20">
        <f t="shared" si="20"/>
        <v>0</v>
      </c>
      <c r="Y59" s="20">
        <f>Y21-X21</f>
        <v>0</v>
      </c>
      <c r="Z59" s="20">
        <f>Z21-Y21</f>
        <v>0</v>
      </c>
      <c r="AA59" s="20">
        <f>AA21-Z21</f>
        <v>0</v>
      </c>
      <c r="AB59" s="20">
        <f t="shared" si="18"/>
        <v>0</v>
      </c>
      <c r="AC59" s="20">
        <f t="shared" si="18"/>
        <v>0</v>
      </c>
      <c r="AD59" s="20">
        <f t="shared" si="18"/>
        <v>0</v>
      </c>
      <c r="AE59" s="20">
        <f t="shared" si="18"/>
        <v>0</v>
      </c>
      <c r="AF59" s="20">
        <f t="shared" si="18"/>
        <v>0</v>
      </c>
      <c r="AG59" s="20">
        <f t="shared" si="18"/>
        <v>0</v>
      </c>
      <c r="AH59" s="20">
        <f t="shared" si="18"/>
        <v>0</v>
      </c>
      <c r="AI59" s="20">
        <f t="shared" si="18"/>
        <v>0</v>
      </c>
      <c r="AJ59" s="21">
        <f t="shared" si="4"/>
        <v>0</v>
      </c>
    </row>
    <row r="60" spans="1:36" ht="15" customHeight="1">
      <c r="A60" s="99"/>
      <c r="B60" s="99"/>
      <c r="C60" s="500" t="s">
        <v>130</v>
      </c>
      <c r="D60" s="501"/>
      <c r="E60" s="23">
        <f t="shared" ref="E60:AI60" si="21">SUM(E58,E56,E54,E52,E50,E48,E46,E44)</f>
        <v>1996</v>
      </c>
      <c r="F60" s="23">
        <f t="shared" si="21"/>
        <v>1556</v>
      </c>
      <c r="G60" s="23">
        <f t="shared" si="21"/>
        <v>1341</v>
      </c>
      <c r="H60" s="23">
        <f t="shared" si="21"/>
        <v>2013</v>
      </c>
      <c r="I60" s="23">
        <f t="shared" si="21"/>
        <v>2172</v>
      </c>
      <c r="J60" s="23">
        <f t="shared" si="21"/>
        <v>2024</v>
      </c>
      <c r="K60" s="23">
        <f t="shared" si="21"/>
        <v>2214</v>
      </c>
      <c r="L60" s="23">
        <f t="shared" si="21"/>
        <v>2080</v>
      </c>
      <c r="M60" s="23">
        <f t="shared" si="21"/>
        <v>1255</v>
      </c>
      <c r="N60" s="23">
        <f t="shared" si="21"/>
        <v>1330</v>
      </c>
      <c r="O60" s="23">
        <f t="shared" si="21"/>
        <v>2055</v>
      </c>
      <c r="P60" s="23">
        <f t="shared" si="21"/>
        <v>2116</v>
      </c>
      <c r="Q60" s="23">
        <f t="shared" si="21"/>
        <v>2095</v>
      </c>
      <c r="R60" s="23">
        <f t="shared" si="21"/>
        <v>2026</v>
      </c>
      <c r="S60" s="23">
        <f t="shared" si="21"/>
        <v>1115</v>
      </c>
      <c r="T60" s="23">
        <f t="shared" si="21"/>
        <v>1227</v>
      </c>
      <c r="U60" s="23">
        <f t="shared" si="21"/>
        <v>1314</v>
      </c>
      <c r="V60" s="23">
        <f t="shared" si="21"/>
        <v>2114</v>
      </c>
      <c r="W60" s="23">
        <f t="shared" si="21"/>
        <v>2108</v>
      </c>
      <c r="X60" s="23">
        <f t="shared" si="21"/>
        <v>2083</v>
      </c>
      <c r="Y60" s="23">
        <f t="shared" si="21"/>
        <v>2195</v>
      </c>
      <c r="Z60" s="23">
        <f t="shared" si="21"/>
        <v>2163</v>
      </c>
      <c r="AA60" s="23">
        <f t="shared" si="21"/>
        <v>1502</v>
      </c>
      <c r="AB60" s="23">
        <f t="shared" si="21"/>
        <v>1316</v>
      </c>
      <c r="AC60" s="23">
        <f t="shared" si="21"/>
        <v>2124</v>
      </c>
      <c r="AD60" s="23">
        <f t="shared" si="21"/>
        <v>1773</v>
      </c>
      <c r="AE60" s="23">
        <f t="shared" si="21"/>
        <v>2525</v>
      </c>
      <c r="AF60" s="23">
        <f t="shared" si="21"/>
        <v>1992</v>
      </c>
      <c r="AG60" s="23">
        <f t="shared" si="21"/>
        <v>2220</v>
      </c>
      <c r="AH60" s="23">
        <f t="shared" si="21"/>
        <v>1565</v>
      </c>
      <c r="AI60" s="23">
        <f t="shared" si="21"/>
        <v>678</v>
      </c>
      <c r="AJ60" s="24">
        <f t="shared" si="4"/>
        <v>56287</v>
      </c>
    </row>
    <row r="61" spans="1:36" ht="15" customHeight="1">
      <c r="A61" s="99"/>
      <c r="B61" s="99"/>
      <c r="C61" s="145" t="s">
        <v>131</v>
      </c>
      <c r="D61" s="108"/>
      <c r="E61" s="23">
        <f t="shared" ref="E61:AI61" si="22">SUM(E45,E47,E49,E51,E53,E55,E57,E59)</f>
        <v>0</v>
      </c>
      <c r="F61" s="23">
        <f t="shared" si="22"/>
        <v>0</v>
      </c>
      <c r="G61" s="23">
        <f t="shared" si="22"/>
        <v>0</v>
      </c>
      <c r="H61" s="23">
        <f t="shared" si="22"/>
        <v>0</v>
      </c>
      <c r="I61" s="23">
        <f t="shared" si="22"/>
        <v>0</v>
      </c>
      <c r="J61" s="23">
        <f t="shared" si="22"/>
        <v>0</v>
      </c>
      <c r="K61" s="23">
        <f t="shared" si="22"/>
        <v>0</v>
      </c>
      <c r="L61" s="23">
        <f t="shared" si="22"/>
        <v>0</v>
      </c>
      <c r="M61" s="23">
        <f t="shared" si="22"/>
        <v>0</v>
      </c>
      <c r="N61" s="23">
        <f t="shared" si="22"/>
        <v>0</v>
      </c>
      <c r="O61" s="23">
        <f t="shared" si="22"/>
        <v>0</v>
      </c>
      <c r="P61" s="23">
        <f t="shared" si="22"/>
        <v>0</v>
      </c>
      <c r="Q61" s="23">
        <f t="shared" si="22"/>
        <v>0</v>
      </c>
      <c r="R61" s="23">
        <f t="shared" si="22"/>
        <v>0</v>
      </c>
      <c r="S61" s="23">
        <f t="shared" si="22"/>
        <v>0</v>
      </c>
      <c r="T61" s="23">
        <f t="shared" si="22"/>
        <v>0</v>
      </c>
      <c r="U61" s="23">
        <f t="shared" si="22"/>
        <v>0</v>
      </c>
      <c r="V61" s="23">
        <f t="shared" si="22"/>
        <v>0</v>
      </c>
      <c r="W61" s="23">
        <f t="shared" si="22"/>
        <v>0</v>
      </c>
      <c r="X61" s="23">
        <f t="shared" si="22"/>
        <v>0</v>
      </c>
      <c r="Y61" s="23">
        <f t="shared" si="22"/>
        <v>0</v>
      </c>
      <c r="Z61" s="23">
        <f t="shared" si="22"/>
        <v>0</v>
      </c>
      <c r="AA61" s="23">
        <f t="shared" si="22"/>
        <v>0</v>
      </c>
      <c r="AB61" s="23">
        <f t="shared" si="22"/>
        <v>0</v>
      </c>
      <c r="AC61" s="23">
        <f t="shared" si="22"/>
        <v>0</v>
      </c>
      <c r="AD61" s="23">
        <f t="shared" si="22"/>
        <v>0</v>
      </c>
      <c r="AE61" s="23">
        <f t="shared" si="22"/>
        <v>0</v>
      </c>
      <c r="AF61" s="23">
        <f t="shared" si="22"/>
        <v>0</v>
      </c>
      <c r="AG61" s="23">
        <f t="shared" si="22"/>
        <v>0</v>
      </c>
      <c r="AH61" s="23">
        <f t="shared" si="22"/>
        <v>0</v>
      </c>
      <c r="AI61" s="23">
        <f t="shared" si="22"/>
        <v>0</v>
      </c>
      <c r="AJ61" s="24">
        <f>SUM(E61:AH61)</f>
        <v>0</v>
      </c>
    </row>
    <row r="62" spans="1:36">
      <c r="A62" s="101"/>
      <c r="B62" s="101"/>
      <c r="C62" s="539" t="s">
        <v>132</v>
      </c>
      <c r="D62" s="501"/>
      <c r="E62" s="102">
        <f t="shared" ref="E62:AJ62" si="23">E60</f>
        <v>1996</v>
      </c>
      <c r="F62" s="102">
        <f t="shared" si="23"/>
        <v>1556</v>
      </c>
      <c r="G62" s="102">
        <f t="shared" si="23"/>
        <v>1341</v>
      </c>
      <c r="H62" s="102">
        <f t="shared" si="23"/>
        <v>2013</v>
      </c>
      <c r="I62" s="102">
        <f t="shared" si="23"/>
        <v>2172</v>
      </c>
      <c r="J62" s="102">
        <f t="shared" si="23"/>
        <v>2024</v>
      </c>
      <c r="K62" s="102">
        <f t="shared" si="23"/>
        <v>2214</v>
      </c>
      <c r="L62" s="102">
        <f t="shared" si="23"/>
        <v>2080</v>
      </c>
      <c r="M62" s="102">
        <f t="shared" si="23"/>
        <v>1255</v>
      </c>
      <c r="N62" s="102">
        <f t="shared" si="23"/>
        <v>1330</v>
      </c>
      <c r="O62" s="102">
        <f t="shared" si="23"/>
        <v>2055</v>
      </c>
      <c r="P62" s="102">
        <f t="shared" si="23"/>
        <v>2116</v>
      </c>
      <c r="Q62" s="102">
        <f t="shared" si="23"/>
        <v>2095</v>
      </c>
      <c r="R62" s="102">
        <f t="shared" si="23"/>
        <v>2026</v>
      </c>
      <c r="S62" s="102">
        <f t="shared" si="23"/>
        <v>1115</v>
      </c>
      <c r="T62" s="102">
        <f t="shared" si="23"/>
        <v>1227</v>
      </c>
      <c r="U62" s="102">
        <f t="shared" si="23"/>
        <v>1314</v>
      </c>
      <c r="V62" s="102">
        <f t="shared" si="23"/>
        <v>2114</v>
      </c>
      <c r="W62" s="102">
        <f t="shared" si="23"/>
        <v>2108</v>
      </c>
      <c r="X62" s="102">
        <f t="shared" si="23"/>
        <v>2083</v>
      </c>
      <c r="Y62" s="102">
        <f t="shared" si="23"/>
        <v>2195</v>
      </c>
      <c r="Z62" s="102">
        <f t="shared" si="23"/>
        <v>2163</v>
      </c>
      <c r="AA62" s="102">
        <f t="shared" si="23"/>
        <v>1502</v>
      </c>
      <c r="AB62" s="102">
        <f t="shared" si="23"/>
        <v>1316</v>
      </c>
      <c r="AC62" s="102">
        <f t="shared" si="23"/>
        <v>2124</v>
      </c>
      <c r="AD62" s="102">
        <f t="shared" si="23"/>
        <v>1773</v>
      </c>
      <c r="AE62" s="102">
        <f t="shared" si="23"/>
        <v>2525</v>
      </c>
      <c r="AF62" s="102">
        <f t="shared" si="23"/>
        <v>1992</v>
      </c>
      <c r="AG62" s="102">
        <f t="shared" si="23"/>
        <v>2220</v>
      </c>
      <c r="AH62" s="102">
        <f t="shared" si="23"/>
        <v>1565</v>
      </c>
      <c r="AI62" s="102">
        <f t="shared" si="23"/>
        <v>678</v>
      </c>
      <c r="AJ62" s="102">
        <f t="shared" si="23"/>
        <v>56287</v>
      </c>
    </row>
    <row r="63" spans="1:36">
      <c r="A63" s="94"/>
      <c r="B63" s="27"/>
      <c r="C63" s="146"/>
      <c r="D63" s="10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</row>
    <row r="64" spans="1:36">
      <c r="A64" s="28" t="s">
        <v>133</v>
      </c>
      <c r="B64" s="28" t="s">
        <v>100</v>
      </c>
      <c r="C64" s="523" t="s">
        <v>101</v>
      </c>
      <c r="D64" s="501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103"/>
    </row>
    <row r="65" spans="1:38">
      <c r="A65" s="2">
        <v>1</v>
      </c>
      <c r="B65" s="2" t="s">
        <v>129</v>
      </c>
      <c r="C65" s="506" t="s">
        <v>119</v>
      </c>
      <c r="D65" s="501"/>
      <c r="E65" s="102">
        <f t="shared" ref="E65:AI65" si="24">E23-D23</f>
        <v>73</v>
      </c>
      <c r="F65" s="102">
        <f t="shared" si="24"/>
        <v>73</v>
      </c>
      <c r="G65" s="102">
        <f t="shared" si="24"/>
        <v>46</v>
      </c>
      <c r="H65" s="102">
        <f t="shared" si="24"/>
        <v>87</v>
      </c>
      <c r="I65" s="102">
        <f t="shared" si="24"/>
        <v>103</v>
      </c>
      <c r="J65" s="102">
        <f t="shared" si="24"/>
        <v>101</v>
      </c>
      <c r="K65" s="102">
        <f t="shared" si="24"/>
        <v>115</v>
      </c>
      <c r="L65" s="102">
        <f t="shared" si="24"/>
        <v>142</v>
      </c>
      <c r="M65" s="102">
        <f t="shared" si="24"/>
        <v>0</v>
      </c>
      <c r="N65" s="102">
        <f t="shared" si="24"/>
        <v>15</v>
      </c>
      <c r="O65" s="102">
        <f t="shared" si="24"/>
        <v>105</v>
      </c>
      <c r="P65" s="102">
        <f t="shared" si="24"/>
        <v>153</v>
      </c>
      <c r="Q65" s="102">
        <f t="shared" si="24"/>
        <v>121</v>
      </c>
      <c r="R65" s="102">
        <f t="shared" si="24"/>
        <v>141</v>
      </c>
      <c r="S65" s="102">
        <f t="shared" si="24"/>
        <v>0</v>
      </c>
      <c r="T65" s="102">
        <f t="shared" si="24"/>
        <v>96</v>
      </c>
      <c r="U65" s="102">
        <f t="shared" si="24"/>
        <v>58</v>
      </c>
      <c r="V65" s="102">
        <f t="shared" si="24"/>
        <v>140</v>
      </c>
      <c r="W65" s="102">
        <f t="shared" si="24"/>
        <v>176</v>
      </c>
      <c r="X65" s="102">
        <f t="shared" si="24"/>
        <v>166</v>
      </c>
      <c r="Y65" s="102">
        <f t="shared" si="24"/>
        <v>169</v>
      </c>
      <c r="Z65" s="102">
        <f t="shared" si="24"/>
        <v>153</v>
      </c>
      <c r="AA65" s="102">
        <f t="shared" si="24"/>
        <v>100</v>
      </c>
      <c r="AB65" s="102">
        <f t="shared" si="24"/>
        <v>0</v>
      </c>
      <c r="AC65" s="102">
        <f t="shared" si="24"/>
        <v>125</v>
      </c>
      <c r="AD65" s="102">
        <f t="shared" si="24"/>
        <v>89</v>
      </c>
      <c r="AE65" s="102">
        <f t="shared" si="24"/>
        <v>82</v>
      </c>
      <c r="AF65" s="102">
        <f t="shared" si="24"/>
        <v>147</v>
      </c>
      <c r="AG65" s="102">
        <f t="shared" si="24"/>
        <v>169</v>
      </c>
      <c r="AH65" s="102">
        <f t="shared" si="24"/>
        <v>155</v>
      </c>
      <c r="AI65" s="102">
        <f t="shared" si="24"/>
        <v>0</v>
      </c>
      <c r="AJ65" s="102">
        <f t="shared" ref="AJ65:AJ78" si="25">SUM(E65:AI65)</f>
        <v>3100</v>
      </c>
    </row>
    <row r="66" spans="1:38">
      <c r="A66" s="2"/>
      <c r="B66" s="2"/>
      <c r="C66" s="532" t="s">
        <v>22</v>
      </c>
      <c r="D66" s="501"/>
      <c r="E66" s="102">
        <f t="shared" ref="E66:AI66" si="26">E24-D24</f>
        <v>0</v>
      </c>
      <c r="F66" s="102">
        <f t="shared" si="26"/>
        <v>0</v>
      </c>
      <c r="G66" s="102">
        <f t="shared" si="26"/>
        <v>0</v>
      </c>
      <c r="H66" s="102">
        <f t="shared" si="26"/>
        <v>0</v>
      </c>
      <c r="I66" s="102">
        <f t="shared" si="26"/>
        <v>0</v>
      </c>
      <c r="J66" s="102">
        <f t="shared" si="26"/>
        <v>0</v>
      </c>
      <c r="K66" s="102">
        <f t="shared" si="26"/>
        <v>0</v>
      </c>
      <c r="L66" s="102">
        <f t="shared" si="26"/>
        <v>0</v>
      </c>
      <c r="M66" s="102">
        <f t="shared" si="26"/>
        <v>0</v>
      </c>
      <c r="N66" s="102">
        <f t="shared" si="26"/>
        <v>0</v>
      </c>
      <c r="O66" s="102">
        <f t="shared" si="26"/>
        <v>0</v>
      </c>
      <c r="P66" s="102">
        <f t="shared" si="26"/>
        <v>0</v>
      </c>
      <c r="Q66" s="102">
        <f t="shared" si="26"/>
        <v>0</v>
      </c>
      <c r="R66" s="102">
        <f t="shared" si="26"/>
        <v>0</v>
      </c>
      <c r="S66" s="102">
        <f t="shared" si="26"/>
        <v>0</v>
      </c>
      <c r="T66" s="102">
        <f t="shared" si="26"/>
        <v>0</v>
      </c>
      <c r="U66" s="102">
        <f t="shared" si="26"/>
        <v>0</v>
      </c>
      <c r="V66" s="102">
        <f t="shared" si="26"/>
        <v>0</v>
      </c>
      <c r="W66" s="102">
        <f t="shared" si="26"/>
        <v>0</v>
      </c>
      <c r="X66" s="102">
        <f t="shared" si="26"/>
        <v>0</v>
      </c>
      <c r="Y66" s="102">
        <f t="shared" si="26"/>
        <v>0</v>
      </c>
      <c r="Z66" s="102">
        <f t="shared" si="26"/>
        <v>0</v>
      </c>
      <c r="AA66" s="102">
        <f t="shared" si="26"/>
        <v>0</v>
      </c>
      <c r="AB66" s="102">
        <f t="shared" si="26"/>
        <v>0</v>
      </c>
      <c r="AC66" s="102">
        <f t="shared" si="26"/>
        <v>0</v>
      </c>
      <c r="AD66" s="102">
        <f t="shared" si="26"/>
        <v>0</v>
      </c>
      <c r="AE66" s="102">
        <f t="shared" si="26"/>
        <v>0</v>
      </c>
      <c r="AF66" s="102">
        <f t="shared" si="26"/>
        <v>0</v>
      </c>
      <c r="AG66" s="102">
        <f t="shared" si="26"/>
        <v>0</v>
      </c>
      <c r="AH66" s="102">
        <f t="shared" si="26"/>
        <v>0</v>
      </c>
      <c r="AI66" s="102">
        <f t="shared" si="26"/>
        <v>0</v>
      </c>
      <c r="AJ66" s="102">
        <f t="shared" si="25"/>
        <v>0</v>
      </c>
    </row>
    <row r="67" spans="1:38">
      <c r="A67" s="2">
        <v>2</v>
      </c>
      <c r="B67" s="2" t="s">
        <v>129</v>
      </c>
      <c r="C67" s="506" t="s">
        <v>120</v>
      </c>
      <c r="D67" s="501"/>
      <c r="E67" s="102">
        <f t="shared" ref="E67:AI67" si="27">E25-D25</f>
        <v>185</v>
      </c>
      <c r="F67" s="102">
        <f t="shared" si="27"/>
        <v>123</v>
      </c>
      <c r="G67" s="102">
        <f t="shared" si="27"/>
        <v>20</v>
      </c>
      <c r="H67" s="102">
        <f t="shared" si="27"/>
        <v>144</v>
      </c>
      <c r="I67" s="102">
        <f t="shared" si="27"/>
        <v>172</v>
      </c>
      <c r="J67" s="102">
        <f t="shared" si="27"/>
        <v>117</v>
      </c>
      <c r="K67" s="102">
        <f t="shared" si="27"/>
        <v>195</v>
      </c>
      <c r="L67" s="102">
        <f t="shared" si="27"/>
        <v>219</v>
      </c>
      <c r="M67" s="102">
        <f t="shared" si="27"/>
        <v>0</v>
      </c>
      <c r="N67" s="102">
        <f t="shared" si="27"/>
        <v>0</v>
      </c>
      <c r="O67" s="102">
        <f t="shared" si="27"/>
        <v>146</v>
      </c>
      <c r="P67" s="102">
        <f t="shared" si="27"/>
        <v>179</v>
      </c>
      <c r="Q67" s="102">
        <f t="shared" si="27"/>
        <v>137</v>
      </c>
      <c r="R67" s="102">
        <f t="shared" si="27"/>
        <v>126</v>
      </c>
      <c r="S67" s="102">
        <f t="shared" si="27"/>
        <v>0</v>
      </c>
      <c r="T67" s="102">
        <f t="shared" si="27"/>
        <v>63</v>
      </c>
      <c r="U67" s="102">
        <f t="shared" si="27"/>
        <v>55</v>
      </c>
      <c r="V67" s="102">
        <f t="shared" si="27"/>
        <v>113</v>
      </c>
      <c r="W67" s="102">
        <f t="shared" si="27"/>
        <v>130</v>
      </c>
      <c r="X67" s="102">
        <f t="shared" si="27"/>
        <v>142</v>
      </c>
      <c r="Y67" s="102">
        <f t="shared" si="27"/>
        <v>131</v>
      </c>
      <c r="Z67" s="102">
        <f t="shared" si="27"/>
        <v>115</v>
      </c>
      <c r="AA67" s="102">
        <f t="shared" si="27"/>
        <v>62</v>
      </c>
      <c r="AB67" s="102">
        <f t="shared" si="27"/>
        <v>20</v>
      </c>
      <c r="AC67" s="102">
        <f t="shared" si="27"/>
        <v>112</v>
      </c>
      <c r="AD67" s="102">
        <f t="shared" si="27"/>
        <v>120</v>
      </c>
      <c r="AE67" s="102">
        <f t="shared" si="27"/>
        <v>104</v>
      </c>
      <c r="AF67" s="102">
        <f t="shared" si="27"/>
        <v>176</v>
      </c>
      <c r="AG67" s="102">
        <f t="shared" si="27"/>
        <v>161</v>
      </c>
      <c r="AH67" s="102">
        <f t="shared" si="27"/>
        <v>114</v>
      </c>
      <c r="AI67" s="102">
        <f t="shared" si="27"/>
        <v>0</v>
      </c>
      <c r="AJ67" s="102">
        <f t="shared" si="25"/>
        <v>3381</v>
      </c>
    </row>
    <row r="68" spans="1:38">
      <c r="A68" s="2"/>
      <c r="B68" s="2"/>
      <c r="C68" s="532" t="s">
        <v>22</v>
      </c>
      <c r="D68" s="501"/>
      <c r="E68" s="102">
        <f t="shared" ref="E68:AI68" si="28">E26-D26</f>
        <v>0</v>
      </c>
      <c r="F68" s="102">
        <f t="shared" si="28"/>
        <v>0</v>
      </c>
      <c r="G68" s="102">
        <f t="shared" si="28"/>
        <v>0</v>
      </c>
      <c r="H68" s="102">
        <f t="shared" si="28"/>
        <v>0</v>
      </c>
      <c r="I68" s="102">
        <f t="shared" si="28"/>
        <v>0</v>
      </c>
      <c r="J68" s="102">
        <f t="shared" si="28"/>
        <v>0</v>
      </c>
      <c r="K68" s="102">
        <f t="shared" si="28"/>
        <v>0</v>
      </c>
      <c r="L68" s="102">
        <f t="shared" si="28"/>
        <v>0</v>
      </c>
      <c r="M68" s="102">
        <f t="shared" si="28"/>
        <v>0</v>
      </c>
      <c r="N68" s="102">
        <f t="shared" si="28"/>
        <v>0</v>
      </c>
      <c r="O68" s="102">
        <f t="shared" si="28"/>
        <v>0</v>
      </c>
      <c r="P68" s="102">
        <f t="shared" si="28"/>
        <v>0</v>
      </c>
      <c r="Q68" s="102">
        <f t="shared" si="28"/>
        <v>0</v>
      </c>
      <c r="R68" s="102">
        <f t="shared" si="28"/>
        <v>0</v>
      </c>
      <c r="S68" s="102">
        <f t="shared" si="28"/>
        <v>0</v>
      </c>
      <c r="T68" s="102">
        <f t="shared" si="28"/>
        <v>0</v>
      </c>
      <c r="U68" s="102">
        <f t="shared" si="28"/>
        <v>0</v>
      </c>
      <c r="V68" s="102">
        <f t="shared" si="28"/>
        <v>0</v>
      </c>
      <c r="W68" s="102">
        <f t="shared" si="28"/>
        <v>0</v>
      </c>
      <c r="X68" s="102">
        <f t="shared" si="28"/>
        <v>0</v>
      </c>
      <c r="Y68" s="102">
        <f t="shared" si="28"/>
        <v>0</v>
      </c>
      <c r="Z68" s="102">
        <f t="shared" si="28"/>
        <v>0</v>
      </c>
      <c r="AA68" s="102">
        <f t="shared" si="28"/>
        <v>0</v>
      </c>
      <c r="AB68" s="102">
        <f t="shared" si="28"/>
        <v>0</v>
      </c>
      <c r="AC68" s="102">
        <f t="shared" si="28"/>
        <v>0</v>
      </c>
      <c r="AD68" s="102">
        <f t="shared" si="28"/>
        <v>0</v>
      </c>
      <c r="AE68" s="102">
        <f t="shared" si="28"/>
        <v>0</v>
      </c>
      <c r="AF68" s="102">
        <f t="shared" si="28"/>
        <v>0</v>
      </c>
      <c r="AG68" s="102">
        <f t="shared" si="28"/>
        <v>0</v>
      </c>
      <c r="AH68" s="102">
        <f t="shared" si="28"/>
        <v>0</v>
      </c>
      <c r="AI68" s="102">
        <f t="shared" si="28"/>
        <v>0</v>
      </c>
      <c r="AJ68" s="102">
        <f t="shared" si="25"/>
        <v>0</v>
      </c>
      <c r="AK68" s="115" t="s">
        <v>20</v>
      </c>
      <c r="AL68" s="116">
        <f>AJ60</f>
        <v>56287</v>
      </c>
    </row>
    <row r="69" spans="1:38">
      <c r="A69" s="2">
        <v>3</v>
      </c>
      <c r="B69" s="2" t="s">
        <v>129</v>
      </c>
      <c r="C69" s="506" t="s">
        <v>121</v>
      </c>
      <c r="D69" s="501"/>
      <c r="E69" s="102">
        <f t="shared" ref="E69:AI69" si="29">E27-D27</f>
        <v>100</v>
      </c>
      <c r="F69" s="102">
        <f t="shared" si="29"/>
        <v>156</v>
      </c>
      <c r="G69" s="102">
        <f t="shared" si="29"/>
        <v>32</v>
      </c>
      <c r="H69" s="102">
        <f t="shared" si="29"/>
        <v>132</v>
      </c>
      <c r="I69" s="102">
        <f t="shared" si="29"/>
        <v>161</v>
      </c>
      <c r="J69" s="102">
        <f t="shared" si="29"/>
        <v>154</v>
      </c>
      <c r="K69" s="102">
        <f t="shared" si="29"/>
        <v>158</v>
      </c>
      <c r="L69" s="102">
        <f t="shared" si="29"/>
        <v>145</v>
      </c>
      <c r="M69" s="102">
        <f t="shared" si="29"/>
        <v>0</v>
      </c>
      <c r="N69" s="102">
        <f t="shared" si="29"/>
        <v>0</v>
      </c>
      <c r="O69" s="102">
        <f t="shared" si="29"/>
        <v>307</v>
      </c>
      <c r="P69" s="102">
        <f t="shared" si="29"/>
        <v>162</v>
      </c>
      <c r="Q69" s="102">
        <f t="shared" si="29"/>
        <v>123</v>
      </c>
      <c r="R69" s="102">
        <f t="shared" si="29"/>
        <v>132</v>
      </c>
      <c r="S69" s="102">
        <f t="shared" si="29"/>
        <v>0</v>
      </c>
      <c r="T69" s="102">
        <f t="shared" si="29"/>
        <v>57</v>
      </c>
      <c r="U69" s="102">
        <f t="shared" si="29"/>
        <v>48</v>
      </c>
      <c r="V69" s="102">
        <f t="shared" si="29"/>
        <v>127</v>
      </c>
      <c r="W69" s="102">
        <f t="shared" si="29"/>
        <v>139</v>
      </c>
      <c r="X69" s="102">
        <f t="shared" si="29"/>
        <v>108</v>
      </c>
      <c r="Y69" s="102">
        <f t="shared" si="29"/>
        <v>149</v>
      </c>
      <c r="Z69" s="102">
        <f t="shared" si="29"/>
        <v>144</v>
      </c>
      <c r="AA69" s="102">
        <f t="shared" si="29"/>
        <v>88</v>
      </c>
      <c r="AB69" s="102">
        <f t="shared" si="29"/>
        <v>0</v>
      </c>
      <c r="AC69" s="102">
        <f t="shared" si="29"/>
        <v>142</v>
      </c>
      <c r="AD69" s="102">
        <f t="shared" si="29"/>
        <v>111</v>
      </c>
      <c r="AE69" s="102">
        <f t="shared" si="29"/>
        <v>309</v>
      </c>
      <c r="AF69" s="102">
        <f t="shared" si="29"/>
        <v>226</v>
      </c>
      <c r="AG69" s="102">
        <f t="shared" si="29"/>
        <v>222</v>
      </c>
      <c r="AH69" s="102">
        <f t="shared" si="29"/>
        <v>171</v>
      </c>
      <c r="AI69" s="102">
        <f t="shared" si="29"/>
        <v>0</v>
      </c>
      <c r="AJ69" s="102">
        <f t="shared" si="25"/>
        <v>3803</v>
      </c>
      <c r="AK69" s="115" t="s">
        <v>21</v>
      </c>
      <c r="AL69" s="116">
        <f>AJ73</f>
        <v>12497</v>
      </c>
    </row>
    <row r="70" spans="1:38">
      <c r="A70" s="2"/>
      <c r="B70" s="2"/>
      <c r="C70" s="532" t="s">
        <v>22</v>
      </c>
      <c r="D70" s="501"/>
      <c r="E70" s="102">
        <f t="shared" ref="E70:AI70" si="30">E28-D28</f>
        <v>0</v>
      </c>
      <c r="F70" s="102">
        <f t="shared" si="30"/>
        <v>0</v>
      </c>
      <c r="G70" s="102">
        <f t="shared" si="30"/>
        <v>0</v>
      </c>
      <c r="H70" s="102">
        <f t="shared" si="30"/>
        <v>0</v>
      </c>
      <c r="I70" s="102">
        <f t="shared" si="30"/>
        <v>0</v>
      </c>
      <c r="J70" s="102">
        <f t="shared" si="30"/>
        <v>0</v>
      </c>
      <c r="K70" s="102">
        <f t="shared" si="30"/>
        <v>0</v>
      </c>
      <c r="L70" s="102">
        <f t="shared" si="30"/>
        <v>0</v>
      </c>
      <c r="M70" s="102">
        <f t="shared" si="30"/>
        <v>0</v>
      </c>
      <c r="N70" s="102">
        <f t="shared" si="30"/>
        <v>0</v>
      </c>
      <c r="O70" s="102">
        <f t="shared" si="30"/>
        <v>0</v>
      </c>
      <c r="P70" s="102">
        <f t="shared" si="30"/>
        <v>0</v>
      </c>
      <c r="Q70" s="102">
        <f t="shared" si="30"/>
        <v>0</v>
      </c>
      <c r="R70" s="102">
        <f t="shared" si="30"/>
        <v>0</v>
      </c>
      <c r="S70" s="102">
        <f t="shared" si="30"/>
        <v>0</v>
      </c>
      <c r="T70" s="102">
        <f t="shared" si="30"/>
        <v>0</v>
      </c>
      <c r="U70" s="102">
        <f t="shared" si="30"/>
        <v>0</v>
      </c>
      <c r="V70" s="102">
        <f t="shared" si="30"/>
        <v>0</v>
      </c>
      <c r="W70" s="102">
        <f t="shared" si="30"/>
        <v>0</v>
      </c>
      <c r="X70" s="102">
        <f t="shared" si="30"/>
        <v>0</v>
      </c>
      <c r="Y70" s="102">
        <f t="shared" si="30"/>
        <v>0</v>
      </c>
      <c r="Z70" s="102">
        <f t="shared" si="30"/>
        <v>0</v>
      </c>
      <c r="AA70" s="102">
        <f t="shared" si="30"/>
        <v>0</v>
      </c>
      <c r="AB70" s="102">
        <f t="shared" si="30"/>
        <v>0</v>
      </c>
      <c r="AC70" s="102">
        <f t="shared" si="30"/>
        <v>0</v>
      </c>
      <c r="AD70" s="102">
        <f t="shared" si="30"/>
        <v>0</v>
      </c>
      <c r="AE70" s="102">
        <f t="shared" si="30"/>
        <v>0</v>
      </c>
      <c r="AF70" s="102">
        <f t="shared" si="30"/>
        <v>0</v>
      </c>
      <c r="AG70" s="102">
        <f t="shared" si="30"/>
        <v>0</v>
      </c>
      <c r="AH70" s="102">
        <f t="shared" si="30"/>
        <v>0</v>
      </c>
      <c r="AI70" s="102">
        <f t="shared" si="30"/>
        <v>0</v>
      </c>
      <c r="AJ70" s="102">
        <f t="shared" si="25"/>
        <v>0</v>
      </c>
      <c r="AK70" s="115" t="s">
        <v>23</v>
      </c>
      <c r="AL70" s="116">
        <f>AJ79*40%</f>
        <v>35103.200000000004</v>
      </c>
    </row>
    <row r="71" spans="1:38">
      <c r="A71" s="2">
        <v>4</v>
      </c>
      <c r="B71" s="2" t="s">
        <v>129</v>
      </c>
      <c r="C71" s="506" t="s">
        <v>122</v>
      </c>
      <c r="D71" s="501"/>
      <c r="E71" s="102">
        <f t="shared" ref="E71:AI71" si="31">E29-D29</f>
        <v>91</v>
      </c>
      <c r="F71" s="102">
        <f t="shared" si="31"/>
        <v>40</v>
      </c>
      <c r="G71" s="102">
        <f t="shared" si="31"/>
        <v>16</v>
      </c>
      <c r="H71" s="102">
        <f t="shared" si="31"/>
        <v>93</v>
      </c>
      <c r="I71" s="102">
        <f t="shared" si="31"/>
        <v>93</v>
      </c>
      <c r="J71" s="102">
        <f t="shared" si="31"/>
        <v>98</v>
      </c>
      <c r="K71" s="102">
        <f t="shared" si="31"/>
        <v>94</v>
      </c>
      <c r="L71" s="102">
        <f t="shared" si="31"/>
        <v>87</v>
      </c>
      <c r="M71" s="102">
        <f t="shared" si="31"/>
        <v>0</v>
      </c>
      <c r="N71" s="102">
        <f t="shared" si="31"/>
        <v>0</v>
      </c>
      <c r="O71" s="102">
        <f t="shared" si="31"/>
        <v>109</v>
      </c>
      <c r="P71" s="102">
        <f t="shared" si="31"/>
        <v>78</v>
      </c>
      <c r="Q71" s="102">
        <f t="shared" si="31"/>
        <v>63</v>
      </c>
      <c r="R71" s="102">
        <f t="shared" si="31"/>
        <v>65</v>
      </c>
      <c r="S71" s="102">
        <f t="shared" si="31"/>
        <v>0</v>
      </c>
      <c r="T71" s="102">
        <f t="shared" si="31"/>
        <v>42</v>
      </c>
      <c r="U71" s="102">
        <f t="shared" si="31"/>
        <v>34</v>
      </c>
      <c r="V71" s="102">
        <f t="shared" si="31"/>
        <v>81</v>
      </c>
      <c r="W71" s="102">
        <f t="shared" si="31"/>
        <v>85</v>
      </c>
      <c r="X71" s="102">
        <f t="shared" si="31"/>
        <v>100</v>
      </c>
      <c r="Y71" s="102">
        <f t="shared" si="31"/>
        <v>102</v>
      </c>
      <c r="Z71" s="102">
        <f t="shared" si="31"/>
        <v>110</v>
      </c>
      <c r="AA71" s="102">
        <f t="shared" si="31"/>
        <v>4</v>
      </c>
      <c r="AB71" s="102">
        <f t="shared" si="31"/>
        <v>0</v>
      </c>
      <c r="AC71" s="102">
        <f t="shared" si="31"/>
        <v>113</v>
      </c>
      <c r="AD71" s="102">
        <f t="shared" si="31"/>
        <v>98</v>
      </c>
      <c r="AE71" s="102">
        <f t="shared" si="31"/>
        <v>106</v>
      </c>
      <c r="AF71" s="102">
        <f t="shared" si="31"/>
        <v>169</v>
      </c>
      <c r="AG71" s="102">
        <f t="shared" si="31"/>
        <v>133</v>
      </c>
      <c r="AH71" s="102">
        <f t="shared" si="31"/>
        <v>109</v>
      </c>
      <c r="AI71" s="102">
        <f t="shared" si="31"/>
        <v>0</v>
      </c>
      <c r="AJ71" s="102">
        <f t="shared" si="25"/>
        <v>2213</v>
      </c>
      <c r="AK71" s="117" t="s">
        <v>22</v>
      </c>
      <c r="AL71" s="118">
        <f>AJ74+AJ61</f>
        <v>0</v>
      </c>
    </row>
    <row r="72" spans="1:38">
      <c r="A72" s="2"/>
      <c r="B72" s="2"/>
      <c r="C72" s="532" t="s">
        <v>22</v>
      </c>
      <c r="D72" s="501"/>
      <c r="E72" s="102">
        <f t="shared" ref="E72:AI72" si="32">E30-D30</f>
        <v>0</v>
      </c>
      <c r="F72" s="102">
        <f t="shared" si="32"/>
        <v>0</v>
      </c>
      <c r="G72" s="102">
        <f t="shared" si="32"/>
        <v>0</v>
      </c>
      <c r="H72" s="102">
        <f t="shared" si="32"/>
        <v>0</v>
      </c>
      <c r="I72" s="102">
        <f t="shared" si="32"/>
        <v>0</v>
      </c>
      <c r="J72" s="102">
        <f t="shared" si="32"/>
        <v>0</v>
      </c>
      <c r="K72" s="102">
        <f t="shared" si="32"/>
        <v>0</v>
      </c>
      <c r="L72" s="102">
        <f t="shared" si="32"/>
        <v>0</v>
      </c>
      <c r="M72" s="102">
        <f t="shared" si="32"/>
        <v>0</v>
      </c>
      <c r="N72" s="102">
        <f t="shared" si="32"/>
        <v>0</v>
      </c>
      <c r="O72" s="102">
        <f t="shared" si="32"/>
        <v>0</v>
      </c>
      <c r="P72" s="102">
        <f t="shared" si="32"/>
        <v>0</v>
      </c>
      <c r="Q72" s="102">
        <f t="shared" si="32"/>
        <v>0</v>
      </c>
      <c r="R72" s="102">
        <f t="shared" si="32"/>
        <v>0</v>
      </c>
      <c r="S72" s="102">
        <f t="shared" si="32"/>
        <v>0</v>
      </c>
      <c r="T72" s="102">
        <f t="shared" si="32"/>
        <v>0</v>
      </c>
      <c r="U72" s="102">
        <f t="shared" si="32"/>
        <v>0</v>
      </c>
      <c r="V72" s="102">
        <f t="shared" si="32"/>
        <v>0</v>
      </c>
      <c r="W72" s="102">
        <f t="shared" si="32"/>
        <v>0</v>
      </c>
      <c r="X72" s="102">
        <f t="shared" si="32"/>
        <v>0</v>
      </c>
      <c r="Y72" s="102">
        <f t="shared" si="32"/>
        <v>0</v>
      </c>
      <c r="Z72" s="102">
        <f t="shared" si="32"/>
        <v>0</v>
      </c>
      <c r="AA72" s="102">
        <f t="shared" si="32"/>
        <v>0</v>
      </c>
      <c r="AB72" s="102">
        <f t="shared" si="32"/>
        <v>0</v>
      </c>
      <c r="AC72" s="102">
        <f t="shared" si="32"/>
        <v>0</v>
      </c>
      <c r="AD72" s="102">
        <f t="shared" si="32"/>
        <v>0</v>
      </c>
      <c r="AE72" s="102">
        <f t="shared" si="32"/>
        <v>0</v>
      </c>
      <c r="AF72" s="102">
        <f t="shared" si="32"/>
        <v>0</v>
      </c>
      <c r="AG72" s="102">
        <f t="shared" si="32"/>
        <v>0</v>
      </c>
      <c r="AH72" s="102">
        <f t="shared" si="32"/>
        <v>0</v>
      </c>
      <c r="AI72" s="102">
        <f t="shared" si="32"/>
        <v>0</v>
      </c>
      <c r="AJ72" s="102">
        <f t="shared" si="25"/>
        <v>0</v>
      </c>
    </row>
    <row r="73" spans="1:38" ht="15" customHeight="1">
      <c r="A73" s="99"/>
      <c r="B73" s="99"/>
      <c r="C73" s="500" t="s">
        <v>134</v>
      </c>
      <c r="D73" s="501"/>
      <c r="E73" s="23">
        <f t="shared" ref="E73:AI73" si="33">SUM(E65,E67,E69,E71)</f>
        <v>449</v>
      </c>
      <c r="F73" s="23">
        <f t="shared" si="33"/>
        <v>392</v>
      </c>
      <c r="G73" s="23">
        <f t="shared" si="33"/>
        <v>114</v>
      </c>
      <c r="H73" s="23">
        <f t="shared" si="33"/>
        <v>456</v>
      </c>
      <c r="I73" s="23">
        <f t="shared" si="33"/>
        <v>529</v>
      </c>
      <c r="J73" s="23">
        <f t="shared" si="33"/>
        <v>470</v>
      </c>
      <c r="K73" s="23">
        <f t="shared" si="33"/>
        <v>562</v>
      </c>
      <c r="L73" s="23">
        <f t="shared" si="33"/>
        <v>593</v>
      </c>
      <c r="M73" s="23">
        <f t="shared" si="33"/>
        <v>0</v>
      </c>
      <c r="N73" s="23">
        <f t="shared" si="33"/>
        <v>15</v>
      </c>
      <c r="O73" s="23">
        <f t="shared" si="33"/>
        <v>667</v>
      </c>
      <c r="P73" s="23">
        <f t="shared" si="33"/>
        <v>572</v>
      </c>
      <c r="Q73" s="23">
        <f t="shared" si="33"/>
        <v>444</v>
      </c>
      <c r="R73" s="23">
        <f t="shared" si="33"/>
        <v>464</v>
      </c>
      <c r="S73" s="23">
        <f t="shared" si="33"/>
        <v>0</v>
      </c>
      <c r="T73" s="23">
        <f t="shared" si="33"/>
        <v>258</v>
      </c>
      <c r="U73" s="23">
        <f t="shared" si="33"/>
        <v>195</v>
      </c>
      <c r="V73" s="23">
        <f t="shared" si="33"/>
        <v>461</v>
      </c>
      <c r="W73" s="23">
        <f t="shared" si="33"/>
        <v>530</v>
      </c>
      <c r="X73" s="23">
        <f t="shared" si="33"/>
        <v>516</v>
      </c>
      <c r="Y73" s="23">
        <f t="shared" si="33"/>
        <v>551</v>
      </c>
      <c r="Z73" s="23">
        <f t="shared" si="33"/>
        <v>522</v>
      </c>
      <c r="AA73" s="23">
        <f t="shared" si="33"/>
        <v>254</v>
      </c>
      <c r="AB73" s="23">
        <f t="shared" si="33"/>
        <v>20</v>
      </c>
      <c r="AC73" s="23">
        <f t="shared" si="33"/>
        <v>492</v>
      </c>
      <c r="AD73" s="23">
        <f t="shared" si="33"/>
        <v>418</v>
      </c>
      <c r="AE73" s="23">
        <f t="shared" si="33"/>
        <v>601</v>
      </c>
      <c r="AF73" s="23">
        <f t="shared" si="33"/>
        <v>718</v>
      </c>
      <c r="AG73" s="23">
        <f t="shared" si="33"/>
        <v>685</v>
      </c>
      <c r="AH73" s="23">
        <f t="shared" si="33"/>
        <v>549</v>
      </c>
      <c r="AI73" s="23">
        <f t="shared" si="33"/>
        <v>0</v>
      </c>
      <c r="AJ73" s="24">
        <f t="shared" si="25"/>
        <v>12497</v>
      </c>
    </row>
    <row r="74" spans="1:38" ht="15" customHeight="1">
      <c r="A74" s="99"/>
      <c r="B74" s="99"/>
      <c r="C74" s="513" t="s">
        <v>135</v>
      </c>
      <c r="D74" s="501"/>
      <c r="E74" s="23">
        <f t="shared" ref="E74:AI74" si="34">SUM(E66,E68,E70,E72)</f>
        <v>0</v>
      </c>
      <c r="F74" s="23">
        <f t="shared" si="34"/>
        <v>0</v>
      </c>
      <c r="G74" s="23">
        <f t="shared" si="34"/>
        <v>0</v>
      </c>
      <c r="H74" s="23">
        <f t="shared" si="34"/>
        <v>0</v>
      </c>
      <c r="I74" s="23">
        <f t="shared" si="34"/>
        <v>0</v>
      </c>
      <c r="J74" s="23">
        <f t="shared" si="34"/>
        <v>0</v>
      </c>
      <c r="K74" s="23">
        <f t="shared" si="34"/>
        <v>0</v>
      </c>
      <c r="L74" s="23">
        <f t="shared" si="34"/>
        <v>0</v>
      </c>
      <c r="M74" s="23">
        <f t="shared" si="34"/>
        <v>0</v>
      </c>
      <c r="N74" s="23">
        <f t="shared" si="34"/>
        <v>0</v>
      </c>
      <c r="O74" s="23">
        <f t="shared" si="34"/>
        <v>0</v>
      </c>
      <c r="P74" s="23">
        <f t="shared" si="34"/>
        <v>0</v>
      </c>
      <c r="Q74" s="23">
        <f t="shared" si="34"/>
        <v>0</v>
      </c>
      <c r="R74" s="23">
        <f t="shared" si="34"/>
        <v>0</v>
      </c>
      <c r="S74" s="23">
        <f t="shared" si="34"/>
        <v>0</v>
      </c>
      <c r="T74" s="23">
        <f t="shared" si="34"/>
        <v>0</v>
      </c>
      <c r="U74" s="23">
        <f t="shared" si="34"/>
        <v>0</v>
      </c>
      <c r="V74" s="23">
        <f t="shared" si="34"/>
        <v>0</v>
      </c>
      <c r="W74" s="23">
        <f t="shared" si="34"/>
        <v>0</v>
      </c>
      <c r="X74" s="23">
        <f t="shared" si="34"/>
        <v>0</v>
      </c>
      <c r="Y74" s="23">
        <f t="shared" si="34"/>
        <v>0</v>
      </c>
      <c r="Z74" s="23">
        <f t="shared" si="34"/>
        <v>0</v>
      </c>
      <c r="AA74" s="23">
        <f t="shared" si="34"/>
        <v>0</v>
      </c>
      <c r="AB74" s="23">
        <f t="shared" si="34"/>
        <v>0</v>
      </c>
      <c r="AC74" s="23">
        <f t="shared" si="34"/>
        <v>0</v>
      </c>
      <c r="AD74" s="23">
        <f t="shared" si="34"/>
        <v>0</v>
      </c>
      <c r="AE74" s="23">
        <f t="shared" si="34"/>
        <v>0</v>
      </c>
      <c r="AF74" s="23">
        <f t="shared" si="34"/>
        <v>0</v>
      </c>
      <c r="AG74" s="23">
        <f t="shared" si="34"/>
        <v>0</v>
      </c>
      <c r="AH74" s="23">
        <f t="shared" si="34"/>
        <v>0</v>
      </c>
      <c r="AI74" s="23">
        <f t="shared" si="34"/>
        <v>0</v>
      </c>
      <c r="AJ74" s="24">
        <f t="shared" si="25"/>
        <v>0</v>
      </c>
    </row>
    <row r="75" spans="1:38">
      <c r="A75" s="2">
        <v>1</v>
      </c>
      <c r="B75" s="2" t="s">
        <v>129</v>
      </c>
      <c r="C75" s="503" t="s">
        <v>123</v>
      </c>
      <c r="D75" s="501"/>
      <c r="E75" s="102">
        <f t="shared" ref="E75:AI75" si="35">E32-D32</f>
        <v>1089</v>
      </c>
      <c r="F75" s="102">
        <f t="shared" si="35"/>
        <v>918</v>
      </c>
      <c r="G75" s="102">
        <f t="shared" si="35"/>
        <v>584</v>
      </c>
      <c r="H75" s="102">
        <f t="shared" si="35"/>
        <v>1113</v>
      </c>
      <c r="I75" s="102">
        <f t="shared" si="35"/>
        <v>1189</v>
      </c>
      <c r="J75" s="102">
        <f t="shared" si="35"/>
        <v>1394</v>
      </c>
      <c r="K75" s="102">
        <f t="shared" si="35"/>
        <v>838</v>
      </c>
      <c r="L75" s="102">
        <f t="shared" si="35"/>
        <v>917</v>
      </c>
      <c r="M75" s="102">
        <f t="shared" si="35"/>
        <v>0</v>
      </c>
      <c r="N75" s="102">
        <f t="shared" si="35"/>
        <v>216</v>
      </c>
      <c r="O75" s="102">
        <f t="shared" si="35"/>
        <v>1236</v>
      </c>
      <c r="P75" s="102">
        <f t="shared" si="35"/>
        <v>1510</v>
      </c>
      <c r="Q75" s="102">
        <f t="shared" si="35"/>
        <v>1298</v>
      </c>
      <c r="R75" s="102">
        <f t="shared" si="35"/>
        <v>974</v>
      </c>
      <c r="S75" s="102">
        <f t="shared" si="35"/>
        <v>0</v>
      </c>
      <c r="T75" s="102">
        <f t="shared" si="35"/>
        <v>522</v>
      </c>
      <c r="U75" s="102">
        <f t="shared" si="35"/>
        <v>394</v>
      </c>
      <c r="V75" s="102">
        <f t="shared" si="35"/>
        <v>1313</v>
      </c>
      <c r="W75" s="102">
        <f t="shared" si="35"/>
        <v>1550</v>
      </c>
      <c r="X75" s="102">
        <f t="shared" si="35"/>
        <v>1055</v>
      </c>
      <c r="Y75" s="102">
        <f t="shared" si="35"/>
        <v>563</v>
      </c>
      <c r="Z75" s="102">
        <f t="shared" si="35"/>
        <v>679</v>
      </c>
      <c r="AA75" s="102">
        <f t="shared" si="35"/>
        <v>477</v>
      </c>
      <c r="AB75" s="102">
        <f t="shared" si="35"/>
        <v>19</v>
      </c>
      <c r="AC75" s="102">
        <f t="shared" si="35"/>
        <v>574</v>
      </c>
      <c r="AD75" s="102">
        <f t="shared" si="35"/>
        <v>553</v>
      </c>
      <c r="AE75" s="102">
        <f t="shared" si="35"/>
        <v>461</v>
      </c>
      <c r="AF75" s="102">
        <f t="shared" si="35"/>
        <v>630</v>
      </c>
      <c r="AG75" s="102">
        <f t="shared" si="35"/>
        <v>649</v>
      </c>
      <c r="AH75" s="102">
        <f t="shared" si="35"/>
        <v>422</v>
      </c>
      <c r="AI75" s="102">
        <f t="shared" si="35"/>
        <v>0</v>
      </c>
      <c r="AJ75" s="102">
        <f t="shared" si="25"/>
        <v>23137</v>
      </c>
    </row>
    <row r="76" spans="1:38">
      <c r="A76" s="2">
        <v>2</v>
      </c>
      <c r="B76" s="2" t="s">
        <v>129</v>
      </c>
      <c r="C76" s="503" t="s">
        <v>124</v>
      </c>
      <c r="D76" s="501"/>
      <c r="E76" s="102">
        <f t="shared" ref="E76:AI76" si="36">E33-D33</f>
        <v>851</v>
      </c>
      <c r="F76" s="102">
        <f t="shared" si="36"/>
        <v>856</v>
      </c>
      <c r="G76" s="102">
        <f t="shared" si="36"/>
        <v>0</v>
      </c>
      <c r="H76" s="102">
        <f t="shared" si="36"/>
        <v>1364</v>
      </c>
      <c r="I76" s="102">
        <f t="shared" si="36"/>
        <v>960</v>
      </c>
      <c r="J76" s="102">
        <f t="shared" si="36"/>
        <v>853</v>
      </c>
      <c r="K76" s="102">
        <f t="shared" si="36"/>
        <v>1048</v>
      </c>
      <c r="L76" s="102">
        <f t="shared" si="36"/>
        <v>1042</v>
      </c>
      <c r="M76" s="102">
        <f t="shared" si="36"/>
        <v>0</v>
      </c>
      <c r="N76" s="102">
        <f t="shared" si="36"/>
        <v>111</v>
      </c>
      <c r="O76" s="102">
        <f t="shared" si="36"/>
        <v>954</v>
      </c>
      <c r="P76" s="102">
        <f t="shared" si="36"/>
        <v>911</v>
      </c>
      <c r="Q76" s="102">
        <f t="shared" si="36"/>
        <v>1018</v>
      </c>
      <c r="R76" s="102">
        <f t="shared" si="36"/>
        <v>517</v>
      </c>
      <c r="S76" s="102">
        <f t="shared" si="36"/>
        <v>0</v>
      </c>
      <c r="T76" s="102">
        <f t="shared" si="36"/>
        <v>528</v>
      </c>
      <c r="U76" s="102">
        <f t="shared" si="36"/>
        <v>392</v>
      </c>
      <c r="V76" s="102">
        <f t="shared" si="36"/>
        <v>1081</v>
      </c>
      <c r="W76" s="102">
        <f t="shared" si="36"/>
        <v>1264</v>
      </c>
      <c r="X76" s="102">
        <f t="shared" si="36"/>
        <v>873</v>
      </c>
      <c r="Y76" s="102">
        <f t="shared" si="36"/>
        <v>657</v>
      </c>
      <c r="Z76" s="102">
        <f t="shared" si="36"/>
        <v>758</v>
      </c>
      <c r="AA76" s="102">
        <f t="shared" si="36"/>
        <v>459</v>
      </c>
      <c r="AB76" s="102">
        <f t="shared" si="36"/>
        <v>14</v>
      </c>
      <c r="AC76" s="102">
        <f t="shared" si="36"/>
        <v>761</v>
      </c>
      <c r="AD76" s="102">
        <f t="shared" si="36"/>
        <v>635</v>
      </c>
      <c r="AE76" s="102">
        <f t="shared" si="36"/>
        <v>462</v>
      </c>
      <c r="AF76" s="102">
        <f t="shared" si="36"/>
        <v>800</v>
      </c>
      <c r="AG76" s="102">
        <f t="shared" si="36"/>
        <v>769</v>
      </c>
      <c r="AH76" s="102">
        <f t="shared" si="36"/>
        <v>536</v>
      </c>
      <c r="AI76" s="102">
        <f t="shared" si="36"/>
        <v>0</v>
      </c>
      <c r="AJ76" s="102">
        <f t="shared" si="25"/>
        <v>20474</v>
      </c>
    </row>
    <row r="77" spans="1:38">
      <c r="A77" s="2">
        <v>3</v>
      </c>
      <c r="B77" s="2" t="s">
        <v>129</v>
      </c>
      <c r="C77" s="503" t="s">
        <v>125</v>
      </c>
      <c r="D77" s="501"/>
      <c r="E77" s="102">
        <f t="shared" ref="E77:AI77" si="37">E34-D34</f>
        <v>1051</v>
      </c>
      <c r="F77" s="102">
        <f t="shared" si="37"/>
        <v>808</v>
      </c>
      <c r="G77" s="102">
        <f t="shared" si="37"/>
        <v>290</v>
      </c>
      <c r="H77" s="102">
        <f t="shared" si="37"/>
        <v>1333</v>
      </c>
      <c r="I77" s="102">
        <f t="shared" si="37"/>
        <v>949</v>
      </c>
      <c r="J77" s="102">
        <f t="shared" si="37"/>
        <v>915</v>
      </c>
      <c r="K77" s="102">
        <f t="shared" si="37"/>
        <v>1022</v>
      </c>
      <c r="L77" s="102">
        <f t="shared" si="37"/>
        <v>727</v>
      </c>
      <c r="M77" s="102">
        <f t="shared" si="37"/>
        <v>0</v>
      </c>
      <c r="N77" s="102">
        <f t="shared" si="37"/>
        <v>405</v>
      </c>
      <c r="O77" s="102">
        <f t="shared" si="37"/>
        <v>1535</v>
      </c>
      <c r="P77" s="102">
        <f t="shared" si="37"/>
        <v>1173</v>
      </c>
      <c r="Q77" s="102">
        <f t="shared" si="37"/>
        <v>1024</v>
      </c>
      <c r="R77" s="102">
        <f t="shared" si="37"/>
        <v>610</v>
      </c>
      <c r="S77" s="102">
        <f t="shared" si="37"/>
        <v>0</v>
      </c>
      <c r="T77" s="102">
        <f t="shared" si="37"/>
        <v>626</v>
      </c>
      <c r="U77" s="102">
        <f t="shared" si="37"/>
        <v>524</v>
      </c>
      <c r="V77" s="102">
        <f t="shared" si="37"/>
        <v>1046</v>
      </c>
      <c r="W77" s="102">
        <f t="shared" si="37"/>
        <v>901</v>
      </c>
      <c r="X77" s="102">
        <f t="shared" si="37"/>
        <v>914</v>
      </c>
      <c r="Y77" s="102">
        <f t="shared" si="37"/>
        <v>584</v>
      </c>
      <c r="Z77" s="102">
        <f t="shared" si="37"/>
        <v>702</v>
      </c>
      <c r="AA77" s="102">
        <f t="shared" si="37"/>
        <v>506</v>
      </c>
      <c r="AB77" s="102">
        <f t="shared" si="37"/>
        <v>9</v>
      </c>
      <c r="AC77" s="102">
        <f t="shared" si="37"/>
        <v>753</v>
      </c>
      <c r="AD77" s="102">
        <f t="shared" si="37"/>
        <v>844</v>
      </c>
      <c r="AE77" s="102">
        <f t="shared" si="37"/>
        <v>902</v>
      </c>
      <c r="AF77" s="102">
        <f t="shared" si="37"/>
        <v>845</v>
      </c>
      <c r="AG77" s="102">
        <f t="shared" si="37"/>
        <v>995</v>
      </c>
      <c r="AH77" s="102">
        <f t="shared" si="37"/>
        <v>653</v>
      </c>
      <c r="AI77" s="102">
        <f t="shared" si="37"/>
        <v>0</v>
      </c>
      <c r="AJ77" s="102">
        <f t="shared" si="25"/>
        <v>22646</v>
      </c>
    </row>
    <row r="78" spans="1:38">
      <c r="A78" s="2">
        <v>4</v>
      </c>
      <c r="B78" s="2" t="s">
        <v>129</v>
      </c>
      <c r="C78" s="503" t="s">
        <v>126</v>
      </c>
      <c r="D78" s="501"/>
      <c r="E78" s="102">
        <f t="shared" ref="E78:AI78" si="38">E35-D35</f>
        <v>966</v>
      </c>
      <c r="F78" s="102">
        <f t="shared" si="38"/>
        <v>569</v>
      </c>
      <c r="G78" s="102">
        <f t="shared" si="38"/>
        <v>0</v>
      </c>
      <c r="H78" s="102">
        <f t="shared" si="38"/>
        <v>1065</v>
      </c>
      <c r="I78" s="102">
        <f t="shared" si="38"/>
        <v>1011</v>
      </c>
      <c r="J78" s="102">
        <f t="shared" si="38"/>
        <v>1001</v>
      </c>
      <c r="K78" s="102">
        <f t="shared" si="38"/>
        <v>989</v>
      </c>
      <c r="L78" s="102">
        <f t="shared" si="38"/>
        <v>1011</v>
      </c>
      <c r="M78" s="102">
        <f t="shared" si="38"/>
        <v>0</v>
      </c>
      <c r="N78" s="102">
        <f t="shared" si="38"/>
        <v>297</v>
      </c>
      <c r="O78" s="102">
        <f t="shared" si="38"/>
        <v>1085</v>
      </c>
      <c r="P78" s="102">
        <f t="shared" si="38"/>
        <v>986</v>
      </c>
      <c r="Q78" s="102">
        <f t="shared" si="38"/>
        <v>844</v>
      </c>
      <c r="R78" s="102">
        <f t="shared" si="38"/>
        <v>680</v>
      </c>
      <c r="S78" s="102">
        <f t="shared" si="38"/>
        <v>0</v>
      </c>
      <c r="T78" s="102">
        <f t="shared" si="38"/>
        <v>337</v>
      </c>
      <c r="U78" s="102">
        <f t="shared" si="38"/>
        <v>191</v>
      </c>
      <c r="V78" s="102">
        <f t="shared" si="38"/>
        <v>948</v>
      </c>
      <c r="W78" s="102">
        <f t="shared" si="38"/>
        <v>1052</v>
      </c>
      <c r="X78" s="102">
        <f t="shared" si="38"/>
        <v>1024</v>
      </c>
      <c r="Y78" s="102">
        <f t="shared" si="38"/>
        <v>914</v>
      </c>
      <c r="Z78" s="102">
        <f t="shared" si="38"/>
        <v>842</v>
      </c>
      <c r="AA78" s="102">
        <f t="shared" si="38"/>
        <v>183</v>
      </c>
      <c r="AB78" s="102">
        <f t="shared" si="38"/>
        <v>58</v>
      </c>
      <c r="AC78" s="102">
        <f t="shared" si="38"/>
        <v>915</v>
      </c>
      <c r="AD78" s="102">
        <f t="shared" si="38"/>
        <v>1008</v>
      </c>
      <c r="AE78" s="102">
        <f t="shared" si="38"/>
        <v>713</v>
      </c>
      <c r="AF78" s="102">
        <f t="shared" si="38"/>
        <v>1083</v>
      </c>
      <c r="AG78" s="102">
        <f t="shared" si="38"/>
        <v>1131</v>
      </c>
      <c r="AH78" s="102">
        <f t="shared" si="38"/>
        <v>598</v>
      </c>
      <c r="AI78" s="102">
        <f t="shared" si="38"/>
        <v>0</v>
      </c>
      <c r="AJ78" s="102">
        <f t="shared" si="25"/>
        <v>21501</v>
      </c>
    </row>
    <row r="79" spans="1:38" ht="15" customHeight="1">
      <c r="A79" s="99"/>
      <c r="B79" s="99"/>
      <c r="C79" s="500" t="s">
        <v>136</v>
      </c>
      <c r="D79" s="501"/>
      <c r="E79" s="23">
        <f t="shared" ref="E79:AJ79" si="39">SUM(E75:E78)</f>
        <v>3957</v>
      </c>
      <c r="F79" s="23">
        <f t="shared" si="39"/>
        <v>3151</v>
      </c>
      <c r="G79" s="23">
        <f t="shared" si="39"/>
        <v>874</v>
      </c>
      <c r="H79" s="23">
        <f t="shared" si="39"/>
        <v>4875</v>
      </c>
      <c r="I79" s="23">
        <f t="shared" si="39"/>
        <v>4109</v>
      </c>
      <c r="J79" s="23">
        <f t="shared" si="39"/>
        <v>4163</v>
      </c>
      <c r="K79" s="23">
        <f t="shared" si="39"/>
        <v>3897</v>
      </c>
      <c r="L79" s="23">
        <f t="shared" si="39"/>
        <v>3697</v>
      </c>
      <c r="M79" s="23">
        <f t="shared" si="39"/>
        <v>0</v>
      </c>
      <c r="N79" s="23">
        <f t="shared" si="39"/>
        <v>1029</v>
      </c>
      <c r="O79" s="23">
        <f t="shared" si="39"/>
        <v>4810</v>
      </c>
      <c r="P79" s="23">
        <f t="shared" si="39"/>
        <v>4580</v>
      </c>
      <c r="Q79" s="23">
        <f t="shared" si="39"/>
        <v>4184</v>
      </c>
      <c r="R79" s="23">
        <f t="shared" si="39"/>
        <v>2781</v>
      </c>
      <c r="S79" s="23">
        <f t="shared" si="39"/>
        <v>0</v>
      </c>
      <c r="T79" s="23">
        <f t="shared" si="39"/>
        <v>2013</v>
      </c>
      <c r="U79" s="23">
        <f t="shared" si="39"/>
        <v>1501</v>
      </c>
      <c r="V79" s="23">
        <f t="shared" si="39"/>
        <v>4388</v>
      </c>
      <c r="W79" s="23">
        <f t="shared" si="39"/>
        <v>4767</v>
      </c>
      <c r="X79" s="23">
        <f t="shared" si="39"/>
        <v>3866</v>
      </c>
      <c r="Y79" s="23">
        <f t="shared" si="39"/>
        <v>2718</v>
      </c>
      <c r="Z79" s="23">
        <f t="shared" si="39"/>
        <v>2981</v>
      </c>
      <c r="AA79" s="23">
        <f t="shared" si="39"/>
        <v>1625</v>
      </c>
      <c r="AB79" s="23">
        <f t="shared" si="39"/>
        <v>100</v>
      </c>
      <c r="AC79" s="23">
        <f t="shared" si="39"/>
        <v>3003</v>
      </c>
      <c r="AD79" s="23">
        <f t="shared" si="39"/>
        <v>3040</v>
      </c>
      <c r="AE79" s="23">
        <f t="shared" si="39"/>
        <v>2538</v>
      </c>
      <c r="AF79" s="23">
        <f t="shared" si="39"/>
        <v>3358</v>
      </c>
      <c r="AG79" s="23">
        <f t="shared" si="39"/>
        <v>3544</v>
      </c>
      <c r="AH79" s="23">
        <f t="shared" si="39"/>
        <v>2209</v>
      </c>
      <c r="AI79" s="23">
        <f t="shared" si="39"/>
        <v>0</v>
      </c>
      <c r="AJ79" s="24">
        <f t="shared" si="39"/>
        <v>87758</v>
      </c>
    </row>
    <row r="87" spans="33:33">
      <c r="AG87" s="64"/>
    </row>
  </sheetData>
  <mergeCells count="49">
    <mergeCell ref="AJ40:AJ43"/>
    <mergeCell ref="C62:D62"/>
    <mergeCell ref="C68:D68"/>
    <mergeCell ref="C40:D43"/>
    <mergeCell ref="C58:D58"/>
    <mergeCell ref="C45:D45"/>
    <mergeCell ref="C67:D67"/>
    <mergeCell ref="C57:D57"/>
    <mergeCell ref="C66:D66"/>
    <mergeCell ref="C53:D53"/>
    <mergeCell ref="AJ2:AJ5"/>
    <mergeCell ref="E1:AH1"/>
    <mergeCell ref="C74:D74"/>
    <mergeCell ref="C64:D64"/>
    <mergeCell ref="B2:B5"/>
    <mergeCell ref="A1:D1"/>
    <mergeCell ref="A22:AJ22"/>
    <mergeCell ref="C60:D60"/>
    <mergeCell ref="C51:D51"/>
    <mergeCell ref="A2:A5"/>
    <mergeCell ref="C71:D71"/>
    <mergeCell ref="C2:C5"/>
    <mergeCell ref="C52:D52"/>
    <mergeCell ref="C70:D70"/>
    <mergeCell ref="C48:D48"/>
    <mergeCell ref="A31:AJ31"/>
    <mergeCell ref="B38:D38"/>
    <mergeCell ref="D2:D5"/>
    <mergeCell ref="C73:D73"/>
    <mergeCell ref="C47:D47"/>
    <mergeCell ref="C54:D54"/>
    <mergeCell ref="C65:D65"/>
    <mergeCell ref="C55:D55"/>
    <mergeCell ref="C50:D50"/>
    <mergeCell ref="C44:D44"/>
    <mergeCell ref="C56:D56"/>
    <mergeCell ref="C59:D59"/>
    <mergeCell ref="C49:D49"/>
    <mergeCell ref="C46:D46"/>
    <mergeCell ref="B40:B43"/>
    <mergeCell ref="C72:D72"/>
    <mergeCell ref="B39:D39"/>
    <mergeCell ref="C78:D78"/>
    <mergeCell ref="C69:D69"/>
    <mergeCell ref="A40:A43"/>
    <mergeCell ref="C79:D79"/>
    <mergeCell ref="C75:D75"/>
    <mergeCell ref="C77:D77"/>
    <mergeCell ref="C76:D7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L87"/>
  <sheetViews>
    <sheetView topLeftCell="AD56" zoomScale="96" zoomScaleNormal="96" workbookViewId="0">
      <selection activeCell="AL70" sqref="AL70"/>
    </sheetView>
  </sheetViews>
  <sheetFormatPr defaultRowHeight="14.5"/>
  <cols>
    <col min="1" max="1" width="14" customWidth="1"/>
    <col min="2" max="2" width="27" customWidth="1"/>
    <col min="3" max="3" width="32" bestFit="1" customWidth="1"/>
    <col min="4" max="4" width="20" customWidth="1"/>
    <col min="5" max="35" width="23" customWidth="1"/>
    <col min="36" max="36" width="18" customWidth="1"/>
    <col min="37" max="37" width="14" customWidth="1"/>
    <col min="38" max="38" width="18" customWidth="1"/>
  </cols>
  <sheetData>
    <row r="1" spans="1:36" ht="26" customHeight="1">
      <c r="A1" s="573"/>
      <c r="B1" s="526"/>
      <c r="C1" s="526"/>
      <c r="D1" s="527"/>
      <c r="E1" s="581" t="s">
        <v>176</v>
      </c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  <c r="AI1" s="159"/>
      <c r="AJ1" s="50"/>
    </row>
    <row r="2" spans="1:36">
      <c r="A2" s="510" t="s">
        <v>99</v>
      </c>
      <c r="B2" s="510" t="s">
        <v>100</v>
      </c>
      <c r="C2" s="580" t="s">
        <v>101</v>
      </c>
      <c r="D2" s="572" t="s">
        <v>102</v>
      </c>
      <c r="E2" s="51">
        <v>45839</v>
      </c>
      <c r="F2" s="51">
        <v>45840</v>
      </c>
      <c r="G2" s="51">
        <v>45841</v>
      </c>
      <c r="H2" s="51">
        <v>45842</v>
      </c>
      <c r="I2" s="51">
        <v>45843</v>
      </c>
      <c r="J2" s="51">
        <v>45844</v>
      </c>
      <c r="K2" s="51">
        <v>45845</v>
      </c>
      <c r="L2" s="51">
        <v>45846</v>
      </c>
      <c r="M2" s="51">
        <v>45847</v>
      </c>
      <c r="N2" s="51">
        <v>45848</v>
      </c>
      <c r="O2" s="51">
        <v>45849</v>
      </c>
      <c r="P2" s="51">
        <v>45850</v>
      </c>
      <c r="Q2" s="51">
        <v>45851</v>
      </c>
      <c r="R2" s="51">
        <v>45852</v>
      </c>
      <c r="S2" s="51">
        <v>45853</v>
      </c>
      <c r="T2" s="51">
        <v>45854</v>
      </c>
      <c r="U2" s="51">
        <v>45855</v>
      </c>
      <c r="V2" s="51">
        <v>45856</v>
      </c>
      <c r="W2" s="51">
        <v>45857</v>
      </c>
      <c r="X2" s="51">
        <v>45858</v>
      </c>
      <c r="Y2" s="51">
        <v>45859</v>
      </c>
      <c r="Z2" s="51">
        <v>45860</v>
      </c>
      <c r="AA2" s="51">
        <v>45861</v>
      </c>
      <c r="AB2" s="51">
        <v>45862</v>
      </c>
      <c r="AC2" s="51">
        <v>45863</v>
      </c>
      <c r="AD2" s="51">
        <v>45864</v>
      </c>
      <c r="AE2" s="51">
        <v>45865</v>
      </c>
      <c r="AF2" s="51">
        <v>45866</v>
      </c>
      <c r="AG2" s="51">
        <v>45867</v>
      </c>
      <c r="AH2" s="51">
        <v>45868</v>
      </c>
      <c r="AI2" s="51">
        <v>45869</v>
      </c>
      <c r="AJ2" s="514" t="s">
        <v>1</v>
      </c>
    </row>
    <row r="3" spans="1:36">
      <c r="A3" s="511"/>
      <c r="B3" s="511"/>
      <c r="C3" s="511"/>
      <c r="D3" s="511"/>
      <c r="E3" s="96" t="s">
        <v>169</v>
      </c>
      <c r="F3" s="96" t="s">
        <v>170</v>
      </c>
      <c r="G3" s="96" t="s">
        <v>171</v>
      </c>
      <c r="H3" s="96" t="s">
        <v>172</v>
      </c>
      <c r="I3" s="96" t="s">
        <v>173</v>
      </c>
      <c r="J3" s="96" t="s">
        <v>174</v>
      </c>
      <c r="K3" s="96" t="s">
        <v>175</v>
      </c>
      <c r="L3" s="96" t="s">
        <v>169</v>
      </c>
      <c r="M3" s="96" t="s">
        <v>170</v>
      </c>
      <c r="N3" s="96" t="s">
        <v>171</v>
      </c>
      <c r="O3" s="96" t="s">
        <v>172</v>
      </c>
      <c r="P3" s="96" t="s">
        <v>173</v>
      </c>
      <c r="Q3" s="96" t="s">
        <v>174</v>
      </c>
      <c r="R3" s="96" t="s">
        <v>175</v>
      </c>
      <c r="S3" s="96" t="s">
        <v>169</v>
      </c>
      <c r="T3" s="96" t="s">
        <v>170</v>
      </c>
      <c r="U3" s="96" t="s">
        <v>171</v>
      </c>
      <c r="V3" s="96" t="s">
        <v>172</v>
      </c>
      <c r="W3" s="96" t="s">
        <v>173</v>
      </c>
      <c r="X3" s="96" t="s">
        <v>174</v>
      </c>
      <c r="Y3" s="96" t="s">
        <v>175</v>
      </c>
      <c r="Z3" s="96" t="s">
        <v>169</v>
      </c>
      <c r="AA3" s="96" t="s">
        <v>170</v>
      </c>
      <c r="AB3" s="96" t="s">
        <v>171</v>
      </c>
      <c r="AC3" s="96" t="s">
        <v>172</v>
      </c>
      <c r="AD3" s="96" t="s">
        <v>173</v>
      </c>
      <c r="AE3" s="96" t="s">
        <v>174</v>
      </c>
      <c r="AF3" s="96" t="s">
        <v>175</v>
      </c>
      <c r="AG3" s="96" t="s">
        <v>169</v>
      </c>
      <c r="AH3" s="96" t="s">
        <v>170</v>
      </c>
      <c r="AI3" s="96" t="s">
        <v>172</v>
      </c>
      <c r="AJ3" s="511"/>
    </row>
    <row r="4" spans="1:36">
      <c r="A4" s="511"/>
      <c r="B4" s="511"/>
      <c r="C4" s="511"/>
      <c r="D4" s="511"/>
      <c r="E4" s="52" t="s">
        <v>110</v>
      </c>
      <c r="F4" s="52" t="s">
        <v>110</v>
      </c>
      <c r="G4" s="52" t="s">
        <v>110</v>
      </c>
      <c r="H4" s="52" t="s">
        <v>110</v>
      </c>
      <c r="I4" s="52" t="s">
        <v>110</v>
      </c>
      <c r="J4" s="52" t="s">
        <v>110</v>
      </c>
      <c r="K4" s="52" t="s">
        <v>110</v>
      </c>
      <c r="L4" s="52" t="s">
        <v>110</v>
      </c>
      <c r="M4" s="52" t="s">
        <v>110</v>
      </c>
      <c r="N4" s="52" t="s">
        <v>110</v>
      </c>
      <c r="O4" s="52" t="s">
        <v>110</v>
      </c>
      <c r="P4" s="52" t="s">
        <v>110</v>
      </c>
      <c r="Q4" s="52" t="s">
        <v>110</v>
      </c>
      <c r="R4" s="52" t="s">
        <v>110</v>
      </c>
      <c r="S4" s="52" t="s">
        <v>110</v>
      </c>
      <c r="T4" s="52" t="s">
        <v>110</v>
      </c>
      <c r="U4" s="52" t="s">
        <v>110</v>
      </c>
      <c r="V4" s="52" t="s">
        <v>110</v>
      </c>
      <c r="W4" s="52" t="s">
        <v>110</v>
      </c>
      <c r="X4" s="52" t="s">
        <v>110</v>
      </c>
      <c r="Y4" s="52" t="s">
        <v>110</v>
      </c>
      <c r="Z4" s="52" t="s">
        <v>110</v>
      </c>
      <c r="AA4" s="52" t="s">
        <v>110</v>
      </c>
      <c r="AB4" s="52" t="s">
        <v>110</v>
      </c>
      <c r="AC4" s="52" t="s">
        <v>110</v>
      </c>
      <c r="AD4" s="52" t="s">
        <v>110</v>
      </c>
      <c r="AE4" s="52" t="s">
        <v>110</v>
      </c>
      <c r="AF4" s="52" t="s">
        <v>110</v>
      </c>
      <c r="AG4" s="52" t="s">
        <v>110</v>
      </c>
      <c r="AH4" s="52" t="s">
        <v>110</v>
      </c>
      <c r="AI4" s="52" t="s">
        <v>110</v>
      </c>
      <c r="AJ4" s="511"/>
    </row>
    <row r="5" spans="1:36">
      <c r="A5" s="512"/>
      <c r="B5" s="512"/>
      <c r="C5" s="512"/>
      <c r="D5" s="512"/>
      <c r="E5" s="53">
        <v>0.33333333333333331</v>
      </c>
      <c r="F5" s="53">
        <v>0.33333333333333331</v>
      </c>
      <c r="G5" s="53">
        <v>0.33333333333333331</v>
      </c>
      <c r="H5" s="53">
        <v>0.33333333333333331</v>
      </c>
      <c r="I5" s="53">
        <v>0.33333333333333331</v>
      </c>
      <c r="J5" s="53">
        <v>0.33333333333333331</v>
      </c>
      <c r="K5" s="53">
        <v>0.33333333333333331</v>
      </c>
      <c r="L5" s="53">
        <v>0.33333333333333331</v>
      </c>
      <c r="M5" s="53">
        <v>0.33333333333333331</v>
      </c>
      <c r="N5" s="53">
        <v>0.33333333333333331</v>
      </c>
      <c r="O5" s="53">
        <v>0.33333333333333331</v>
      </c>
      <c r="P5" s="53">
        <v>0.33333333333333331</v>
      </c>
      <c r="Q5" s="53">
        <v>0.33333333333333331</v>
      </c>
      <c r="R5" s="53">
        <v>0.33333333333333331</v>
      </c>
      <c r="S5" s="53">
        <v>0.33333333333333331</v>
      </c>
      <c r="T5" s="53">
        <v>0.33333333333333331</v>
      </c>
      <c r="U5" s="53">
        <v>0.33333333333333331</v>
      </c>
      <c r="V5" s="53">
        <v>0.33333333333333331</v>
      </c>
      <c r="W5" s="53">
        <v>0.33333333333333331</v>
      </c>
      <c r="X5" s="53">
        <v>0.33333333333333331</v>
      </c>
      <c r="Y5" s="53">
        <v>0.33333333333333331</v>
      </c>
      <c r="Z5" s="53">
        <v>0.33333333333333331</v>
      </c>
      <c r="AA5" s="53">
        <v>0.33333333333333331</v>
      </c>
      <c r="AB5" s="53">
        <v>0.33333333333333331</v>
      </c>
      <c r="AC5" s="53">
        <v>0.33333333333333331</v>
      </c>
      <c r="AD5" s="53">
        <v>0.33333333333333331</v>
      </c>
      <c r="AE5" s="53">
        <v>0.33333333333333331</v>
      </c>
      <c r="AF5" s="53">
        <v>0.33333333333333331</v>
      </c>
      <c r="AG5" s="53">
        <v>0.33333333333333331</v>
      </c>
      <c r="AH5" s="53">
        <v>0.33333333333333331</v>
      </c>
      <c r="AI5" s="53">
        <v>0.33333333333333331</v>
      </c>
      <c r="AJ5" s="512"/>
    </row>
    <row r="6" spans="1:36">
      <c r="A6" s="48">
        <v>1</v>
      </c>
      <c r="B6" s="4" t="s">
        <v>129</v>
      </c>
      <c r="C6" s="139" t="s">
        <v>111</v>
      </c>
      <c r="D6" s="169">
        <v>121887</v>
      </c>
      <c r="E6" s="48">
        <v>122258</v>
      </c>
      <c r="F6" s="48">
        <v>122537</v>
      </c>
      <c r="G6" s="48">
        <v>122822</v>
      </c>
      <c r="H6" s="48">
        <v>123086</v>
      </c>
      <c r="I6" s="48">
        <v>123298</v>
      </c>
      <c r="J6" s="48">
        <v>123509</v>
      </c>
      <c r="K6" s="48">
        <v>123768</v>
      </c>
      <c r="L6" s="48">
        <v>124053</v>
      </c>
      <c r="M6" s="48">
        <v>124348</v>
      </c>
      <c r="N6" s="48">
        <v>124588</v>
      </c>
      <c r="O6" s="4">
        <v>124844</v>
      </c>
      <c r="P6" s="58">
        <v>125058</v>
      </c>
      <c r="Q6" s="48">
        <v>125266</v>
      </c>
      <c r="R6" s="59">
        <v>125537</v>
      </c>
      <c r="S6" s="4">
        <v>125798</v>
      </c>
      <c r="T6" s="4">
        <v>126085</v>
      </c>
      <c r="U6" s="4">
        <v>126357</v>
      </c>
      <c r="V6" s="125">
        <v>126630</v>
      </c>
      <c r="W6" s="4">
        <v>126845</v>
      </c>
      <c r="X6" s="4">
        <v>127055</v>
      </c>
      <c r="Y6" s="4">
        <v>127329</v>
      </c>
      <c r="Z6" s="4">
        <v>127600</v>
      </c>
      <c r="AA6" s="4">
        <v>127877</v>
      </c>
      <c r="AB6" s="4">
        <v>128171</v>
      </c>
      <c r="AC6" s="4">
        <v>128449</v>
      </c>
      <c r="AD6" s="4">
        <v>128540</v>
      </c>
      <c r="AE6" s="4">
        <v>128631</v>
      </c>
      <c r="AF6" s="4">
        <v>128896</v>
      </c>
      <c r="AG6" s="48">
        <v>129149</v>
      </c>
      <c r="AH6" s="169">
        <v>129459</v>
      </c>
      <c r="AI6" s="48">
        <v>129726</v>
      </c>
      <c r="AJ6" s="57">
        <f t="shared" ref="AJ6:AJ21" si="0">AI6-D6</f>
        <v>7839</v>
      </c>
    </row>
    <row r="7" spans="1:36">
      <c r="A7" s="8"/>
      <c r="B7" s="8"/>
      <c r="C7" s="140" t="s">
        <v>22</v>
      </c>
      <c r="D7" s="128">
        <v>4176</v>
      </c>
      <c r="E7" s="8">
        <v>4176</v>
      </c>
      <c r="F7" s="8">
        <v>4176</v>
      </c>
      <c r="G7" s="8">
        <v>4176</v>
      </c>
      <c r="H7" s="8">
        <v>4176</v>
      </c>
      <c r="I7" s="8">
        <v>4176</v>
      </c>
      <c r="J7" s="8">
        <v>4176</v>
      </c>
      <c r="K7" s="8">
        <v>4176</v>
      </c>
      <c r="L7" s="8">
        <v>4176</v>
      </c>
      <c r="M7" s="8">
        <v>4176</v>
      </c>
      <c r="N7" s="8">
        <v>4176</v>
      </c>
      <c r="O7" s="8">
        <v>4176</v>
      </c>
      <c r="P7" s="8">
        <v>4176</v>
      </c>
      <c r="Q7" s="8">
        <v>4176</v>
      </c>
      <c r="R7" s="8">
        <v>4176</v>
      </c>
      <c r="S7" s="8">
        <v>4176</v>
      </c>
      <c r="T7" s="8">
        <v>4176</v>
      </c>
      <c r="U7" s="8">
        <v>4176</v>
      </c>
      <c r="V7" s="8">
        <v>4176</v>
      </c>
      <c r="W7" s="8">
        <v>4176</v>
      </c>
      <c r="X7" s="8">
        <v>4176</v>
      </c>
      <c r="Y7" s="8">
        <v>4176</v>
      </c>
      <c r="Z7" s="8">
        <v>4176</v>
      </c>
      <c r="AA7" s="8">
        <v>4176</v>
      </c>
      <c r="AB7" s="8">
        <v>4176</v>
      </c>
      <c r="AC7" s="8">
        <v>4176</v>
      </c>
      <c r="AD7" s="8">
        <v>4176</v>
      </c>
      <c r="AE7" s="8">
        <v>4176</v>
      </c>
      <c r="AF7" s="8">
        <v>4176</v>
      </c>
      <c r="AG7" s="8">
        <v>4176</v>
      </c>
      <c r="AH7" s="128">
        <v>4176</v>
      </c>
      <c r="AI7" s="48">
        <v>4176</v>
      </c>
      <c r="AJ7" s="57">
        <f t="shared" si="0"/>
        <v>0</v>
      </c>
    </row>
    <row r="8" spans="1:36">
      <c r="A8" s="4">
        <v>2</v>
      </c>
      <c r="B8" s="4" t="s">
        <v>129</v>
      </c>
      <c r="C8" s="141" t="s">
        <v>112</v>
      </c>
      <c r="D8" s="58">
        <v>1956</v>
      </c>
      <c r="E8" s="4">
        <v>1956</v>
      </c>
      <c r="F8" s="4">
        <v>1956</v>
      </c>
      <c r="G8" s="4">
        <v>1956</v>
      </c>
      <c r="H8" s="4">
        <v>1956</v>
      </c>
      <c r="I8" s="4">
        <v>1956</v>
      </c>
      <c r="J8" s="4">
        <v>1956</v>
      </c>
      <c r="K8" s="4">
        <v>1956</v>
      </c>
      <c r="L8" s="4">
        <v>1956</v>
      </c>
      <c r="M8" s="4">
        <v>1956</v>
      </c>
      <c r="N8" s="4">
        <v>1956</v>
      </c>
      <c r="O8" s="4">
        <v>1956</v>
      </c>
      <c r="P8" s="4">
        <v>1956</v>
      </c>
      <c r="Q8" s="4">
        <v>1956</v>
      </c>
      <c r="R8" s="4">
        <v>1956</v>
      </c>
      <c r="S8" s="4">
        <v>1956</v>
      </c>
      <c r="T8" s="4">
        <v>1956</v>
      </c>
      <c r="U8" s="4">
        <v>1956</v>
      </c>
      <c r="V8" s="4">
        <v>1956</v>
      </c>
      <c r="W8" s="4">
        <v>1956</v>
      </c>
      <c r="X8" s="4">
        <v>1956</v>
      </c>
      <c r="Y8" s="4">
        <v>1956</v>
      </c>
      <c r="Z8" s="4">
        <v>1956</v>
      </c>
      <c r="AA8" s="4">
        <v>1956</v>
      </c>
      <c r="AB8" s="4">
        <v>1956</v>
      </c>
      <c r="AC8" s="4">
        <v>1956</v>
      </c>
      <c r="AD8" s="4">
        <v>1956</v>
      </c>
      <c r="AE8" s="4">
        <v>1956</v>
      </c>
      <c r="AF8" s="4">
        <v>1956</v>
      </c>
      <c r="AG8" s="4">
        <v>1956</v>
      </c>
      <c r="AH8" s="58">
        <v>1956</v>
      </c>
      <c r="AI8" s="48">
        <v>1956</v>
      </c>
      <c r="AJ8" s="57">
        <f t="shared" si="0"/>
        <v>0</v>
      </c>
    </row>
    <row r="9" spans="1:36">
      <c r="A9" s="4"/>
      <c r="B9" s="4"/>
      <c r="C9" s="140" t="s">
        <v>22</v>
      </c>
      <c r="D9" s="58">
        <v>28.6</v>
      </c>
      <c r="E9" s="4">
        <v>28.6</v>
      </c>
      <c r="F9" s="4">
        <v>28.6</v>
      </c>
      <c r="G9" s="4">
        <v>28.6</v>
      </c>
      <c r="H9" s="4">
        <v>28.6</v>
      </c>
      <c r="I9" s="4">
        <v>28.6</v>
      </c>
      <c r="J9" s="4">
        <v>28.6</v>
      </c>
      <c r="K9" s="4">
        <v>28.6</v>
      </c>
      <c r="L9" s="4">
        <v>28.6</v>
      </c>
      <c r="M9" s="4">
        <v>28.6</v>
      </c>
      <c r="N9" s="4">
        <v>28.6</v>
      </c>
      <c r="O9" s="4">
        <v>28.6</v>
      </c>
      <c r="P9" s="4">
        <v>28.6</v>
      </c>
      <c r="Q9" s="4">
        <v>28.6</v>
      </c>
      <c r="R9" s="4">
        <v>28.6</v>
      </c>
      <c r="S9" s="4">
        <v>28.6</v>
      </c>
      <c r="T9" s="4">
        <v>28.6</v>
      </c>
      <c r="U9" s="4">
        <v>28.6</v>
      </c>
      <c r="V9" s="4">
        <v>28.6</v>
      </c>
      <c r="W9" s="4">
        <v>28.6</v>
      </c>
      <c r="X9" s="4">
        <v>28.6</v>
      </c>
      <c r="Y9" s="4">
        <v>28.6</v>
      </c>
      <c r="Z9" s="4">
        <v>28.6</v>
      </c>
      <c r="AA9" s="4">
        <v>28.6</v>
      </c>
      <c r="AB9" s="4">
        <v>28.6</v>
      </c>
      <c r="AC9" s="4">
        <v>28.6</v>
      </c>
      <c r="AD9" s="4">
        <v>28.6</v>
      </c>
      <c r="AE9" s="4">
        <v>28.6</v>
      </c>
      <c r="AF9" s="4">
        <v>28.6</v>
      </c>
      <c r="AG9" s="4">
        <v>28.6</v>
      </c>
      <c r="AH9" s="58">
        <v>28.6</v>
      </c>
      <c r="AI9" s="48">
        <v>28.6</v>
      </c>
      <c r="AJ9" s="57">
        <f t="shared" si="0"/>
        <v>0</v>
      </c>
    </row>
    <row r="10" spans="1:36">
      <c r="A10" s="4">
        <v>3</v>
      </c>
      <c r="B10" s="4" t="s">
        <v>129</v>
      </c>
      <c r="C10" s="141" t="s">
        <v>113</v>
      </c>
      <c r="D10" s="128">
        <v>177601</v>
      </c>
      <c r="E10" s="4">
        <v>178152</v>
      </c>
      <c r="F10" s="4">
        <v>178565</v>
      </c>
      <c r="G10" s="4">
        <v>178987</v>
      </c>
      <c r="H10" s="4">
        <v>179383</v>
      </c>
      <c r="I10" s="4">
        <v>179664</v>
      </c>
      <c r="J10" s="4">
        <v>179955</v>
      </c>
      <c r="K10" s="4">
        <v>180329</v>
      </c>
      <c r="L10" s="4">
        <v>180751</v>
      </c>
      <c r="M10" s="4">
        <v>181190</v>
      </c>
      <c r="N10" s="4">
        <v>181542</v>
      </c>
      <c r="O10" s="4">
        <v>181922</v>
      </c>
      <c r="P10" s="4">
        <v>182209</v>
      </c>
      <c r="Q10" s="4">
        <v>182488</v>
      </c>
      <c r="R10" s="4">
        <v>182883</v>
      </c>
      <c r="S10" s="4">
        <v>183279</v>
      </c>
      <c r="T10" s="4">
        <v>183698</v>
      </c>
      <c r="U10" s="4">
        <v>184108</v>
      </c>
      <c r="V10" s="4">
        <v>184511</v>
      </c>
      <c r="W10" s="4">
        <v>184716</v>
      </c>
      <c r="X10" s="4">
        <v>185078</v>
      </c>
      <c r="Y10" s="4">
        <v>185477</v>
      </c>
      <c r="Z10" s="4">
        <v>185887</v>
      </c>
      <c r="AA10" s="8">
        <v>186297</v>
      </c>
      <c r="AB10" s="8">
        <v>186737</v>
      </c>
      <c r="AC10" s="4">
        <v>187156</v>
      </c>
      <c r="AD10" s="4">
        <v>187456</v>
      </c>
      <c r="AE10" s="8">
        <v>187732</v>
      </c>
      <c r="AF10" s="8">
        <v>188128</v>
      </c>
      <c r="AG10" s="8">
        <v>188535</v>
      </c>
      <c r="AH10" s="128">
        <v>188971</v>
      </c>
      <c r="AI10" s="48">
        <v>189365</v>
      </c>
      <c r="AJ10" s="57">
        <f t="shared" si="0"/>
        <v>11764</v>
      </c>
    </row>
    <row r="11" spans="1:36">
      <c r="A11" s="4"/>
      <c r="B11" s="4"/>
      <c r="C11" s="140" t="s">
        <v>22</v>
      </c>
      <c r="D11" s="58">
        <v>6242</v>
      </c>
      <c r="E11" s="4">
        <v>6242</v>
      </c>
      <c r="F11" s="4">
        <v>6242</v>
      </c>
      <c r="G11" s="4">
        <v>6242</v>
      </c>
      <c r="H11" s="4">
        <v>6242</v>
      </c>
      <c r="I11" s="4">
        <v>6242</v>
      </c>
      <c r="J11" s="4">
        <v>6242</v>
      </c>
      <c r="K11" s="4">
        <v>6242</v>
      </c>
      <c r="L11" s="4">
        <v>6242</v>
      </c>
      <c r="M11" s="4">
        <v>6242</v>
      </c>
      <c r="N11" s="4">
        <v>6242</v>
      </c>
      <c r="O11" s="4">
        <v>6242</v>
      </c>
      <c r="P11" s="4">
        <v>6242</v>
      </c>
      <c r="Q11" s="4">
        <v>6242</v>
      </c>
      <c r="R11" s="4">
        <v>6242</v>
      </c>
      <c r="S11" s="4">
        <v>6242</v>
      </c>
      <c r="T11" s="4">
        <v>6242</v>
      </c>
      <c r="U11" s="4">
        <v>6242</v>
      </c>
      <c r="V11" s="4">
        <v>6242</v>
      </c>
      <c r="W11" s="4">
        <v>6242</v>
      </c>
      <c r="X11" s="4">
        <v>6242</v>
      </c>
      <c r="Y11" s="4">
        <v>6242</v>
      </c>
      <c r="Z11" s="4">
        <v>6242</v>
      </c>
      <c r="AA11" s="4">
        <v>6242</v>
      </c>
      <c r="AB11" s="4">
        <v>6242</v>
      </c>
      <c r="AC11" s="4">
        <v>6242</v>
      </c>
      <c r="AD11" s="4">
        <v>6242</v>
      </c>
      <c r="AE11" s="4">
        <v>6242</v>
      </c>
      <c r="AF11" s="4">
        <v>6242</v>
      </c>
      <c r="AG11" s="4">
        <v>6242</v>
      </c>
      <c r="AH11" s="58">
        <v>6242</v>
      </c>
      <c r="AI11" s="48">
        <v>6242</v>
      </c>
      <c r="AJ11" s="57">
        <f t="shared" si="0"/>
        <v>0</v>
      </c>
    </row>
    <row r="12" spans="1:36">
      <c r="A12" s="4">
        <v>4</v>
      </c>
      <c r="B12" s="4" t="s">
        <v>129</v>
      </c>
      <c r="C12" s="141" t="s">
        <v>114</v>
      </c>
      <c r="D12" s="58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58">
        <v>0</v>
      </c>
      <c r="AI12" s="48">
        <v>0</v>
      </c>
      <c r="AJ12" s="57">
        <f t="shared" si="0"/>
        <v>0</v>
      </c>
    </row>
    <row r="13" spans="1:36">
      <c r="A13" s="4"/>
      <c r="B13" s="4"/>
      <c r="C13" s="140" t="s">
        <v>22</v>
      </c>
      <c r="D13" s="58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58">
        <v>0</v>
      </c>
      <c r="AI13" s="48">
        <v>0</v>
      </c>
      <c r="AJ13" s="57">
        <f t="shared" si="0"/>
        <v>0</v>
      </c>
    </row>
    <row r="14" spans="1:36">
      <c r="A14" s="4">
        <v>5</v>
      </c>
      <c r="B14" s="4" t="s">
        <v>129</v>
      </c>
      <c r="C14" s="141" t="s">
        <v>115</v>
      </c>
      <c r="D14" s="128">
        <v>85219</v>
      </c>
      <c r="E14" s="4">
        <v>85521</v>
      </c>
      <c r="F14" s="4">
        <v>85757</v>
      </c>
      <c r="G14" s="4">
        <v>85997</v>
      </c>
      <c r="H14" s="4">
        <v>86223</v>
      </c>
      <c r="I14" s="4">
        <v>86359</v>
      </c>
      <c r="J14" s="4">
        <v>86473</v>
      </c>
      <c r="K14" s="4">
        <v>86688</v>
      </c>
      <c r="L14" s="4">
        <v>86931</v>
      </c>
      <c r="M14" s="4">
        <v>87176</v>
      </c>
      <c r="N14" s="4">
        <v>87381</v>
      </c>
      <c r="O14" s="4">
        <v>87601</v>
      </c>
      <c r="P14" s="4">
        <v>87736</v>
      </c>
      <c r="Q14" s="4">
        <v>87857</v>
      </c>
      <c r="R14" s="4">
        <v>88062</v>
      </c>
      <c r="S14" s="4">
        <v>88294</v>
      </c>
      <c r="T14" s="4">
        <v>88535</v>
      </c>
      <c r="U14" s="33">
        <v>88777</v>
      </c>
      <c r="V14" s="4">
        <v>89018</v>
      </c>
      <c r="W14" s="4">
        <v>89153</v>
      </c>
      <c r="X14" s="4">
        <v>89271</v>
      </c>
      <c r="Y14" s="4">
        <v>89490</v>
      </c>
      <c r="Z14" s="4">
        <v>89724</v>
      </c>
      <c r="AA14" s="8">
        <v>89963</v>
      </c>
      <c r="AB14" s="8">
        <v>90226</v>
      </c>
      <c r="AC14" s="4">
        <v>90469</v>
      </c>
      <c r="AD14" s="4">
        <v>90570</v>
      </c>
      <c r="AE14" s="8">
        <v>90703</v>
      </c>
      <c r="AF14" s="8">
        <v>90937</v>
      </c>
      <c r="AG14" s="8">
        <v>91182</v>
      </c>
      <c r="AH14" s="128">
        <v>91443</v>
      </c>
      <c r="AI14" s="48">
        <v>91678</v>
      </c>
      <c r="AJ14" s="57">
        <f t="shared" si="0"/>
        <v>6459</v>
      </c>
    </row>
    <row r="15" spans="1:36">
      <c r="A15" s="4"/>
      <c r="B15" s="4"/>
      <c r="C15" s="140" t="s">
        <v>22</v>
      </c>
      <c r="D15" s="58">
        <v>3188</v>
      </c>
      <c r="E15" s="4">
        <v>3188</v>
      </c>
      <c r="F15" s="4">
        <v>3188</v>
      </c>
      <c r="G15" s="4">
        <v>3188</v>
      </c>
      <c r="H15" s="4">
        <v>3188</v>
      </c>
      <c r="I15" s="4">
        <v>3188</v>
      </c>
      <c r="J15" s="4">
        <v>3188</v>
      </c>
      <c r="K15" s="4">
        <v>3188</v>
      </c>
      <c r="L15" s="4">
        <v>3188</v>
      </c>
      <c r="M15" s="4">
        <v>3188</v>
      </c>
      <c r="N15" s="4">
        <v>3188</v>
      </c>
      <c r="O15" s="4">
        <v>3188</v>
      </c>
      <c r="P15" s="4">
        <v>3188</v>
      </c>
      <c r="Q15" s="4">
        <v>3188</v>
      </c>
      <c r="R15" s="4">
        <v>3188</v>
      </c>
      <c r="S15" s="4">
        <v>3188</v>
      </c>
      <c r="T15" s="4">
        <v>3188</v>
      </c>
      <c r="U15" s="60">
        <v>3188</v>
      </c>
      <c r="V15" s="60">
        <v>3188</v>
      </c>
      <c r="W15" s="60">
        <v>3188</v>
      </c>
      <c r="X15" s="60">
        <v>3188</v>
      </c>
      <c r="Y15" s="60">
        <v>3188</v>
      </c>
      <c r="Z15" s="60">
        <v>3188</v>
      </c>
      <c r="AA15" s="60">
        <v>3188</v>
      </c>
      <c r="AB15" s="60">
        <v>3188</v>
      </c>
      <c r="AC15" s="60">
        <v>3188</v>
      </c>
      <c r="AD15" s="60">
        <v>3188</v>
      </c>
      <c r="AE15" s="60">
        <v>3188</v>
      </c>
      <c r="AF15" s="4">
        <v>3188</v>
      </c>
      <c r="AG15" s="4">
        <v>3188</v>
      </c>
      <c r="AH15" s="58">
        <v>3188</v>
      </c>
      <c r="AI15" s="48">
        <v>3188</v>
      </c>
      <c r="AJ15" s="57">
        <f t="shared" si="0"/>
        <v>0</v>
      </c>
    </row>
    <row r="16" spans="1:36">
      <c r="A16" s="4">
        <v>6</v>
      </c>
      <c r="B16" s="4" t="s">
        <v>129</v>
      </c>
      <c r="C16" s="141" t="s">
        <v>142</v>
      </c>
      <c r="D16" s="128">
        <v>103012</v>
      </c>
      <c r="E16" s="177">
        <v>103406</v>
      </c>
      <c r="F16" s="4">
        <v>103649</v>
      </c>
      <c r="G16" s="4">
        <v>103933</v>
      </c>
      <c r="H16" s="4">
        <v>104186</v>
      </c>
      <c r="I16" s="4">
        <v>104295</v>
      </c>
      <c r="J16" s="4">
        <v>104391</v>
      </c>
      <c r="K16" s="58">
        <v>104639</v>
      </c>
      <c r="L16" s="127">
        <v>104891</v>
      </c>
      <c r="M16" s="178">
        <v>105179</v>
      </c>
      <c r="N16" s="178">
        <v>105401</v>
      </c>
      <c r="O16" s="178">
        <v>105644</v>
      </c>
      <c r="P16" s="178">
        <v>105746</v>
      </c>
      <c r="Q16" s="179">
        <v>105849</v>
      </c>
      <c r="R16" s="178">
        <v>106079</v>
      </c>
      <c r="S16" s="59">
        <v>106332</v>
      </c>
      <c r="T16" s="4">
        <v>106573</v>
      </c>
      <c r="U16" s="4">
        <v>106827</v>
      </c>
      <c r="V16" s="4">
        <v>107048</v>
      </c>
      <c r="W16" s="4">
        <v>107174</v>
      </c>
      <c r="X16" s="4">
        <v>107262</v>
      </c>
      <c r="Y16" s="4">
        <v>107525</v>
      </c>
      <c r="Z16" s="4">
        <v>107762</v>
      </c>
      <c r="AA16" s="4">
        <v>108037</v>
      </c>
      <c r="AB16" s="8">
        <v>108316</v>
      </c>
      <c r="AC16" s="4">
        <v>108572</v>
      </c>
      <c r="AD16" s="4">
        <v>108805</v>
      </c>
      <c r="AE16" s="8">
        <v>108970</v>
      </c>
      <c r="AF16" s="8">
        <v>109230</v>
      </c>
      <c r="AG16" s="4">
        <v>109509</v>
      </c>
      <c r="AH16" s="128">
        <v>109772</v>
      </c>
      <c r="AI16" s="48">
        <v>110040</v>
      </c>
      <c r="AJ16" s="57">
        <f t="shared" si="0"/>
        <v>7028</v>
      </c>
    </row>
    <row r="17" spans="1:36">
      <c r="A17" s="4"/>
      <c r="B17" s="4"/>
      <c r="C17" s="140" t="s">
        <v>22</v>
      </c>
      <c r="D17" s="58">
        <v>4155</v>
      </c>
      <c r="E17" s="4">
        <v>4155</v>
      </c>
      <c r="F17" s="4">
        <v>4155</v>
      </c>
      <c r="G17" s="4">
        <v>4155</v>
      </c>
      <c r="H17" s="4">
        <v>4155</v>
      </c>
      <c r="I17" s="4">
        <v>4155</v>
      </c>
      <c r="J17" s="4">
        <v>4155</v>
      </c>
      <c r="K17" s="4">
        <v>4155</v>
      </c>
      <c r="L17" s="4">
        <v>4155</v>
      </c>
      <c r="M17" s="4">
        <v>4155</v>
      </c>
      <c r="N17" s="4">
        <v>4155</v>
      </c>
      <c r="O17" s="4">
        <v>4155</v>
      </c>
      <c r="P17" s="4">
        <v>4155</v>
      </c>
      <c r="Q17" s="4">
        <v>4155</v>
      </c>
      <c r="R17" s="4">
        <v>4155</v>
      </c>
      <c r="S17" s="4">
        <v>4155</v>
      </c>
      <c r="T17" s="4">
        <v>4155</v>
      </c>
      <c r="U17" s="129">
        <v>4155</v>
      </c>
      <c r="V17" s="129">
        <v>4155</v>
      </c>
      <c r="W17" s="129">
        <v>4155</v>
      </c>
      <c r="X17" s="129">
        <v>4155</v>
      </c>
      <c r="Y17" s="129">
        <v>4155</v>
      </c>
      <c r="Z17" s="129">
        <v>4155</v>
      </c>
      <c r="AA17" s="129">
        <v>4155</v>
      </c>
      <c r="AB17" s="129">
        <v>4155</v>
      </c>
      <c r="AC17" s="129">
        <v>4155</v>
      </c>
      <c r="AD17" s="129">
        <v>4155</v>
      </c>
      <c r="AE17" s="129">
        <v>4155</v>
      </c>
      <c r="AF17" s="4">
        <v>4155</v>
      </c>
      <c r="AG17" s="4">
        <v>4155</v>
      </c>
      <c r="AH17" s="58">
        <v>4155</v>
      </c>
      <c r="AI17" s="48">
        <v>4155</v>
      </c>
      <c r="AJ17" s="57">
        <f t="shared" si="0"/>
        <v>0</v>
      </c>
    </row>
    <row r="18" spans="1:36">
      <c r="A18" s="4">
        <v>7</v>
      </c>
      <c r="B18" s="4" t="s">
        <v>129</v>
      </c>
      <c r="C18" s="141" t="s">
        <v>117</v>
      </c>
      <c r="D18" s="128">
        <v>335272</v>
      </c>
      <c r="E18" s="4">
        <v>336369</v>
      </c>
      <c r="F18" s="4">
        <v>337172</v>
      </c>
      <c r="G18" s="4">
        <v>337996</v>
      </c>
      <c r="H18" s="4">
        <v>338746</v>
      </c>
      <c r="I18" s="4">
        <v>339321</v>
      </c>
      <c r="J18" s="4">
        <v>339688</v>
      </c>
      <c r="K18" s="4">
        <v>340463</v>
      </c>
      <c r="L18" s="4">
        <v>341238</v>
      </c>
      <c r="M18" s="4">
        <v>342025</v>
      </c>
      <c r="N18" s="5">
        <v>342710</v>
      </c>
      <c r="O18" s="4">
        <v>343416</v>
      </c>
      <c r="P18" s="4">
        <v>343960</v>
      </c>
      <c r="Q18" s="4">
        <v>344403</v>
      </c>
      <c r="R18" s="8">
        <v>345142</v>
      </c>
      <c r="S18" s="5">
        <v>345894</v>
      </c>
      <c r="T18" s="4">
        <v>346691</v>
      </c>
      <c r="U18" s="4">
        <v>347485</v>
      </c>
      <c r="V18" s="4">
        <v>348250</v>
      </c>
      <c r="W18" s="4">
        <v>348781</v>
      </c>
      <c r="X18" s="33">
        <v>349208</v>
      </c>
      <c r="Y18" s="4">
        <v>349928</v>
      </c>
      <c r="Z18" s="4">
        <v>350704</v>
      </c>
      <c r="AA18" s="8">
        <v>351483</v>
      </c>
      <c r="AB18" s="8">
        <v>352300</v>
      </c>
      <c r="AC18" s="4">
        <v>353078</v>
      </c>
      <c r="AD18" s="4">
        <v>353837</v>
      </c>
      <c r="AE18" s="8">
        <v>354305</v>
      </c>
      <c r="AF18" s="170">
        <v>355025</v>
      </c>
      <c r="AG18" s="8">
        <v>355806</v>
      </c>
      <c r="AH18" s="128">
        <v>356626</v>
      </c>
      <c r="AI18" s="48">
        <v>357388</v>
      </c>
      <c r="AJ18" s="57">
        <f t="shared" si="0"/>
        <v>22116</v>
      </c>
    </row>
    <row r="19" spans="1:36">
      <c r="A19" s="4"/>
      <c r="B19" s="4"/>
      <c r="C19" s="140" t="s">
        <v>22</v>
      </c>
      <c r="D19" s="58">
        <v>11338</v>
      </c>
      <c r="E19" s="48">
        <v>11338</v>
      </c>
      <c r="F19" s="48">
        <v>11338</v>
      </c>
      <c r="G19" s="48">
        <v>11338</v>
      </c>
      <c r="H19" s="48">
        <v>11338</v>
      </c>
      <c r="I19" s="48">
        <v>11338</v>
      </c>
      <c r="J19" s="48">
        <v>11338</v>
      </c>
      <c r="K19" s="48">
        <v>11338</v>
      </c>
      <c r="L19" s="48">
        <v>11338</v>
      </c>
      <c r="M19" s="48">
        <v>11338</v>
      </c>
      <c r="N19" s="48">
        <v>11338</v>
      </c>
      <c r="O19" s="48">
        <v>11338</v>
      </c>
      <c r="P19" s="48">
        <v>11338</v>
      </c>
      <c r="Q19" s="4">
        <v>11338</v>
      </c>
      <c r="R19" s="4">
        <v>11338</v>
      </c>
      <c r="S19" s="4">
        <v>11338</v>
      </c>
      <c r="T19" s="4">
        <v>11338</v>
      </c>
      <c r="U19" s="4">
        <v>11338</v>
      </c>
      <c r="V19" s="4">
        <v>11338</v>
      </c>
      <c r="W19" s="4">
        <v>11338</v>
      </c>
      <c r="X19" s="4">
        <v>11338</v>
      </c>
      <c r="Y19" s="4">
        <v>11388</v>
      </c>
      <c r="Z19" s="4">
        <v>11388</v>
      </c>
      <c r="AA19" s="4">
        <v>11338</v>
      </c>
      <c r="AB19" s="4">
        <v>11338</v>
      </c>
      <c r="AC19" s="4">
        <v>11338</v>
      </c>
      <c r="AD19" s="4">
        <v>11338</v>
      </c>
      <c r="AE19" s="4">
        <v>11338</v>
      </c>
      <c r="AF19" s="4">
        <v>11338</v>
      </c>
      <c r="AG19" s="4">
        <v>11338</v>
      </c>
      <c r="AH19" s="58">
        <v>11338</v>
      </c>
      <c r="AI19" s="48">
        <v>11338</v>
      </c>
      <c r="AJ19" s="57">
        <f t="shared" si="0"/>
        <v>0</v>
      </c>
    </row>
    <row r="20" spans="1:36">
      <c r="A20" s="4">
        <v>8</v>
      </c>
      <c r="B20" s="4" t="s">
        <v>129</v>
      </c>
      <c r="C20" s="141" t="s">
        <v>118</v>
      </c>
      <c r="D20" s="128">
        <v>68756</v>
      </c>
      <c r="E20" s="4">
        <v>68923</v>
      </c>
      <c r="F20" s="4">
        <v>69072</v>
      </c>
      <c r="G20" s="4">
        <v>69206</v>
      </c>
      <c r="H20" s="4">
        <v>69330</v>
      </c>
      <c r="I20" s="4">
        <v>69445</v>
      </c>
      <c r="J20" s="4">
        <v>69590</v>
      </c>
      <c r="K20" s="4">
        <v>69726</v>
      </c>
      <c r="L20" s="4">
        <v>69880</v>
      </c>
      <c r="M20" s="4">
        <v>70027</v>
      </c>
      <c r="N20" s="4">
        <v>70153</v>
      </c>
      <c r="O20" s="4">
        <v>70271</v>
      </c>
      <c r="P20" s="4">
        <v>70401</v>
      </c>
      <c r="Q20" s="4">
        <v>70520</v>
      </c>
      <c r="R20" s="4">
        <v>70666</v>
      </c>
      <c r="S20" s="4">
        <v>70787</v>
      </c>
      <c r="T20" s="4">
        <v>70933</v>
      </c>
      <c r="U20" s="4">
        <v>71061</v>
      </c>
      <c r="V20" s="4">
        <v>71202</v>
      </c>
      <c r="W20" s="4">
        <v>71311</v>
      </c>
      <c r="X20" s="4">
        <v>71443</v>
      </c>
      <c r="Y20" s="4">
        <v>71570</v>
      </c>
      <c r="Z20" s="4">
        <v>71706</v>
      </c>
      <c r="AA20" s="8">
        <v>71826</v>
      </c>
      <c r="AB20" s="8">
        <v>71906</v>
      </c>
      <c r="AC20" s="4">
        <v>72107</v>
      </c>
      <c r="AD20" s="4">
        <v>72175</v>
      </c>
      <c r="AE20" s="8">
        <v>72250</v>
      </c>
      <c r="AF20" s="8">
        <v>72404</v>
      </c>
      <c r="AG20" s="8">
        <v>72523</v>
      </c>
      <c r="AH20" s="128">
        <v>72662</v>
      </c>
      <c r="AI20" s="48">
        <v>72776</v>
      </c>
      <c r="AJ20" s="57">
        <f t="shared" si="0"/>
        <v>4020</v>
      </c>
    </row>
    <row r="21" spans="1:36">
      <c r="A21" s="4"/>
      <c r="B21" s="4"/>
      <c r="C21" s="140" t="s">
        <v>22</v>
      </c>
      <c r="D21" s="58">
        <v>2164</v>
      </c>
      <c r="E21" s="4">
        <v>2164</v>
      </c>
      <c r="F21" s="4">
        <v>2164</v>
      </c>
      <c r="G21" s="4">
        <v>2164</v>
      </c>
      <c r="H21" s="4">
        <v>2164</v>
      </c>
      <c r="I21" s="4">
        <v>2164</v>
      </c>
      <c r="J21" s="4">
        <v>2164</v>
      </c>
      <c r="K21" s="4">
        <v>2164</v>
      </c>
      <c r="L21" s="4">
        <v>2164</v>
      </c>
      <c r="M21" s="4">
        <v>2164</v>
      </c>
      <c r="N21" s="4">
        <v>2164</v>
      </c>
      <c r="O21" s="4">
        <v>2164</v>
      </c>
      <c r="P21" s="4">
        <v>2164</v>
      </c>
      <c r="Q21" s="4">
        <v>2164</v>
      </c>
      <c r="R21" s="4">
        <v>2164</v>
      </c>
      <c r="S21" s="4">
        <v>2164</v>
      </c>
      <c r="T21" s="4">
        <v>2164</v>
      </c>
      <c r="U21" s="4">
        <v>2164</v>
      </c>
      <c r="V21" s="4">
        <v>2164</v>
      </c>
      <c r="W21" s="4">
        <v>2164</v>
      </c>
      <c r="X21" s="4">
        <v>2164</v>
      </c>
      <c r="Y21" s="4">
        <v>2164</v>
      </c>
      <c r="Z21" s="4">
        <v>2164</v>
      </c>
      <c r="AA21" s="4">
        <v>2164</v>
      </c>
      <c r="AB21" s="4">
        <v>2164</v>
      </c>
      <c r="AC21" s="4">
        <v>2164</v>
      </c>
      <c r="AD21" s="4">
        <v>2164</v>
      </c>
      <c r="AE21" s="4">
        <v>2164</v>
      </c>
      <c r="AF21" s="4">
        <v>2164</v>
      </c>
      <c r="AG21" s="4">
        <v>2164</v>
      </c>
      <c r="AH21" s="58">
        <v>2164</v>
      </c>
      <c r="AI21" s="48">
        <v>2164</v>
      </c>
      <c r="AJ21" s="57">
        <f t="shared" si="0"/>
        <v>0</v>
      </c>
    </row>
    <row r="22" spans="1:36">
      <c r="A22" s="503"/>
      <c r="B22" s="504"/>
      <c r="C22" s="504"/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4"/>
      <c r="W22" s="504"/>
      <c r="X22" s="504"/>
      <c r="Y22" s="504"/>
      <c r="Z22" s="504"/>
      <c r="AA22" s="504"/>
      <c r="AB22" s="504"/>
      <c r="AC22" s="504"/>
      <c r="AD22" s="504"/>
      <c r="AE22" s="504"/>
      <c r="AF22" s="504"/>
      <c r="AG22" s="504"/>
      <c r="AH22" s="504"/>
      <c r="AI22" s="504"/>
      <c r="AJ22" s="501"/>
    </row>
    <row r="23" spans="1:36">
      <c r="A23" s="4">
        <v>1</v>
      </c>
      <c r="B23" s="4" t="s">
        <v>129</v>
      </c>
      <c r="C23" s="141" t="s">
        <v>119</v>
      </c>
      <c r="D23" s="8">
        <v>29197</v>
      </c>
      <c r="E23" s="4">
        <v>29293</v>
      </c>
      <c r="F23" s="4">
        <v>29351</v>
      </c>
      <c r="G23" s="4">
        <v>29438</v>
      </c>
      <c r="H23" s="4">
        <v>29516</v>
      </c>
      <c r="I23" s="4">
        <v>29550</v>
      </c>
      <c r="J23" s="4">
        <v>29550</v>
      </c>
      <c r="K23" s="4">
        <v>29618</v>
      </c>
      <c r="L23" s="4">
        <v>29674</v>
      </c>
      <c r="M23" s="4">
        <v>29731</v>
      </c>
      <c r="N23" s="4">
        <v>29797</v>
      </c>
      <c r="O23" s="4">
        <v>29844</v>
      </c>
      <c r="P23" s="4">
        <v>29871</v>
      </c>
      <c r="Q23" s="4">
        <v>29871</v>
      </c>
      <c r="R23" s="4">
        <v>29954</v>
      </c>
      <c r="S23" s="4">
        <v>30073</v>
      </c>
      <c r="T23" s="4">
        <v>30180</v>
      </c>
      <c r="U23" s="4">
        <v>30336</v>
      </c>
      <c r="V23" s="4">
        <v>30460</v>
      </c>
      <c r="W23" s="4">
        <v>30525</v>
      </c>
      <c r="X23" s="4">
        <v>30525</v>
      </c>
      <c r="Y23" s="4">
        <v>30606</v>
      </c>
      <c r="Z23" s="4">
        <v>30686</v>
      </c>
      <c r="AA23" s="4">
        <v>30814</v>
      </c>
      <c r="AB23" s="4">
        <v>30923</v>
      </c>
      <c r="AC23" s="4">
        <v>31059</v>
      </c>
      <c r="AD23" s="4">
        <v>31110</v>
      </c>
      <c r="AE23" s="4">
        <v>31110</v>
      </c>
      <c r="AF23" s="4">
        <v>31247</v>
      </c>
      <c r="AG23" s="4">
        <v>31381</v>
      </c>
      <c r="AH23" s="8">
        <v>31479</v>
      </c>
      <c r="AI23" s="8">
        <v>31560</v>
      </c>
      <c r="AJ23" s="7">
        <f t="shared" ref="AJ23:AJ30" si="1">AI23-D23</f>
        <v>2363</v>
      </c>
    </row>
    <row r="24" spans="1:36">
      <c r="A24" s="4"/>
      <c r="B24" s="4"/>
      <c r="C24" s="142" t="s">
        <v>22</v>
      </c>
      <c r="D24" s="4">
        <v>1882</v>
      </c>
      <c r="E24" s="4">
        <v>1882</v>
      </c>
      <c r="F24" s="4">
        <v>1882</v>
      </c>
      <c r="G24" s="4">
        <v>1882</v>
      </c>
      <c r="H24" s="4">
        <v>1882</v>
      </c>
      <c r="I24" s="4">
        <v>1882</v>
      </c>
      <c r="J24" s="4">
        <v>1882</v>
      </c>
      <c r="K24" s="4">
        <v>1882</v>
      </c>
      <c r="L24" s="4">
        <v>1882</v>
      </c>
      <c r="M24" s="4">
        <v>1882</v>
      </c>
      <c r="N24" s="4">
        <v>1882</v>
      </c>
      <c r="O24" s="4">
        <v>1882</v>
      </c>
      <c r="P24" s="4">
        <v>1882</v>
      </c>
      <c r="Q24" s="4">
        <v>1882</v>
      </c>
      <c r="R24" s="4">
        <v>1882</v>
      </c>
      <c r="S24" s="4">
        <v>1882</v>
      </c>
      <c r="T24" s="4">
        <v>1882</v>
      </c>
      <c r="U24" s="4">
        <v>1882</v>
      </c>
      <c r="V24" s="4">
        <v>1882</v>
      </c>
      <c r="W24" s="4">
        <v>1882</v>
      </c>
      <c r="X24" s="4">
        <v>1882</v>
      </c>
      <c r="Y24" s="4">
        <v>1882</v>
      </c>
      <c r="Z24" s="4">
        <v>1882</v>
      </c>
      <c r="AA24" s="4">
        <v>1882</v>
      </c>
      <c r="AB24" s="4">
        <v>1882</v>
      </c>
      <c r="AC24" s="4">
        <v>1882</v>
      </c>
      <c r="AD24" s="4">
        <v>1882</v>
      </c>
      <c r="AE24" s="4">
        <v>1882</v>
      </c>
      <c r="AF24" s="4">
        <v>1882</v>
      </c>
      <c r="AG24" s="4">
        <v>1882</v>
      </c>
      <c r="AH24" s="4">
        <v>1882</v>
      </c>
      <c r="AI24" s="8">
        <v>1882</v>
      </c>
      <c r="AJ24" s="7">
        <f t="shared" si="1"/>
        <v>0</v>
      </c>
    </row>
    <row r="25" spans="1:36">
      <c r="A25" s="4">
        <v>2</v>
      </c>
      <c r="B25" s="4" t="s">
        <v>129</v>
      </c>
      <c r="C25" s="141" t="s">
        <v>120</v>
      </c>
      <c r="D25" s="8">
        <v>31895</v>
      </c>
      <c r="E25" s="4">
        <v>32095</v>
      </c>
      <c r="F25" s="4">
        <v>32233</v>
      </c>
      <c r="G25" s="4">
        <v>32371</v>
      </c>
      <c r="H25" s="4">
        <v>32493</v>
      </c>
      <c r="I25" s="4">
        <v>32564</v>
      </c>
      <c r="J25" s="4">
        <v>32564</v>
      </c>
      <c r="K25" s="4">
        <v>32696</v>
      </c>
      <c r="L25" s="4">
        <v>32803</v>
      </c>
      <c r="M25" s="4">
        <v>32922</v>
      </c>
      <c r="N25" s="4">
        <v>33026</v>
      </c>
      <c r="O25" s="4">
        <v>33148</v>
      </c>
      <c r="P25" s="4">
        <v>33216</v>
      </c>
      <c r="Q25" s="4">
        <v>33216</v>
      </c>
      <c r="R25" s="4">
        <v>33330</v>
      </c>
      <c r="S25" s="4">
        <v>33467</v>
      </c>
      <c r="T25" s="4">
        <v>33548</v>
      </c>
      <c r="U25" s="4">
        <v>33663</v>
      </c>
      <c r="V25" s="4">
        <v>33779</v>
      </c>
      <c r="W25" s="4">
        <v>33843</v>
      </c>
      <c r="X25" s="4">
        <v>33843</v>
      </c>
      <c r="Y25" s="4">
        <v>33953</v>
      </c>
      <c r="Z25" s="4">
        <v>34063</v>
      </c>
      <c r="AA25" s="4">
        <v>34185</v>
      </c>
      <c r="AB25" s="4">
        <v>34334</v>
      </c>
      <c r="AC25" s="4">
        <v>34442</v>
      </c>
      <c r="AD25" s="4">
        <v>34550</v>
      </c>
      <c r="AE25" s="4">
        <v>34550</v>
      </c>
      <c r="AF25" s="4">
        <v>34676</v>
      </c>
      <c r="AG25" s="4">
        <v>34808</v>
      </c>
      <c r="AH25" s="8">
        <v>34992</v>
      </c>
      <c r="AI25" s="8">
        <v>35090</v>
      </c>
      <c r="AJ25" s="7">
        <f t="shared" si="1"/>
        <v>3195</v>
      </c>
    </row>
    <row r="26" spans="1:36">
      <c r="A26" s="4"/>
      <c r="B26" s="4"/>
      <c r="C26" s="142" t="s">
        <v>22</v>
      </c>
      <c r="D26" s="4">
        <v>1861</v>
      </c>
      <c r="E26" s="4">
        <v>1861</v>
      </c>
      <c r="F26" s="4">
        <v>1861</v>
      </c>
      <c r="G26" s="4">
        <v>1861</v>
      </c>
      <c r="H26" s="4">
        <v>1861</v>
      </c>
      <c r="I26" s="4">
        <v>1861</v>
      </c>
      <c r="J26" s="4">
        <v>1861</v>
      </c>
      <c r="K26" s="4">
        <v>1861</v>
      </c>
      <c r="L26" s="4">
        <v>1861</v>
      </c>
      <c r="M26" s="4">
        <v>1861</v>
      </c>
      <c r="N26" s="4">
        <v>1861</v>
      </c>
      <c r="O26" s="4">
        <v>1861</v>
      </c>
      <c r="P26" s="4">
        <v>1861</v>
      </c>
      <c r="Q26" s="4">
        <v>1861</v>
      </c>
      <c r="R26" s="4">
        <v>1861</v>
      </c>
      <c r="S26" s="4">
        <v>1861</v>
      </c>
      <c r="T26" s="4">
        <v>1861</v>
      </c>
      <c r="U26" s="4">
        <v>1861</v>
      </c>
      <c r="V26" s="4">
        <v>1861</v>
      </c>
      <c r="W26" s="4">
        <v>1861</v>
      </c>
      <c r="X26" s="4">
        <v>1861</v>
      </c>
      <c r="Y26" s="4">
        <v>1861</v>
      </c>
      <c r="Z26" s="4">
        <v>1861</v>
      </c>
      <c r="AA26" s="4">
        <v>1861</v>
      </c>
      <c r="AB26" s="4">
        <v>1861</v>
      </c>
      <c r="AC26" s="4">
        <v>1861</v>
      </c>
      <c r="AD26" s="4">
        <v>1861</v>
      </c>
      <c r="AE26" s="4">
        <v>1861</v>
      </c>
      <c r="AF26" s="4">
        <v>1861</v>
      </c>
      <c r="AG26" s="4">
        <v>1861</v>
      </c>
      <c r="AH26" s="4">
        <v>1861</v>
      </c>
      <c r="AI26" s="8">
        <v>1861</v>
      </c>
      <c r="AJ26" s="7">
        <f t="shared" si="1"/>
        <v>0</v>
      </c>
    </row>
    <row r="27" spans="1:36">
      <c r="A27" s="4">
        <v>3</v>
      </c>
      <c r="B27" s="4" t="s">
        <v>129</v>
      </c>
      <c r="C27" s="141" t="s">
        <v>121</v>
      </c>
      <c r="D27" s="4">
        <v>34710</v>
      </c>
      <c r="E27" s="4">
        <v>34905</v>
      </c>
      <c r="F27" s="4">
        <v>35056</v>
      </c>
      <c r="G27" s="4">
        <v>35193</v>
      </c>
      <c r="H27" s="4">
        <v>35343</v>
      </c>
      <c r="I27" s="4">
        <v>35418</v>
      </c>
      <c r="J27" s="4">
        <v>35418</v>
      </c>
      <c r="K27" s="4">
        <v>35528</v>
      </c>
      <c r="L27" s="4">
        <v>35637</v>
      </c>
      <c r="M27" s="4">
        <v>35734</v>
      </c>
      <c r="N27" s="4">
        <v>35819</v>
      </c>
      <c r="O27" s="4">
        <v>35911</v>
      </c>
      <c r="P27" s="4">
        <v>35967</v>
      </c>
      <c r="Q27" s="4">
        <v>35967</v>
      </c>
      <c r="R27" s="4">
        <v>36073</v>
      </c>
      <c r="S27" s="4">
        <v>36207</v>
      </c>
      <c r="T27" s="4">
        <v>36321</v>
      </c>
      <c r="U27" s="4">
        <v>36462</v>
      </c>
      <c r="V27" s="4">
        <v>36657</v>
      </c>
      <c r="W27" s="4">
        <v>36724</v>
      </c>
      <c r="X27" s="4">
        <v>36724</v>
      </c>
      <c r="Y27" s="4">
        <v>36883</v>
      </c>
      <c r="Z27" s="4">
        <v>37063</v>
      </c>
      <c r="AA27" s="4">
        <v>37197</v>
      </c>
      <c r="AB27" s="4">
        <v>37339</v>
      </c>
      <c r="AC27" s="4">
        <v>37496</v>
      </c>
      <c r="AD27" s="4">
        <v>37585</v>
      </c>
      <c r="AE27" s="4">
        <v>37585</v>
      </c>
      <c r="AF27" s="4">
        <v>37751</v>
      </c>
      <c r="AG27" s="4">
        <v>37921</v>
      </c>
      <c r="AH27" s="4">
        <v>38086</v>
      </c>
      <c r="AI27" s="8">
        <v>38186</v>
      </c>
      <c r="AJ27" s="7">
        <f t="shared" si="1"/>
        <v>3476</v>
      </c>
    </row>
    <row r="28" spans="1:36">
      <c r="A28" s="4"/>
      <c r="B28" s="4"/>
      <c r="C28" s="142" t="s">
        <v>22</v>
      </c>
      <c r="D28" s="4">
        <v>2016</v>
      </c>
      <c r="E28" s="4">
        <v>2016</v>
      </c>
      <c r="F28" s="4">
        <v>2016</v>
      </c>
      <c r="G28" s="4">
        <v>2016</v>
      </c>
      <c r="H28" s="4">
        <v>2016</v>
      </c>
      <c r="I28" s="4">
        <v>2016</v>
      </c>
      <c r="J28" s="4">
        <v>2016</v>
      </c>
      <c r="K28" s="4">
        <v>2016</v>
      </c>
      <c r="L28" s="4">
        <v>2016</v>
      </c>
      <c r="M28" s="4">
        <v>2016</v>
      </c>
      <c r="N28" s="4">
        <v>2016</v>
      </c>
      <c r="O28" s="4">
        <v>2016</v>
      </c>
      <c r="P28" s="4">
        <v>2016</v>
      </c>
      <c r="Q28" s="4">
        <v>2016</v>
      </c>
      <c r="R28" s="4">
        <v>2016</v>
      </c>
      <c r="S28" s="4">
        <v>2016</v>
      </c>
      <c r="T28" s="4">
        <v>2016</v>
      </c>
      <c r="U28" s="4">
        <v>2016</v>
      </c>
      <c r="V28" s="4">
        <v>2016</v>
      </c>
      <c r="W28" s="4">
        <v>2016</v>
      </c>
      <c r="X28" s="4">
        <v>2016</v>
      </c>
      <c r="Y28" s="4">
        <v>2016</v>
      </c>
      <c r="Z28" s="4">
        <v>2016</v>
      </c>
      <c r="AA28" s="4">
        <v>2016</v>
      </c>
      <c r="AB28" s="4">
        <v>2016</v>
      </c>
      <c r="AC28" s="4">
        <v>2016</v>
      </c>
      <c r="AD28" s="4">
        <v>2016</v>
      </c>
      <c r="AE28" s="4">
        <v>2016</v>
      </c>
      <c r="AF28" s="4">
        <v>2016</v>
      </c>
      <c r="AG28" s="4">
        <v>2016</v>
      </c>
      <c r="AH28" s="4">
        <v>2016</v>
      </c>
      <c r="AI28" s="8">
        <v>2016</v>
      </c>
      <c r="AJ28" s="7">
        <f t="shared" si="1"/>
        <v>0</v>
      </c>
    </row>
    <row r="29" spans="1:36">
      <c r="A29" s="4">
        <v>4</v>
      </c>
      <c r="B29" s="4" t="s">
        <v>129</v>
      </c>
      <c r="C29" s="141" t="s">
        <v>122</v>
      </c>
      <c r="D29" s="8">
        <v>28719</v>
      </c>
      <c r="E29" s="4">
        <v>28867</v>
      </c>
      <c r="F29" s="4">
        <v>28968</v>
      </c>
      <c r="G29" s="4">
        <v>29063</v>
      </c>
      <c r="H29" s="4">
        <v>29166</v>
      </c>
      <c r="I29" s="4">
        <v>29226</v>
      </c>
      <c r="J29" s="4">
        <v>29226</v>
      </c>
      <c r="K29" s="4">
        <v>29315</v>
      </c>
      <c r="L29" s="4">
        <v>29401</v>
      </c>
      <c r="M29" s="4">
        <v>29485</v>
      </c>
      <c r="N29" s="4">
        <v>29561</v>
      </c>
      <c r="O29" s="4">
        <v>29635</v>
      </c>
      <c r="P29" s="4">
        <v>29635</v>
      </c>
      <c r="Q29" s="4">
        <v>29684</v>
      </c>
      <c r="R29" s="4">
        <v>29779</v>
      </c>
      <c r="S29" s="4">
        <v>29858</v>
      </c>
      <c r="T29" s="4">
        <v>29922</v>
      </c>
      <c r="U29" s="4">
        <v>30001</v>
      </c>
      <c r="V29" s="4">
        <v>30063</v>
      </c>
      <c r="W29" s="4">
        <v>30091</v>
      </c>
      <c r="X29" s="4">
        <v>30091</v>
      </c>
      <c r="Y29" s="4">
        <v>30157</v>
      </c>
      <c r="Z29" s="4">
        <v>30220</v>
      </c>
      <c r="AA29" s="4">
        <v>30287</v>
      </c>
      <c r="AB29" s="4">
        <v>30380</v>
      </c>
      <c r="AC29" s="4">
        <v>30484</v>
      </c>
      <c r="AD29" s="4">
        <v>30549</v>
      </c>
      <c r="AE29" s="4">
        <v>30549</v>
      </c>
      <c r="AF29" s="4">
        <v>30658</v>
      </c>
      <c r="AG29" s="4">
        <v>30760</v>
      </c>
      <c r="AH29" s="8">
        <v>30853</v>
      </c>
      <c r="AI29" s="8">
        <v>30931</v>
      </c>
      <c r="AJ29" s="7">
        <f t="shared" si="1"/>
        <v>2212</v>
      </c>
    </row>
    <row r="30" spans="1:36">
      <c r="A30" s="4"/>
      <c r="B30" s="4"/>
      <c r="C30" s="142" t="s">
        <v>22</v>
      </c>
      <c r="D30" s="4">
        <v>1744</v>
      </c>
      <c r="E30" s="4">
        <v>1744</v>
      </c>
      <c r="F30" s="4">
        <v>1744</v>
      </c>
      <c r="G30" s="4">
        <v>1744</v>
      </c>
      <c r="H30" s="4">
        <v>1744</v>
      </c>
      <c r="I30" s="4">
        <v>1744</v>
      </c>
      <c r="J30" s="4">
        <v>1744</v>
      </c>
      <c r="K30" s="4">
        <v>1744</v>
      </c>
      <c r="L30" s="4">
        <v>1744</v>
      </c>
      <c r="M30" s="4">
        <v>1744</v>
      </c>
      <c r="N30" s="4">
        <v>1744</v>
      </c>
      <c r="O30" s="4">
        <v>1744</v>
      </c>
      <c r="P30" s="4">
        <v>1744</v>
      </c>
      <c r="Q30" s="4">
        <v>1744</v>
      </c>
      <c r="R30" s="4">
        <v>1744</v>
      </c>
      <c r="S30" s="4">
        <v>1744</v>
      </c>
      <c r="T30" s="4">
        <v>1744</v>
      </c>
      <c r="U30" s="4">
        <v>1744</v>
      </c>
      <c r="V30" s="4">
        <v>1744</v>
      </c>
      <c r="W30" s="4">
        <v>1744</v>
      </c>
      <c r="X30" s="4">
        <v>1744</v>
      </c>
      <c r="Y30" s="4">
        <v>1744</v>
      </c>
      <c r="Z30" s="4">
        <v>1744</v>
      </c>
      <c r="AA30" s="4">
        <v>1744</v>
      </c>
      <c r="AB30" s="4">
        <v>1744</v>
      </c>
      <c r="AC30" s="4">
        <v>1744</v>
      </c>
      <c r="AD30" s="4">
        <v>1744</v>
      </c>
      <c r="AE30" s="4">
        <v>1744</v>
      </c>
      <c r="AF30" s="4">
        <v>1744</v>
      </c>
      <c r="AG30" s="4">
        <v>1744</v>
      </c>
      <c r="AH30" s="4">
        <v>1744</v>
      </c>
      <c r="AI30" s="8">
        <v>1744</v>
      </c>
      <c r="AJ30" s="7">
        <f t="shared" si="1"/>
        <v>0</v>
      </c>
    </row>
    <row r="31" spans="1:36">
      <c r="A31" s="564"/>
      <c r="B31" s="504"/>
      <c r="C31" s="504"/>
      <c r="D31" s="504"/>
      <c r="E31" s="504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4"/>
      <c r="AH31" s="504"/>
      <c r="AI31" s="504"/>
      <c r="AJ31" s="501"/>
    </row>
    <row r="32" spans="1:36">
      <c r="A32" s="4">
        <v>1</v>
      </c>
      <c r="B32" s="4" t="s">
        <v>129</v>
      </c>
      <c r="C32" s="141" t="s">
        <v>123</v>
      </c>
      <c r="D32" s="150">
        <v>291798</v>
      </c>
      <c r="E32" s="44">
        <v>293068</v>
      </c>
      <c r="F32" s="150">
        <v>294337</v>
      </c>
      <c r="G32" s="150">
        <v>295601</v>
      </c>
      <c r="H32" s="150">
        <v>296557</v>
      </c>
      <c r="I32" s="44">
        <v>297287</v>
      </c>
      <c r="J32" s="150">
        <v>297287</v>
      </c>
      <c r="K32" s="150">
        <v>298846</v>
      </c>
      <c r="L32" s="150">
        <v>300013</v>
      </c>
      <c r="M32" s="44">
        <v>301206</v>
      </c>
      <c r="N32" s="150">
        <v>302104</v>
      </c>
      <c r="O32" s="150">
        <v>302935</v>
      </c>
      <c r="P32" s="150">
        <v>303270</v>
      </c>
      <c r="Q32" s="44">
        <v>303270</v>
      </c>
      <c r="R32" s="150">
        <v>304551</v>
      </c>
      <c r="S32" s="150">
        <v>305964</v>
      </c>
      <c r="T32" s="150">
        <v>306846</v>
      </c>
      <c r="U32" s="44">
        <v>307968</v>
      </c>
      <c r="V32" s="150">
        <v>308971</v>
      </c>
      <c r="W32" s="150">
        <v>310288</v>
      </c>
      <c r="X32" s="150">
        <v>310288</v>
      </c>
      <c r="Y32" s="44">
        <v>311594</v>
      </c>
      <c r="Z32" s="150">
        <v>313252</v>
      </c>
      <c r="AA32" s="150">
        <v>314047</v>
      </c>
      <c r="AB32" s="150">
        <v>315016</v>
      </c>
      <c r="AC32" s="44">
        <v>316403</v>
      </c>
      <c r="AD32" s="150">
        <v>317257</v>
      </c>
      <c r="AE32" s="150">
        <v>317257</v>
      </c>
      <c r="AF32" s="150">
        <v>318952</v>
      </c>
      <c r="AG32" s="44">
        <v>320167</v>
      </c>
      <c r="AH32" s="150">
        <v>321228</v>
      </c>
      <c r="AI32" s="161">
        <v>322263</v>
      </c>
      <c r="AJ32" s="7">
        <f>AI32-D32</f>
        <v>30465</v>
      </c>
    </row>
    <row r="33" spans="1:36">
      <c r="A33" s="4">
        <v>2</v>
      </c>
      <c r="B33" s="4" t="s">
        <v>129</v>
      </c>
      <c r="C33" s="141" t="s">
        <v>124</v>
      </c>
      <c r="D33" s="150">
        <v>279049</v>
      </c>
      <c r="E33" s="150">
        <v>279832</v>
      </c>
      <c r="F33" s="150">
        <v>280712</v>
      </c>
      <c r="G33" s="150">
        <v>281416</v>
      </c>
      <c r="H33" s="150">
        <v>282094</v>
      </c>
      <c r="I33" s="150">
        <v>282428</v>
      </c>
      <c r="J33" s="150">
        <v>282428</v>
      </c>
      <c r="K33" s="150">
        <v>283309</v>
      </c>
      <c r="L33" s="150">
        <v>284319</v>
      </c>
      <c r="M33" s="150">
        <v>285116</v>
      </c>
      <c r="N33" s="150">
        <v>285827</v>
      </c>
      <c r="O33" s="150">
        <v>286593</v>
      </c>
      <c r="P33" s="150">
        <v>287210</v>
      </c>
      <c r="Q33" s="150">
        <v>287210</v>
      </c>
      <c r="R33" s="150">
        <v>288184</v>
      </c>
      <c r="S33" s="150">
        <v>289016</v>
      </c>
      <c r="T33" s="150">
        <v>289760</v>
      </c>
      <c r="U33" s="150">
        <v>290548</v>
      </c>
      <c r="V33" s="150">
        <v>291341</v>
      </c>
      <c r="W33" s="150">
        <v>291713</v>
      </c>
      <c r="X33" s="150">
        <v>291713</v>
      </c>
      <c r="Y33" s="150">
        <v>292668</v>
      </c>
      <c r="Z33" s="150">
        <v>293359</v>
      </c>
      <c r="AA33" s="150">
        <v>294020</v>
      </c>
      <c r="AB33" s="150">
        <v>295088</v>
      </c>
      <c r="AC33" s="150">
        <v>296041</v>
      </c>
      <c r="AD33" s="150">
        <v>296847</v>
      </c>
      <c r="AE33" s="150">
        <v>296847</v>
      </c>
      <c r="AF33" s="150">
        <v>297987</v>
      </c>
      <c r="AG33" s="150">
        <v>298190</v>
      </c>
      <c r="AH33" s="150">
        <v>299330</v>
      </c>
      <c r="AI33" s="161">
        <v>300479</v>
      </c>
      <c r="AJ33" s="7">
        <f>AI33-D33</f>
        <v>21430</v>
      </c>
    </row>
    <row r="34" spans="1:36">
      <c r="A34" s="4">
        <v>3</v>
      </c>
      <c r="B34" s="4" t="s">
        <v>129</v>
      </c>
      <c r="C34" s="141" t="s">
        <v>125</v>
      </c>
      <c r="D34" s="150">
        <v>283579</v>
      </c>
      <c r="E34" s="150">
        <v>284646</v>
      </c>
      <c r="F34" s="150">
        <v>285803</v>
      </c>
      <c r="G34" s="150">
        <v>286915</v>
      </c>
      <c r="H34" s="150">
        <v>287648</v>
      </c>
      <c r="I34" s="150">
        <v>288613</v>
      </c>
      <c r="J34" s="150">
        <v>288613</v>
      </c>
      <c r="K34" s="150">
        <v>289741</v>
      </c>
      <c r="L34" s="150">
        <v>290969</v>
      </c>
      <c r="M34" s="150">
        <v>291951</v>
      </c>
      <c r="N34" s="150">
        <v>292772</v>
      </c>
      <c r="O34" s="150">
        <v>293809</v>
      </c>
      <c r="P34" s="150">
        <v>294418</v>
      </c>
      <c r="Q34" s="150">
        <v>294418</v>
      </c>
      <c r="R34" s="150">
        <v>295504</v>
      </c>
      <c r="S34" s="150">
        <v>296909</v>
      </c>
      <c r="T34" s="150">
        <v>297939</v>
      </c>
      <c r="U34" s="150">
        <v>299298</v>
      </c>
      <c r="V34" s="150">
        <v>300298</v>
      </c>
      <c r="W34" s="150">
        <v>301108</v>
      </c>
      <c r="X34" s="150">
        <v>301108</v>
      </c>
      <c r="Y34" s="150">
        <v>301434</v>
      </c>
      <c r="Z34" s="150">
        <v>303587</v>
      </c>
      <c r="AA34" s="150">
        <v>304685</v>
      </c>
      <c r="AB34" s="150">
        <v>305839</v>
      </c>
      <c r="AC34" s="150">
        <v>307156</v>
      </c>
      <c r="AD34" s="150">
        <v>308119</v>
      </c>
      <c r="AE34" s="150">
        <v>308119</v>
      </c>
      <c r="AF34" s="150">
        <v>309370</v>
      </c>
      <c r="AG34" s="150">
        <v>310380</v>
      </c>
      <c r="AH34" s="150">
        <v>311549</v>
      </c>
      <c r="AI34" s="161">
        <v>312610</v>
      </c>
      <c r="AJ34" s="7">
        <f>AI34-D34</f>
        <v>29031</v>
      </c>
    </row>
    <row r="35" spans="1:36">
      <c r="A35" s="4">
        <v>4</v>
      </c>
      <c r="B35" s="4" t="s">
        <v>129</v>
      </c>
      <c r="C35" s="141" t="s">
        <v>126</v>
      </c>
      <c r="D35" s="150">
        <v>309779</v>
      </c>
      <c r="E35" s="150">
        <v>310939</v>
      </c>
      <c r="F35" s="150">
        <v>311987</v>
      </c>
      <c r="G35" s="150">
        <v>313180</v>
      </c>
      <c r="H35" s="150">
        <v>314310</v>
      </c>
      <c r="I35" s="150">
        <v>314935</v>
      </c>
      <c r="J35" s="150">
        <v>314935</v>
      </c>
      <c r="K35" s="150">
        <v>316129</v>
      </c>
      <c r="L35" s="150">
        <v>317166</v>
      </c>
      <c r="M35" s="150">
        <v>318136</v>
      </c>
      <c r="N35" s="150">
        <v>319101</v>
      </c>
      <c r="O35" s="150">
        <v>319980</v>
      </c>
      <c r="P35" s="150">
        <v>320534</v>
      </c>
      <c r="Q35" s="150">
        <v>320534</v>
      </c>
      <c r="R35" s="150">
        <v>321773</v>
      </c>
      <c r="S35" s="150">
        <v>323058</v>
      </c>
      <c r="T35" s="150">
        <v>324106</v>
      </c>
      <c r="U35" s="150">
        <v>325311</v>
      </c>
      <c r="V35" s="150">
        <v>326379</v>
      </c>
      <c r="W35" s="150">
        <v>326895</v>
      </c>
      <c r="X35" s="150">
        <v>326995</v>
      </c>
      <c r="Y35" s="150">
        <v>328090</v>
      </c>
      <c r="Z35" s="150">
        <v>329090</v>
      </c>
      <c r="AA35" s="150">
        <v>330169</v>
      </c>
      <c r="AB35" s="150">
        <v>331247</v>
      </c>
      <c r="AC35" s="150">
        <v>332505</v>
      </c>
      <c r="AD35" s="150">
        <v>333257</v>
      </c>
      <c r="AE35" s="150">
        <v>333257</v>
      </c>
      <c r="AF35" s="150">
        <v>334613</v>
      </c>
      <c r="AG35" s="150">
        <v>335642</v>
      </c>
      <c r="AH35" s="150">
        <v>336645</v>
      </c>
      <c r="AI35" s="161">
        <v>337491</v>
      </c>
      <c r="AJ35" s="7">
        <f>AI35-D35</f>
        <v>27712</v>
      </c>
    </row>
    <row r="36" spans="1:36">
      <c r="A36" s="180"/>
      <c r="B36" s="180"/>
      <c r="C36" s="143"/>
      <c r="D36" s="180"/>
      <c r="E36" s="13"/>
      <c r="F36" s="180"/>
      <c r="G36" s="180"/>
      <c r="H36" s="180"/>
      <c r="I36" s="180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  <c r="AA36" s="180"/>
      <c r="AB36" s="180"/>
      <c r="AC36" s="6"/>
      <c r="AD36" s="180"/>
      <c r="AE36" s="180"/>
      <c r="AF36" s="180"/>
      <c r="AG36" s="180"/>
      <c r="AH36" s="180"/>
      <c r="AI36" s="180"/>
      <c r="AJ36" s="181"/>
    </row>
    <row r="37" spans="1:36">
      <c r="A37" s="14"/>
      <c r="B37" s="137"/>
      <c r="C37" s="144"/>
      <c r="D37" s="138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>
      <c r="A38" s="93"/>
      <c r="B38" s="534" t="s">
        <v>127</v>
      </c>
      <c r="C38" s="504"/>
      <c r="D38" s="501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</row>
    <row r="39" spans="1:36">
      <c r="A39" s="94"/>
      <c r="B39" s="538" t="s">
        <v>128</v>
      </c>
      <c r="C39" s="504"/>
      <c r="D39" s="501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</row>
    <row r="40" spans="1:36">
      <c r="A40" s="529" t="s">
        <v>99</v>
      </c>
      <c r="B40" s="529" t="s">
        <v>100</v>
      </c>
      <c r="C40" s="529" t="s">
        <v>101</v>
      </c>
      <c r="D40" s="517"/>
      <c r="E40" s="95">
        <f t="shared" ref="E40:AI40" si="2">E2</f>
        <v>45839</v>
      </c>
      <c r="F40" s="95">
        <f t="shared" si="2"/>
        <v>45840</v>
      </c>
      <c r="G40" s="95">
        <f t="shared" si="2"/>
        <v>45841</v>
      </c>
      <c r="H40" s="95">
        <f t="shared" si="2"/>
        <v>45842</v>
      </c>
      <c r="I40" s="95">
        <f t="shared" si="2"/>
        <v>45843</v>
      </c>
      <c r="J40" s="95">
        <f t="shared" si="2"/>
        <v>45844</v>
      </c>
      <c r="K40" s="95">
        <f t="shared" si="2"/>
        <v>45845</v>
      </c>
      <c r="L40" s="95">
        <f t="shared" si="2"/>
        <v>45846</v>
      </c>
      <c r="M40" s="95">
        <f t="shared" si="2"/>
        <v>45847</v>
      </c>
      <c r="N40" s="95">
        <f t="shared" si="2"/>
        <v>45848</v>
      </c>
      <c r="O40" s="95">
        <f t="shared" si="2"/>
        <v>45849</v>
      </c>
      <c r="P40" s="95">
        <f t="shared" si="2"/>
        <v>45850</v>
      </c>
      <c r="Q40" s="95">
        <f t="shared" si="2"/>
        <v>45851</v>
      </c>
      <c r="R40" s="95">
        <f t="shared" si="2"/>
        <v>45852</v>
      </c>
      <c r="S40" s="95">
        <f t="shared" si="2"/>
        <v>45853</v>
      </c>
      <c r="T40" s="95">
        <f t="shared" si="2"/>
        <v>45854</v>
      </c>
      <c r="U40" s="95">
        <f t="shared" si="2"/>
        <v>45855</v>
      </c>
      <c r="V40" s="95">
        <f t="shared" si="2"/>
        <v>45856</v>
      </c>
      <c r="W40" s="95">
        <f t="shared" si="2"/>
        <v>45857</v>
      </c>
      <c r="X40" s="95">
        <f t="shared" si="2"/>
        <v>45858</v>
      </c>
      <c r="Y40" s="95">
        <f t="shared" si="2"/>
        <v>45859</v>
      </c>
      <c r="Z40" s="95">
        <f t="shared" si="2"/>
        <v>45860</v>
      </c>
      <c r="AA40" s="95">
        <f t="shared" si="2"/>
        <v>45861</v>
      </c>
      <c r="AB40" s="95">
        <f t="shared" si="2"/>
        <v>45862</v>
      </c>
      <c r="AC40" s="95">
        <f t="shared" si="2"/>
        <v>45863</v>
      </c>
      <c r="AD40" s="95">
        <f t="shared" si="2"/>
        <v>45864</v>
      </c>
      <c r="AE40" s="95">
        <f t="shared" si="2"/>
        <v>45865</v>
      </c>
      <c r="AF40" s="95">
        <f t="shared" si="2"/>
        <v>45866</v>
      </c>
      <c r="AG40" s="95">
        <f t="shared" si="2"/>
        <v>45867</v>
      </c>
      <c r="AH40" s="95">
        <f t="shared" si="2"/>
        <v>45868</v>
      </c>
      <c r="AI40" s="95">
        <f t="shared" si="2"/>
        <v>45869</v>
      </c>
      <c r="AJ40" s="529" t="s">
        <v>1</v>
      </c>
    </row>
    <row r="41" spans="1:36">
      <c r="A41" s="508"/>
      <c r="B41" s="508"/>
      <c r="C41" s="518"/>
      <c r="D41" s="519"/>
      <c r="E41" s="96" t="s">
        <v>169</v>
      </c>
      <c r="F41" s="96" t="s">
        <v>170</v>
      </c>
      <c r="G41" s="96" t="s">
        <v>171</v>
      </c>
      <c r="H41" s="96" t="s">
        <v>172</v>
      </c>
      <c r="I41" s="96" t="s">
        <v>173</v>
      </c>
      <c r="J41" s="96" t="s">
        <v>174</v>
      </c>
      <c r="K41" s="96" t="s">
        <v>175</v>
      </c>
      <c r="L41" s="96" t="s">
        <v>169</v>
      </c>
      <c r="M41" s="96" t="s">
        <v>170</v>
      </c>
      <c r="N41" s="96" t="s">
        <v>171</v>
      </c>
      <c r="O41" s="96" t="s">
        <v>172</v>
      </c>
      <c r="P41" s="96" t="s">
        <v>173</v>
      </c>
      <c r="Q41" s="96" t="s">
        <v>174</v>
      </c>
      <c r="R41" s="96" t="s">
        <v>175</v>
      </c>
      <c r="S41" s="96" t="s">
        <v>169</v>
      </c>
      <c r="T41" s="96" t="s">
        <v>170</v>
      </c>
      <c r="U41" s="96" t="s">
        <v>171</v>
      </c>
      <c r="V41" s="96" t="s">
        <v>172</v>
      </c>
      <c r="W41" s="96" t="s">
        <v>173</v>
      </c>
      <c r="X41" s="96" t="s">
        <v>174</v>
      </c>
      <c r="Y41" s="96" t="s">
        <v>175</v>
      </c>
      <c r="Z41" s="96" t="s">
        <v>169</v>
      </c>
      <c r="AA41" s="96" t="s">
        <v>170</v>
      </c>
      <c r="AB41" s="96" t="s">
        <v>171</v>
      </c>
      <c r="AC41" s="96" t="s">
        <v>172</v>
      </c>
      <c r="AD41" s="96" t="s">
        <v>173</v>
      </c>
      <c r="AE41" s="96" t="s">
        <v>174</v>
      </c>
      <c r="AF41" s="96" t="s">
        <v>175</v>
      </c>
      <c r="AG41" s="96" t="s">
        <v>169</v>
      </c>
      <c r="AH41" s="96" t="s">
        <v>170</v>
      </c>
      <c r="AI41" s="96" t="s">
        <v>172</v>
      </c>
      <c r="AJ41" s="508"/>
    </row>
    <row r="42" spans="1:36">
      <c r="A42" s="508"/>
      <c r="B42" s="508"/>
      <c r="C42" s="518"/>
      <c r="D42" s="519"/>
      <c r="E42" s="97" t="s">
        <v>110</v>
      </c>
      <c r="F42" s="97" t="s">
        <v>110</v>
      </c>
      <c r="G42" s="97" t="s">
        <v>110</v>
      </c>
      <c r="H42" s="97" t="s">
        <v>110</v>
      </c>
      <c r="I42" s="97" t="s">
        <v>110</v>
      </c>
      <c r="J42" s="97" t="s">
        <v>110</v>
      </c>
      <c r="K42" s="97" t="s">
        <v>110</v>
      </c>
      <c r="L42" s="97" t="s">
        <v>110</v>
      </c>
      <c r="M42" s="97" t="s">
        <v>110</v>
      </c>
      <c r="N42" s="97" t="s">
        <v>110</v>
      </c>
      <c r="O42" s="97" t="s">
        <v>110</v>
      </c>
      <c r="P42" s="97" t="s">
        <v>110</v>
      </c>
      <c r="Q42" s="97" t="s">
        <v>110</v>
      </c>
      <c r="R42" s="97" t="s">
        <v>110</v>
      </c>
      <c r="S42" s="97" t="s">
        <v>110</v>
      </c>
      <c r="T42" s="97" t="s">
        <v>110</v>
      </c>
      <c r="U42" s="97" t="s">
        <v>110</v>
      </c>
      <c r="V42" s="97" t="s">
        <v>110</v>
      </c>
      <c r="W42" s="97" t="s">
        <v>110</v>
      </c>
      <c r="X42" s="97" t="s">
        <v>110</v>
      </c>
      <c r="Y42" s="97" t="s">
        <v>110</v>
      </c>
      <c r="Z42" s="97" t="s">
        <v>110</v>
      </c>
      <c r="AA42" s="97" t="s">
        <v>110</v>
      </c>
      <c r="AB42" s="97" t="s">
        <v>110</v>
      </c>
      <c r="AC42" s="97" t="s">
        <v>110</v>
      </c>
      <c r="AD42" s="97" t="s">
        <v>110</v>
      </c>
      <c r="AE42" s="97" t="s">
        <v>110</v>
      </c>
      <c r="AF42" s="97" t="s">
        <v>110</v>
      </c>
      <c r="AG42" s="97" t="s">
        <v>110</v>
      </c>
      <c r="AH42" s="95" t="str">
        <f>AH4</f>
        <v>Time</v>
      </c>
      <c r="AI42" s="95" t="str">
        <f>AI4</f>
        <v>Time</v>
      </c>
      <c r="AJ42" s="508"/>
    </row>
    <row r="43" spans="1:36">
      <c r="A43" s="509"/>
      <c r="B43" s="509"/>
      <c r="C43" s="520"/>
      <c r="D43" s="521"/>
      <c r="E43" s="98">
        <v>0.33333333333333331</v>
      </c>
      <c r="F43" s="98">
        <v>0.33333333333333331</v>
      </c>
      <c r="G43" s="98">
        <v>0.33333333333333331</v>
      </c>
      <c r="H43" s="98">
        <v>0.33333333333333331</v>
      </c>
      <c r="I43" s="98">
        <v>0.33333333333333331</v>
      </c>
      <c r="J43" s="98">
        <v>0.33333333333333331</v>
      </c>
      <c r="K43" s="98">
        <v>0.33333333333333331</v>
      </c>
      <c r="L43" s="98">
        <v>0.33333333333333331</v>
      </c>
      <c r="M43" s="98">
        <v>0.33333333333333331</v>
      </c>
      <c r="N43" s="98">
        <v>0.33333333333333331</v>
      </c>
      <c r="O43" s="98">
        <v>0.33333333333333331</v>
      </c>
      <c r="P43" s="98">
        <v>0.33333333333333331</v>
      </c>
      <c r="Q43" s="98">
        <v>0.33333333333333331</v>
      </c>
      <c r="R43" s="98">
        <v>0.33333333333333331</v>
      </c>
      <c r="S43" s="98">
        <v>0.33333333333333331</v>
      </c>
      <c r="T43" s="98">
        <v>0.33333333333333331</v>
      </c>
      <c r="U43" s="98">
        <v>0.33333333333333331</v>
      </c>
      <c r="V43" s="98">
        <v>0.33333333333333331</v>
      </c>
      <c r="W43" s="98">
        <v>0.33333333333333331</v>
      </c>
      <c r="X43" s="98">
        <v>0.33333333333333331</v>
      </c>
      <c r="Y43" s="98">
        <v>0.33333333333333331</v>
      </c>
      <c r="Z43" s="98">
        <v>0.33333333333333331</v>
      </c>
      <c r="AA43" s="98">
        <v>0.33333333333333331</v>
      </c>
      <c r="AB43" s="98">
        <v>0.33333333333333331</v>
      </c>
      <c r="AC43" s="98">
        <v>0.33333333333333331</v>
      </c>
      <c r="AD43" s="98">
        <v>0.33333333333333331</v>
      </c>
      <c r="AE43" s="98">
        <v>0.33333333333333331</v>
      </c>
      <c r="AF43" s="98">
        <v>0.33333333333333331</v>
      </c>
      <c r="AG43" s="98">
        <v>0.33333333333333331</v>
      </c>
      <c r="AH43" s="98">
        <v>0.33333333333333331</v>
      </c>
      <c r="AI43" s="98">
        <v>0.33333333333333331</v>
      </c>
      <c r="AJ43" s="509"/>
    </row>
    <row r="44" spans="1:36" ht="15" customHeight="1">
      <c r="A44" s="2">
        <v>1</v>
      </c>
      <c r="B44" s="2" t="s">
        <v>129</v>
      </c>
      <c r="C44" s="503" t="s">
        <v>111</v>
      </c>
      <c r="D44" s="501"/>
      <c r="E44" s="20">
        <f t="shared" ref="E44:AI44" si="3">E6-D6</f>
        <v>371</v>
      </c>
      <c r="F44" s="20">
        <f t="shared" si="3"/>
        <v>279</v>
      </c>
      <c r="G44" s="20">
        <f t="shared" si="3"/>
        <v>285</v>
      </c>
      <c r="H44" s="20">
        <f t="shared" si="3"/>
        <v>264</v>
      </c>
      <c r="I44" s="20">
        <f t="shared" si="3"/>
        <v>212</v>
      </c>
      <c r="J44" s="20">
        <f t="shared" si="3"/>
        <v>211</v>
      </c>
      <c r="K44" s="20">
        <f t="shared" si="3"/>
        <v>259</v>
      </c>
      <c r="L44" s="20">
        <f t="shared" si="3"/>
        <v>285</v>
      </c>
      <c r="M44" s="20">
        <f t="shared" si="3"/>
        <v>295</v>
      </c>
      <c r="N44" s="20">
        <f t="shared" si="3"/>
        <v>240</v>
      </c>
      <c r="O44" s="20">
        <f t="shared" si="3"/>
        <v>256</v>
      </c>
      <c r="P44" s="20">
        <f t="shared" si="3"/>
        <v>214</v>
      </c>
      <c r="Q44" s="20">
        <f t="shared" si="3"/>
        <v>208</v>
      </c>
      <c r="R44" s="20">
        <f t="shared" si="3"/>
        <v>271</v>
      </c>
      <c r="S44" s="20">
        <f t="shared" si="3"/>
        <v>261</v>
      </c>
      <c r="T44" s="20">
        <f t="shared" si="3"/>
        <v>287</v>
      </c>
      <c r="U44" s="20">
        <f t="shared" si="3"/>
        <v>272</v>
      </c>
      <c r="V44" s="20">
        <f t="shared" si="3"/>
        <v>273</v>
      </c>
      <c r="W44" s="20">
        <f t="shared" si="3"/>
        <v>215</v>
      </c>
      <c r="X44" s="20">
        <f t="shared" si="3"/>
        <v>210</v>
      </c>
      <c r="Y44" s="20">
        <f t="shared" si="3"/>
        <v>274</v>
      </c>
      <c r="Z44" s="20">
        <f t="shared" si="3"/>
        <v>271</v>
      </c>
      <c r="AA44" s="20">
        <f t="shared" si="3"/>
        <v>277</v>
      </c>
      <c r="AB44" s="20">
        <f t="shared" si="3"/>
        <v>294</v>
      </c>
      <c r="AC44" s="20">
        <f t="shared" si="3"/>
        <v>278</v>
      </c>
      <c r="AD44" s="20">
        <f t="shared" si="3"/>
        <v>91</v>
      </c>
      <c r="AE44" s="20">
        <f t="shared" si="3"/>
        <v>91</v>
      </c>
      <c r="AF44" s="20">
        <f t="shared" si="3"/>
        <v>265</v>
      </c>
      <c r="AG44" s="20">
        <f t="shared" si="3"/>
        <v>253</v>
      </c>
      <c r="AH44" s="20">
        <f t="shared" si="3"/>
        <v>310</v>
      </c>
      <c r="AI44" s="20">
        <f t="shared" si="3"/>
        <v>267</v>
      </c>
      <c r="AJ44" s="21">
        <f t="shared" ref="AJ44:AJ60" si="4">SUM(E44:AI44)</f>
        <v>7839</v>
      </c>
    </row>
    <row r="45" spans="1:36" ht="15" customHeight="1">
      <c r="A45" s="2"/>
      <c r="B45" s="2"/>
      <c r="C45" s="531" t="s">
        <v>22</v>
      </c>
      <c r="D45" s="501"/>
      <c r="E45" s="20">
        <f t="shared" ref="E45:AI45" si="5">E7-D7</f>
        <v>0</v>
      </c>
      <c r="F45" s="20">
        <f t="shared" si="5"/>
        <v>0</v>
      </c>
      <c r="G45" s="20">
        <f t="shared" si="5"/>
        <v>0</v>
      </c>
      <c r="H45" s="20">
        <f t="shared" si="5"/>
        <v>0</v>
      </c>
      <c r="I45" s="20">
        <f t="shared" si="5"/>
        <v>0</v>
      </c>
      <c r="J45" s="20">
        <f t="shared" si="5"/>
        <v>0</v>
      </c>
      <c r="K45" s="20">
        <f t="shared" si="5"/>
        <v>0</v>
      </c>
      <c r="L45" s="20">
        <f t="shared" si="5"/>
        <v>0</v>
      </c>
      <c r="M45" s="20">
        <f t="shared" si="5"/>
        <v>0</v>
      </c>
      <c r="N45" s="20">
        <f t="shared" si="5"/>
        <v>0</v>
      </c>
      <c r="O45" s="20">
        <f t="shared" si="5"/>
        <v>0</v>
      </c>
      <c r="P45" s="20">
        <f t="shared" si="5"/>
        <v>0</v>
      </c>
      <c r="Q45" s="20">
        <f t="shared" si="5"/>
        <v>0</v>
      </c>
      <c r="R45" s="20">
        <f t="shared" si="5"/>
        <v>0</v>
      </c>
      <c r="S45" s="20">
        <f t="shared" si="5"/>
        <v>0</v>
      </c>
      <c r="T45" s="20">
        <f t="shared" si="5"/>
        <v>0</v>
      </c>
      <c r="U45" s="20">
        <f t="shared" si="5"/>
        <v>0</v>
      </c>
      <c r="V45" s="20">
        <f t="shared" si="5"/>
        <v>0</v>
      </c>
      <c r="W45" s="20">
        <f t="shared" si="5"/>
        <v>0</v>
      </c>
      <c r="X45" s="20">
        <f t="shared" si="5"/>
        <v>0</v>
      </c>
      <c r="Y45" s="20">
        <f t="shared" si="5"/>
        <v>0</v>
      </c>
      <c r="Z45" s="20">
        <f t="shared" si="5"/>
        <v>0</v>
      </c>
      <c r="AA45" s="20">
        <f t="shared" si="5"/>
        <v>0</v>
      </c>
      <c r="AB45" s="20">
        <f t="shared" si="5"/>
        <v>0</v>
      </c>
      <c r="AC45" s="20">
        <f t="shared" si="5"/>
        <v>0</v>
      </c>
      <c r="AD45" s="20">
        <f t="shared" si="5"/>
        <v>0</v>
      </c>
      <c r="AE45" s="20">
        <f t="shared" si="5"/>
        <v>0</v>
      </c>
      <c r="AF45" s="20">
        <f t="shared" si="5"/>
        <v>0</v>
      </c>
      <c r="AG45" s="20">
        <f t="shared" si="5"/>
        <v>0</v>
      </c>
      <c r="AH45" s="20">
        <f t="shared" si="5"/>
        <v>0</v>
      </c>
      <c r="AI45" s="20">
        <f t="shared" si="5"/>
        <v>0</v>
      </c>
      <c r="AJ45" s="21">
        <f t="shared" si="4"/>
        <v>0</v>
      </c>
    </row>
    <row r="46" spans="1:36" ht="15" customHeight="1">
      <c r="A46" s="2">
        <v>2</v>
      </c>
      <c r="B46" s="2" t="s">
        <v>129</v>
      </c>
      <c r="C46" s="503" t="s">
        <v>112</v>
      </c>
      <c r="D46" s="501"/>
      <c r="E46" s="20">
        <f t="shared" ref="E46:I59" si="6">E8-D8</f>
        <v>0</v>
      </c>
      <c r="F46" s="20">
        <f t="shared" si="6"/>
        <v>0</v>
      </c>
      <c r="G46" s="20">
        <f t="shared" si="6"/>
        <v>0</v>
      </c>
      <c r="H46" s="20">
        <f t="shared" si="6"/>
        <v>0</v>
      </c>
      <c r="I46" s="20">
        <f t="shared" si="6"/>
        <v>0</v>
      </c>
      <c r="J46" s="20">
        <v>0</v>
      </c>
      <c r="K46" s="20">
        <v>0</v>
      </c>
      <c r="L46" s="20">
        <f t="shared" ref="L46:O59" si="7">L8-K8</f>
        <v>0</v>
      </c>
      <c r="M46" s="20">
        <f t="shared" si="7"/>
        <v>0</v>
      </c>
      <c r="N46" s="20">
        <f t="shared" si="7"/>
        <v>0</v>
      </c>
      <c r="O46" s="20">
        <f t="shared" si="7"/>
        <v>0</v>
      </c>
      <c r="P46" s="20">
        <v>0</v>
      </c>
      <c r="Q46" s="20">
        <v>0</v>
      </c>
      <c r="R46" s="20">
        <f t="shared" ref="R46:AI46" si="8">R8-Q8</f>
        <v>0</v>
      </c>
      <c r="S46" s="20">
        <f t="shared" si="8"/>
        <v>0</v>
      </c>
      <c r="T46" s="20">
        <f t="shared" si="8"/>
        <v>0</v>
      </c>
      <c r="U46" s="20">
        <f t="shared" si="8"/>
        <v>0</v>
      </c>
      <c r="V46" s="20">
        <f t="shared" si="8"/>
        <v>0</v>
      </c>
      <c r="W46" s="20">
        <f t="shared" si="8"/>
        <v>0</v>
      </c>
      <c r="X46" s="20">
        <f t="shared" si="8"/>
        <v>0</v>
      </c>
      <c r="Y46" s="20">
        <f t="shared" si="8"/>
        <v>0</v>
      </c>
      <c r="Z46" s="20">
        <f t="shared" si="8"/>
        <v>0</v>
      </c>
      <c r="AA46" s="20">
        <f t="shared" si="8"/>
        <v>0</v>
      </c>
      <c r="AB46" s="20">
        <f t="shared" si="8"/>
        <v>0</v>
      </c>
      <c r="AC46" s="20">
        <f t="shared" si="8"/>
        <v>0</v>
      </c>
      <c r="AD46" s="20">
        <f t="shared" si="8"/>
        <v>0</v>
      </c>
      <c r="AE46" s="20">
        <f t="shared" si="8"/>
        <v>0</v>
      </c>
      <c r="AF46" s="20">
        <f t="shared" si="8"/>
        <v>0</v>
      </c>
      <c r="AG46" s="20">
        <f t="shared" si="8"/>
        <v>0</v>
      </c>
      <c r="AH46" s="20">
        <f t="shared" si="8"/>
        <v>0</v>
      </c>
      <c r="AI46" s="20">
        <f t="shared" si="8"/>
        <v>0</v>
      </c>
      <c r="AJ46" s="21">
        <f t="shared" si="4"/>
        <v>0</v>
      </c>
    </row>
    <row r="47" spans="1:36" ht="15" customHeight="1">
      <c r="A47" s="2"/>
      <c r="B47" s="2"/>
      <c r="C47" s="531" t="s">
        <v>22</v>
      </c>
      <c r="D47" s="501"/>
      <c r="E47" s="20">
        <f t="shared" si="6"/>
        <v>0</v>
      </c>
      <c r="F47" s="20">
        <f t="shared" si="6"/>
        <v>0</v>
      </c>
      <c r="G47" s="20">
        <f t="shared" si="6"/>
        <v>0</v>
      </c>
      <c r="H47" s="20">
        <f t="shared" si="6"/>
        <v>0</v>
      </c>
      <c r="I47" s="20">
        <f t="shared" si="6"/>
        <v>0</v>
      </c>
      <c r="J47" s="20">
        <f t="shared" ref="J47:K59" si="9">J9-I9</f>
        <v>0</v>
      </c>
      <c r="K47" s="20">
        <f t="shared" si="9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ref="P47:Q59" si="10">P9-O9</f>
        <v>0</v>
      </c>
      <c r="Q47" s="20">
        <f t="shared" si="10"/>
        <v>0</v>
      </c>
      <c r="R47" s="20">
        <f t="shared" ref="R47:AI47" si="11">R9-Q9</f>
        <v>0</v>
      </c>
      <c r="S47" s="20">
        <f t="shared" si="11"/>
        <v>0</v>
      </c>
      <c r="T47" s="20">
        <f t="shared" si="11"/>
        <v>0</v>
      </c>
      <c r="U47" s="20">
        <f t="shared" si="11"/>
        <v>0</v>
      </c>
      <c r="V47" s="20">
        <f t="shared" si="11"/>
        <v>0</v>
      </c>
      <c r="W47" s="20">
        <f t="shared" si="11"/>
        <v>0</v>
      </c>
      <c r="X47" s="20">
        <f t="shared" si="11"/>
        <v>0</v>
      </c>
      <c r="Y47" s="20">
        <f t="shared" si="11"/>
        <v>0</v>
      </c>
      <c r="Z47" s="20">
        <f t="shared" si="11"/>
        <v>0</v>
      </c>
      <c r="AA47" s="20">
        <f t="shared" si="11"/>
        <v>0</v>
      </c>
      <c r="AB47" s="20">
        <f t="shared" si="11"/>
        <v>0</v>
      </c>
      <c r="AC47" s="20">
        <f t="shared" si="11"/>
        <v>0</v>
      </c>
      <c r="AD47" s="20">
        <f t="shared" si="11"/>
        <v>0</v>
      </c>
      <c r="AE47" s="20">
        <f t="shared" si="11"/>
        <v>0</v>
      </c>
      <c r="AF47" s="20">
        <f t="shared" si="11"/>
        <v>0</v>
      </c>
      <c r="AG47" s="20">
        <f t="shared" si="11"/>
        <v>0</v>
      </c>
      <c r="AH47" s="20">
        <f t="shared" si="11"/>
        <v>0</v>
      </c>
      <c r="AI47" s="20">
        <f t="shared" si="11"/>
        <v>0</v>
      </c>
      <c r="AJ47" s="21">
        <f t="shared" si="4"/>
        <v>0</v>
      </c>
    </row>
    <row r="48" spans="1:36" ht="15" customHeight="1">
      <c r="A48" s="2">
        <v>3</v>
      </c>
      <c r="B48" s="2" t="s">
        <v>129</v>
      </c>
      <c r="C48" s="503" t="s">
        <v>113</v>
      </c>
      <c r="D48" s="501"/>
      <c r="E48" s="20">
        <f t="shared" si="6"/>
        <v>551</v>
      </c>
      <c r="F48" s="20">
        <f t="shared" si="6"/>
        <v>413</v>
      </c>
      <c r="G48" s="20">
        <f t="shared" si="6"/>
        <v>422</v>
      </c>
      <c r="H48" s="20">
        <f t="shared" si="6"/>
        <v>396</v>
      </c>
      <c r="I48" s="20">
        <f t="shared" si="6"/>
        <v>281</v>
      </c>
      <c r="J48" s="20">
        <f t="shared" si="9"/>
        <v>291</v>
      </c>
      <c r="K48" s="20">
        <f t="shared" si="9"/>
        <v>374</v>
      </c>
      <c r="L48" s="20">
        <f t="shared" si="7"/>
        <v>422</v>
      </c>
      <c r="M48" s="20">
        <f t="shared" si="7"/>
        <v>439</v>
      </c>
      <c r="N48" s="20">
        <f t="shared" si="7"/>
        <v>352</v>
      </c>
      <c r="O48" s="20">
        <f t="shared" si="7"/>
        <v>380</v>
      </c>
      <c r="P48" s="20">
        <f t="shared" si="10"/>
        <v>287</v>
      </c>
      <c r="Q48" s="20">
        <f t="shared" si="10"/>
        <v>279</v>
      </c>
      <c r="R48" s="20">
        <f t="shared" ref="R48:AI48" si="12">R10-Q10</f>
        <v>395</v>
      </c>
      <c r="S48" s="20">
        <f t="shared" si="12"/>
        <v>396</v>
      </c>
      <c r="T48" s="20">
        <f t="shared" si="12"/>
        <v>419</v>
      </c>
      <c r="U48" s="20">
        <f t="shared" si="12"/>
        <v>410</v>
      </c>
      <c r="V48" s="20">
        <f t="shared" si="12"/>
        <v>403</v>
      </c>
      <c r="W48" s="20">
        <f t="shared" si="12"/>
        <v>205</v>
      </c>
      <c r="X48" s="20">
        <f t="shared" si="12"/>
        <v>362</v>
      </c>
      <c r="Y48" s="20">
        <f t="shared" si="12"/>
        <v>399</v>
      </c>
      <c r="Z48" s="20">
        <f t="shared" si="12"/>
        <v>410</v>
      </c>
      <c r="AA48" s="20">
        <f t="shared" si="12"/>
        <v>410</v>
      </c>
      <c r="AB48" s="20">
        <f t="shared" si="12"/>
        <v>440</v>
      </c>
      <c r="AC48" s="20">
        <f t="shared" si="12"/>
        <v>419</v>
      </c>
      <c r="AD48" s="20">
        <f t="shared" si="12"/>
        <v>300</v>
      </c>
      <c r="AE48" s="20">
        <f t="shared" si="12"/>
        <v>276</v>
      </c>
      <c r="AF48" s="20">
        <f t="shared" si="12"/>
        <v>396</v>
      </c>
      <c r="AG48" s="20">
        <f t="shared" si="12"/>
        <v>407</v>
      </c>
      <c r="AH48" s="20">
        <f t="shared" si="12"/>
        <v>436</v>
      </c>
      <c r="AI48" s="20">
        <f t="shared" si="12"/>
        <v>394</v>
      </c>
      <c r="AJ48" s="21">
        <f t="shared" si="4"/>
        <v>11764</v>
      </c>
    </row>
    <row r="49" spans="1:36" ht="15" customHeight="1">
      <c r="A49" s="2"/>
      <c r="B49" s="2"/>
      <c r="C49" s="531" t="s">
        <v>22</v>
      </c>
      <c r="D49" s="501"/>
      <c r="E49" s="20">
        <f t="shared" si="6"/>
        <v>0</v>
      </c>
      <c r="F49" s="20">
        <f t="shared" si="6"/>
        <v>0</v>
      </c>
      <c r="G49" s="20">
        <f t="shared" si="6"/>
        <v>0</v>
      </c>
      <c r="H49" s="20">
        <f t="shared" si="6"/>
        <v>0</v>
      </c>
      <c r="I49" s="20">
        <f t="shared" si="6"/>
        <v>0</v>
      </c>
      <c r="J49" s="20">
        <f t="shared" si="9"/>
        <v>0</v>
      </c>
      <c r="K49" s="20">
        <f t="shared" si="9"/>
        <v>0</v>
      </c>
      <c r="L49" s="20">
        <f t="shared" si="7"/>
        <v>0</v>
      </c>
      <c r="M49" s="20">
        <f t="shared" si="7"/>
        <v>0</v>
      </c>
      <c r="N49" s="20">
        <f t="shared" si="7"/>
        <v>0</v>
      </c>
      <c r="O49" s="20">
        <f t="shared" si="7"/>
        <v>0</v>
      </c>
      <c r="P49" s="20">
        <f t="shared" si="10"/>
        <v>0</v>
      </c>
      <c r="Q49" s="20">
        <f t="shared" si="10"/>
        <v>0</v>
      </c>
      <c r="R49" s="20">
        <f t="shared" ref="R49:AI49" si="13">R11-Q11</f>
        <v>0</v>
      </c>
      <c r="S49" s="20">
        <f t="shared" si="13"/>
        <v>0</v>
      </c>
      <c r="T49" s="20">
        <f t="shared" si="13"/>
        <v>0</v>
      </c>
      <c r="U49" s="20">
        <f t="shared" si="13"/>
        <v>0</v>
      </c>
      <c r="V49" s="20">
        <f t="shared" si="13"/>
        <v>0</v>
      </c>
      <c r="W49" s="20">
        <f t="shared" si="13"/>
        <v>0</v>
      </c>
      <c r="X49" s="20">
        <f t="shared" si="13"/>
        <v>0</v>
      </c>
      <c r="Y49" s="20">
        <f t="shared" si="13"/>
        <v>0</v>
      </c>
      <c r="Z49" s="20">
        <f t="shared" si="13"/>
        <v>0</v>
      </c>
      <c r="AA49" s="20">
        <f t="shared" si="13"/>
        <v>0</v>
      </c>
      <c r="AB49" s="20">
        <f t="shared" si="13"/>
        <v>0</v>
      </c>
      <c r="AC49" s="20">
        <f t="shared" si="13"/>
        <v>0</v>
      </c>
      <c r="AD49" s="20">
        <f t="shared" si="13"/>
        <v>0</v>
      </c>
      <c r="AE49" s="20">
        <f t="shared" si="13"/>
        <v>0</v>
      </c>
      <c r="AF49" s="20">
        <f t="shared" si="13"/>
        <v>0</v>
      </c>
      <c r="AG49" s="20">
        <f t="shared" si="13"/>
        <v>0</v>
      </c>
      <c r="AH49" s="20">
        <f t="shared" si="13"/>
        <v>0</v>
      </c>
      <c r="AI49" s="20">
        <f t="shared" si="13"/>
        <v>0</v>
      </c>
      <c r="AJ49" s="21">
        <f t="shared" si="4"/>
        <v>0</v>
      </c>
    </row>
    <row r="50" spans="1:36" ht="15" customHeight="1">
      <c r="A50" s="2">
        <v>4</v>
      </c>
      <c r="B50" s="2" t="s">
        <v>129</v>
      </c>
      <c r="C50" s="503" t="s">
        <v>114</v>
      </c>
      <c r="D50" s="501"/>
      <c r="E50" s="20">
        <f t="shared" si="6"/>
        <v>0</v>
      </c>
      <c r="F50" s="20">
        <f t="shared" si="6"/>
        <v>0</v>
      </c>
      <c r="G50" s="20">
        <f t="shared" si="6"/>
        <v>0</v>
      </c>
      <c r="H50" s="20">
        <f t="shared" si="6"/>
        <v>0</v>
      </c>
      <c r="I50" s="20">
        <f t="shared" si="6"/>
        <v>0</v>
      </c>
      <c r="J50" s="20">
        <f t="shared" si="9"/>
        <v>0</v>
      </c>
      <c r="K50" s="20">
        <f t="shared" si="9"/>
        <v>0</v>
      </c>
      <c r="L50" s="20">
        <f t="shared" si="7"/>
        <v>0</v>
      </c>
      <c r="M50" s="20">
        <f t="shared" si="7"/>
        <v>0</v>
      </c>
      <c r="N50" s="20">
        <f t="shared" si="7"/>
        <v>0</v>
      </c>
      <c r="O50" s="20">
        <f t="shared" si="7"/>
        <v>0</v>
      </c>
      <c r="P50" s="20">
        <f t="shared" si="10"/>
        <v>0</v>
      </c>
      <c r="Q50" s="20">
        <f t="shared" si="10"/>
        <v>0</v>
      </c>
      <c r="R50" s="20">
        <f t="shared" ref="R50:AI50" si="14">R12-Q12</f>
        <v>0</v>
      </c>
      <c r="S50" s="20">
        <f t="shared" si="14"/>
        <v>0</v>
      </c>
      <c r="T50" s="20">
        <f t="shared" si="14"/>
        <v>0</v>
      </c>
      <c r="U50" s="20">
        <f t="shared" si="14"/>
        <v>0</v>
      </c>
      <c r="V50" s="20">
        <f t="shared" si="14"/>
        <v>0</v>
      </c>
      <c r="W50" s="20">
        <f t="shared" si="14"/>
        <v>0</v>
      </c>
      <c r="X50" s="20">
        <f t="shared" si="14"/>
        <v>0</v>
      </c>
      <c r="Y50" s="20">
        <f t="shared" si="14"/>
        <v>0</v>
      </c>
      <c r="Z50" s="20">
        <f t="shared" si="14"/>
        <v>0</v>
      </c>
      <c r="AA50" s="20">
        <f t="shared" si="14"/>
        <v>0</v>
      </c>
      <c r="AB50" s="20">
        <f t="shared" si="14"/>
        <v>0</v>
      </c>
      <c r="AC50" s="20">
        <f t="shared" si="14"/>
        <v>0</v>
      </c>
      <c r="AD50" s="20">
        <f t="shared" si="14"/>
        <v>0</v>
      </c>
      <c r="AE50" s="20">
        <f t="shared" si="14"/>
        <v>0</v>
      </c>
      <c r="AF50" s="20">
        <f t="shared" si="14"/>
        <v>0</v>
      </c>
      <c r="AG50" s="20">
        <f t="shared" si="14"/>
        <v>0</v>
      </c>
      <c r="AH50" s="20">
        <f t="shared" si="14"/>
        <v>0</v>
      </c>
      <c r="AI50" s="20">
        <f t="shared" si="14"/>
        <v>0</v>
      </c>
      <c r="AJ50" s="21">
        <f t="shared" si="4"/>
        <v>0</v>
      </c>
    </row>
    <row r="51" spans="1:36" ht="15" customHeight="1">
      <c r="A51" s="2"/>
      <c r="B51" s="2"/>
      <c r="C51" s="531" t="s">
        <v>22</v>
      </c>
      <c r="D51" s="501"/>
      <c r="E51" s="20">
        <f t="shared" si="6"/>
        <v>0</v>
      </c>
      <c r="F51" s="20">
        <f t="shared" si="6"/>
        <v>0</v>
      </c>
      <c r="G51" s="20">
        <f t="shared" si="6"/>
        <v>0</v>
      </c>
      <c r="H51" s="20">
        <f t="shared" si="6"/>
        <v>0</v>
      </c>
      <c r="I51" s="20">
        <f t="shared" si="6"/>
        <v>0</v>
      </c>
      <c r="J51" s="20">
        <f t="shared" si="9"/>
        <v>0</v>
      </c>
      <c r="K51" s="20">
        <f t="shared" si="9"/>
        <v>0</v>
      </c>
      <c r="L51" s="20">
        <f t="shared" si="7"/>
        <v>0</v>
      </c>
      <c r="M51" s="20">
        <f t="shared" si="7"/>
        <v>0</v>
      </c>
      <c r="N51" s="20">
        <f t="shared" si="7"/>
        <v>0</v>
      </c>
      <c r="O51" s="20">
        <f t="shared" si="7"/>
        <v>0</v>
      </c>
      <c r="P51" s="20">
        <f t="shared" si="10"/>
        <v>0</v>
      </c>
      <c r="Q51" s="20">
        <f t="shared" si="10"/>
        <v>0</v>
      </c>
      <c r="R51" s="20">
        <f t="shared" ref="R51:AI51" si="15">R13-Q13</f>
        <v>0</v>
      </c>
      <c r="S51" s="20">
        <f t="shared" si="15"/>
        <v>0</v>
      </c>
      <c r="T51" s="20">
        <f t="shared" si="15"/>
        <v>0</v>
      </c>
      <c r="U51" s="20">
        <f t="shared" si="15"/>
        <v>0</v>
      </c>
      <c r="V51" s="20">
        <f t="shared" si="15"/>
        <v>0</v>
      </c>
      <c r="W51" s="20">
        <f t="shared" si="15"/>
        <v>0</v>
      </c>
      <c r="X51" s="20">
        <f t="shared" si="15"/>
        <v>0</v>
      </c>
      <c r="Y51" s="20">
        <f t="shared" si="15"/>
        <v>0</v>
      </c>
      <c r="Z51" s="20">
        <f t="shared" si="15"/>
        <v>0</v>
      </c>
      <c r="AA51" s="20">
        <f t="shared" si="15"/>
        <v>0</v>
      </c>
      <c r="AB51" s="20">
        <f t="shared" si="15"/>
        <v>0</v>
      </c>
      <c r="AC51" s="20">
        <f t="shared" si="15"/>
        <v>0</v>
      </c>
      <c r="AD51" s="20">
        <f t="shared" si="15"/>
        <v>0</v>
      </c>
      <c r="AE51" s="20">
        <f t="shared" si="15"/>
        <v>0</v>
      </c>
      <c r="AF51" s="20">
        <f t="shared" si="15"/>
        <v>0</v>
      </c>
      <c r="AG51" s="20">
        <f t="shared" si="15"/>
        <v>0</v>
      </c>
      <c r="AH51" s="20">
        <f t="shared" si="15"/>
        <v>0</v>
      </c>
      <c r="AI51" s="20">
        <f t="shared" si="15"/>
        <v>0</v>
      </c>
      <c r="AJ51" s="21">
        <f t="shared" si="4"/>
        <v>0</v>
      </c>
    </row>
    <row r="52" spans="1:36" ht="15" customHeight="1">
      <c r="A52" s="2">
        <v>5</v>
      </c>
      <c r="B52" s="2" t="s">
        <v>129</v>
      </c>
      <c r="C52" s="503" t="s">
        <v>115</v>
      </c>
      <c r="D52" s="501"/>
      <c r="E52" s="20">
        <f t="shared" si="6"/>
        <v>302</v>
      </c>
      <c r="F52" s="20">
        <f t="shared" si="6"/>
        <v>236</v>
      </c>
      <c r="G52" s="20">
        <f t="shared" si="6"/>
        <v>240</v>
      </c>
      <c r="H52" s="20">
        <f t="shared" si="6"/>
        <v>226</v>
      </c>
      <c r="I52" s="20">
        <f t="shared" si="6"/>
        <v>136</v>
      </c>
      <c r="J52" s="20">
        <f t="shared" si="9"/>
        <v>114</v>
      </c>
      <c r="K52" s="20">
        <f t="shared" si="9"/>
        <v>215</v>
      </c>
      <c r="L52" s="20">
        <f t="shared" si="7"/>
        <v>243</v>
      </c>
      <c r="M52" s="20">
        <f t="shared" si="7"/>
        <v>245</v>
      </c>
      <c r="N52" s="20">
        <f t="shared" si="7"/>
        <v>205</v>
      </c>
      <c r="O52" s="20">
        <f t="shared" si="7"/>
        <v>220</v>
      </c>
      <c r="P52" s="20">
        <f t="shared" si="10"/>
        <v>135</v>
      </c>
      <c r="Q52" s="20">
        <f t="shared" si="10"/>
        <v>121</v>
      </c>
      <c r="R52" s="20">
        <f t="shared" ref="R52:AI52" si="16">R14-Q14</f>
        <v>205</v>
      </c>
      <c r="S52" s="20">
        <f t="shared" si="16"/>
        <v>232</v>
      </c>
      <c r="T52" s="20">
        <f t="shared" si="16"/>
        <v>241</v>
      </c>
      <c r="U52" s="20">
        <f t="shared" si="16"/>
        <v>242</v>
      </c>
      <c r="V52" s="20">
        <f t="shared" si="16"/>
        <v>241</v>
      </c>
      <c r="W52" s="20">
        <f t="shared" si="16"/>
        <v>135</v>
      </c>
      <c r="X52" s="20">
        <f t="shared" si="16"/>
        <v>118</v>
      </c>
      <c r="Y52" s="20">
        <f t="shared" si="16"/>
        <v>219</v>
      </c>
      <c r="Z52" s="20">
        <f t="shared" si="16"/>
        <v>234</v>
      </c>
      <c r="AA52" s="20">
        <f t="shared" si="16"/>
        <v>239</v>
      </c>
      <c r="AB52" s="20">
        <f t="shared" si="16"/>
        <v>263</v>
      </c>
      <c r="AC52" s="20">
        <f t="shared" si="16"/>
        <v>243</v>
      </c>
      <c r="AD52" s="20">
        <f t="shared" si="16"/>
        <v>101</v>
      </c>
      <c r="AE52" s="20">
        <f t="shared" si="16"/>
        <v>133</v>
      </c>
      <c r="AF52" s="20">
        <f t="shared" si="16"/>
        <v>234</v>
      </c>
      <c r="AG52" s="20">
        <f t="shared" si="16"/>
        <v>245</v>
      </c>
      <c r="AH52" s="20">
        <f t="shared" si="16"/>
        <v>261</v>
      </c>
      <c r="AI52" s="20">
        <f t="shared" si="16"/>
        <v>235</v>
      </c>
      <c r="AJ52" s="21">
        <f t="shared" si="4"/>
        <v>6459</v>
      </c>
    </row>
    <row r="53" spans="1:36" ht="15" customHeight="1">
      <c r="A53" s="2"/>
      <c r="B53" s="2"/>
      <c r="C53" s="531" t="s">
        <v>22</v>
      </c>
      <c r="D53" s="501"/>
      <c r="E53" s="20">
        <f t="shared" si="6"/>
        <v>0</v>
      </c>
      <c r="F53" s="20">
        <f t="shared" si="6"/>
        <v>0</v>
      </c>
      <c r="G53" s="20">
        <f t="shared" si="6"/>
        <v>0</v>
      </c>
      <c r="H53" s="20">
        <f t="shared" si="6"/>
        <v>0</v>
      </c>
      <c r="I53" s="20">
        <f t="shared" si="6"/>
        <v>0</v>
      </c>
      <c r="J53" s="20">
        <f t="shared" si="9"/>
        <v>0</v>
      </c>
      <c r="K53" s="20">
        <f t="shared" si="9"/>
        <v>0</v>
      </c>
      <c r="L53" s="20">
        <f t="shared" si="7"/>
        <v>0</v>
      </c>
      <c r="M53" s="20">
        <f t="shared" si="7"/>
        <v>0</v>
      </c>
      <c r="N53" s="20">
        <f t="shared" si="7"/>
        <v>0</v>
      </c>
      <c r="O53" s="20">
        <f t="shared" si="7"/>
        <v>0</v>
      </c>
      <c r="P53" s="20">
        <f t="shared" si="10"/>
        <v>0</v>
      </c>
      <c r="Q53" s="20">
        <f t="shared" si="10"/>
        <v>0</v>
      </c>
      <c r="R53" s="20">
        <f t="shared" ref="R53:AI53" si="17">R15-Q15</f>
        <v>0</v>
      </c>
      <c r="S53" s="20">
        <f t="shared" si="17"/>
        <v>0</v>
      </c>
      <c r="T53" s="20">
        <f t="shared" si="17"/>
        <v>0</v>
      </c>
      <c r="U53" s="20">
        <f t="shared" si="17"/>
        <v>0</v>
      </c>
      <c r="V53" s="20">
        <f t="shared" si="17"/>
        <v>0</v>
      </c>
      <c r="W53" s="20">
        <f t="shared" si="17"/>
        <v>0</v>
      </c>
      <c r="X53" s="20">
        <f t="shared" si="17"/>
        <v>0</v>
      </c>
      <c r="Y53" s="20">
        <f t="shared" si="17"/>
        <v>0</v>
      </c>
      <c r="Z53" s="20">
        <f t="shared" si="17"/>
        <v>0</v>
      </c>
      <c r="AA53" s="20">
        <f t="shared" si="17"/>
        <v>0</v>
      </c>
      <c r="AB53" s="20">
        <f t="shared" si="17"/>
        <v>0</v>
      </c>
      <c r="AC53" s="20">
        <f t="shared" si="17"/>
        <v>0</v>
      </c>
      <c r="AD53" s="20">
        <f t="shared" si="17"/>
        <v>0</v>
      </c>
      <c r="AE53" s="20">
        <f t="shared" si="17"/>
        <v>0</v>
      </c>
      <c r="AF53" s="20">
        <f t="shared" si="17"/>
        <v>0</v>
      </c>
      <c r="AG53" s="20">
        <f t="shared" si="17"/>
        <v>0</v>
      </c>
      <c r="AH53" s="20">
        <f t="shared" si="17"/>
        <v>0</v>
      </c>
      <c r="AI53" s="20">
        <f t="shared" si="17"/>
        <v>0</v>
      </c>
      <c r="AJ53" s="21">
        <f t="shared" si="4"/>
        <v>0</v>
      </c>
    </row>
    <row r="54" spans="1:36" ht="15" customHeight="1">
      <c r="A54" s="2">
        <v>6</v>
      </c>
      <c r="B54" s="2" t="s">
        <v>129</v>
      </c>
      <c r="C54" s="503" t="s">
        <v>116</v>
      </c>
      <c r="D54" s="501"/>
      <c r="E54" s="20">
        <f t="shared" si="6"/>
        <v>394</v>
      </c>
      <c r="F54" s="20">
        <f t="shared" si="6"/>
        <v>243</v>
      </c>
      <c r="G54" s="20">
        <f t="shared" si="6"/>
        <v>284</v>
      </c>
      <c r="H54" s="20">
        <f t="shared" si="6"/>
        <v>253</v>
      </c>
      <c r="I54" s="20">
        <f t="shared" si="6"/>
        <v>109</v>
      </c>
      <c r="J54" s="20">
        <f t="shared" si="9"/>
        <v>96</v>
      </c>
      <c r="K54" s="20">
        <f t="shared" si="9"/>
        <v>248</v>
      </c>
      <c r="L54" s="20">
        <f t="shared" si="7"/>
        <v>252</v>
      </c>
      <c r="M54" s="20">
        <f t="shared" si="7"/>
        <v>288</v>
      </c>
      <c r="N54" s="20">
        <f t="shared" si="7"/>
        <v>222</v>
      </c>
      <c r="O54" s="20">
        <f t="shared" si="7"/>
        <v>243</v>
      </c>
      <c r="P54" s="20">
        <f t="shared" si="10"/>
        <v>102</v>
      </c>
      <c r="Q54" s="20">
        <f t="shared" si="10"/>
        <v>103</v>
      </c>
      <c r="R54" s="20">
        <f t="shared" ref="R54:AI54" si="18">R16-Q16</f>
        <v>230</v>
      </c>
      <c r="S54" s="20">
        <f t="shared" si="18"/>
        <v>253</v>
      </c>
      <c r="T54" s="20">
        <f t="shared" si="18"/>
        <v>241</v>
      </c>
      <c r="U54" s="20">
        <f t="shared" si="18"/>
        <v>254</v>
      </c>
      <c r="V54" s="20">
        <f t="shared" si="18"/>
        <v>221</v>
      </c>
      <c r="W54" s="20">
        <f t="shared" si="18"/>
        <v>126</v>
      </c>
      <c r="X54" s="20">
        <f t="shared" si="18"/>
        <v>88</v>
      </c>
      <c r="Y54" s="20">
        <f t="shared" si="18"/>
        <v>263</v>
      </c>
      <c r="Z54" s="20">
        <f t="shared" si="18"/>
        <v>237</v>
      </c>
      <c r="AA54" s="20">
        <f t="shared" si="18"/>
        <v>275</v>
      </c>
      <c r="AB54" s="20">
        <f t="shared" si="18"/>
        <v>279</v>
      </c>
      <c r="AC54" s="20">
        <f t="shared" si="18"/>
        <v>256</v>
      </c>
      <c r="AD54" s="20">
        <f t="shared" si="18"/>
        <v>233</v>
      </c>
      <c r="AE54" s="20">
        <f t="shared" si="18"/>
        <v>165</v>
      </c>
      <c r="AF54" s="20">
        <f t="shared" si="18"/>
        <v>260</v>
      </c>
      <c r="AG54" s="20">
        <f t="shared" si="18"/>
        <v>279</v>
      </c>
      <c r="AH54" s="20">
        <f t="shared" si="18"/>
        <v>263</v>
      </c>
      <c r="AI54" s="20">
        <f t="shared" si="18"/>
        <v>268</v>
      </c>
      <c r="AJ54" s="21">
        <f t="shared" si="4"/>
        <v>7028</v>
      </c>
    </row>
    <row r="55" spans="1:36" ht="15" customHeight="1">
      <c r="A55" s="2"/>
      <c r="B55" s="2"/>
      <c r="C55" s="531" t="s">
        <v>22</v>
      </c>
      <c r="D55" s="501"/>
      <c r="E55" s="20">
        <f t="shared" si="6"/>
        <v>0</v>
      </c>
      <c r="F55" s="20">
        <f t="shared" si="6"/>
        <v>0</v>
      </c>
      <c r="G55" s="20">
        <f t="shared" si="6"/>
        <v>0</v>
      </c>
      <c r="H55" s="20">
        <f t="shared" si="6"/>
        <v>0</v>
      </c>
      <c r="I55" s="20">
        <f t="shared" si="6"/>
        <v>0</v>
      </c>
      <c r="J55" s="20">
        <f t="shared" si="9"/>
        <v>0</v>
      </c>
      <c r="K55" s="20">
        <f t="shared" si="9"/>
        <v>0</v>
      </c>
      <c r="L55" s="20">
        <f t="shared" si="7"/>
        <v>0</v>
      </c>
      <c r="M55" s="20">
        <f t="shared" si="7"/>
        <v>0</v>
      </c>
      <c r="N55" s="20">
        <f t="shared" si="7"/>
        <v>0</v>
      </c>
      <c r="O55" s="20">
        <f t="shared" si="7"/>
        <v>0</v>
      </c>
      <c r="P55" s="20">
        <f t="shared" si="10"/>
        <v>0</v>
      </c>
      <c r="Q55" s="20">
        <f t="shared" si="10"/>
        <v>0</v>
      </c>
      <c r="R55" s="20">
        <f t="shared" ref="R55:AI55" si="19">R17-Q17</f>
        <v>0</v>
      </c>
      <c r="S55" s="20">
        <f t="shared" si="19"/>
        <v>0</v>
      </c>
      <c r="T55" s="20">
        <f t="shared" si="19"/>
        <v>0</v>
      </c>
      <c r="U55" s="20">
        <f t="shared" si="19"/>
        <v>0</v>
      </c>
      <c r="V55" s="20">
        <f t="shared" si="19"/>
        <v>0</v>
      </c>
      <c r="W55" s="20">
        <f t="shared" si="19"/>
        <v>0</v>
      </c>
      <c r="X55" s="20">
        <f t="shared" si="19"/>
        <v>0</v>
      </c>
      <c r="Y55" s="20">
        <f t="shared" si="19"/>
        <v>0</v>
      </c>
      <c r="Z55" s="20">
        <f t="shared" si="19"/>
        <v>0</v>
      </c>
      <c r="AA55" s="20">
        <f t="shared" si="19"/>
        <v>0</v>
      </c>
      <c r="AB55" s="20">
        <f t="shared" si="19"/>
        <v>0</v>
      </c>
      <c r="AC55" s="20">
        <f t="shared" si="19"/>
        <v>0</v>
      </c>
      <c r="AD55" s="20">
        <f t="shared" si="19"/>
        <v>0</v>
      </c>
      <c r="AE55" s="20">
        <f t="shared" si="19"/>
        <v>0</v>
      </c>
      <c r="AF55" s="20">
        <f t="shared" si="19"/>
        <v>0</v>
      </c>
      <c r="AG55" s="20">
        <f t="shared" si="19"/>
        <v>0</v>
      </c>
      <c r="AH55" s="20">
        <f t="shared" si="19"/>
        <v>0</v>
      </c>
      <c r="AI55" s="20">
        <f t="shared" si="19"/>
        <v>0</v>
      </c>
      <c r="AJ55" s="21">
        <f t="shared" si="4"/>
        <v>0</v>
      </c>
    </row>
    <row r="56" spans="1:36" ht="15" customHeight="1">
      <c r="A56" s="2">
        <v>7</v>
      </c>
      <c r="B56" s="2" t="s">
        <v>129</v>
      </c>
      <c r="C56" s="503" t="s">
        <v>117</v>
      </c>
      <c r="D56" s="501"/>
      <c r="E56" s="20">
        <f t="shared" si="6"/>
        <v>1097</v>
      </c>
      <c r="F56" s="20">
        <f t="shared" si="6"/>
        <v>803</v>
      </c>
      <c r="G56" s="20">
        <f t="shared" si="6"/>
        <v>824</v>
      </c>
      <c r="H56" s="20">
        <f t="shared" si="6"/>
        <v>750</v>
      </c>
      <c r="I56" s="20">
        <f t="shared" si="6"/>
        <v>575</v>
      </c>
      <c r="J56" s="20">
        <f t="shared" si="9"/>
        <v>367</v>
      </c>
      <c r="K56" s="20">
        <f t="shared" si="9"/>
        <v>775</v>
      </c>
      <c r="L56" s="20">
        <f t="shared" si="7"/>
        <v>775</v>
      </c>
      <c r="M56" s="20">
        <f t="shared" si="7"/>
        <v>787</v>
      </c>
      <c r="N56" s="20">
        <f t="shared" si="7"/>
        <v>685</v>
      </c>
      <c r="O56" s="20">
        <f t="shared" si="7"/>
        <v>706</v>
      </c>
      <c r="P56" s="20">
        <f t="shared" si="10"/>
        <v>544</v>
      </c>
      <c r="Q56" s="20">
        <f t="shared" si="10"/>
        <v>443</v>
      </c>
      <c r="R56" s="20">
        <f t="shared" ref="R56:AI56" si="20">R18-Q18</f>
        <v>739</v>
      </c>
      <c r="S56" s="20">
        <f t="shared" si="20"/>
        <v>752</v>
      </c>
      <c r="T56" s="20">
        <f t="shared" si="20"/>
        <v>797</v>
      </c>
      <c r="U56" s="20">
        <f t="shared" si="20"/>
        <v>794</v>
      </c>
      <c r="V56" s="20">
        <f t="shared" si="20"/>
        <v>765</v>
      </c>
      <c r="W56" s="20">
        <f t="shared" si="20"/>
        <v>531</v>
      </c>
      <c r="X56" s="20">
        <f t="shared" si="20"/>
        <v>427</v>
      </c>
      <c r="Y56" s="20">
        <f t="shared" si="20"/>
        <v>720</v>
      </c>
      <c r="Z56" s="20">
        <f t="shared" si="20"/>
        <v>776</v>
      </c>
      <c r="AA56" s="20">
        <f t="shared" si="20"/>
        <v>779</v>
      </c>
      <c r="AB56" s="20">
        <f t="shared" si="20"/>
        <v>817</v>
      </c>
      <c r="AC56" s="20">
        <f t="shared" si="20"/>
        <v>778</v>
      </c>
      <c r="AD56" s="20">
        <f t="shared" si="20"/>
        <v>759</v>
      </c>
      <c r="AE56" s="20">
        <f t="shared" si="20"/>
        <v>468</v>
      </c>
      <c r="AF56" s="20">
        <f t="shared" si="20"/>
        <v>720</v>
      </c>
      <c r="AG56" s="20">
        <f t="shared" si="20"/>
        <v>781</v>
      </c>
      <c r="AH56" s="20">
        <f t="shared" si="20"/>
        <v>820</v>
      </c>
      <c r="AI56" s="20">
        <f t="shared" si="20"/>
        <v>762</v>
      </c>
      <c r="AJ56" s="21">
        <f t="shared" si="4"/>
        <v>22116</v>
      </c>
    </row>
    <row r="57" spans="1:36" ht="15" customHeight="1">
      <c r="A57" s="2"/>
      <c r="B57" s="2"/>
      <c r="C57" s="531" t="s">
        <v>22</v>
      </c>
      <c r="D57" s="501"/>
      <c r="E57" s="20">
        <f t="shared" si="6"/>
        <v>0</v>
      </c>
      <c r="F57" s="20">
        <f t="shared" si="6"/>
        <v>0</v>
      </c>
      <c r="G57" s="20">
        <f t="shared" si="6"/>
        <v>0</v>
      </c>
      <c r="H57" s="20">
        <f t="shared" si="6"/>
        <v>0</v>
      </c>
      <c r="I57" s="20">
        <f t="shared" si="6"/>
        <v>0</v>
      </c>
      <c r="J57" s="20">
        <f t="shared" si="9"/>
        <v>0</v>
      </c>
      <c r="K57" s="20">
        <f t="shared" si="9"/>
        <v>0</v>
      </c>
      <c r="L57" s="20">
        <f t="shared" si="7"/>
        <v>0</v>
      </c>
      <c r="M57" s="20">
        <f t="shared" si="7"/>
        <v>0</v>
      </c>
      <c r="N57" s="20">
        <f t="shared" si="7"/>
        <v>0</v>
      </c>
      <c r="O57" s="20">
        <f t="shared" si="7"/>
        <v>0</v>
      </c>
      <c r="P57" s="20">
        <f t="shared" si="10"/>
        <v>0</v>
      </c>
      <c r="Q57" s="20">
        <f t="shared" si="10"/>
        <v>0</v>
      </c>
      <c r="R57" s="20">
        <f t="shared" ref="R57:X59" si="21">R19-Q19</f>
        <v>0</v>
      </c>
      <c r="S57" s="20">
        <f t="shared" si="21"/>
        <v>0</v>
      </c>
      <c r="T57" s="20">
        <f t="shared" si="21"/>
        <v>0</v>
      </c>
      <c r="U57" s="20">
        <f t="shared" si="21"/>
        <v>0</v>
      </c>
      <c r="V57" s="20">
        <f t="shared" si="21"/>
        <v>0</v>
      </c>
      <c r="W57" s="20">
        <f t="shared" si="21"/>
        <v>0</v>
      </c>
      <c r="X57" s="20">
        <f t="shared" si="21"/>
        <v>0</v>
      </c>
      <c r="Y57" s="20">
        <v>0</v>
      </c>
      <c r="Z57" s="20">
        <f>Z19-Y19</f>
        <v>0</v>
      </c>
      <c r="AA57" s="20">
        <v>0</v>
      </c>
      <c r="AB57" s="20">
        <f t="shared" ref="AB57:AI59" si="22">AB19-AA19</f>
        <v>0</v>
      </c>
      <c r="AC57" s="20">
        <f t="shared" si="22"/>
        <v>0</v>
      </c>
      <c r="AD57" s="20">
        <f t="shared" si="22"/>
        <v>0</v>
      </c>
      <c r="AE57" s="20">
        <f t="shared" si="22"/>
        <v>0</v>
      </c>
      <c r="AF57" s="20">
        <f t="shared" si="22"/>
        <v>0</v>
      </c>
      <c r="AG57" s="20">
        <f t="shared" si="22"/>
        <v>0</v>
      </c>
      <c r="AH57" s="20">
        <f t="shared" si="22"/>
        <v>0</v>
      </c>
      <c r="AI57" s="20">
        <f t="shared" si="22"/>
        <v>0</v>
      </c>
      <c r="AJ57" s="21">
        <f t="shared" si="4"/>
        <v>0</v>
      </c>
    </row>
    <row r="58" spans="1:36" ht="15" customHeight="1">
      <c r="A58" s="2">
        <v>8</v>
      </c>
      <c r="B58" s="2" t="s">
        <v>129</v>
      </c>
      <c r="C58" s="503" t="s">
        <v>118</v>
      </c>
      <c r="D58" s="501"/>
      <c r="E58" s="20">
        <f t="shared" si="6"/>
        <v>167</v>
      </c>
      <c r="F58" s="20">
        <f t="shared" si="6"/>
        <v>149</v>
      </c>
      <c r="G58" s="20">
        <f t="shared" si="6"/>
        <v>134</v>
      </c>
      <c r="H58" s="20">
        <f t="shared" si="6"/>
        <v>124</v>
      </c>
      <c r="I58" s="20">
        <f t="shared" si="6"/>
        <v>115</v>
      </c>
      <c r="J58" s="20">
        <f t="shared" si="9"/>
        <v>145</v>
      </c>
      <c r="K58" s="20">
        <f t="shared" si="9"/>
        <v>136</v>
      </c>
      <c r="L58" s="20">
        <f t="shared" si="7"/>
        <v>154</v>
      </c>
      <c r="M58" s="20">
        <f t="shared" si="7"/>
        <v>147</v>
      </c>
      <c r="N58" s="20">
        <f t="shared" si="7"/>
        <v>126</v>
      </c>
      <c r="O58" s="20">
        <f t="shared" si="7"/>
        <v>118</v>
      </c>
      <c r="P58" s="20">
        <f t="shared" si="10"/>
        <v>130</v>
      </c>
      <c r="Q58" s="20">
        <f t="shared" si="10"/>
        <v>119</v>
      </c>
      <c r="R58" s="20">
        <f t="shared" si="21"/>
        <v>146</v>
      </c>
      <c r="S58" s="20">
        <f t="shared" si="21"/>
        <v>121</v>
      </c>
      <c r="T58" s="20">
        <f t="shared" si="21"/>
        <v>146</v>
      </c>
      <c r="U58" s="20">
        <f t="shared" si="21"/>
        <v>128</v>
      </c>
      <c r="V58" s="20">
        <f t="shared" si="21"/>
        <v>141</v>
      </c>
      <c r="W58" s="20">
        <f t="shared" si="21"/>
        <v>109</v>
      </c>
      <c r="X58" s="20">
        <f t="shared" si="21"/>
        <v>132</v>
      </c>
      <c r="Y58" s="20">
        <f>Y20-X20</f>
        <v>127</v>
      </c>
      <c r="Z58" s="20">
        <f>Z20-Y20</f>
        <v>136</v>
      </c>
      <c r="AA58" s="20">
        <f>AA20-Z20</f>
        <v>120</v>
      </c>
      <c r="AB58" s="20">
        <f t="shared" si="22"/>
        <v>80</v>
      </c>
      <c r="AC58" s="20">
        <f t="shared" si="22"/>
        <v>201</v>
      </c>
      <c r="AD58" s="20">
        <f t="shared" si="22"/>
        <v>68</v>
      </c>
      <c r="AE58" s="20">
        <f t="shared" si="22"/>
        <v>75</v>
      </c>
      <c r="AF58" s="20">
        <f t="shared" si="22"/>
        <v>154</v>
      </c>
      <c r="AG58" s="20">
        <f t="shared" si="22"/>
        <v>119</v>
      </c>
      <c r="AH58" s="20">
        <f t="shared" si="22"/>
        <v>139</v>
      </c>
      <c r="AI58" s="20">
        <f t="shared" si="22"/>
        <v>114</v>
      </c>
      <c r="AJ58" s="21">
        <f t="shared" si="4"/>
        <v>4020</v>
      </c>
    </row>
    <row r="59" spans="1:36" ht="15" customHeight="1">
      <c r="A59" s="2"/>
      <c r="B59" s="2"/>
      <c r="C59" s="531" t="s">
        <v>22</v>
      </c>
      <c r="D59" s="501"/>
      <c r="E59" s="20">
        <f t="shared" si="6"/>
        <v>0</v>
      </c>
      <c r="F59" s="20">
        <f t="shared" si="6"/>
        <v>0</v>
      </c>
      <c r="G59" s="20">
        <f t="shared" si="6"/>
        <v>0</v>
      </c>
      <c r="H59" s="20">
        <f t="shared" si="6"/>
        <v>0</v>
      </c>
      <c r="I59" s="20">
        <f t="shared" si="6"/>
        <v>0</v>
      </c>
      <c r="J59" s="20">
        <f t="shared" si="9"/>
        <v>0</v>
      </c>
      <c r="K59" s="20">
        <f t="shared" si="9"/>
        <v>0</v>
      </c>
      <c r="L59" s="20">
        <f t="shared" si="7"/>
        <v>0</v>
      </c>
      <c r="M59" s="20">
        <f t="shared" si="7"/>
        <v>0</v>
      </c>
      <c r="N59" s="20">
        <f t="shared" si="7"/>
        <v>0</v>
      </c>
      <c r="O59" s="20">
        <f t="shared" si="7"/>
        <v>0</v>
      </c>
      <c r="P59" s="20">
        <f t="shared" si="10"/>
        <v>0</v>
      </c>
      <c r="Q59" s="20">
        <f t="shared" si="10"/>
        <v>0</v>
      </c>
      <c r="R59" s="20">
        <f t="shared" si="21"/>
        <v>0</v>
      </c>
      <c r="S59" s="20">
        <f t="shared" si="21"/>
        <v>0</v>
      </c>
      <c r="T59" s="20">
        <f t="shared" si="21"/>
        <v>0</v>
      </c>
      <c r="U59" s="20">
        <f t="shared" si="21"/>
        <v>0</v>
      </c>
      <c r="V59" s="20">
        <f t="shared" si="21"/>
        <v>0</v>
      </c>
      <c r="W59" s="20">
        <f t="shared" si="21"/>
        <v>0</v>
      </c>
      <c r="X59" s="20">
        <f t="shared" si="21"/>
        <v>0</v>
      </c>
      <c r="Y59" s="20">
        <f>Y21-X21</f>
        <v>0</v>
      </c>
      <c r="Z59" s="20">
        <f>Z21-Y21</f>
        <v>0</v>
      </c>
      <c r="AA59" s="20">
        <f>AA21-Z21</f>
        <v>0</v>
      </c>
      <c r="AB59" s="20">
        <f t="shared" si="22"/>
        <v>0</v>
      </c>
      <c r="AC59" s="20">
        <f t="shared" si="22"/>
        <v>0</v>
      </c>
      <c r="AD59" s="20">
        <f t="shared" si="22"/>
        <v>0</v>
      </c>
      <c r="AE59" s="20">
        <f t="shared" si="22"/>
        <v>0</v>
      </c>
      <c r="AF59" s="20">
        <f t="shared" si="22"/>
        <v>0</v>
      </c>
      <c r="AG59" s="20">
        <f t="shared" si="22"/>
        <v>0</v>
      </c>
      <c r="AH59" s="20">
        <f t="shared" si="22"/>
        <v>0</v>
      </c>
      <c r="AI59" s="20">
        <f t="shared" si="22"/>
        <v>0</v>
      </c>
      <c r="AJ59" s="21">
        <f t="shared" si="4"/>
        <v>0</v>
      </c>
    </row>
    <row r="60" spans="1:36" ht="15" customHeight="1">
      <c r="A60" s="99"/>
      <c r="B60" s="99"/>
      <c r="C60" s="500" t="s">
        <v>130</v>
      </c>
      <c r="D60" s="501"/>
      <c r="E60" s="23">
        <f t="shared" ref="E60:AI60" si="23">SUM(E58,E56,E54,E52,E50,E48,E46,E44)</f>
        <v>2882</v>
      </c>
      <c r="F60" s="23">
        <f t="shared" si="23"/>
        <v>2123</v>
      </c>
      <c r="G60" s="23">
        <f t="shared" si="23"/>
        <v>2189</v>
      </c>
      <c r="H60" s="23">
        <f t="shared" si="23"/>
        <v>2013</v>
      </c>
      <c r="I60" s="23">
        <f t="shared" si="23"/>
        <v>1428</v>
      </c>
      <c r="J60" s="23">
        <f t="shared" si="23"/>
        <v>1224</v>
      </c>
      <c r="K60" s="23">
        <f t="shared" si="23"/>
        <v>2007</v>
      </c>
      <c r="L60" s="23">
        <f t="shared" si="23"/>
        <v>2131</v>
      </c>
      <c r="M60" s="23">
        <f t="shared" si="23"/>
        <v>2201</v>
      </c>
      <c r="N60" s="23">
        <f t="shared" si="23"/>
        <v>1830</v>
      </c>
      <c r="O60" s="23">
        <f t="shared" si="23"/>
        <v>1923</v>
      </c>
      <c r="P60" s="23">
        <f t="shared" si="23"/>
        <v>1412</v>
      </c>
      <c r="Q60" s="23">
        <f t="shared" si="23"/>
        <v>1273</v>
      </c>
      <c r="R60" s="23">
        <f t="shared" si="23"/>
        <v>1986</v>
      </c>
      <c r="S60" s="23">
        <f t="shared" si="23"/>
        <v>2015</v>
      </c>
      <c r="T60" s="23">
        <f t="shared" si="23"/>
        <v>2131</v>
      </c>
      <c r="U60" s="23">
        <f t="shared" si="23"/>
        <v>2100</v>
      </c>
      <c r="V60" s="23">
        <f t="shared" si="23"/>
        <v>2044</v>
      </c>
      <c r="W60" s="23">
        <f t="shared" si="23"/>
        <v>1321</v>
      </c>
      <c r="X60" s="23">
        <f t="shared" si="23"/>
        <v>1337</v>
      </c>
      <c r="Y60" s="23">
        <f t="shared" si="23"/>
        <v>2002</v>
      </c>
      <c r="Z60" s="23">
        <f t="shared" si="23"/>
        <v>2064</v>
      </c>
      <c r="AA60" s="23">
        <f t="shared" si="23"/>
        <v>2100</v>
      </c>
      <c r="AB60" s="23">
        <f t="shared" si="23"/>
        <v>2173</v>
      </c>
      <c r="AC60" s="23">
        <f t="shared" si="23"/>
        <v>2175</v>
      </c>
      <c r="AD60" s="23">
        <f t="shared" si="23"/>
        <v>1552</v>
      </c>
      <c r="AE60" s="23">
        <f t="shared" si="23"/>
        <v>1208</v>
      </c>
      <c r="AF60" s="23">
        <f t="shared" si="23"/>
        <v>2029</v>
      </c>
      <c r="AG60" s="23">
        <f t="shared" si="23"/>
        <v>2084</v>
      </c>
      <c r="AH60" s="23">
        <f t="shared" si="23"/>
        <v>2229</v>
      </c>
      <c r="AI60" s="23">
        <f t="shared" si="23"/>
        <v>2040</v>
      </c>
      <c r="AJ60" s="24">
        <f t="shared" si="4"/>
        <v>59226</v>
      </c>
    </row>
    <row r="61" spans="1:36" ht="15" customHeight="1">
      <c r="A61" s="99"/>
      <c r="B61" s="99"/>
      <c r="C61" s="145" t="s">
        <v>131</v>
      </c>
      <c r="D61" s="108"/>
      <c r="E61" s="23">
        <f t="shared" ref="E61:AI61" si="24">SUM(E45,E47,E49,E51,E53,E55,E57,E59)</f>
        <v>0</v>
      </c>
      <c r="F61" s="23">
        <f t="shared" si="24"/>
        <v>0</v>
      </c>
      <c r="G61" s="23">
        <f t="shared" si="24"/>
        <v>0</v>
      </c>
      <c r="H61" s="23">
        <f t="shared" si="24"/>
        <v>0</v>
      </c>
      <c r="I61" s="23">
        <f t="shared" si="24"/>
        <v>0</v>
      </c>
      <c r="J61" s="23">
        <f t="shared" si="24"/>
        <v>0</v>
      </c>
      <c r="K61" s="23">
        <f t="shared" si="24"/>
        <v>0</v>
      </c>
      <c r="L61" s="23">
        <f t="shared" si="24"/>
        <v>0</v>
      </c>
      <c r="M61" s="23">
        <f t="shared" si="24"/>
        <v>0</v>
      </c>
      <c r="N61" s="23">
        <f t="shared" si="24"/>
        <v>0</v>
      </c>
      <c r="O61" s="23">
        <f t="shared" si="24"/>
        <v>0</v>
      </c>
      <c r="P61" s="23">
        <f t="shared" si="24"/>
        <v>0</v>
      </c>
      <c r="Q61" s="23">
        <f t="shared" si="24"/>
        <v>0</v>
      </c>
      <c r="R61" s="23">
        <f t="shared" si="24"/>
        <v>0</v>
      </c>
      <c r="S61" s="23">
        <f t="shared" si="24"/>
        <v>0</v>
      </c>
      <c r="T61" s="23">
        <f t="shared" si="24"/>
        <v>0</v>
      </c>
      <c r="U61" s="23">
        <f t="shared" si="24"/>
        <v>0</v>
      </c>
      <c r="V61" s="23">
        <f t="shared" si="24"/>
        <v>0</v>
      </c>
      <c r="W61" s="23">
        <f t="shared" si="24"/>
        <v>0</v>
      </c>
      <c r="X61" s="23">
        <f t="shared" si="24"/>
        <v>0</v>
      </c>
      <c r="Y61" s="23">
        <f t="shared" si="24"/>
        <v>0</v>
      </c>
      <c r="Z61" s="23">
        <f t="shared" si="24"/>
        <v>0</v>
      </c>
      <c r="AA61" s="23">
        <f t="shared" si="24"/>
        <v>0</v>
      </c>
      <c r="AB61" s="23">
        <f t="shared" si="24"/>
        <v>0</v>
      </c>
      <c r="AC61" s="23">
        <f t="shared" si="24"/>
        <v>0</v>
      </c>
      <c r="AD61" s="23">
        <f t="shared" si="24"/>
        <v>0</v>
      </c>
      <c r="AE61" s="23">
        <f t="shared" si="24"/>
        <v>0</v>
      </c>
      <c r="AF61" s="23">
        <f t="shared" si="24"/>
        <v>0</v>
      </c>
      <c r="AG61" s="23">
        <f t="shared" si="24"/>
        <v>0</v>
      </c>
      <c r="AH61" s="23">
        <f t="shared" si="24"/>
        <v>0</v>
      </c>
      <c r="AI61" s="23">
        <f t="shared" si="24"/>
        <v>0</v>
      </c>
      <c r="AJ61" s="24">
        <f>SUM(E61:AH61)</f>
        <v>0</v>
      </c>
    </row>
    <row r="62" spans="1:36">
      <c r="A62" s="101"/>
      <c r="B62" s="101"/>
      <c r="C62" s="539" t="s">
        <v>132</v>
      </c>
      <c r="D62" s="501"/>
      <c r="E62" s="102">
        <f t="shared" ref="E62:AJ62" si="25">E60</f>
        <v>2882</v>
      </c>
      <c r="F62" s="102">
        <f t="shared" si="25"/>
        <v>2123</v>
      </c>
      <c r="G62" s="102">
        <f t="shared" si="25"/>
        <v>2189</v>
      </c>
      <c r="H62" s="102">
        <f t="shared" si="25"/>
        <v>2013</v>
      </c>
      <c r="I62" s="102">
        <f t="shared" si="25"/>
        <v>1428</v>
      </c>
      <c r="J62" s="102">
        <f t="shared" si="25"/>
        <v>1224</v>
      </c>
      <c r="K62" s="102">
        <f t="shared" si="25"/>
        <v>2007</v>
      </c>
      <c r="L62" s="102">
        <f t="shared" si="25"/>
        <v>2131</v>
      </c>
      <c r="M62" s="102">
        <f t="shared" si="25"/>
        <v>2201</v>
      </c>
      <c r="N62" s="102">
        <f t="shared" si="25"/>
        <v>1830</v>
      </c>
      <c r="O62" s="102">
        <f t="shared" si="25"/>
        <v>1923</v>
      </c>
      <c r="P62" s="102">
        <f t="shared" si="25"/>
        <v>1412</v>
      </c>
      <c r="Q62" s="102">
        <f t="shared" si="25"/>
        <v>1273</v>
      </c>
      <c r="R62" s="102">
        <f t="shared" si="25"/>
        <v>1986</v>
      </c>
      <c r="S62" s="102">
        <f t="shared" si="25"/>
        <v>2015</v>
      </c>
      <c r="T62" s="102">
        <f t="shared" si="25"/>
        <v>2131</v>
      </c>
      <c r="U62" s="102">
        <f t="shared" si="25"/>
        <v>2100</v>
      </c>
      <c r="V62" s="102">
        <f t="shared" si="25"/>
        <v>2044</v>
      </c>
      <c r="W62" s="102">
        <f t="shared" si="25"/>
        <v>1321</v>
      </c>
      <c r="X62" s="102">
        <f t="shared" si="25"/>
        <v>1337</v>
      </c>
      <c r="Y62" s="102">
        <f t="shared" si="25"/>
        <v>2002</v>
      </c>
      <c r="Z62" s="102">
        <f t="shared" si="25"/>
        <v>2064</v>
      </c>
      <c r="AA62" s="102">
        <f t="shared" si="25"/>
        <v>2100</v>
      </c>
      <c r="AB62" s="102">
        <f t="shared" si="25"/>
        <v>2173</v>
      </c>
      <c r="AC62" s="102">
        <f t="shared" si="25"/>
        <v>2175</v>
      </c>
      <c r="AD62" s="102">
        <f t="shared" si="25"/>
        <v>1552</v>
      </c>
      <c r="AE62" s="102">
        <f t="shared" si="25"/>
        <v>1208</v>
      </c>
      <c r="AF62" s="102">
        <f t="shared" si="25"/>
        <v>2029</v>
      </c>
      <c r="AG62" s="102">
        <f t="shared" si="25"/>
        <v>2084</v>
      </c>
      <c r="AH62" s="102">
        <f t="shared" si="25"/>
        <v>2229</v>
      </c>
      <c r="AI62" s="102">
        <f t="shared" si="25"/>
        <v>2040</v>
      </c>
      <c r="AJ62" s="102">
        <f t="shared" si="25"/>
        <v>59226</v>
      </c>
    </row>
    <row r="63" spans="1:36">
      <c r="A63" s="94"/>
      <c r="B63" s="27"/>
      <c r="C63" s="146"/>
      <c r="D63" s="10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</row>
    <row r="64" spans="1:36">
      <c r="A64" s="28" t="s">
        <v>133</v>
      </c>
      <c r="B64" s="28" t="s">
        <v>100</v>
      </c>
      <c r="C64" s="523" t="s">
        <v>101</v>
      </c>
      <c r="D64" s="501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103"/>
    </row>
    <row r="65" spans="1:38">
      <c r="A65" s="2">
        <v>1</v>
      </c>
      <c r="B65" s="2" t="s">
        <v>129</v>
      </c>
      <c r="C65" s="506" t="s">
        <v>119</v>
      </c>
      <c r="D65" s="501"/>
      <c r="E65" s="102">
        <f t="shared" ref="E65:AI65" si="26">E23-D23</f>
        <v>96</v>
      </c>
      <c r="F65" s="102">
        <f t="shared" si="26"/>
        <v>58</v>
      </c>
      <c r="G65" s="102">
        <f t="shared" si="26"/>
        <v>87</v>
      </c>
      <c r="H65" s="102">
        <f t="shared" si="26"/>
        <v>78</v>
      </c>
      <c r="I65" s="102">
        <f t="shared" si="26"/>
        <v>34</v>
      </c>
      <c r="J65" s="102">
        <f t="shared" si="26"/>
        <v>0</v>
      </c>
      <c r="K65" s="102">
        <f t="shared" si="26"/>
        <v>68</v>
      </c>
      <c r="L65" s="102">
        <f t="shared" si="26"/>
        <v>56</v>
      </c>
      <c r="M65" s="102">
        <f t="shared" si="26"/>
        <v>57</v>
      </c>
      <c r="N65" s="102">
        <f t="shared" si="26"/>
        <v>66</v>
      </c>
      <c r="O65" s="102">
        <f t="shared" si="26"/>
        <v>47</v>
      </c>
      <c r="P65" s="102">
        <f t="shared" si="26"/>
        <v>27</v>
      </c>
      <c r="Q65" s="102">
        <f t="shared" si="26"/>
        <v>0</v>
      </c>
      <c r="R65" s="102">
        <f t="shared" si="26"/>
        <v>83</v>
      </c>
      <c r="S65" s="102">
        <f t="shared" si="26"/>
        <v>119</v>
      </c>
      <c r="T65" s="102">
        <f t="shared" si="26"/>
        <v>107</v>
      </c>
      <c r="U65" s="102">
        <f t="shared" si="26"/>
        <v>156</v>
      </c>
      <c r="V65" s="102">
        <f t="shared" si="26"/>
        <v>124</v>
      </c>
      <c r="W65" s="102">
        <f t="shared" si="26"/>
        <v>65</v>
      </c>
      <c r="X65" s="102">
        <f t="shared" si="26"/>
        <v>0</v>
      </c>
      <c r="Y65" s="102">
        <f t="shared" si="26"/>
        <v>81</v>
      </c>
      <c r="Z65" s="102">
        <f t="shared" si="26"/>
        <v>80</v>
      </c>
      <c r="AA65" s="102">
        <f t="shared" si="26"/>
        <v>128</v>
      </c>
      <c r="AB65" s="102">
        <f t="shared" si="26"/>
        <v>109</v>
      </c>
      <c r="AC65" s="102">
        <f t="shared" si="26"/>
        <v>136</v>
      </c>
      <c r="AD65" s="102">
        <f t="shared" si="26"/>
        <v>51</v>
      </c>
      <c r="AE65" s="102">
        <f t="shared" si="26"/>
        <v>0</v>
      </c>
      <c r="AF65" s="102">
        <f t="shared" si="26"/>
        <v>137</v>
      </c>
      <c r="AG65" s="102">
        <f t="shared" si="26"/>
        <v>134</v>
      </c>
      <c r="AH65" s="102">
        <f t="shared" si="26"/>
        <v>98</v>
      </c>
      <c r="AI65" s="102">
        <f t="shared" si="26"/>
        <v>81</v>
      </c>
      <c r="AJ65" s="102">
        <f t="shared" ref="AJ65:AJ78" si="27">SUM(E65:AI65)</f>
        <v>2363</v>
      </c>
    </row>
    <row r="66" spans="1:38">
      <c r="A66" s="2"/>
      <c r="B66" s="2"/>
      <c r="C66" s="532" t="s">
        <v>22</v>
      </c>
      <c r="D66" s="501"/>
      <c r="E66" s="102">
        <f t="shared" ref="E66:AI66" si="28">E24-D24</f>
        <v>0</v>
      </c>
      <c r="F66" s="102">
        <f t="shared" si="28"/>
        <v>0</v>
      </c>
      <c r="G66" s="102">
        <f t="shared" si="28"/>
        <v>0</v>
      </c>
      <c r="H66" s="102">
        <f t="shared" si="28"/>
        <v>0</v>
      </c>
      <c r="I66" s="102">
        <f t="shared" si="28"/>
        <v>0</v>
      </c>
      <c r="J66" s="102">
        <f t="shared" si="28"/>
        <v>0</v>
      </c>
      <c r="K66" s="102">
        <f t="shared" si="28"/>
        <v>0</v>
      </c>
      <c r="L66" s="102">
        <f t="shared" si="28"/>
        <v>0</v>
      </c>
      <c r="M66" s="102">
        <f t="shared" si="28"/>
        <v>0</v>
      </c>
      <c r="N66" s="102">
        <f t="shared" si="28"/>
        <v>0</v>
      </c>
      <c r="O66" s="102">
        <f t="shared" si="28"/>
        <v>0</v>
      </c>
      <c r="P66" s="102">
        <f t="shared" si="28"/>
        <v>0</v>
      </c>
      <c r="Q66" s="102">
        <f t="shared" si="28"/>
        <v>0</v>
      </c>
      <c r="R66" s="102">
        <f t="shared" si="28"/>
        <v>0</v>
      </c>
      <c r="S66" s="102">
        <f t="shared" si="28"/>
        <v>0</v>
      </c>
      <c r="T66" s="102">
        <f t="shared" si="28"/>
        <v>0</v>
      </c>
      <c r="U66" s="102">
        <f t="shared" si="28"/>
        <v>0</v>
      </c>
      <c r="V66" s="102">
        <f t="shared" si="28"/>
        <v>0</v>
      </c>
      <c r="W66" s="102">
        <f t="shared" si="28"/>
        <v>0</v>
      </c>
      <c r="X66" s="102">
        <f t="shared" si="28"/>
        <v>0</v>
      </c>
      <c r="Y66" s="102">
        <f t="shared" si="28"/>
        <v>0</v>
      </c>
      <c r="Z66" s="102">
        <f t="shared" si="28"/>
        <v>0</v>
      </c>
      <c r="AA66" s="102">
        <f t="shared" si="28"/>
        <v>0</v>
      </c>
      <c r="AB66" s="102">
        <f t="shared" si="28"/>
        <v>0</v>
      </c>
      <c r="AC66" s="102">
        <f t="shared" si="28"/>
        <v>0</v>
      </c>
      <c r="AD66" s="102">
        <f t="shared" si="28"/>
        <v>0</v>
      </c>
      <c r="AE66" s="102">
        <f t="shared" si="28"/>
        <v>0</v>
      </c>
      <c r="AF66" s="102">
        <f t="shared" si="28"/>
        <v>0</v>
      </c>
      <c r="AG66" s="102">
        <f t="shared" si="28"/>
        <v>0</v>
      </c>
      <c r="AH66" s="102">
        <f t="shared" si="28"/>
        <v>0</v>
      </c>
      <c r="AI66" s="102">
        <f t="shared" si="28"/>
        <v>0</v>
      </c>
      <c r="AJ66" s="102">
        <f t="shared" si="27"/>
        <v>0</v>
      </c>
    </row>
    <row r="67" spans="1:38">
      <c r="A67" s="2">
        <v>2</v>
      </c>
      <c r="B67" s="2" t="s">
        <v>129</v>
      </c>
      <c r="C67" s="506" t="s">
        <v>120</v>
      </c>
      <c r="D67" s="501"/>
      <c r="E67" s="102">
        <f t="shared" ref="E67:AI67" si="29">E25-D25</f>
        <v>200</v>
      </c>
      <c r="F67" s="102">
        <f t="shared" si="29"/>
        <v>138</v>
      </c>
      <c r="G67" s="102">
        <f t="shared" si="29"/>
        <v>138</v>
      </c>
      <c r="H67" s="102">
        <f t="shared" si="29"/>
        <v>122</v>
      </c>
      <c r="I67" s="102">
        <f t="shared" si="29"/>
        <v>71</v>
      </c>
      <c r="J67" s="102">
        <f t="shared" si="29"/>
        <v>0</v>
      </c>
      <c r="K67" s="102">
        <f t="shared" si="29"/>
        <v>132</v>
      </c>
      <c r="L67" s="102">
        <f t="shared" si="29"/>
        <v>107</v>
      </c>
      <c r="M67" s="102">
        <f t="shared" si="29"/>
        <v>119</v>
      </c>
      <c r="N67" s="102">
        <f t="shared" si="29"/>
        <v>104</v>
      </c>
      <c r="O67" s="102">
        <f t="shared" si="29"/>
        <v>122</v>
      </c>
      <c r="P67" s="102">
        <f t="shared" si="29"/>
        <v>68</v>
      </c>
      <c r="Q67" s="102">
        <f t="shared" si="29"/>
        <v>0</v>
      </c>
      <c r="R67" s="102">
        <f t="shared" si="29"/>
        <v>114</v>
      </c>
      <c r="S67" s="102">
        <f t="shared" si="29"/>
        <v>137</v>
      </c>
      <c r="T67" s="102">
        <f t="shared" si="29"/>
        <v>81</v>
      </c>
      <c r="U67" s="102">
        <f t="shared" si="29"/>
        <v>115</v>
      </c>
      <c r="V67" s="102">
        <f t="shared" si="29"/>
        <v>116</v>
      </c>
      <c r="W67" s="102">
        <f t="shared" si="29"/>
        <v>64</v>
      </c>
      <c r="X67" s="102">
        <f t="shared" si="29"/>
        <v>0</v>
      </c>
      <c r="Y67" s="102">
        <f t="shared" si="29"/>
        <v>110</v>
      </c>
      <c r="Z67" s="102">
        <f t="shared" si="29"/>
        <v>110</v>
      </c>
      <c r="AA67" s="102">
        <f t="shared" si="29"/>
        <v>122</v>
      </c>
      <c r="AB67" s="102">
        <f t="shared" si="29"/>
        <v>149</v>
      </c>
      <c r="AC67" s="102">
        <f t="shared" si="29"/>
        <v>108</v>
      </c>
      <c r="AD67" s="102">
        <f t="shared" si="29"/>
        <v>108</v>
      </c>
      <c r="AE67" s="102">
        <f t="shared" si="29"/>
        <v>0</v>
      </c>
      <c r="AF67" s="102">
        <f t="shared" si="29"/>
        <v>126</v>
      </c>
      <c r="AG67" s="102">
        <f t="shared" si="29"/>
        <v>132</v>
      </c>
      <c r="AH67" s="102">
        <f t="shared" si="29"/>
        <v>184</v>
      </c>
      <c r="AI67" s="102">
        <f t="shared" si="29"/>
        <v>98</v>
      </c>
      <c r="AJ67" s="102">
        <f t="shared" si="27"/>
        <v>3195</v>
      </c>
    </row>
    <row r="68" spans="1:38">
      <c r="A68" s="2"/>
      <c r="B68" s="2"/>
      <c r="C68" s="532" t="s">
        <v>22</v>
      </c>
      <c r="D68" s="501"/>
      <c r="E68" s="102">
        <f t="shared" ref="E68:AI68" si="30">E26-D26</f>
        <v>0</v>
      </c>
      <c r="F68" s="102">
        <f t="shared" si="30"/>
        <v>0</v>
      </c>
      <c r="G68" s="102">
        <f t="shared" si="30"/>
        <v>0</v>
      </c>
      <c r="H68" s="102">
        <f t="shared" si="30"/>
        <v>0</v>
      </c>
      <c r="I68" s="102">
        <f t="shared" si="30"/>
        <v>0</v>
      </c>
      <c r="J68" s="102">
        <f t="shared" si="30"/>
        <v>0</v>
      </c>
      <c r="K68" s="102">
        <f t="shared" si="30"/>
        <v>0</v>
      </c>
      <c r="L68" s="102">
        <f t="shared" si="30"/>
        <v>0</v>
      </c>
      <c r="M68" s="102">
        <f t="shared" si="30"/>
        <v>0</v>
      </c>
      <c r="N68" s="102">
        <f t="shared" si="30"/>
        <v>0</v>
      </c>
      <c r="O68" s="102">
        <f t="shared" si="30"/>
        <v>0</v>
      </c>
      <c r="P68" s="102">
        <f t="shared" si="30"/>
        <v>0</v>
      </c>
      <c r="Q68" s="102">
        <f t="shared" si="30"/>
        <v>0</v>
      </c>
      <c r="R68" s="102">
        <f t="shared" si="30"/>
        <v>0</v>
      </c>
      <c r="S68" s="102">
        <f t="shared" si="30"/>
        <v>0</v>
      </c>
      <c r="T68" s="102">
        <f t="shared" si="30"/>
        <v>0</v>
      </c>
      <c r="U68" s="102">
        <f t="shared" si="30"/>
        <v>0</v>
      </c>
      <c r="V68" s="102">
        <f t="shared" si="30"/>
        <v>0</v>
      </c>
      <c r="W68" s="102">
        <f t="shared" si="30"/>
        <v>0</v>
      </c>
      <c r="X68" s="102">
        <f t="shared" si="30"/>
        <v>0</v>
      </c>
      <c r="Y68" s="102">
        <f t="shared" si="30"/>
        <v>0</v>
      </c>
      <c r="Z68" s="102">
        <f t="shared" si="30"/>
        <v>0</v>
      </c>
      <c r="AA68" s="102">
        <f t="shared" si="30"/>
        <v>0</v>
      </c>
      <c r="AB68" s="102">
        <f t="shared" si="30"/>
        <v>0</v>
      </c>
      <c r="AC68" s="102">
        <f t="shared" si="30"/>
        <v>0</v>
      </c>
      <c r="AD68" s="102">
        <f t="shared" si="30"/>
        <v>0</v>
      </c>
      <c r="AE68" s="102">
        <f t="shared" si="30"/>
        <v>0</v>
      </c>
      <c r="AF68" s="102">
        <f t="shared" si="30"/>
        <v>0</v>
      </c>
      <c r="AG68" s="102">
        <f t="shared" si="30"/>
        <v>0</v>
      </c>
      <c r="AH68" s="102">
        <f t="shared" si="30"/>
        <v>0</v>
      </c>
      <c r="AI68" s="102">
        <f t="shared" si="30"/>
        <v>0</v>
      </c>
      <c r="AJ68" s="102">
        <f t="shared" si="27"/>
        <v>0</v>
      </c>
      <c r="AK68" s="115" t="s">
        <v>20</v>
      </c>
      <c r="AL68" s="116">
        <f>AJ60</f>
        <v>59226</v>
      </c>
    </row>
    <row r="69" spans="1:38">
      <c r="A69" s="2">
        <v>3</v>
      </c>
      <c r="B69" s="2" t="s">
        <v>129</v>
      </c>
      <c r="C69" s="506" t="s">
        <v>121</v>
      </c>
      <c r="D69" s="501"/>
      <c r="E69" s="102">
        <f t="shared" ref="E69:AI69" si="31">E27-D27</f>
        <v>195</v>
      </c>
      <c r="F69" s="102">
        <f t="shared" si="31"/>
        <v>151</v>
      </c>
      <c r="G69" s="102">
        <f t="shared" si="31"/>
        <v>137</v>
      </c>
      <c r="H69" s="102">
        <f t="shared" si="31"/>
        <v>150</v>
      </c>
      <c r="I69" s="102">
        <f t="shared" si="31"/>
        <v>75</v>
      </c>
      <c r="J69" s="102">
        <f t="shared" si="31"/>
        <v>0</v>
      </c>
      <c r="K69" s="102">
        <f t="shared" si="31"/>
        <v>110</v>
      </c>
      <c r="L69" s="102">
        <f t="shared" si="31"/>
        <v>109</v>
      </c>
      <c r="M69" s="102">
        <f t="shared" si="31"/>
        <v>97</v>
      </c>
      <c r="N69" s="102">
        <f t="shared" si="31"/>
        <v>85</v>
      </c>
      <c r="O69" s="102">
        <f t="shared" si="31"/>
        <v>92</v>
      </c>
      <c r="P69" s="102">
        <f t="shared" si="31"/>
        <v>56</v>
      </c>
      <c r="Q69" s="102">
        <f t="shared" si="31"/>
        <v>0</v>
      </c>
      <c r="R69" s="102">
        <f t="shared" si="31"/>
        <v>106</v>
      </c>
      <c r="S69" s="102">
        <f t="shared" si="31"/>
        <v>134</v>
      </c>
      <c r="T69" s="102">
        <f t="shared" si="31"/>
        <v>114</v>
      </c>
      <c r="U69" s="102">
        <f t="shared" si="31"/>
        <v>141</v>
      </c>
      <c r="V69" s="102">
        <f t="shared" si="31"/>
        <v>195</v>
      </c>
      <c r="W69" s="102">
        <f t="shared" si="31"/>
        <v>67</v>
      </c>
      <c r="X69" s="102">
        <f t="shared" si="31"/>
        <v>0</v>
      </c>
      <c r="Y69" s="102">
        <f t="shared" si="31"/>
        <v>159</v>
      </c>
      <c r="Z69" s="102">
        <f t="shared" si="31"/>
        <v>180</v>
      </c>
      <c r="AA69" s="102">
        <f t="shared" si="31"/>
        <v>134</v>
      </c>
      <c r="AB69" s="102">
        <f t="shared" si="31"/>
        <v>142</v>
      </c>
      <c r="AC69" s="102">
        <f t="shared" si="31"/>
        <v>157</v>
      </c>
      <c r="AD69" s="102">
        <f t="shared" si="31"/>
        <v>89</v>
      </c>
      <c r="AE69" s="102">
        <f t="shared" si="31"/>
        <v>0</v>
      </c>
      <c r="AF69" s="102">
        <f t="shared" si="31"/>
        <v>166</v>
      </c>
      <c r="AG69" s="102">
        <f t="shared" si="31"/>
        <v>170</v>
      </c>
      <c r="AH69" s="102">
        <f t="shared" si="31"/>
        <v>165</v>
      </c>
      <c r="AI69" s="102">
        <f t="shared" si="31"/>
        <v>100</v>
      </c>
      <c r="AJ69" s="102">
        <f t="shared" si="27"/>
        <v>3476</v>
      </c>
      <c r="AK69" s="115" t="s">
        <v>21</v>
      </c>
      <c r="AL69" s="116">
        <f>AJ73</f>
        <v>11246</v>
      </c>
    </row>
    <row r="70" spans="1:38">
      <c r="A70" s="2"/>
      <c r="B70" s="2"/>
      <c r="C70" s="532" t="s">
        <v>22</v>
      </c>
      <c r="D70" s="501"/>
      <c r="E70" s="102">
        <f t="shared" ref="E70:AI70" si="32">E28-D28</f>
        <v>0</v>
      </c>
      <c r="F70" s="102">
        <f t="shared" si="32"/>
        <v>0</v>
      </c>
      <c r="G70" s="102">
        <f t="shared" si="32"/>
        <v>0</v>
      </c>
      <c r="H70" s="102">
        <f t="shared" si="32"/>
        <v>0</v>
      </c>
      <c r="I70" s="102">
        <f t="shared" si="32"/>
        <v>0</v>
      </c>
      <c r="J70" s="102">
        <f t="shared" si="32"/>
        <v>0</v>
      </c>
      <c r="K70" s="102">
        <f t="shared" si="32"/>
        <v>0</v>
      </c>
      <c r="L70" s="102">
        <f t="shared" si="32"/>
        <v>0</v>
      </c>
      <c r="M70" s="102">
        <f t="shared" si="32"/>
        <v>0</v>
      </c>
      <c r="N70" s="102">
        <f t="shared" si="32"/>
        <v>0</v>
      </c>
      <c r="O70" s="102">
        <f t="shared" si="32"/>
        <v>0</v>
      </c>
      <c r="P70" s="102">
        <f t="shared" si="32"/>
        <v>0</v>
      </c>
      <c r="Q70" s="102">
        <f t="shared" si="32"/>
        <v>0</v>
      </c>
      <c r="R70" s="102">
        <f t="shared" si="32"/>
        <v>0</v>
      </c>
      <c r="S70" s="102">
        <f t="shared" si="32"/>
        <v>0</v>
      </c>
      <c r="T70" s="102">
        <f t="shared" si="32"/>
        <v>0</v>
      </c>
      <c r="U70" s="102">
        <f t="shared" si="32"/>
        <v>0</v>
      </c>
      <c r="V70" s="102">
        <f t="shared" si="32"/>
        <v>0</v>
      </c>
      <c r="W70" s="102">
        <f t="shared" si="32"/>
        <v>0</v>
      </c>
      <c r="X70" s="102">
        <f t="shared" si="32"/>
        <v>0</v>
      </c>
      <c r="Y70" s="102">
        <f t="shared" si="32"/>
        <v>0</v>
      </c>
      <c r="Z70" s="102">
        <f t="shared" si="32"/>
        <v>0</v>
      </c>
      <c r="AA70" s="102">
        <f t="shared" si="32"/>
        <v>0</v>
      </c>
      <c r="AB70" s="102">
        <f t="shared" si="32"/>
        <v>0</v>
      </c>
      <c r="AC70" s="102">
        <f t="shared" si="32"/>
        <v>0</v>
      </c>
      <c r="AD70" s="102">
        <f t="shared" si="32"/>
        <v>0</v>
      </c>
      <c r="AE70" s="102">
        <f t="shared" si="32"/>
        <v>0</v>
      </c>
      <c r="AF70" s="102">
        <f t="shared" si="32"/>
        <v>0</v>
      </c>
      <c r="AG70" s="102">
        <f t="shared" si="32"/>
        <v>0</v>
      </c>
      <c r="AH70" s="102">
        <f t="shared" si="32"/>
        <v>0</v>
      </c>
      <c r="AI70" s="102">
        <f t="shared" si="32"/>
        <v>0</v>
      </c>
      <c r="AJ70" s="102">
        <f t="shared" si="27"/>
        <v>0</v>
      </c>
      <c r="AK70" s="115" t="s">
        <v>23</v>
      </c>
      <c r="AL70" s="116">
        <f>AJ79*40%</f>
        <v>43855.200000000004</v>
      </c>
    </row>
    <row r="71" spans="1:38">
      <c r="A71" s="2">
        <v>4</v>
      </c>
      <c r="B71" s="2" t="s">
        <v>129</v>
      </c>
      <c r="C71" s="506" t="s">
        <v>122</v>
      </c>
      <c r="D71" s="501"/>
      <c r="E71" s="102">
        <f t="shared" ref="E71:X71" si="33">E29-D29</f>
        <v>148</v>
      </c>
      <c r="F71" s="102">
        <f t="shared" si="33"/>
        <v>101</v>
      </c>
      <c r="G71" s="102">
        <f t="shared" si="33"/>
        <v>95</v>
      </c>
      <c r="H71" s="102">
        <f t="shared" si="33"/>
        <v>103</v>
      </c>
      <c r="I71" s="102">
        <f t="shared" si="33"/>
        <v>60</v>
      </c>
      <c r="J71" s="102">
        <f t="shared" si="33"/>
        <v>0</v>
      </c>
      <c r="K71" s="102">
        <f t="shared" si="33"/>
        <v>89</v>
      </c>
      <c r="L71" s="102">
        <f t="shared" si="33"/>
        <v>86</v>
      </c>
      <c r="M71" s="102">
        <f t="shared" si="33"/>
        <v>84</v>
      </c>
      <c r="N71" s="102">
        <f t="shared" si="33"/>
        <v>76</v>
      </c>
      <c r="O71" s="102">
        <f t="shared" si="33"/>
        <v>74</v>
      </c>
      <c r="P71" s="102">
        <f t="shared" si="33"/>
        <v>0</v>
      </c>
      <c r="Q71" s="102">
        <f t="shared" si="33"/>
        <v>49</v>
      </c>
      <c r="R71" s="102">
        <f t="shared" si="33"/>
        <v>95</v>
      </c>
      <c r="S71" s="102">
        <f t="shared" si="33"/>
        <v>79</v>
      </c>
      <c r="T71" s="102">
        <f t="shared" si="33"/>
        <v>64</v>
      </c>
      <c r="U71" s="102">
        <f t="shared" si="33"/>
        <v>79</v>
      </c>
      <c r="V71" s="102">
        <f t="shared" si="33"/>
        <v>62</v>
      </c>
      <c r="W71" s="102">
        <f t="shared" si="33"/>
        <v>28</v>
      </c>
      <c r="X71" s="102">
        <f t="shared" si="33"/>
        <v>0</v>
      </c>
      <c r="Y71" s="102">
        <v>66</v>
      </c>
      <c r="Z71" s="102">
        <f t="shared" ref="Z71:AI71" si="34">Z29-Y29</f>
        <v>63</v>
      </c>
      <c r="AA71" s="102">
        <f t="shared" si="34"/>
        <v>67</v>
      </c>
      <c r="AB71" s="102">
        <f t="shared" si="34"/>
        <v>93</v>
      </c>
      <c r="AC71" s="102">
        <f t="shared" si="34"/>
        <v>104</v>
      </c>
      <c r="AD71" s="102">
        <f t="shared" si="34"/>
        <v>65</v>
      </c>
      <c r="AE71" s="102">
        <f t="shared" si="34"/>
        <v>0</v>
      </c>
      <c r="AF71" s="102">
        <f t="shared" si="34"/>
        <v>109</v>
      </c>
      <c r="AG71" s="102">
        <f t="shared" si="34"/>
        <v>102</v>
      </c>
      <c r="AH71" s="102">
        <f t="shared" si="34"/>
        <v>93</v>
      </c>
      <c r="AI71" s="102">
        <f t="shared" si="34"/>
        <v>78</v>
      </c>
      <c r="AJ71" s="102">
        <f t="shared" si="27"/>
        <v>2212</v>
      </c>
      <c r="AK71" s="117" t="s">
        <v>22</v>
      </c>
      <c r="AL71" s="118">
        <f>AJ74+AJ61</f>
        <v>0</v>
      </c>
    </row>
    <row r="72" spans="1:38">
      <c r="A72" s="2"/>
      <c r="B72" s="2"/>
      <c r="C72" s="532" t="s">
        <v>22</v>
      </c>
      <c r="D72" s="501"/>
      <c r="E72" s="102">
        <f t="shared" ref="E72:X72" si="35">E30-D30</f>
        <v>0</v>
      </c>
      <c r="F72" s="102">
        <f t="shared" si="35"/>
        <v>0</v>
      </c>
      <c r="G72" s="102">
        <f t="shared" si="35"/>
        <v>0</v>
      </c>
      <c r="H72" s="102">
        <f t="shared" si="35"/>
        <v>0</v>
      </c>
      <c r="I72" s="102">
        <f t="shared" si="35"/>
        <v>0</v>
      </c>
      <c r="J72" s="102">
        <f t="shared" si="35"/>
        <v>0</v>
      </c>
      <c r="K72" s="102">
        <f t="shared" si="35"/>
        <v>0</v>
      </c>
      <c r="L72" s="102">
        <f t="shared" si="35"/>
        <v>0</v>
      </c>
      <c r="M72" s="102">
        <f t="shared" si="35"/>
        <v>0</v>
      </c>
      <c r="N72" s="102">
        <f t="shared" si="35"/>
        <v>0</v>
      </c>
      <c r="O72" s="102">
        <f t="shared" si="35"/>
        <v>0</v>
      </c>
      <c r="P72" s="102">
        <f t="shared" si="35"/>
        <v>0</v>
      </c>
      <c r="Q72" s="102">
        <f t="shared" si="35"/>
        <v>0</v>
      </c>
      <c r="R72" s="102">
        <f t="shared" si="35"/>
        <v>0</v>
      </c>
      <c r="S72" s="102">
        <f t="shared" si="35"/>
        <v>0</v>
      </c>
      <c r="T72" s="102">
        <f t="shared" si="35"/>
        <v>0</v>
      </c>
      <c r="U72" s="102">
        <f t="shared" si="35"/>
        <v>0</v>
      </c>
      <c r="V72" s="102">
        <f t="shared" si="35"/>
        <v>0</v>
      </c>
      <c r="W72" s="102">
        <f t="shared" si="35"/>
        <v>0</v>
      </c>
      <c r="X72" s="102">
        <f t="shared" si="35"/>
        <v>0</v>
      </c>
      <c r="Y72" s="102">
        <f>Y30-X30</f>
        <v>0</v>
      </c>
      <c r="Z72" s="102">
        <f t="shared" ref="Z72:AI72" si="36">Z30-Y30</f>
        <v>0</v>
      </c>
      <c r="AA72" s="102">
        <f t="shared" si="36"/>
        <v>0</v>
      </c>
      <c r="AB72" s="102">
        <f t="shared" si="36"/>
        <v>0</v>
      </c>
      <c r="AC72" s="102">
        <f t="shared" si="36"/>
        <v>0</v>
      </c>
      <c r="AD72" s="102">
        <f t="shared" si="36"/>
        <v>0</v>
      </c>
      <c r="AE72" s="102">
        <f t="shared" si="36"/>
        <v>0</v>
      </c>
      <c r="AF72" s="102">
        <f t="shared" si="36"/>
        <v>0</v>
      </c>
      <c r="AG72" s="102">
        <f t="shared" si="36"/>
        <v>0</v>
      </c>
      <c r="AH72" s="102">
        <f t="shared" si="36"/>
        <v>0</v>
      </c>
      <c r="AI72" s="102">
        <f t="shared" si="36"/>
        <v>0</v>
      </c>
      <c r="AJ72" s="102">
        <f t="shared" si="27"/>
        <v>0</v>
      </c>
    </row>
    <row r="73" spans="1:38" ht="15" customHeight="1">
      <c r="A73" s="99"/>
      <c r="B73" s="99"/>
      <c r="C73" s="500" t="s">
        <v>134</v>
      </c>
      <c r="D73" s="501"/>
      <c r="E73" s="23">
        <f t="shared" ref="E73:AI73" si="37">SUM(E65,E67,E69,E71)</f>
        <v>639</v>
      </c>
      <c r="F73" s="23">
        <f t="shared" si="37"/>
        <v>448</v>
      </c>
      <c r="G73" s="23">
        <f t="shared" si="37"/>
        <v>457</v>
      </c>
      <c r="H73" s="23">
        <f t="shared" si="37"/>
        <v>453</v>
      </c>
      <c r="I73" s="23">
        <f t="shared" si="37"/>
        <v>240</v>
      </c>
      <c r="J73" s="23">
        <f t="shared" si="37"/>
        <v>0</v>
      </c>
      <c r="K73" s="23">
        <f t="shared" si="37"/>
        <v>399</v>
      </c>
      <c r="L73" s="23">
        <f t="shared" si="37"/>
        <v>358</v>
      </c>
      <c r="M73" s="23">
        <f t="shared" si="37"/>
        <v>357</v>
      </c>
      <c r="N73" s="23">
        <f t="shared" si="37"/>
        <v>331</v>
      </c>
      <c r="O73" s="23">
        <f t="shared" si="37"/>
        <v>335</v>
      </c>
      <c r="P73" s="23">
        <f t="shared" si="37"/>
        <v>151</v>
      </c>
      <c r="Q73" s="23">
        <f t="shared" si="37"/>
        <v>49</v>
      </c>
      <c r="R73" s="23">
        <f t="shared" si="37"/>
        <v>398</v>
      </c>
      <c r="S73" s="23">
        <f t="shared" si="37"/>
        <v>469</v>
      </c>
      <c r="T73" s="23">
        <f t="shared" si="37"/>
        <v>366</v>
      </c>
      <c r="U73" s="23">
        <f t="shared" si="37"/>
        <v>491</v>
      </c>
      <c r="V73" s="23">
        <f t="shared" si="37"/>
        <v>497</v>
      </c>
      <c r="W73" s="23">
        <f t="shared" si="37"/>
        <v>224</v>
      </c>
      <c r="X73" s="23">
        <f t="shared" si="37"/>
        <v>0</v>
      </c>
      <c r="Y73" s="23">
        <f t="shared" si="37"/>
        <v>416</v>
      </c>
      <c r="Z73" s="23">
        <f t="shared" si="37"/>
        <v>433</v>
      </c>
      <c r="AA73" s="23">
        <f t="shared" si="37"/>
        <v>451</v>
      </c>
      <c r="AB73" s="23">
        <f t="shared" si="37"/>
        <v>493</v>
      </c>
      <c r="AC73" s="23">
        <f t="shared" si="37"/>
        <v>505</v>
      </c>
      <c r="AD73" s="23">
        <f t="shared" si="37"/>
        <v>313</v>
      </c>
      <c r="AE73" s="23">
        <f t="shared" si="37"/>
        <v>0</v>
      </c>
      <c r="AF73" s="23">
        <f t="shared" si="37"/>
        <v>538</v>
      </c>
      <c r="AG73" s="23">
        <f t="shared" si="37"/>
        <v>538</v>
      </c>
      <c r="AH73" s="23">
        <f t="shared" si="37"/>
        <v>540</v>
      </c>
      <c r="AI73" s="23">
        <f t="shared" si="37"/>
        <v>357</v>
      </c>
      <c r="AJ73" s="24">
        <f t="shared" si="27"/>
        <v>11246</v>
      </c>
    </row>
    <row r="74" spans="1:38" ht="15" customHeight="1">
      <c r="A74" s="99"/>
      <c r="B74" s="99"/>
      <c r="C74" s="513" t="s">
        <v>135</v>
      </c>
      <c r="D74" s="501"/>
      <c r="E74" s="23">
        <f t="shared" ref="E74:AI74" si="38">SUM(E66,E68,E70,E72)</f>
        <v>0</v>
      </c>
      <c r="F74" s="23">
        <f t="shared" si="38"/>
        <v>0</v>
      </c>
      <c r="G74" s="23">
        <f t="shared" si="38"/>
        <v>0</v>
      </c>
      <c r="H74" s="23">
        <f t="shared" si="38"/>
        <v>0</v>
      </c>
      <c r="I74" s="23">
        <f t="shared" si="38"/>
        <v>0</v>
      </c>
      <c r="J74" s="23">
        <f t="shared" si="38"/>
        <v>0</v>
      </c>
      <c r="K74" s="23">
        <f t="shared" si="38"/>
        <v>0</v>
      </c>
      <c r="L74" s="23">
        <f t="shared" si="38"/>
        <v>0</v>
      </c>
      <c r="M74" s="23">
        <f t="shared" si="38"/>
        <v>0</v>
      </c>
      <c r="N74" s="23">
        <f t="shared" si="38"/>
        <v>0</v>
      </c>
      <c r="O74" s="23">
        <f t="shared" si="38"/>
        <v>0</v>
      </c>
      <c r="P74" s="23">
        <f t="shared" si="38"/>
        <v>0</v>
      </c>
      <c r="Q74" s="23">
        <f t="shared" si="38"/>
        <v>0</v>
      </c>
      <c r="R74" s="23">
        <f t="shared" si="38"/>
        <v>0</v>
      </c>
      <c r="S74" s="23">
        <f t="shared" si="38"/>
        <v>0</v>
      </c>
      <c r="T74" s="23">
        <f t="shared" si="38"/>
        <v>0</v>
      </c>
      <c r="U74" s="23">
        <f t="shared" si="38"/>
        <v>0</v>
      </c>
      <c r="V74" s="23">
        <f t="shared" si="38"/>
        <v>0</v>
      </c>
      <c r="W74" s="23">
        <f t="shared" si="38"/>
        <v>0</v>
      </c>
      <c r="X74" s="23">
        <f t="shared" si="38"/>
        <v>0</v>
      </c>
      <c r="Y74" s="23">
        <f t="shared" si="38"/>
        <v>0</v>
      </c>
      <c r="Z74" s="23">
        <f t="shared" si="38"/>
        <v>0</v>
      </c>
      <c r="AA74" s="23">
        <f t="shared" si="38"/>
        <v>0</v>
      </c>
      <c r="AB74" s="23">
        <f t="shared" si="38"/>
        <v>0</v>
      </c>
      <c r="AC74" s="23">
        <f t="shared" si="38"/>
        <v>0</v>
      </c>
      <c r="AD74" s="23">
        <f t="shared" si="38"/>
        <v>0</v>
      </c>
      <c r="AE74" s="23">
        <f t="shared" si="38"/>
        <v>0</v>
      </c>
      <c r="AF74" s="23">
        <f t="shared" si="38"/>
        <v>0</v>
      </c>
      <c r="AG74" s="23">
        <f t="shared" si="38"/>
        <v>0</v>
      </c>
      <c r="AH74" s="23">
        <f t="shared" si="38"/>
        <v>0</v>
      </c>
      <c r="AI74" s="23">
        <f t="shared" si="38"/>
        <v>0</v>
      </c>
      <c r="AJ74" s="24">
        <f t="shared" si="27"/>
        <v>0</v>
      </c>
    </row>
    <row r="75" spans="1:38">
      <c r="A75" s="2">
        <v>1</v>
      </c>
      <c r="B75" s="2" t="s">
        <v>129</v>
      </c>
      <c r="C75" s="503" t="s">
        <v>123</v>
      </c>
      <c r="D75" s="501"/>
      <c r="E75" s="102">
        <f t="shared" ref="E75:X75" si="39">E32-D32</f>
        <v>1270</v>
      </c>
      <c r="F75" s="102">
        <f t="shared" si="39"/>
        <v>1269</v>
      </c>
      <c r="G75" s="102">
        <f t="shared" si="39"/>
        <v>1264</v>
      </c>
      <c r="H75" s="102">
        <f t="shared" si="39"/>
        <v>956</v>
      </c>
      <c r="I75" s="102">
        <f t="shared" si="39"/>
        <v>730</v>
      </c>
      <c r="J75" s="102">
        <f t="shared" si="39"/>
        <v>0</v>
      </c>
      <c r="K75" s="102">
        <f t="shared" si="39"/>
        <v>1559</v>
      </c>
      <c r="L75" s="102">
        <f t="shared" si="39"/>
        <v>1167</v>
      </c>
      <c r="M75" s="102">
        <f t="shared" si="39"/>
        <v>1193</v>
      </c>
      <c r="N75" s="102">
        <f t="shared" si="39"/>
        <v>898</v>
      </c>
      <c r="O75" s="102">
        <f t="shared" si="39"/>
        <v>831</v>
      </c>
      <c r="P75" s="102">
        <f t="shared" si="39"/>
        <v>335</v>
      </c>
      <c r="Q75" s="102">
        <f t="shared" si="39"/>
        <v>0</v>
      </c>
      <c r="R75" s="102">
        <f t="shared" si="39"/>
        <v>1281</v>
      </c>
      <c r="S75" s="102">
        <f t="shared" si="39"/>
        <v>1413</v>
      </c>
      <c r="T75" s="102">
        <f t="shared" si="39"/>
        <v>882</v>
      </c>
      <c r="U75" s="102">
        <f t="shared" si="39"/>
        <v>1122</v>
      </c>
      <c r="V75" s="102">
        <f t="shared" si="39"/>
        <v>1003</v>
      </c>
      <c r="W75" s="102">
        <f t="shared" si="39"/>
        <v>1317</v>
      </c>
      <c r="X75" s="102">
        <f t="shared" si="39"/>
        <v>0</v>
      </c>
      <c r="Y75" s="102">
        <v>1306</v>
      </c>
      <c r="Z75" s="102">
        <f t="shared" ref="Z75:AI75" si="40">Z32-Y32</f>
        <v>1658</v>
      </c>
      <c r="AA75" s="102">
        <f t="shared" si="40"/>
        <v>795</v>
      </c>
      <c r="AB75" s="102">
        <f t="shared" si="40"/>
        <v>969</v>
      </c>
      <c r="AC75" s="102">
        <f t="shared" si="40"/>
        <v>1387</v>
      </c>
      <c r="AD75" s="102">
        <f t="shared" si="40"/>
        <v>854</v>
      </c>
      <c r="AE75" s="102">
        <f t="shared" si="40"/>
        <v>0</v>
      </c>
      <c r="AF75" s="102">
        <f t="shared" si="40"/>
        <v>1695</v>
      </c>
      <c r="AG75" s="102">
        <f t="shared" si="40"/>
        <v>1215</v>
      </c>
      <c r="AH75" s="102">
        <f t="shared" si="40"/>
        <v>1061</v>
      </c>
      <c r="AI75" s="102">
        <f t="shared" si="40"/>
        <v>1035</v>
      </c>
      <c r="AJ75" s="102">
        <f t="shared" si="27"/>
        <v>30465</v>
      </c>
    </row>
    <row r="76" spans="1:38">
      <c r="A76" s="2">
        <v>2</v>
      </c>
      <c r="B76" s="2" t="s">
        <v>129</v>
      </c>
      <c r="C76" s="503" t="s">
        <v>124</v>
      </c>
      <c r="D76" s="501"/>
      <c r="E76" s="102">
        <f t="shared" ref="E76:X76" si="41">E33-D33</f>
        <v>783</v>
      </c>
      <c r="F76" s="102">
        <f t="shared" si="41"/>
        <v>880</v>
      </c>
      <c r="G76" s="102">
        <f t="shared" si="41"/>
        <v>704</v>
      </c>
      <c r="H76" s="102">
        <f t="shared" si="41"/>
        <v>678</v>
      </c>
      <c r="I76" s="102">
        <f t="shared" si="41"/>
        <v>334</v>
      </c>
      <c r="J76" s="102">
        <f t="shared" si="41"/>
        <v>0</v>
      </c>
      <c r="K76" s="102">
        <f t="shared" si="41"/>
        <v>881</v>
      </c>
      <c r="L76" s="102">
        <f t="shared" si="41"/>
        <v>1010</v>
      </c>
      <c r="M76" s="102">
        <f t="shared" si="41"/>
        <v>797</v>
      </c>
      <c r="N76" s="102">
        <f t="shared" si="41"/>
        <v>711</v>
      </c>
      <c r="O76" s="102">
        <f t="shared" si="41"/>
        <v>766</v>
      </c>
      <c r="P76" s="102">
        <f t="shared" si="41"/>
        <v>617</v>
      </c>
      <c r="Q76" s="102">
        <f t="shared" si="41"/>
        <v>0</v>
      </c>
      <c r="R76" s="102">
        <f t="shared" si="41"/>
        <v>974</v>
      </c>
      <c r="S76" s="102">
        <f t="shared" si="41"/>
        <v>832</v>
      </c>
      <c r="T76" s="102">
        <f t="shared" si="41"/>
        <v>744</v>
      </c>
      <c r="U76" s="102">
        <f t="shared" si="41"/>
        <v>788</v>
      </c>
      <c r="V76" s="102">
        <f t="shared" si="41"/>
        <v>793</v>
      </c>
      <c r="W76" s="102">
        <f t="shared" si="41"/>
        <v>372</v>
      </c>
      <c r="X76" s="102">
        <f t="shared" si="41"/>
        <v>0</v>
      </c>
      <c r="Y76" s="102">
        <f>Y33-X33</f>
        <v>955</v>
      </c>
      <c r="Z76" s="102">
        <f t="shared" ref="Z76:AI76" si="42">Z33-Y33</f>
        <v>691</v>
      </c>
      <c r="AA76" s="102">
        <f t="shared" si="42"/>
        <v>661</v>
      </c>
      <c r="AB76" s="102">
        <f t="shared" si="42"/>
        <v>1068</v>
      </c>
      <c r="AC76" s="102">
        <f t="shared" si="42"/>
        <v>953</v>
      </c>
      <c r="AD76" s="102">
        <f t="shared" si="42"/>
        <v>806</v>
      </c>
      <c r="AE76" s="102">
        <f t="shared" si="42"/>
        <v>0</v>
      </c>
      <c r="AF76" s="102">
        <f t="shared" si="42"/>
        <v>1140</v>
      </c>
      <c r="AG76" s="102">
        <f t="shared" si="42"/>
        <v>203</v>
      </c>
      <c r="AH76" s="102">
        <f t="shared" si="42"/>
        <v>1140</v>
      </c>
      <c r="AI76" s="102">
        <f t="shared" si="42"/>
        <v>1149</v>
      </c>
      <c r="AJ76" s="102">
        <f t="shared" si="27"/>
        <v>21430</v>
      </c>
    </row>
    <row r="77" spans="1:38">
      <c r="A77" s="2">
        <v>3</v>
      </c>
      <c r="B77" s="2" t="s">
        <v>129</v>
      </c>
      <c r="C77" s="503" t="s">
        <v>125</v>
      </c>
      <c r="D77" s="501"/>
      <c r="E77" s="102">
        <f t="shared" ref="E77:X77" si="43">E34-D34</f>
        <v>1067</v>
      </c>
      <c r="F77" s="102">
        <f t="shared" si="43"/>
        <v>1157</v>
      </c>
      <c r="G77" s="102">
        <f t="shared" si="43"/>
        <v>1112</v>
      </c>
      <c r="H77" s="102">
        <f t="shared" si="43"/>
        <v>733</v>
      </c>
      <c r="I77" s="102">
        <f t="shared" si="43"/>
        <v>965</v>
      </c>
      <c r="J77" s="102">
        <f t="shared" si="43"/>
        <v>0</v>
      </c>
      <c r="K77" s="102">
        <f t="shared" si="43"/>
        <v>1128</v>
      </c>
      <c r="L77" s="102">
        <f t="shared" si="43"/>
        <v>1228</v>
      </c>
      <c r="M77" s="102">
        <f t="shared" si="43"/>
        <v>982</v>
      </c>
      <c r="N77" s="102">
        <f t="shared" si="43"/>
        <v>821</v>
      </c>
      <c r="O77" s="102">
        <f t="shared" si="43"/>
        <v>1037</v>
      </c>
      <c r="P77" s="102">
        <f t="shared" si="43"/>
        <v>609</v>
      </c>
      <c r="Q77" s="102">
        <f t="shared" si="43"/>
        <v>0</v>
      </c>
      <c r="R77" s="102">
        <f t="shared" si="43"/>
        <v>1086</v>
      </c>
      <c r="S77" s="102">
        <f t="shared" si="43"/>
        <v>1405</v>
      </c>
      <c r="T77" s="102">
        <f t="shared" si="43"/>
        <v>1030</v>
      </c>
      <c r="U77" s="102">
        <f t="shared" si="43"/>
        <v>1359</v>
      </c>
      <c r="V77" s="102">
        <f t="shared" si="43"/>
        <v>1000</v>
      </c>
      <c r="W77" s="102">
        <f t="shared" si="43"/>
        <v>810</v>
      </c>
      <c r="X77" s="102">
        <f t="shared" si="43"/>
        <v>0</v>
      </c>
      <c r="Y77" s="102">
        <v>1326</v>
      </c>
      <c r="Z77" s="102">
        <f t="shared" ref="Z77:AI77" si="44">Z34-Y34</f>
        <v>2153</v>
      </c>
      <c r="AA77" s="102">
        <f t="shared" si="44"/>
        <v>1098</v>
      </c>
      <c r="AB77" s="102">
        <f t="shared" si="44"/>
        <v>1154</v>
      </c>
      <c r="AC77" s="102">
        <f t="shared" si="44"/>
        <v>1317</v>
      </c>
      <c r="AD77" s="102">
        <f t="shared" si="44"/>
        <v>963</v>
      </c>
      <c r="AE77" s="102">
        <f t="shared" si="44"/>
        <v>0</v>
      </c>
      <c r="AF77" s="102">
        <f t="shared" si="44"/>
        <v>1251</v>
      </c>
      <c r="AG77" s="102">
        <f t="shared" si="44"/>
        <v>1010</v>
      </c>
      <c r="AH77" s="102">
        <f t="shared" si="44"/>
        <v>1169</v>
      </c>
      <c r="AI77" s="102">
        <f t="shared" si="44"/>
        <v>1061</v>
      </c>
      <c r="AJ77" s="102">
        <f t="shared" si="27"/>
        <v>30031</v>
      </c>
    </row>
    <row r="78" spans="1:38">
      <c r="A78" s="2">
        <v>4</v>
      </c>
      <c r="B78" s="2" t="s">
        <v>129</v>
      </c>
      <c r="C78" s="503" t="s">
        <v>126</v>
      </c>
      <c r="D78" s="501"/>
      <c r="E78" s="102">
        <f t="shared" ref="E78:X78" si="45">E35-D35</f>
        <v>1160</v>
      </c>
      <c r="F78" s="102">
        <f t="shared" si="45"/>
        <v>1048</v>
      </c>
      <c r="G78" s="102">
        <f t="shared" si="45"/>
        <v>1193</v>
      </c>
      <c r="H78" s="102">
        <f t="shared" si="45"/>
        <v>1130</v>
      </c>
      <c r="I78" s="102">
        <f t="shared" si="45"/>
        <v>625</v>
      </c>
      <c r="J78" s="102">
        <f t="shared" si="45"/>
        <v>0</v>
      </c>
      <c r="K78" s="102">
        <f t="shared" si="45"/>
        <v>1194</v>
      </c>
      <c r="L78" s="102">
        <f t="shared" si="45"/>
        <v>1037</v>
      </c>
      <c r="M78" s="102">
        <f t="shared" si="45"/>
        <v>970</v>
      </c>
      <c r="N78" s="102">
        <f t="shared" si="45"/>
        <v>965</v>
      </c>
      <c r="O78" s="102">
        <f t="shared" si="45"/>
        <v>879</v>
      </c>
      <c r="P78" s="102">
        <f t="shared" si="45"/>
        <v>554</v>
      </c>
      <c r="Q78" s="102">
        <f t="shared" si="45"/>
        <v>0</v>
      </c>
      <c r="R78" s="102">
        <f t="shared" si="45"/>
        <v>1239</v>
      </c>
      <c r="S78" s="102">
        <f t="shared" si="45"/>
        <v>1285</v>
      </c>
      <c r="T78" s="102">
        <f t="shared" si="45"/>
        <v>1048</v>
      </c>
      <c r="U78" s="102">
        <f t="shared" si="45"/>
        <v>1205</v>
      </c>
      <c r="V78" s="102">
        <f t="shared" si="45"/>
        <v>1068</v>
      </c>
      <c r="W78" s="102">
        <f t="shared" si="45"/>
        <v>516</v>
      </c>
      <c r="X78" s="102">
        <f t="shared" si="45"/>
        <v>100</v>
      </c>
      <c r="Y78" s="102">
        <f>Y35-X35</f>
        <v>1095</v>
      </c>
      <c r="Z78" s="102">
        <f t="shared" ref="Z78:AI78" si="46">Z35-Y35</f>
        <v>1000</v>
      </c>
      <c r="AA78" s="102">
        <f t="shared" si="46"/>
        <v>1079</v>
      </c>
      <c r="AB78" s="102">
        <f t="shared" si="46"/>
        <v>1078</v>
      </c>
      <c r="AC78" s="102">
        <f t="shared" si="46"/>
        <v>1258</v>
      </c>
      <c r="AD78" s="102">
        <f t="shared" si="46"/>
        <v>752</v>
      </c>
      <c r="AE78" s="102">
        <f t="shared" si="46"/>
        <v>0</v>
      </c>
      <c r="AF78" s="102">
        <f t="shared" si="46"/>
        <v>1356</v>
      </c>
      <c r="AG78" s="102">
        <f t="shared" si="46"/>
        <v>1029</v>
      </c>
      <c r="AH78" s="102">
        <f t="shared" si="46"/>
        <v>1003</v>
      </c>
      <c r="AI78" s="102">
        <f t="shared" si="46"/>
        <v>846</v>
      </c>
      <c r="AJ78" s="102">
        <f t="shared" si="27"/>
        <v>27712</v>
      </c>
    </row>
    <row r="79" spans="1:38" ht="15" customHeight="1">
      <c r="A79" s="99"/>
      <c r="B79" s="99"/>
      <c r="C79" s="500" t="s">
        <v>136</v>
      </c>
      <c r="D79" s="501"/>
      <c r="E79" s="23">
        <f t="shared" ref="E79:AJ79" si="47">SUM(E75:E78)</f>
        <v>4280</v>
      </c>
      <c r="F79" s="23">
        <f t="shared" si="47"/>
        <v>4354</v>
      </c>
      <c r="G79" s="23">
        <f t="shared" si="47"/>
        <v>4273</v>
      </c>
      <c r="H79" s="23">
        <f t="shared" si="47"/>
        <v>3497</v>
      </c>
      <c r="I79" s="23">
        <f t="shared" si="47"/>
        <v>2654</v>
      </c>
      <c r="J79" s="23">
        <f t="shared" si="47"/>
        <v>0</v>
      </c>
      <c r="K79" s="23">
        <f t="shared" si="47"/>
        <v>4762</v>
      </c>
      <c r="L79" s="23">
        <f t="shared" si="47"/>
        <v>4442</v>
      </c>
      <c r="M79" s="23">
        <f t="shared" si="47"/>
        <v>3942</v>
      </c>
      <c r="N79" s="23">
        <f t="shared" si="47"/>
        <v>3395</v>
      </c>
      <c r="O79" s="23">
        <f t="shared" si="47"/>
        <v>3513</v>
      </c>
      <c r="P79" s="23">
        <f t="shared" si="47"/>
        <v>2115</v>
      </c>
      <c r="Q79" s="23">
        <f t="shared" si="47"/>
        <v>0</v>
      </c>
      <c r="R79" s="23">
        <f t="shared" si="47"/>
        <v>4580</v>
      </c>
      <c r="S79" s="23">
        <f t="shared" si="47"/>
        <v>4935</v>
      </c>
      <c r="T79" s="23">
        <f t="shared" si="47"/>
        <v>3704</v>
      </c>
      <c r="U79" s="23">
        <f t="shared" si="47"/>
        <v>4474</v>
      </c>
      <c r="V79" s="23">
        <f t="shared" si="47"/>
        <v>3864</v>
      </c>
      <c r="W79" s="23">
        <f t="shared" si="47"/>
        <v>3015</v>
      </c>
      <c r="X79" s="23">
        <f t="shared" si="47"/>
        <v>100</v>
      </c>
      <c r="Y79" s="23">
        <f t="shared" si="47"/>
        <v>4682</v>
      </c>
      <c r="Z79" s="23">
        <f t="shared" si="47"/>
        <v>5502</v>
      </c>
      <c r="AA79" s="23">
        <f t="shared" si="47"/>
        <v>3633</v>
      </c>
      <c r="AB79" s="23">
        <f t="shared" si="47"/>
        <v>4269</v>
      </c>
      <c r="AC79" s="23">
        <f t="shared" si="47"/>
        <v>4915</v>
      </c>
      <c r="AD79" s="23">
        <f t="shared" si="47"/>
        <v>3375</v>
      </c>
      <c r="AE79" s="23">
        <f t="shared" si="47"/>
        <v>0</v>
      </c>
      <c r="AF79" s="23">
        <f t="shared" si="47"/>
        <v>5442</v>
      </c>
      <c r="AG79" s="23">
        <f t="shared" si="47"/>
        <v>3457</v>
      </c>
      <c r="AH79" s="23">
        <f t="shared" si="47"/>
        <v>4373</v>
      </c>
      <c r="AI79" s="23">
        <f t="shared" si="47"/>
        <v>4091</v>
      </c>
      <c r="AJ79" s="24">
        <f t="shared" si="47"/>
        <v>109638</v>
      </c>
    </row>
    <row r="87" spans="33:33">
      <c r="AG87" s="64"/>
    </row>
  </sheetData>
  <mergeCells count="49">
    <mergeCell ref="AJ40:AJ43"/>
    <mergeCell ref="C62:D62"/>
    <mergeCell ref="C68:D68"/>
    <mergeCell ref="C40:D43"/>
    <mergeCell ref="C58:D58"/>
    <mergeCell ref="C45:D45"/>
    <mergeCell ref="C67:D67"/>
    <mergeCell ref="C57:D57"/>
    <mergeCell ref="C66:D66"/>
    <mergeCell ref="C53:D53"/>
    <mergeCell ref="AJ2:AJ5"/>
    <mergeCell ref="E1:AH1"/>
    <mergeCell ref="C74:D74"/>
    <mergeCell ref="C64:D64"/>
    <mergeCell ref="B2:B5"/>
    <mergeCell ref="A1:D1"/>
    <mergeCell ref="A22:AJ22"/>
    <mergeCell ref="C60:D60"/>
    <mergeCell ref="C51:D51"/>
    <mergeCell ref="A2:A5"/>
    <mergeCell ref="C71:D71"/>
    <mergeCell ref="C2:C5"/>
    <mergeCell ref="C52:D52"/>
    <mergeCell ref="C70:D70"/>
    <mergeCell ref="C48:D48"/>
    <mergeCell ref="A31:AJ31"/>
    <mergeCell ref="B38:D38"/>
    <mergeCell ref="D2:D5"/>
    <mergeCell ref="C73:D73"/>
    <mergeCell ref="C47:D47"/>
    <mergeCell ref="C54:D54"/>
    <mergeCell ref="C65:D65"/>
    <mergeCell ref="C55:D55"/>
    <mergeCell ref="C50:D50"/>
    <mergeCell ref="C44:D44"/>
    <mergeCell ref="C56:D56"/>
    <mergeCell ref="C59:D59"/>
    <mergeCell ref="C49:D49"/>
    <mergeCell ref="C46:D46"/>
    <mergeCell ref="B40:B43"/>
    <mergeCell ref="C72:D72"/>
    <mergeCell ref="B39:D39"/>
    <mergeCell ref="C78:D78"/>
    <mergeCell ref="C69:D69"/>
    <mergeCell ref="A40:A43"/>
    <mergeCell ref="C79:D79"/>
    <mergeCell ref="C75:D75"/>
    <mergeCell ref="C77:D77"/>
    <mergeCell ref="C76:D7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L79"/>
  <sheetViews>
    <sheetView zoomScale="80" zoomScaleNormal="80" workbookViewId="0">
      <selection sqref="A1:XFD1048576"/>
    </sheetView>
  </sheetViews>
  <sheetFormatPr defaultRowHeight="14.5"/>
  <cols>
    <col min="1" max="1" width="14" customWidth="1"/>
    <col min="2" max="2" width="27" customWidth="1"/>
    <col min="3" max="3" width="32" bestFit="1" customWidth="1"/>
    <col min="4" max="4" width="20" customWidth="1"/>
    <col min="5" max="35" width="23" customWidth="1"/>
    <col min="36" max="36" width="18" customWidth="1"/>
    <col min="37" max="37" width="14" customWidth="1"/>
    <col min="38" max="38" width="18" customWidth="1"/>
  </cols>
  <sheetData>
    <row r="1" spans="1:36" ht="26" customHeight="1">
      <c r="A1" s="573"/>
      <c r="B1" s="526"/>
      <c r="C1" s="526"/>
      <c r="D1" s="527"/>
      <c r="E1" s="581" t="s">
        <v>177</v>
      </c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  <c r="AI1" s="159"/>
      <c r="AJ1" s="50"/>
    </row>
    <row r="2" spans="1:36">
      <c r="A2" s="510" t="s">
        <v>99</v>
      </c>
      <c r="B2" s="510" t="s">
        <v>100</v>
      </c>
      <c r="C2" s="580" t="s">
        <v>101</v>
      </c>
      <c r="D2" s="572" t="s">
        <v>102</v>
      </c>
      <c r="E2" s="194">
        <v>45809</v>
      </c>
      <c r="F2" s="194">
        <v>45810</v>
      </c>
      <c r="G2" s="194">
        <v>45811</v>
      </c>
      <c r="H2" s="194">
        <v>45812</v>
      </c>
      <c r="I2" s="194">
        <v>45813</v>
      </c>
      <c r="J2" s="194">
        <v>45814</v>
      </c>
      <c r="K2" s="194">
        <v>45815</v>
      </c>
      <c r="L2" s="194">
        <v>45816</v>
      </c>
      <c r="M2" s="194">
        <v>45817</v>
      </c>
      <c r="N2" s="194">
        <v>45818</v>
      </c>
      <c r="O2" s="194">
        <v>45819</v>
      </c>
      <c r="P2" s="194">
        <v>45820</v>
      </c>
      <c r="Q2" s="194">
        <v>45821</v>
      </c>
      <c r="R2" s="194">
        <v>45822</v>
      </c>
      <c r="S2" s="194">
        <v>45823</v>
      </c>
      <c r="T2" s="194">
        <v>45824</v>
      </c>
      <c r="U2" s="194">
        <v>45825</v>
      </c>
      <c r="V2" s="194">
        <v>45826</v>
      </c>
      <c r="W2" s="194">
        <v>45827</v>
      </c>
      <c r="X2" s="194">
        <v>45828</v>
      </c>
      <c r="Y2" s="194">
        <v>45829</v>
      </c>
      <c r="Z2" s="194">
        <v>45830</v>
      </c>
      <c r="AA2" s="194">
        <v>45831</v>
      </c>
      <c r="AB2" s="194">
        <v>45832</v>
      </c>
      <c r="AC2" s="194">
        <v>45833</v>
      </c>
      <c r="AD2" s="194">
        <v>45834</v>
      </c>
      <c r="AE2" s="194">
        <v>45835</v>
      </c>
      <c r="AF2" s="194">
        <v>45836</v>
      </c>
      <c r="AG2" s="194">
        <v>45837</v>
      </c>
      <c r="AH2" s="194">
        <v>45838</v>
      </c>
      <c r="AI2" s="194">
        <v>45808</v>
      </c>
      <c r="AJ2" s="514" t="s">
        <v>1</v>
      </c>
    </row>
    <row r="3" spans="1:36">
      <c r="A3" s="511"/>
      <c r="B3" s="511"/>
      <c r="C3" s="511"/>
      <c r="D3" s="511"/>
      <c r="E3" s="52" t="s">
        <v>174</v>
      </c>
      <c r="F3" s="52" t="s">
        <v>175</v>
      </c>
      <c r="G3" s="52" t="s">
        <v>169</v>
      </c>
      <c r="H3" s="52" t="s">
        <v>170</v>
      </c>
      <c r="I3" s="52" t="s">
        <v>171</v>
      </c>
      <c r="J3" s="52" t="s">
        <v>172</v>
      </c>
      <c r="K3" s="52" t="s">
        <v>173</v>
      </c>
      <c r="L3" s="52" t="s">
        <v>174</v>
      </c>
      <c r="M3" s="52" t="s">
        <v>175</v>
      </c>
      <c r="N3" s="52" t="s">
        <v>169</v>
      </c>
      <c r="O3" s="52" t="s">
        <v>170</v>
      </c>
      <c r="P3" s="52" t="s">
        <v>171</v>
      </c>
      <c r="Q3" s="52" t="s">
        <v>172</v>
      </c>
      <c r="R3" s="52" t="s">
        <v>173</v>
      </c>
      <c r="S3" s="52" t="s">
        <v>174</v>
      </c>
      <c r="T3" s="52" t="s">
        <v>175</v>
      </c>
      <c r="U3" s="52" t="s">
        <v>169</v>
      </c>
      <c r="V3" s="52" t="s">
        <v>170</v>
      </c>
      <c r="W3" s="52" t="s">
        <v>171</v>
      </c>
      <c r="X3" s="52" t="s">
        <v>172</v>
      </c>
      <c r="Y3" s="52" t="s">
        <v>173</v>
      </c>
      <c r="Z3" s="52" t="s">
        <v>174</v>
      </c>
      <c r="AA3" s="52" t="s">
        <v>175</v>
      </c>
      <c r="AB3" s="52" t="s">
        <v>169</v>
      </c>
      <c r="AC3" s="52" t="s">
        <v>170</v>
      </c>
      <c r="AD3" s="52" t="s">
        <v>171</v>
      </c>
      <c r="AE3" s="52" t="s">
        <v>172</v>
      </c>
      <c r="AF3" s="52" t="s">
        <v>173</v>
      </c>
      <c r="AG3" s="52" t="s">
        <v>174</v>
      </c>
      <c r="AH3" s="52" t="s">
        <v>175</v>
      </c>
      <c r="AI3" s="52" t="s">
        <v>173</v>
      </c>
      <c r="AJ3" s="511"/>
    </row>
    <row r="4" spans="1:36">
      <c r="A4" s="511"/>
      <c r="B4" s="511"/>
      <c r="C4" s="511"/>
      <c r="D4" s="511"/>
      <c r="E4" s="52" t="s">
        <v>110</v>
      </c>
      <c r="F4" s="52" t="s">
        <v>110</v>
      </c>
      <c r="G4" s="52" t="s">
        <v>110</v>
      </c>
      <c r="H4" s="52" t="s">
        <v>110</v>
      </c>
      <c r="I4" s="52" t="s">
        <v>110</v>
      </c>
      <c r="J4" s="52" t="s">
        <v>110</v>
      </c>
      <c r="K4" s="52" t="s">
        <v>110</v>
      </c>
      <c r="L4" s="52" t="s">
        <v>110</v>
      </c>
      <c r="M4" s="52" t="s">
        <v>110</v>
      </c>
      <c r="N4" s="52" t="s">
        <v>110</v>
      </c>
      <c r="O4" s="52" t="s">
        <v>110</v>
      </c>
      <c r="P4" s="52" t="s">
        <v>110</v>
      </c>
      <c r="Q4" s="52" t="s">
        <v>110</v>
      </c>
      <c r="R4" s="52" t="s">
        <v>110</v>
      </c>
      <c r="S4" s="52" t="s">
        <v>110</v>
      </c>
      <c r="T4" s="52" t="s">
        <v>110</v>
      </c>
      <c r="U4" s="52" t="s">
        <v>110</v>
      </c>
      <c r="V4" s="52" t="s">
        <v>110</v>
      </c>
      <c r="W4" s="52" t="s">
        <v>110</v>
      </c>
      <c r="X4" s="52" t="s">
        <v>110</v>
      </c>
      <c r="Y4" s="52" t="s">
        <v>110</v>
      </c>
      <c r="Z4" s="52" t="s">
        <v>110</v>
      </c>
      <c r="AA4" s="52" t="s">
        <v>110</v>
      </c>
      <c r="AB4" s="52" t="s">
        <v>110</v>
      </c>
      <c r="AC4" s="52" t="s">
        <v>110</v>
      </c>
      <c r="AD4" s="52" t="s">
        <v>110</v>
      </c>
      <c r="AE4" s="52" t="s">
        <v>110</v>
      </c>
      <c r="AF4" s="52" t="s">
        <v>110</v>
      </c>
      <c r="AG4" s="52" t="s">
        <v>110</v>
      </c>
      <c r="AH4" s="52" t="s">
        <v>110</v>
      </c>
      <c r="AI4" s="52" t="s">
        <v>110</v>
      </c>
      <c r="AJ4" s="511"/>
    </row>
    <row r="5" spans="1:36">
      <c r="A5" s="512"/>
      <c r="B5" s="512"/>
      <c r="C5" s="512"/>
      <c r="D5" s="512"/>
      <c r="E5" s="53">
        <v>0.33333333333333331</v>
      </c>
      <c r="F5" s="53">
        <v>0.33333333333333331</v>
      </c>
      <c r="G5" s="53">
        <v>0.33333333333333331</v>
      </c>
      <c r="H5" s="53">
        <v>0.33333333333333331</v>
      </c>
      <c r="I5" s="53">
        <v>0.33333333333333331</v>
      </c>
      <c r="J5" s="53">
        <v>0.33333333333333331</v>
      </c>
      <c r="K5" s="53">
        <v>0.33333333333333331</v>
      </c>
      <c r="L5" s="53">
        <v>0.33333333333333331</v>
      </c>
      <c r="M5" s="53">
        <v>0.33333333333333331</v>
      </c>
      <c r="N5" s="53">
        <v>0.33333333333333331</v>
      </c>
      <c r="O5" s="53">
        <v>0.33333333333333331</v>
      </c>
      <c r="P5" s="53">
        <v>0.33333333333333331</v>
      </c>
      <c r="Q5" s="53">
        <v>0.33333333333333331</v>
      </c>
      <c r="R5" s="53">
        <v>0.33333333333333331</v>
      </c>
      <c r="S5" s="53">
        <v>0.33333333333333331</v>
      </c>
      <c r="T5" s="53">
        <v>0.33333333333333331</v>
      </c>
      <c r="U5" s="53">
        <v>0.33333333333333331</v>
      </c>
      <c r="V5" s="53">
        <v>0.33333333333333331</v>
      </c>
      <c r="W5" s="53">
        <v>0.33333333333333331</v>
      </c>
      <c r="X5" s="53">
        <v>0.33333333333333331</v>
      </c>
      <c r="Y5" s="53">
        <v>0.33333333333333331</v>
      </c>
      <c r="Z5" s="53">
        <v>0.33333333333333331</v>
      </c>
      <c r="AA5" s="53">
        <v>0.33333333333333331</v>
      </c>
      <c r="AB5" s="53">
        <v>0.33333333333333331</v>
      </c>
      <c r="AC5" s="53">
        <v>0.33333333333333331</v>
      </c>
      <c r="AD5" s="53">
        <v>0.33333333333333331</v>
      </c>
      <c r="AE5" s="53">
        <v>0.33333333333333331</v>
      </c>
      <c r="AF5" s="53">
        <v>0.33333333333333331</v>
      </c>
      <c r="AG5" s="53">
        <v>0.33333333333333331</v>
      </c>
      <c r="AH5" s="53">
        <v>0.33333333333333331</v>
      </c>
      <c r="AI5" s="53">
        <v>0.33333333333333331</v>
      </c>
      <c r="AJ5" s="512"/>
    </row>
    <row r="6" spans="1:36">
      <c r="A6" s="48">
        <v>1</v>
      </c>
      <c r="B6" s="4" t="s">
        <v>129</v>
      </c>
      <c r="C6" s="139" t="s">
        <v>111</v>
      </c>
      <c r="D6" s="55">
        <v>114025</v>
      </c>
      <c r="E6" s="48">
        <v>114691</v>
      </c>
      <c r="F6" s="48">
        <v>114949</v>
      </c>
      <c r="G6" s="48">
        <v>115216</v>
      </c>
      <c r="H6" s="48">
        <v>115489</v>
      </c>
      <c r="I6" s="48">
        <v>115763</v>
      </c>
      <c r="J6" s="48">
        <v>116035</v>
      </c>
      <c r="K6" s="48">
        <v>116247</v>
      </c>
      <c r="L6" s="48">
        <v>116455</v>
      </c>
      <c r="M6" s="48">
        <v>116705</v>
      </c>
      <c r="N6" s="48">
        <v>116965</v>
      </c>
      <c r="O6" s="4">
        <v>117229</v>
      </c>
      <c r="P6" s="58">
        <v>117492</v>
      </c>
      <c r="Q6" s="48">
        <v>117762</v>
      </c>
      <c r="R6" s="59">
        <v>117979</v>
      </c>
      <c r="S6" s="4">
        <v>118172</v>
      </c>
      <c r="T6" s="4">
        <v>118437</v>
      </c>
      <c r="U6" s="4">
        <v>118709</v>
      </c>
      <c r="V6" s="125">
        <v>118983</v>
      </c>
      <c r="W6" s="4">
        <v>119260</v>
      </c>
      <c r="X6" s="4">
        <v>119523</v>
      </c>
      <c r="Y6" s="4">
        <v>119726</v>
      </c>
      <c r="Z6" s="4">
        <v>119933</v>
      </c>
      <c r="AA6" s="4">
        <v>120201</v>
      </c>
      <c r="AB6" s="4">
        <v>120476</v>
      </c>
      <c r="AC6" s="4">
        <v>120772</v>
      </c>
      <c r="AD6" s="4">
        <v>121034</v>
      </c>
      <c r="AE6" s="4">
        <v>121298</v>
      </c>
      <c r="AF6" s="4">
        <v>121510</v>
      </c>
      <c r="AG6" s="48">
        <v>121718</v>
      </c>
      <c r="AH6" s="169">
        <v>121887</v>
      </c>
      <c r="AI6" s="48"/>
      <c r="AJ6" s="57">
        <f t="shared" ref="AJ6:AJ21" si="0">AH6-D6</f>
        <v>7862</v>
      </c>
    </row>
    <row r="7" spans="1:36">
      <c r="A7" s="8"/>
      <c r="B7" s="8"/>
      <c r="C7" s="140" t="s">
        <v>22</v>
      </c>
      <c r="D7" s="45">
        <v>4136</v>
      </c>
      <c r="E7" s="8">
        <v>4144</v>
      </c>
      <c r="F7" s="8">
        <v>4144</v>
      </c>
      <c r="G7" s="8">
        <v>4144</v>
      </c>
      <c r="H7" s="8">
        <v>4144</v>
      </c>
      <c r="I7" s="8">
        <v>4144</v>
      </c>
      <c r="J7" s="8">
        <v>4144</v>
      </c>
      <c r="K7" s="8">
        <v>4144</v>
      </c>
      <c r="L7" s="8">
        <v>4144</v>
      </c>
      <c r="M7" s="8">
        <v>4144</v>
      </c>
      <c r="N7" s="8">
        <v>4144</v>
      </c>
      <c r="O7" s="8">
        <v>4161</v>
      </c>
      <c r="P7" s="8">
        <v>4161</v>
      </c>
      <c r="Q7" s="8">
        <v>4161</v>
      </c>
      <c r="R7" s="8">
        <v>4161</v>
      </c>
      <c r="S7" s="8">
        <v>4161</v>
      </c>
      <c r="T7" s="8">
        <v>4161</v>
      </c>
      <c r="U7" s="8">
        <v>4161</v>
      </c>
      <c r="V7" s="8">
        <v>4161</v>
      </c>
      <c r="W7" s="8">
        <v>4161</v>
      </c>
      <c r="X7" s="8">
        <v>4161</v>
      </c>
      <c r="Y7" s="8">
        <v>4176</v>
      </c>
      <c r="Z7" s="8">
        <v>4176</v>
      </c>
      <c r="AA7" s="8">
        <v>4176</v>
      </c>
      <c r="AB7" s="8">
        <v>4176</v>
      </c>
      <c r="AC7" s="8">
        <v>4176</v>
      </c>
      <c r="AD7" s="8">
        <v>4176</v>
      </c>
      <c r="AE7" s="8">
        <v>4176</v>
      </c>
      <c r="AF7" s="8">
        <v>4176</v>
      </c>
      <c r="AG7" s="8">
        <v>4176</v>
      </c>
      <c r="AH7" s="128">
        <v>4176</v>
      </c>
      <c r="AI7" s="48"/>
      <c r="AJ7" s="57">
        <f t="shared" si="0"/>
        <v>40</v>
      </c>
    </row>
    <row r="8" spans="1:36">
      <c r="A8" s="4">
        <v>2</v>
      </c>
      <c r="B8" s="4" t="s">
        <v>129</v>
      </c>
      <c r="C8" s="141" t="s">
        <v>112</v>
      </c>
      <c r="D8" s="3">
        <v>1956</v>
      </c>
      <c r="E8" s="4">
        <v>1956</v>
      </c>
      <c r="F8" s="4">
        <v>1956</v>
      </c>
      <c r="G8" s="4">
        <v>1956</v>
      </c>
      <c r="H8" s="4">
        <v>1956</v>
      </c>
      <c r="I8" s="4">
        <v>1956</v>
      </c>
      <c r="J8" s="4">
        <v>1956</v>
      </c>
      <c r="K8" s="4">
        <v>1956</v>
      </c>
      <c r="L8" s="4">
        <v>1956</v>
      </c>
      <c r="M8" s="4">
        <v>1956</v>
      </c>
      <c r="N8" s="4">
        <v>1956</v>
      </c>
      <c r="O8" s="4">
        <v>1956</v>
      </c>
      <c r="P8" s="4">
        <v>1956</v>
      </c>
      <c r="Q8" s="4">
        <v>1956</v>
      </c>
      <c r="R8" s="4">
        <v>1956</v>
      </c>
      <c r="S8" s="4">
        <v>1956</v>
      </c>
      <c r="T8" s="4">
        <v>1956</v>
      </c>
      <c r="U8" s="4">
        <v>1956</v>
      </c>
      <c r="V8" s="4">
        <v>1956</v>
      </c>
      <c r="W8" s="4">
        <v>1956</v>
      </c>
      <c r="X8" s="4">
        <v>1956</v>
      </c>
      <c r="Y8" s="4">
        <v>1956</v>
      </c>
      <c r="Z8" s="4">
        <v>1956</v>
      </c>
      <c r="AA8" s="4">
        <v>1956</v>
      </c>
      <c r="AB8" s="4">
        <v>1956</v>
      </c>
      <c r="AC8" s="4">
        <v>1956</v>
      </c>
      <c r="AD8" s="4">
        <v>1956</v>
      </c>
      <c r="AE8" s="4">
        <v>1956</v>
      </c>
      <c r="AF8" s="4">
        <v>1956</v>
      </c>
      <c r="AG8" s="4">
        <v>1956</v>
      </c>
      <c r="AH8" s="58">
        <v>1956</v>
      </c>
      <c r="AI8" s="48"/>
      <c r="AJ8" s="57">
        <f t="shared" si="0"/>
        <v>0</v>
      </c>
    </row>
    <row r="9" spans="1:36">
      <c r="A9" s="4"/>
      <c r="B9" s="4"/>
      <c r="C9" s="140" t="s">
        <v>22</v>
      </c>
      <c r="D9" s="3">
        <v>28.6</v>
      </c>
      <c r="E9" s="4">
        <v>28.6</v>
      </c>
      <c r="F9" s="4">
        <v>28.6</v>
      </c>
      <c r="G9" s="4">
        <v>28.6</v>
      </c>
      <c r="H9" s="4">
        <v>28.6</v>
      </c>
      <c r="I9" s="4">
        <v>28.6</v>
      </c>
      <c r="J9" s="4">
        <v>28.6</v>
      </c>
      <c r="K9" s="4">
        <v>28.6</v>
      </c>
      <c r="L9" s="4">
        <v>28.6</v>
      </c>
      <c r="M9" s="4">
        <v>28.6</v>
      </c>
      <c r="N9" s="4">
        <v>28.6</v>
      </c>
      <c r="O9" s="4">
        <v>28.6</v>
      </c>
      <c r="P9" s="4">
        <v>28.6</v>
      </c>
      <c r="Q9" s="4">
        <v>28.6</v>
      </c>
      <c r="R9" s="4">
        <v>28.6</v>
      </c>
      <c r="S9" s="4">
        <v>28.6</v>
      </c>
      <c r="T9" s="4">
        <v>28.6</v>
      </c>
      <c r="U9" s="4">
        <v>28.6</v>
      </c>
      <c r="V9" s="4">
        <v>28.6</v>
      </c>
      <c r="W9" s="4">
        <v>28.6</v>
      </c>
      <c r="X9" s="4">
        <v>28.6</v>
      </c>
      <c r="Y9" s="4">
        <v>28.6</v>
      </c>
      <c r="Z9" s="4">
        <v>28.6</v>
      </c>
      <c r="AA9" s="4">
        <v>28.6</v>
      </c>
      <c r="AB9" s="4">
        <v>28.6</v>
      </c>
      <c r="AC9" s="4">
        <v>28.6</v>
      </c>
      <c r="AD9" s="4">
        <v>28.6</v>
      </c>
      <c r="AE9" s="4">
        <v>28.6</v>
      </c>
      <c r="AF9" s="4">
        <v>28.6</v>
      </c>
      <c r="AG9" s="4">
        <v>28.6</v>
      </c>
      <c r="AH9" s="58">
        <v>28.6</v>
      </c>
      <c r="AI9" s="48"/>
      <c r="AJ9" s="57">
        <f t="shared" si="0"/>
        <v>0</v>
      </c>
    </row>
    <row r="10" spans="1:36">
      <c r="A10" s="4">
        <v>3</v>
      </c>
      <c r="B10" s="4" t="s">
        <v>129</v>
      </c>
      <c r="C10" s="141" t="s">
        <v>113</v>
      </c>
      <c r="D10" s="45">
        <v>166335</v>
      </c>
      <c r="E10" s="4">
        <v>167247</v>
      </c>
      <c r="F10" s="4">
        <v>167618</v>
      </c>
      <c r="G10" s="4">
        <v>168009</v>
      </c>
      <c r="H10" s="4">
        <v>168413</v>
      </c>
      <c r="I10" s="4">
        <v>168816</v>
      </c>
      <c r="J10" s="4">
        <v>169220</v>
      </c>
      <c r="K10" s="4">
        <v>169500</v>
      </c>
      <c r="L10" s="4">
        <v>169774</v>
      </c>
      <c r="M10" s="4">
        <v>170128</v>
      </c>
      <c r="N10" s="4">
        <v>170507</v>
      </c>
      <c r="O10" s="4">
        <v>170897</v>
      </c>
      <c r="P10" s="4">
        <v>171285</v>
      </c>
      <c r="Q10" s="4">
        <v>171686</v>
      </c>
      <c r="R10" s="4">
        <v>171975</v>
      </c>
      <c r="S10" s="4">
        <v>172230</v>
      </c>
      <c r="T10" s="4">
        <v>172618</v>
      </c>
      <c r="U10" s="4">
        <v>173020</v>
      </c>
      <c r="V10" s="4">
        <v>173424</v>
      </c>
      <c r="W10" s="4">
        <v>173835</v>
      </c>
      <c r="X10" s="4">
        <v>174219</v>
      </c>
      <c r="Y10" s="4">
        <v>174471</v>
      </c>
      <c r="Z10" s="4">
        <v>174774</v>
      </c>
      <c r="AA10" s="8">
        <v>175170</v>
      </c>
      <c r="AB10" s="8">
        <v>175573</v>
      </c>
      <c r="AC10" s="4">
        <v>176012</v>
      </c>
      <c r="AD10" s="4">
        <v>176401</v>
      </c>
      <c r="AE10" s="8">
        <v>176781</v>
      </c>
      <c r="AF10" s="8">
        <v>177079</v>
      </c>
      <c r="AG10" s="8">
        <v>177353</v>
      </c>
      <c r="AH10" s="128">
        <v>177601</v>
      </c>
      <c r="AI10" s="48"/>
      <c r="AJ10" s="57">
        <f t="shared" si="0"/>
        <v>11266</v>
      </c>
    </row>
    <row r="11" spans="1:36">
      <c r="A11" s="4"/>
      <c r="B11" s="4"/>
      <c r="C11" s="140" t="s">
        <v>22</v>
      </c>
      <c r="D11" s="3">
        <v>6189</v>
      </c>
      <c r="E11" s="4">
        <v>6200</v>
      </c>
      <c r="F11" s="4">
        <v>6200</v>
      </c>
      <c r="G11" s="4">
        <v>6200</v>
      </c>
      <c r="H11" s="4">
        <v>6200</v>
      </c>
      <c r="I11" s="4">
        <v>6200</v>
      </c>
      <c r="J11" s="4">
        <v>6200</v>
      </c>
      <c r="K11" s="4">
        <v>6200</v>
      </c>
      <c r="L11" s="4">
        <v>6200</v>
      </c>
      <c r="M11" s="4">
        <v>6200</v>
      </c>
      <c r="N11" s="4">
        <v>6200</v>
      </c>
      <c r="O11" s="4">
        <v>6222</v>
      </c>
      <c r="P11" s="4">
        <v>6222</v>
      </c>
      <c r="Q11" s="4">
        <v>6222</v>
      </c>
      <c r="R11" s="4">
        <v>6222</v>
      </c>
      <c r="S11" s="4">
        <v>6222</v>
      </c>
      <c r="T11" s="4">
        <v>6222</v>
      </c>
      <c r="U11" s="4">
        <v>6222</v>
      </c>
      <c r="V11" s="4">
        <v>6222</v>
      </c>
      <c r="W11" s="4">
        <v>6222</v>
      </c>
      <c r="X11" s="4">
        <v>6222</v>
      </c>
      <c r="Y11" s="4">
        <v>6242</v>
      </c>
      <c r="Z11" s="4">
        <v>6242</v>
      </c>
      <c r="AA11" s="4">
        <v>6242</v>
      </c>
      <c r="AB11" s="4">
        <v>6242</v>
      </c>
      <c r="AC11" s="4">
        <v>6242</v>
      </c>
      <c r="AD11" s="4">
        <v>6242</v>
      </c>
      <c r="AE11" s="4">
        <v>6242</v>
      </c>
      <c r="AF11" s="4">
        <v>6242</v>
      </c>
      <c r="AG11" s="4">
        <v>6242</v>
      </c>
      <c r="AH11" s="58">
        <v>6242</v>
      </c>
      <c r="AI11" s="48"/>
      <c r="AJ11" s="57">
        <f t="shared" si="0"/>
        <v>53</v>
      </c>
    </row>
    <row r="12" spans="1:36">
      <c r="A12" s="4">
        <v>4</v>
      </c>
      <c r="B12" s="4" t="s">
        <v>129</v>
      </c>
      <c r="C12" s="141" t="s">
        <v>114</v>
      </c>
      <c r="D12" s="3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58">
        <v>0</v>
      </c>
      <c r="AI12" s="48"/>
      <c r="AJ12" s="57">
        <f t="shared" si="0"/>
        <v>0</v>
      </c>
    </row>
    <row r="13" spans="1:36">
      <c r="A13" s="4"/>
      <c r="B13" s="4"/>
      <c r="C13" s="140" t="s">
        <v>22</v>
      </c>
      <c r="D13" s="3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58">
        <v>0</v>
      </c>
      <c r="AI13" s="48"/>
      <c r="AJ13" s="57">
        <f t="shared" si="0"/>
        <v>0</v>
      </c>
    </row>
    <row r="14" spans="1:36">
      <c r="A14" s="4">
        <v>5</v>
      </c>
      <c r="B14" s="4" t="s">
        <v>129</v>
      </c>
      <c r="C14" s="141" t="s">
        <v>115</v>
      </c>
      <c r="D14" s="45">
        <v>79294</v>
      </c>
      <c r="E14" s="4">
        <v>79761</v>
      </c>
      <c r="F14" s="4">
        <v>79971</v>
      </c>
      <c r="G14" s="4">
        <v>80178</v>
      </c>
      <c r="H14" s="4">
        <v>80393</v>
      </c>
      <c r="I14" s="4">
        <v>80620</v>
      </c>
      <c r="J14" s="4">
        <v>80839</v>
      </c>
      <c r="K14" s="4">
        <v>80972</v>
      </c>
      <c r="L14" s="4">
        <v>81089</v>
      </c>
      <c r="M14" s="4">
        <v>81283</v>
      </c>
      <c r="N14" s="4">
        <v>81486</v>
      </c>
      <c r="O14" s="4">
        <v>81686</v>
      </c>
      <c r="P14" s="4">
        <v>81893</v>
      </c>
      <c r="Q14" s="4">
        <v>82107</v>
      </c>
      <c r="R14" s="4">
        <v>82247</v>
      </c>
      <c r="S14" s="4">
        <v>82370</v>
      </c>
      <c r="T14" s="4">
        <v>82586</v>
      </c>
      <c r="U14" s="33">
        <v>82807</v>
      </c>
      <c r="V14" s="4">
        <v>83020</v>
      </c>
      <c r="W14" s="4">
        <v>83244</v>
      </c>
      <c r="X14" s="4">
        <v>83458</v>
      </c>
      <c r="Y14" s="4">
        <v>83594</v>
      </c>
      <c r="Z14" s="4">
        <v>83719</v>
      </c>
      <c r="AA14" s="8">
        <v>83927</v>
      </c>
      <c r="AB14" s="8">
        <v>84147</v>
      </c>
      <c r="AC14" s="4">
        <v>84381</v>
      </c>
      <c r="AD14" s="4">
        <v>84596</v>
      </c>
      <c r="AE14" s="8">
        <v>84813</v>
      </c>
      <c r="AF14" s="8">
        <v>84961</v>
      </c>
      <c r="AG14" s="8">
        <v>85093</v>
      </c>
      <c r="AH14" s="128">
        <v>85219</v>
      </c>
      <c r="AI14" s="48"/>
      <c r="AJ14" s="57">
        <f t="shared" si="0"/>
        <v>5925</v>
      </c>
    </row>
    <row r="15" spans="1:36">
      <c r="A15" s="4"/>
      <c r="B15" s="4"/>
      <c r="C15" s="140" t="s">
        <v>22</v>
      </c>
      <c r="D15" s="3">
        <v>3162</v>
      </c>
      <c r="E15" s="4">
        <v>3167</v>
      </c>
      <c r="F15" s="4">
        <v>3167</v>
      </c>
      <c r="G15" s="4">
        <v>3167</v>
      </c>
      <c r="H15" s="4">
        <v>3167</v>
      </c>
      <c r="I15" s="4">
        <v>3167</v>
      </c>
      <c r="J15" s="4">
        <v>3167</v>
      </c>
      <c r="K15" s="4">
        <v>3167</v>
      </c>
      <c r="L15" s="4">
        <v>3167</v>
      </c>
      <c r="M15" s="4">
        <v>3167</v>
      </c>
      <c r="N15" s="4">
        <v>3167</v>
      </c>
      <c r="O15" s="4">
        <v>3177</v>
      </c>
      <c r="P15" s="4">
        <v>3177</v>
      </c>
      <c r="Q15" s="4">
        <v>3177</v>
      </c>
      <c r="R15" s="4">
        <v>3177</v>
      </c>
      <c r="S15" s="4">
        <v>3177</v>
      </c>
      <c r="T15" s="4">
        <v>3177</v>
      </c>
      <c r="U15" s="60">
        <v>3177</v>
      </c>
      <c r="V15" s="60">
        <v>3177</v>
      </c>
      <c r="W15" s="60">
        <v>3177</v>
      </c>
      <c r="X15" s="60">
        <v>3177</v>
      </c>
      <c r="Y15" s="60">
        <v>3188</v>
      </c>
      <c r="Z15" s="60">
        <v>3188</v>
      </c>
      <c r="AA15" s="60">
        <v>3188</v>
      </c>
      <c r="AB15" s="60">
        <v>3188</v>
      </c>
      <c r="AC15" s="60">
        <v>3188</v>
      </c>
      <c r="AD15" s="60">
        <v>3188</v>
      </c>
      <c r="AE15" s="60">
        <v>3188</v>
      </c>
      <c r="AF15" s="4">
        <v>3188</v>
      </c>
      <c r="AG15" s="4">
        <v>3188</v>
      </c>
      <c r="AH15" s="58">
        <v>3188</v>
      </c>
      <c r="AI15" s="48"/>
      <c r="AJ15" s="57">
        <f t="shared" si="0"/>
        <v>26</v>
      </c>
    </row>
    <row r="16" spans="1:36">
      <c r="A16" s="4">
        <v>6</v>
      </c>
      <c r="B16" s="4" t="s">
        <v>129</v>
      </c>
      <c r="C16" s="141" t="s">
        <v>142</v>
      </c>
      <c r="D16" s="3">
        <v>96236</v>
      </c>
      <c r="E16" s="195">
        <v>96688</v>
      </c>
      <c r="F16" s="4">
        <v>96950</v>
      </c>
      <c r="G16" s="4">
        <v>97214</v>
      </c>
      <c r="H16" s="4">
        <v>97501</v>
      </c>
      <c r="I16" s="4">
        <v>97762</v>
      </c>
      <c r="J16" s="4">
        <v>98052</v>
      </c>
      <c r="K16" s="58">
        <v>98157</v>
      </c>
      <c r="L16" s="127">
        <v>98264</v>
      </c>
      <c r="M16" s="196">
        <v>98526</v>
      </c>
      <c r="N16" s="196">
        <v>98789</v>
      </c>
      <c r="O16" s="196">
        <v>99059</v>
      </c>
      <c r="P16" s="196">
        <v>99336</v>
      </c>
      <c r="Q16" s="197">
        <v>99608</v>
      </c>
      <c r="R16" s="196">
        <v>99727</v>
      </c>
      <c r="S16" s="59">
        <v>99838</v>
      </c>
      <c r="T16" s="4">
        <v>100107</v>
      </c>
      <c r="U16" s="4">
        <v>100364</v>
      </c>
      <c r="V16" s="4">
        <v>100626</v>
      </c>
      <c r="W16" s="4">
        <v>100882</v>
      </c>
      <c r="X16" s="4">
        <v>101127</v>
      </c>
      <c r="Y16" s="4">
        <v>101193</v>
      </c>
      <c r="Z16" s="4">
        <v>101285</v>
      </c>
      <c r="AA16" s="4">
        <v>101525</v>
      </c>
      <c r="AB16" s="8">
        <v>101812</v>
      </c>
      <c r="AC16" s="4">
        <v>102102</v>
      </c>
      <c r="AD16" s="4">
        <v>102365</v>
      </c>
      <c r="AE16" s="8">
        <v>102652</v>
      </c>
      <c r="AF16" s="8">
        <v>102769</v>
      </c>
      <c r="AG16" s="4">
        <v>102883</v>
      </c>
      <c r="AH16" s="128">
        <v>103012</v>
      </c>
      <c r="AI16" s="48"/>
      <c r="AJ16" s="57">
        <f t="shared" si="0"/>
        <v>6776</v>
      </c>
    </row>
    <row r="17" spans="1:36">
      <c r="A17" s="4"/>
      <c r="B17" s="4"/>
      <c r="C17" s="140" t="s">
        <v>22</v>
      </c>
      <c r="D17" s="3">
        <v>4135</v>
      </c>
      <c r="E17" s="4">
        <v>4137</v>
      </c>
      <c r="F17" s="4">
        <v>4137</v>
      </c>
      <c r="G17" s="4">
        <v>4137</v>
      </c>
      <c r="H17" s="4">
        <v>4137</v>
      </c>
      <c r="I17" s="4">
        <v>4137</v>
      </c>
      <c r="J17" s="4">
        <v>4137</v>
      </c>
      <c r="K17" s="4">
        <v>4137</v>
      </c>
      <c r="L17" s="4">
        <v>4137</v>
      </c>
      <c r="M17" s="4">
        <v>4137</v>
      </c>
      <c r="N17" s="4">
        <v>4137</v>
      </c>
      <c r="O17" s="4">
        <v>4150</v>
      </c>
      <c r="P17" s="4">
        <v>4150</v>
      </c>
      <c r="Q17" s="4">
        <v>4150</v>
      </c>
      <c r="R17" s="4">
        <v>4150</v>
      </c>
      <c r="S17" s="4">
        <v>4150</v>
      </c>
      <c r="T17" s="4">
        <v>4150</v>
      </c>
      <c r="U17" s="129">
        <v>4150</v>
      </c>
      <c r="V17" s="129">
        <v>4150</v>
      </c>
      <c r="W17" s="129">
        <v>4150</v>
      </c>
      <c r="X17" s="129">
        <v>4150</v>
      </c>
      <c r="Y17" s="129">
        <v>4155</v>
      </c>
      <c r="Z17" s="129">
        <v>4155</v>
      </c>
      <c r="AA17" s="129">
        <v>4155</v>
      </c>
      <c r="AB17" s="129">
        <v>4155</v>
      </c>
      <c r="AC17" s="129">
        <v>4155</v>
      </c>
      <c r="AD17" s="129">
        <v>4155</v>
      </c>
      <c r="AE17" s="129">
        <v>4155</v>
      </c>
      <c r="AF17" s="4">
        <v>4155</v>
      </c>
      <c r="AG17" s="4">
        <v>4155</v>
      </c>
      <c r="AH17" s="58">
        <v>4155</v>
      </c>
      <c r="AI17" s="48"/>
      <c r="AJ17" s="57">
        <f t="shared" si="0"/>
        <v>20</v>
      </c>
    </row>
    <row r="18" spans="1:36">
      <c r="A18" s="4">
        <v>7</v>
      </c>
      <c r="B18" s="4" t="s">
        <v>129</v>
      </c>
      <c r="C18" s="141" t="s">
        <v>117</v>
      </c>
      <c r="D18" s="45">
        <v>315463</v>
      </c>
      <c r="E18" s="4">
        <v>317116</v>
      </c>
      <c r="F18" s="4">
        <v>317835</v>
      </c>
      <c r="G18" s="4">
        <v>318539</v>
      </c>
      <c r="H18" s="4">
        <v>319247</v>
      </c>
      <c r="I18" s="4">
        <v>319967</v>
      </c>
      <c r="J18" s="4">
        <v>320711</v>
      </c>
      <c r="K18" s="4">
        <v>321252</v>
      </c>
      <c r="L18" s="4">
        <v>321573</v>
      </c>
      <c r="M18" s="4">
        <v>322261</v>
      </c>
      <c r="N18" s="5">
        <v>322986</v>
      </c>
      <c r="O18" s="4">
        <v>323665</v>
      </c>
      <c r="P18" s="4">
        <v>324382</v>
      </c>
      <c r="Q18" s="4">
        <v>325097</v>
      </c>
      <c r="R18" s="8">
        <v>325689</v>
      </c>
      <c r="S18" s="5">
        <v>326045</v>
      </c>
      <c r="T18" s="4">
        <v>326750</v>
      </c>
      <c r="U18" s="4">
        <v>327478</v>
      </c>
      <c r="V18" s="4">
        <v>328207</v>
      </c>
      <c r="W18" s="4">
        <v>328939</v>
      </c>
      <c r="X18" s="33">
        <v>329627</v>
      </c>
      <c r="Y18" s="4">
        <v>330079</v>
      </c>
      <c r="Z18" s="4">
        <v>330374</v>
      </c>
      <c r="AA18" s="8">
        <v>331032</v>
      </c>
      <c r="AB18" s="8">
        <v>331749</v>
      </c>
      <c r="AC18" s="4">
        <v>332542</v>
      </c>
      <c r="AD18" s="4">
        <v>333211</v>
      </c>
      <c r="AE18" s="8">
        <v>333909</v>
      </c>
      <c r="AF18" s="170">
        <v>334503</v>
      </c>
      <c r="AG18" s="8">
        <v>334891</v>
      </c>
      <c r="AH18" s="128">
        <v>335272</v>
      </c>
      <c r="AI18" s="48"/>
      <c r="AJ18" s="57">
        <f t="shared" si="0"/>
        <v>19809</v>
      </c>
    </row>
    <row r="19" spans="1:36">
      <c r="A19" s="4"/>
      <c r="B19" s="4"/>
      <c r="C19" s="140" t="s">
        <v>22</v>
      </c>
      <c r="D19" s="3">
        <v>11237</v>
      </c>
      <c r="E19" s="48">
        <v>11252</v>
      </c>
      <c r="F19" s="48">
        <v>11252</v>
      </c>
      <c r="G19" s="48">
        <v>11252</v>
      </c>
      <c r="H19" s="48">
        <v>11252</v>
      </c>
      <c r="I19" s="48">
        <v>11252</v>
      </c>
      <c r="J19" s="48">
        <v>11252</v>
      </c>
      <c r="K19" s="48">
        <v>11252</v>
      </c>
      <c r="L19" s="48">
        <v>11252</v>
      </c>
      <c r="M19" s="48">
        <v>11252</v>
      </c>
      <c r="N19" s="48">
        <v>11252</v>
      </c>
      <c r="O19" s="4">
        <v>11286</v>
      </c>
      <c r="P19" s="4">
        <v>11286</v>
      </c>
      <c r="Q19" s="4">
        <v>11286</v>
      </c>
      <c r="R19" s="4">
        <v>11286</v>
      </c>
      <c r="S19" s="4">
        <v>11286</v>
      </c>
      <c r="T19" s="4">
        <v>11286</v>
      </c>
      <c r="U19" s="4">
        <v>11286</v>
      </c>
      <c r="V19" s="4">
        <v>11286</v>
      </c>
      <c r="W19" s="4">
        <v>11286</v>
      </c>
      <c r="X19" s="4">
        <v>11286</v>
      </c>
      <c r="Y19" s="4">
        <v>11338</v>
      </c>
      <c r="Z19" s="4">
        <v>11338</v>
      </c>
      <c r="AA19" s="4">
        <v>11338</v>
      </c>
      <c r="AB19" s="4">
        <v>11338</v>
      </c>
      <c r="AC19" s="4">
        <v>11338</v>
      </c>
      <c r="AD19" s="4">
        <v>11338</v>
      </c>
      <c r="AE19" s="4">
        <v>11338</v>
      </c>
      <c r="AF19" s="4">
        <v>11338</v>
      </c>
      <c r="AG19" s="4">
        <v>11338</v>
      </c>
      <c r="AH19" s="58">
        <v>11338</v>
      </c>
      <c r="AI19" s="48"/>
      <c r="AJ19" s="57">
        <f t="shared" si="0"/>
        <v>101</v>
      </c>
    </row>
    <row r="20" spans="1:36">
      <c r="A20" s="4">
        <v>8</v>
      </c>
      <c r="B20" s="4" t="s">
        <v>129</v>
      </c>
      <c r="C20" s="141" t="s">
        <v>118</v>
      </c>
      <c r="D20" s="45">
        <v>64289</v>
      </c>
      <c r="E20" s="4">
        <v>64667</v>
      </c>
      <c r="F20" s="4">
        <v>64800</v>
      </c>
      <c r="G20" s="4">
        <v>64945</v>
      </c>
      <c r="H20" s="4">
        <v>65023</v>
      </c>
      <c r="I20" s="4">
        <v>65207</v>
      </c>
      <c r="J20" s="4">
        <v>65338</v>
      </c>
      <c r="K20" s="4">
        <v>65470</v>
      </c>
      <c r="L20" s="4">
        <v>65619</v>
      </c>
      <c r="M20" s="4">
        <v>65798</v>
      </c>
      <c r="N20" s="4">
        <v>65947</v>
      </c>
      <c r="O20" s="4">
        <v>66114</v>
      </c>
      <c r="P20" s="4">
        <v>66258</v>
      </c>
      <c r="Q20" s="4">
        <v>66413</v>
      </c>
      <c r="R20" s="4">
        <v>66548</v>
      </c>
      <c r="S20" s="4">
        <v>66685</v>
      </c>
      <c r="T20" s="4">
        <v>66819</v>
      </c>
      <c r="U20" s="4">
        <v>66968</v>
      </c>
      <c r="V20" s="4">
        <v>67100</v>
      </c>
      <c r="W20" s="4">
        <v>67250</v>
      </c>
      <c r="X20" s="4">
        <v>67379</v>
      </c>
      <c r="Y20" s="4">
        <v>67539</v>
      </c>
      <c r="Z20" s="4">
        <v>67686</v>
      </c>
      <c r="AA20" s="8">
        <v>67825</v>
      </c>
      <c r="AB20" s="8">
        <v>67972</v>
      </c>
      <c r="AC20" s="4">
        <v>68114</v>
      </c>
      <c r="AD20" s="4">
        <v>68257</v>
      </c>
      <c r="AE20" s="8">
        <v>68385</v>
      </c>
      <c r="AF20" s="8">
        <v>68534</v>
      </c>
      <c r="AG20" s="8">
        <v>68648</v>
      </c>
      <c r="AH20" s="128">
        <v>68756</v>
      </c>
      <c r="AI20" s="48"/>
      <c r="AJ20" s="57">
        <f t="shared" si="0"/>
        <v>4467</v>
      </c>
    </row>
    <row r="21" spans="1:36">
      <c r="A21" s="4"/>
      <c r="B21" s="4"/>
      <c r="C21" s="140" t="s">
        <v>22</v>
      </c>
      <c r="D21" s="3">
        <v>2136</v>
      </c>
      <c r="E21" s="4">
        <v>2143</v>
      </c>
      <c r="F21" s="4">
        <v>2143</v>
      </c>
      <c r="G21" s="4">
        <v>2143</v>
      </c>
      <c r="H21" s="4">
        <v>2143</v>
      </c>
      <c r="I21" s="4">
        <v>2143</v>
      </c>
      <c r="J21" s="4">
        <v>2143</v>
      </c>
      <c r="K21" s="4">
        <v>2143</v>
      </c>
      <c r="L21" s="4">
        <v>2143</v>
      </c>
      <c r="M21" s="4">
        <v>2143</v>
      </c>
      <c r="N21" s="4">
        <v>2143</v>
      </c>
      <c r="O21" s="4">
        <v>2152</v>
      </c>
      <c r="P21" s="4">
        <v>2152</v>
      </c>
      <c r="Q21" s="4">
        <v>2152</v>
      </c>
      <c r="R21" s="4">
        <v>2152</v>
      </c>
      <c r="S21" s="4">
        <v>2152</v>
      </c>
      <c r="T21" s="4">
        <v>2152</v>
      </c>
      <c r="U21" s="4">
        <v>2152</v>
      </c>
      <c r="V21" s="4">
        <v>2152</v>
      </c>
      <c r="W21" s="4">
        <v>2152</v>
      </c>
      <c r="X21" s="4">
        <v>2152</v>
      </c>
      <c r="Y21" s="4">
        <v>2164</v>
      </c>
      <c r="Z21" s="4">
        <v>2164</v>
      </c>
      <c r="AA21" s="4">
        <v>2164</v>
      </c>
      <c r="AB21" s="4">
        <v>2164</v>
      </c>
      <c r="AC21" s="4">
        <v>2164</v>
      </c>
      <c r="AD21" s="4">
        <v>2164</v>
      </c>
      <c r="AE21" s="4">
        <v>2164</v>
      </c>
      <c r="AF21" s="4">
        <v>2164</v>
      </c>
      <c r="AG21" s="4">
        <v>2164</v>
      </c>
      <c r="AH21" s="58">
        <v>2164</v>
      </c>
      <c r="AI21" s="48"/>
      <c r="AJ21" s="57">
        <f t="shared" si="0"/>
        <v>28</v>
      </c>
    </row>
    <row r="22" spans="1:36">
      <c r="A22" s="503"/>
      <c r="B22" s="504"/>
      <c r="C22" s="504"/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4"/>
      <c r="W22" s="504"/>
      <c r="X22" s="504"/>
      <c r="Y22" s="504"/>
      <c r="Z22" s="504"/>
      <c r="AA22" s="504"/>
      <c r="AB22" s="504"/>
      <c r="AC22" s="504"/>
      <c r="AD22" s="504"/>
      <c r="AE22" s="504"/>
      <c r="AF22" s="504"/>
      <c r="AG22" s="504"/>
      <c r="AH22" s="504"/>
      <c r="AI22" s="504"/>
      <c r="AJ22" s="501"/>
    </row>
    <row r="23" spans="1:36">
      <c r="A23" s="4">
        <v>1</v>
      </c>
      <c r="B23" s="4" t="s">
        <v>129</v>
      </c>
      <c r="C23" s="141" t="s">
        <v>119</v>
      </c>
      <c r="D23" s="3">
        <v>27563</v>
      </c>
      <c r="E23" s="4">
        <v>27658</v>
      </c>
      <c r="F23" s="4">
        <v>27729</v>
      </c>
      <c r="G23" s="4">
        <v>27797</v>
      </c>
      <c r="H23" s="4">
        <v>27862</v>
      </c>
      <c r="I23" s="4">
        <v>27928</v>
      </c>
      <c r="J23" s="4">
        <v>27998</v>
      </c>
      <c r="K23" s="4">
        <v>28037</v>
      </c>
      <c r="L23" s="4">
        <v>28037</v>
      </c>
      <c r="M23" s="4">
        <v>28118</v>
      </c>
      <c r="N23" s="4">
        <v>28191</v>
      </c>
      <c r="O23" s="4">
        <v>28266</v>
      </c>
      <c r="P23" s="4">
        <v>28326</v>
      </c>
      <c r="Q23" s="4">
        <v>28372</v>
      </c>
      <c r="R23" s="4">
        <v>28403</v>
      </c>
      <c r="S23" s="4">
        <v>28403</v>
      </c>
      <c r="T23" s="4">
        <v>28481</v>
      </c>
      <c r="U23" s="4">
        <v>28550</v>
      </c>
      <c r="V23" s="4">
        <v>28625</v>
      </c>
      <c r="W23" s="4">
        <v>28697</v>
      </c>
      <c r="X23" s="4">
        <v>28761</v>
      </c>
      <c r="Y23" s="4">
        <v>28809</v>
      </c>
      <c r="Z23" s="4">
        <v>28809</v>
      </c>
      <c r="AA23" s="4">
        <v>28886</v>
      </c>
      <c r="AB23" s="4">
        <v>28958</v>
      </c>
      <c r="AC23" s="4">
        <v>29014</v>
      </c>
      <c r="AD23" s="4">
        <v>29064</v>
      </c>
      <c r="AE23" s="4">
        <v>29115</v>
      </c>
      <c r="AF23" s="4">
        <v>29164</v>
      </c>
      <c r="AG23" s="4">
        <v>29164</v>
      </c>
      <c r="AH23" s="8">
        <v>29197</v>
      </c>
      <c r="AI23" s="8"/>
      <c r="AJ23" s="7">
        <f t="shared" ref="AJ23:AJ30" si="1">AH23-D23</f>
        <v>1634</v>
      </c>
    </row>
    <row r="24" spans="1:36">
      <c r="A24" s="4"/>
      <c r="B24" s="4"/>
      <c r="C24" s="142" t="s">
        <v>22</v>
      </c>
      <c r="D24" s="3">
        <v>1878</v>
      </c>
      <c r="E24" s="4">
        <v>1878</v>
      </c>
      <c r="F24" s="4">
        <v>1878</v>
      </c>
      <c r="G24" s="4">
        <v>1878</v>
      </c>
      <c r="H24" s="4">
        <v>1878</v>
      </c>
      <c r="I24" s="4">
        <v>1878</v>
      </c>
      <c r="J24" s="4">
        <v>1878</v>
      </c>
      <c r="K24" s="4">
        <v>1878</v>
      </c>
      <c r="L24" s="4">
        <v>1898</v>
      </c>
      <c r="M24" s="4">
        <v>1898</v>
      </c>
      <c r="N24" s="4">
        <v>1898</v>
      </c>
      <c r="O24" s="4">
        <v>1898</v>
      </c>
      <c r="P24" s="4">
        <v>1878</v>
      </c>
      <c r="Q24" s="4">
        <v>1878</v>
      </c>
      <c r="R24" s="4">
        <v>1878</v>
      </c>
      <c r="S24" s="4">
        <v>1878</v>
      </c>
      <c r="T24" s="4">
        <v>1878</v>
      </c>
      <c r="U24" s="4">
        <v>1878</v>
      </c>
      <c r="V24" s="4">
        <v>1878</v>
      </c>
      <c r="W24" s="4">
        <v>1878</v>
      </c>
      <c r="X24" s="4">
        <v>1878</v>
      </c>
      <c r="Y24" s="4">
        <v>1882</v>
      </c>
      <c r="Z24" s="4">
        <v>1882</v>
      </c>
      <c r="AA24" s="4">
        <v>1882</v>
      </c>
      <c r="AB24" s="4">
        <v>1882</v>
      </c>
      <c r="AC24" s="4">
        <v>1882</v>
      </c>
      <c r="AD24" s="4">
        <v>1882</v>
      </c>
      <c r="AE24" s="4">
        <v>1882</v>
      </c>
      <c r="AF24" s="4">
        <v>1882</v>
      </c>
      <c r="AG24" s="4">
        <v>1882</v>
      </c>
      <c r="AH24" s="4">
        <v>1882</v>
      </c>
      <c r="AI24" s="8"/>
      <c r="AJ24" s="7">
        <f t="shared" si="1"/>
        <v>4</v>
      </c>
    </row>
    <row r="25" spans="1:36">
      <c r="A25" s="4">
        <v>2</v>
      </c>
      <c r="B25" s="4" t="s">
        <v>129</v>
      </c>
      <c r="C25" s="141" t="s">
        <v>120</v>
      </c>
      <c r="D25" s="3">
        <v>29426</v>
      </c>
      <c r="E25" s="4">
        <v>29570</v>
      </c>
      <c r="F25" s="4">
        <v>29659</v>
      </c>
      <c r="G25" s="4">
        <v>29751</v>
      </c>
      <c r="H25" s="4">
        <v>29849</v>
      </c>
      <c r="I25" s="4">
        <v>29948</v>
      </c>
      <c r="J25" s="4">
        <v>30049</v>
      </c>
      <c r="K25" s="4">
        <v>30108</v>
      </c>
      <c r="L25" s="4">
        <v>30108</v>
      </c>
      <c r="M25" s="4">
        <v>30218</v>
      </c>
      <c r="N25" s="4">
        <v>30331</v>
      </c>
      <c r="O25" s="4">
        <v>30442</v>
      </c>
      <c r="P25" s="4">
        <v>30552</v>
      </c>
      <c r="Q25" s="4">
        <v>30639</v>
      </c>
      <c r="R25" s="4">
        <v>30706</v>
      </c>
      <c r="S25" s="4">
        <v>30706</v>
      </c>
      <c r="T25" s="4">
        <v>30805</v>
      </c>
      <c r="U25" s="4">
        <v>30898</v>
      </c>
      <c r="V25" s="4">
        <v>31009</v>
      </c>
      <c r="W25" s="4">
        <v>31095</v>
      </c>
      <c r="X25" s="4">
        <v>31192</v>
      </c>
      <c r="Y25" s="4">
        <v>31264</v>
      </c>
      <c r="Z25" s="4">
        <v>31264</v>
      </c>
      <c r="AA25" s="4">
        <v>31379</v>
      </c>
      <c r="AB25" s="4">
        <v>31450</v>
      </c>
      <c r="AC25" s="4">
        <v>31535</v>
      </c>
      <c r="AD25" s="4">
        <v>31644</v>
      </c>
      <c r="AE25" s="4">
        <v>31753</v>
      </c>
      <c r="AF25" s="4">
        <v>31843</v>
      </c>
      <c r="AG25" s="4">
        <v>31843</v>
      </c>
      <c r="AH25" s="8">
        <v>31895</v>
      </c>
      <c r="AI25" s="8"/>
      <c r="AJ25" s="7">
        <f t="shared" si="1"/>
        <v>2469</v>
      </c>
    </row>
    <row r="26" spans="1:36">
      <c r="A26" s="4"/>
      <c r="B26" s="4"/>
      <c r="C26" s="142" t="s">
        <v>22</v>
      </c>
      <c r="D26" s="3">
        <v>1857</v>
      </c>
      <c r="E26" s="4">
        <v>1857</v>
      </c>
      <c r="F26" s="4">
        <v>1857</v>
      </c>
      <c r="G26" s="4">
        <v>1857</v>
      </c>
      <c r="H26" s="4">
        <v>1857</v>
      </c>
      <c r="I26" s="4">
        <v>1857</v>
      </c>
      <c r="J26" s="4">
        <v>1857</v>
      </c>
      <c r="K26" s="4">
        <v>1857</v>
      </c>
      <c r="L26" s="4">
        <v>1857</v>
      </c>
      <c r="M26" s="4">
        <v>1857</v>
      </c>
      <c r="N26" s="4">
        <v>1857</v>
      </c>
      <c r="O26" s="4">
        <v>1857</v>
      </c>
      <c r="P26" s="4">
        <v>1857</v>
      </c>
      <c r="Q26" s="4">
        <v>1857</v>
      </c>
      <c r="R26" s="4">
        <v>1857</v>
      </c>
      <c r="S26" s="4">
        <v>1857</v>
      </c>
      <c r="T26" s="4">
        <v>1857</v>
      </c>
      <c r="U26" s="4">
        <v>1857</v>
      </c>
      <c r="V26" s="4">
        <v>1857</v>
      </c>
      <c r="W26" s="4">
        <v>1857</v>
      </c>
      <c r="X26" s="4">
        <v>1857</v>
      </c>
      <c r="Y26" s="4">
        <v>1861</v>
      </c>
      <c r="Z26" s="4">
        <v>1861</v>
      </c>
      <c r="AA26" s="4">
        <v>1861</v>
      </c>
      <c r="AB26" s="4">
        <v>1861</v>
      </c>
      <c r="AC26" s="4">
        <v>1861</v>
      </c>
      <c r="AD26" s="4">
        <v>1861</v>
      </c>
      <c r="AE26" s="4">
        <v>1861</v>
      </c>
      <c r="AF26" s="4">
        <v>1861</v>
      </c>
      <c r="AG26" s="4">
        <v>1861</v>
      </c>
      <c r="AH26" s="4">
        <v>1861</v>
      </c>
      <c r="AI26" s="8"/>
      <c r="AJ26" s="7">
        <f t="shared" si="1"/>
        <v>4</v>
      </c>
    </row>
    <row r="27" spans="1:36">
      <c r="A27" s="4">
        <v>3</v>
      </c>
      <c r="B27" s="4" t="s">
        <v>129</v>
      </c>
      <c r="C27" s="141" t="s">
        <v>121</v>
      </c>
      <c r="D27" s="3">
        <v>31727</v>
      </c>
      <c r="E27" s="4">
        <v>31924</v>
      </c>
      <c r="F27" s="4">
        <v>32035</v>
      </c>
      <c r="G27" s="4">
        <v>32155</v>
      </c>
      <c r="H27" s="4">
        <v>32276</v>
      </c>
      <c r="I27" s="4">
        <v>32408</v>
      </c>
      <c r="J27" s="4">
        <v>32539</v>
      </c>
      <c r="K27" s="4">
        <v>32611</v>
      </c>
      <c r="L27" s="4">
        <v>32611</v>
      </c>
      <c r="M27" s="4">
        <v>32744</v>
      </c>
      <c r="N27" s="4">
        <v>32873</v>
      </c>
      <c r="O27" s="4">
        <v>33006</v>
      </c>
      <c r="P27" s="4">
        <v>33129</v>
      </c>
      <c r="Q27" s="4">
        <v>33223</v>
      </c>
      <c r="R27" s="4">
        <v>33284</v>
      </c>
      <c r="S27" s="4">
        <v>33284</v>
      </c>
      <c r="T27" s="4">
        <v>33406</v>
      </c>
      <c r="U27" s="4">
        <v>33530</v>
      </c>
      <c r="V27" s="4">
        <v>33656</v>
      </c>
      <c r="W27" s="4">
        <v>33782</v>
      </c>
      <c r="X27" s="4">
        <v>33904</v>
      </c>
      <c r="Y27" s="4">
        <v>33986</v>
      </c>
      <c r="Z27" s="4">
        <v>33986</v>
      </c>
      <c r="AA27" s="4">
        <v>34112</v>
      </c>
      <c r="AB27" s="4">
        <v>34239</v>
      </c>
      <c r="AC27" s="4">
        <v>34352</v>
      </c>
      <c r="AD27" s="4">
        <v>34460</v>
      </c>
      <c r="AE27" s="4">
        <v>34564</v>
      </c>
      <c r="AF27" s="4">
        <v>34657</v>
      </c>
      <c r="AG27" s="4">
        <v>34657</v>
      </c>
      <c r="AH27" s="4">
        <v>34710</v>
      </c>
      <c r="AI27" s="8"/>
      <c r="AJ27" s="7">
        <f t="shared" si="1"/>
        <v>2983</v>
      </c>
    </row>
    <row r="28" spans="1:36">
      <c r="A28" s="4"/>
      <c r="B28" s="4"/>
      <c r="C28" s="142" t="s">
        <v>22</v>
      </c>
      <c r="D28" s="3">
        <v>2005</v>
      </c>
      <c r="E28" s="4">
        <v>2005</v>
      </c>
      <c r="F28" s="4">
        <v>2005</v>
      </c>
      <c r="G28" s="4">
        <v>2005</v>
      </c>
      <c r="H28" s="4">
        <v>2005</v>
      </c>
      <c r="I28" s="4">
        <v>2005</v>
      </c>
      <c r="J28" s="4">
        <v>2005</v>
      </c>
      <c r="K28" s="4">
        <v>2005</v>
      </c>
      <c r="L28" s="4">
        <v>2005</v>
      </c>
      <c r="M28" s="4">
        <v>2005</v>
      </c>
      <c r="N28" s="4">
        <v>2005</v>
      </c>
      <c r="O28" s="4">
        <v>2005</v>
      </c>
      <c r="P28" s="4">
        <v>2005</v>
      </c>
      <c r="Q28" s="4">
        <v>2005</v>
      </c>
      <c r="R28" s="4">
        <v>2005</v>
      </c>
      <c r="S28" s="4">
        <v>2005</v>
      </c>
      <c r="T28" s="4">
        <v>2005</v>
      </c>
      <c r="U28" s="4">
        <v>2005</v>
      </c>
      <c r="V28" s="4">
        <v>2005</v>
      </c>
      <c r="W28" s="4">
        <v>2005</v>
      </c>
      <c r="X28" s="4">
        <v>2005</v>
      </c>
      <c r="Y28" s="4">
        <v>2016</v>
      </c>
      <c r="Z28" s="4">
        <v>2016</v>
      </c>
      <c r="AA28" s="4">
        <v>2016</v>
      </c>
      <c r="AB28" s="4">
        <v>2016</v>
      </c>
      <c r="AC28" s="4">
        <v>2016</v>
      </c>
      <c r="AD28" s="4">
        <v>2016</v>
      </c>
      <c r="AE28" s="4">
        <v>2016</v>
      </c>
      <c r="AF28" s="4">
        <v>2016</v>
      </c>
      <c r="AG28" s="4">
        <v>2016</v>
      </c>
      <c r="AH28" s="4">
        <v>2016</v>
      </c>
      <c r="AI28" s="8"/>
      <c r="AJ28" s="7">
        <f t="shared" si="1"/>
        <v>11</v>
      </c>
    </row>
    <row r="29" spans="1:36">
      <c r="A29" s="4">
        <v>4</v>
      </c>
      <c r="B29" s="4" t="s">
        <v>129</v>
      </c>
      <c r="C29" s="141" t="s">
        <v>122</v>
      </c>
      <c r="D29" s="3">
        <v>26464</v>
      </c>
      <c r="E29" s="4">
        <v>26586</v>
      </c>
      <c r="F29" s="4">
        <v>26681</v>
      </c>
      <c r="G29" s="4">
        <v>26774</v>
      </c>
      <c r="H29" s="4">
        <v>26862</v>
      </c>
      <c r="I29" s="4">
        <v>26952</v>
      </c>
      <c r="J29" s="4">
        <v>27044</v>
      </c>
      <c r="K29" s="4">
        <v>27096</v>
      </c>
      <c r="L29" s="4">
        <v>27096</v>
      </c>
      <c r="M29" s="4">
        <v>27192</v>
      </c>
      <c r="N29" s="4">
        <v>27289</v>
      </c>
      <c r="O29" s="4">
        <v>27387</v>
      </c>
      <c r="P29" s="4">
        <v>27472</v>
      </c>
      <c r="Q29" s="4">
        <v>27547</v>
      </c>
      <c r="R29" s="4">
        <v>27600</v>
      </c>
      <c r="S29" s="4">
        <v>27600</v>
      </c>
      <c r="T29" s="4">
        <v>27697</v>
      </c>
      <c r="U29" s="4">
        <v>27789</v>
      </c>
      <c r="V29" s="4">
        <v>27884</v>
      </c>
      <c r="W29" s="4">
        <v>27979</v>
      </c>
      <c r="X29" s="4">
        <v>28063</v>
      </c>
      <c r="Y29" s="4">
        <v>28124</v>
      </c>
      <c r="Z29" s="4">
        <v>28124</v>
      </c>
      <c r="AA29" s="4">
        <v>28224</v>
      </c>
      <c r="AB29" s="4">
        <v>28320</v>
      </c>
      <c r="AC29" s="4">
        <v>28413</v>
      </c>
      <c r="AD29" s="4">
        <v>28509</v>
      </c>
      <c r="AE29" s="4">
        <v>28600</v>
      </c>
      <c r="AF29" s="4">
        <v>28675</v>
      </c>
      <c r="AG29" s="4">
        <v>28675</v>
      </c>
      <c r="AH29" s="8">
        <v>28719</v>
      </c>
      <c r="AI29" s="8"/>
      <c r="AJ29" s="7">
        <f t="shared" si="1"/>
        <v>2255</v>
      </c>
    </row>
    <row r="30" spans="1:36">
      <c r="A30" s="4"/>
      <c r="B30" s="4"/>
      <c r="C30" s="142" t="s">
        <v>22</v>
      </c>
      <c r="D30" s="3">
        <v>1739</v>
      </c>
      <c r="E30" s="4">
        <v>1739</v>
      </c>
      <c r="F30" s="4">
        <v>1739</v>
      </c>
      <c r="G30" s="4">
        <v>1739</v>
      </c>
      <c r="H30" s="4">
        <v>1739</v>
      </c>
      <c r="I30" s="4">
        <v>1739</v>
      </c>
      <c r="J30" s="4">
        <v>1739</v>
      </c>
      <c r="K30" s="4">
        <v>1739</v>
      </c>
      <c r="L30" s="4">
        <v>1739</v>
      </c>
      <c r="M30" s="4">
        <v>1739</v>
      </c>
      <c r="N30" s="4">
        <v>1739</v>
      </c>
      <c r="O30" s="4">
        <v>1739</v>
      </c>
      <c r="P30" s="4">
        <v>1739</v>
      </c>
      <c r="Q30" s="4">
        <v>1739</v>
      </c>
      <c r="R30" s="4">
        <v>1739</v>
      </c>
      <c r="S30" s="4">
        <v>1739</v>
      </c>
      <c r="T30" s="4">
        <v>1739</v>
      </c>
      <c r="U30" s="4">
        <v>1739</v>
      </c>
      <c r="V30" s="4">
        <v>1739</v>
      </c>
      <c r="W30" s="4">
        <v>1739</v>
      </c>
      <c r="X30" s="4">
        <v>1739</v>
      </c>
      <c r="Y30" s="4">
        <v>1744</v>
      </c>
      <c r="Z30" s="4">
        <v>1744</v>
      </c>
      <c r="AA30" s="4">
        <v>1744</v>
      </c>
      <c r="AB30" s="4">
        <v>1744</v>
      </c>
      <c r="AC30" s="4">
        <v>1744</v>
      </c>
      <c r="AD30" s="4">
        <v>1744</v>
      </c>
      <c r="AE30" s="4">
        <v>1744</v>
      </c>
      <c r="AF30" s="4">
        <v>1744</v>
      </c>
      <c r="AG30" s="4">
        <v>1744</v>
      </c>
      <c r="AH30" s="4">
        <v>1744</v>
      </c>
      <c r="AI30" s="8"/>
      <c r="AJ30" s="7">
        <f t="shared" si="1"/>
        <v>5</v>
      </c>
    </row>
    <row r="31" spans="1:36">
      <c r="A31" s="564">
        <v>3</v>
      </c>
      <c r="B31" s="504"/>
      <c r="C31" s="504"/>
      <c r="D31" s="504"/>
      <c r="E31" s="504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4"/>
      <c r="AH31" s="504"/>
      <c r="AI31" s="504"/>
      <c r="AJ31" s="501"/>
    </row>
    <row r="32" spans="1:36">
      <c r="A32" s="4">
        <v>1</v>
      </c>
      <c r="B32" s="4" t="s">
        <v>129</v>
      </c>
      <c r="C32" s="141" t="s">
        <v>123</v>
      </c>
      <c r="D32" s="7">
        <v>264315</v>
      </c>
      <c r="E32" s="44">
        <v>265888</v>
      </c>
      <c r="F32" s="150">
        <v>266949</v>
      </c>
      <c r="G32" s="150">
        <v>267962</v>
      </c>
      <c r="H32" s="150">
        <v>268907</v>
      </c>
      <c r="I32" s="44">
        <v>269942</v>
      </c>
      <c r="J32" s="150">
        <v>271005</v>
      </c>
      <c r="K32" s="150">
        <v>271446</v>
      </c>
      <c r="L32" s="150">
        <v>271446</v>
      </c>
      <c r="M32" s="44">
        <v>272720</v>
      </c>
      <c r="N32" s="150">
        <v>273688</v>
      </c>
      <c r="O32" s="150">
        <v>274698</v>
      </c>
      <c r="P32" s="150">
        <v>275797</v>
      </c>
      <c r="Q32" s="44">
        <v>276967</v>
      </c>
      <c r="R32" s="150">
        <v>277513</v>
      </c>
      <c r="S32" s="150">
        <v>277513</v>
      </c>
      <c r="T32" s="150">
        <v>278842</v>
      </c>
      <c r="U32" s="44">
        <v>280005</v>
      </c>
      <c r="V32" s="150">
        <v>281190</v>
      </c>
      <c r="W32" s="150">
        <v>282262</v>
      </c>
      <c r="X32" s="150">
        <v>283424</v>
      </c>
      <c r="Y32" s="44">
        <v>284039</v>
      </c>
      <c r="Z32" s="150">
        <v>284039</v>
      </c>
      <c r="AA32" s="150">
        <v>285368</v>
      </c>
      <c r="AB32" s="150">
        <v>286501</v>
      </c>
      <c r="AC32" s="44">
        <v>287485</v>
      </c>
      <c r="AD32" s="150">
        <v>288794</v>
      </c>
      <c r="AE32" s="150">
        <v>289890</v>
      </c>
      <c r="AF32" s="150">
        <v>290505</v>
      </c>
      <c r="AG32" s="44">
        <v>290505</v>
      </c>
      <c r="AH32" s="150">
        <v>291798</v>
      </c>
      <c r="AI32" s="161"/>
      <c r="AJ32" s="7">
        <f>AH32-D32</f>
        <v>27483</v>
      </c>
    </row>
    <row r="33" spans="1:36">
      <c r="A33" s="4">
        <v>2</v>
      </c>
      <c r="B33" s="4" t="s">
        <v>129</v>
      </c>
      <c r="C33" s="141" t="s">
        <v>124</v>
      </c>
      <c r="D33" s="160">
        <v>258287</v>
      </c>
      <c r="E33" s="150">
        <v>259417</v>
      </c>
      <c r="F33" s="150">
        <v>260330</v>
      </c>
      <c r="G33" s="150">
        <v>261118</v>
      </c>
      <c r="H33" s="150">
        <v>261778</v>
      </c>
      <c r="I33" s="150">
        <v>262480</v>
      </c>
      <c r="J33" s="150">
        <v>263161</v>
      </c>
      <c r="K33" s="150">
        <v>263656</v>
      </c>
      <c r="L33" s="150">
        <v>263656</v>
      </c>
      <c r="M33" s="150">
        <v>264709</v>
      </c>
      <c r="N33" s="150">
        <v>265519</v>
      </c>
      <c r="O33" s="150">
        <v>266392</v>
      </c>
      <c r="P33" s="150">
        <v>267187</v>
      </c>
      <c r="Q33" s="150">
        <v>267995</v>
      </c>
      <c r="R33" s="150">
        <v>268659</v>
      </c>
      <c r="S33" s="150">
        <v>268659</v>
      </c>
      <c r="T33" s="150">
        <v>269674</v>
      </c>
      <c r="U33" s="150">
        <v>270429</v>
      </c>
      <c r="V33" s="150">
        <v>271196</v>
      </c>
      <c r="W33" s="150">
        <v>271981</v>
      </c>
      <c r="X33" s="150">
        <v>272740</v>
      </c>
      <c r="Y33" s="150">
        <v>273341</v>
      </c>
      <c r="Z33" s="150">
        <v>273341</v>
      </c>
      <c r="AA33" s="150">
        <v>274502</v>
      </c>
      <c r="AB33" s="150">
        <v>275325</v>
      </c>
      <c r="AC33" s="150">
        <v>276001</v>
      </c>
      <c r="AD33" s="150">
        <v>276916</v>
      </c>
      <c r="AE33" s="150">
        <v>277649</v>
      </c>
      <c r="AF33" s="150">
        <v>278165</v>
      </c>
      <c r="AG33" s="150">
        <v>278165</v>
      </c>
      <c r="AH33" s="150">
        <v>279049</v>
      </c>
      <c r="AI33" s="161"/>
      <c r="AJ33" s="7">
        <f>AH33-D33</f>
        <v>20762</v>
      </c>
    </row>
    <row r="34" spans="1:36">
      <c r="A34" s="4">
        <v>3</v>
      </c>
      <c r="B34" s="4" t="s">
        <v>129</v>
      </c>
      <c r="C34" s="141" t="s">
        <v>125</v>
      </c>
      <c r="D34" s="160">
        <v>257817</v>
      </c>
      <c r="E34" s="150">
        <v>259278</v>
      </c>
      <c r="F34" s="150">
        <v>260329</v>
      </c>
      <c r="G34" s="150">
        <v>261080</v>
      </c>
      <c r="H34" s="150">
        <v>261724</v>
      </c>
      <c r="I34" s="150">
        <v>262225</v>
      </c>
      <c r="J34" s="150">
        <v>262820</v>
      </c>
      <c r="K34" s="150">
        <v>263479</v>
      </c>
      <c r="L34" s="150">
        <v>263479</v>
      </c>
      <c r="M34" s="150">
        <v>264867</v>
      </c>
      <c r="N34" s="150">
        <v>266018</v>
      </c>
      <c r="O34" s="150">
        <v>267214</v>
      </c>
      <c r="P34" s="150">
        <v>268249</v>
      </c>
      <c r="Q34" s="150">
        <v>269452</v>
      </c>
      <c r="R34" s="150">
        <v>270184</v>
      </c>
      <c r="S34" s="150">
        <v>270184</v>
      </c>
      <c r="T34" s="150">
        <v>271459</v>
      </c>
      <c r="U34" s="150">
        <v>272506</v>
      </c>
      <c r="V34" s="150">
        <v>273564</v>
      </c>
      <c r="W34" s="150">
        <v>274665</v>
      </c>
      <c r="X34" s="150">
        <v>275894</v>
      </c>
      <c r="Y34" s="150">
        <v>276499</v>
      </c>
      <c r="Z34" s="150">
        <v>276499</v>
      </c>
      <c r="AA34" s="150">
        <v>277965</v>
      </c>
      <c r="AB34" s="150">
        <v>278939</v>
      </c>
      <c r="AC34" s="150">
        <v>279806</v>
      </c>
      <c r="AD34" s="150">
        <v>280835</v>
      </c>
      <c r="AE34" s="150">
        <v>281728</v>
      </c>
      <c r="AF34" s="150">
        <v>282412</v>
      </c>
      <c r="AG34" s="150">
        <v>282412</v>
      </c>
      <c r="AH34" s="150">
        <v>283579</v>
      </c>
      <c r="AI34" s="161"/>
      <c r="AJ34" s="7">
        <f>AH34-D34</f>
        <v>25762</v>
      </c>
    </row>
    <row r="35" spans="1:36">
      <c r="A35" s="4">
        <v>4</v>
      </c>
      <c r="B35" s="4" t="s">
        <v>129</v>
      </c>
      <c r="C35" s="141" t="s">
        <v>126</v>
      </c>
      <c r="D35" s="160">
        <v>283828</v>
      </c>
      <c r="E35" s="150">
        <v>285318</v>
      </c>
      <c r="F35" s="150">
        <v>286382</v>
      </c>
      <c r="G35" s="150">
        <v>287399</v>
      </c>
      <c r="H35" s="150">
        <v>288330</v>
      </c>
      <c r="I35" s="150">
        <v>289337</v>
      </c>
      <c r="J35" s="150">
        <v>290329</v>
      </c>
      <c r="K35" s="150">
        <v>290752</v>
      </c>
      <c r="L35" s="150">
        <v>290752</v>
      </c>
      <c r="M35" s="150">
        <v>291958</v>
      </c>
      <c r="N35" s="150">
        <v>292886</v>
      </c>
      <c r="O35" s="150">
        <v>293829</v>
      </c>
      <c r="P35" s="150">
        <v>294815</v>
      </c>
      <c r="Q35" s="150">
        <v>295840</v>
      </c>
      <c r="R35" s="150">
        <v>296339</v>
      </c>
      <c r="S35" s="150">
        <v>296339</v>
      </c>
      <c r="T35" s="150">
        <v>297530</v>
      </c>
      <c r="U35" s="150">
        <v>298699</v>
      </c>
      <c r="V35" s="150">
        <v>299729</v>
      </c>
      <c r="W35" s="150">
        <v>300655</v>
      </c>
      <c r="X35" s="150">
        <v>301647</v>
      </c>
      <c r="Y35" s="150">
        <v>302224</v>
      </c>
      <c r="Z35" s="150">
        <v>302224</v>
      </c>
      <c r="AA35" s="150">
        <v>303598</v>
      </c>
      <c r="AB35" s="150">
        <v>304688</v>
      </c>
      <c r="AC35" s="150">
        <v>305598</v>
      </c>
      <c r="AD35" s="150">
        <v>306878</v>
      </c>
      <c r="AE35" s="150">
        <v>307930</v>
      </c>
      <c r="AF35" s="150">
        <v>308516</v>
      </c>
      <c r="AG35" s="150">
        <v>308516</v>
      </c>
      <c r="AH35" s="150">
        <v>309779</v>
      </c>
      <c r="AI35" s="161"/>
      <c r="AJ35" s="7">
        <f>AH35-D35</f>
        <v>25951</v>
      </c>
    </row>
    <row r="36" spans="1:36">
      <c r="A36" s="134"/>
      <c r="B36" s="134"/>
      <c r="C36" s="143"/>
      <c r="D36" s="134"/>
      <c r="E36" s="13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6"/>
      <c r="AD36" s="134"/>
      <c r="AE36" s="134"/>
      <c r="AF36" s="134"/>
      <c r="AG36" s="134"/>
      <c r="AH36" s="134"/>
      <c r="AI36" s="134"/>
      <c r="AJ36" s="136"/>
    </row>
    <row r="37" spans="1:36">
      <c r="A37" s="14"/>
      <c r="B37" s="137"/>
      <c r="C37" s="144"/>
      <c r="D37" s="138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>
      <c r="A38" s="93"/>
      <c r="B38" s="534" t="s">
        <v>127</v>
      </c>
      <c r="C38" s="504"/>
      <c r="D38" s="501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</row>
    <row r="39" spans="1:36">
      <c r="A39" s="94"/>
      <c r="B39" s="538" t="s">
        <v>128</v>
      </c>
      <c r="C39" s="504"/>
      <c r="D39" s="501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  <c r="AJ39" s="94"/>
    </row>
    <row r="40" spans="1:36">
      <c r="A40" s="529" t="s">
        <v>99</v>
      </c>
      <c r="B40" s="529" t="s">
        <v>100</v>
      </c>
      <c r="C40" s="529" t="s">
        <v>101</v>
      </c>
      <c r="D40" s="517"/>
      <c r="E40" s="95">
        <f t="shared" ref="E40:AH40" si="2">E2</f>
        <v>45809</v>
      </c>
      <c r="F40" s="95">
        <f t="shared" si="2"/>
        <v>45810</v>
      </c>
      <c r="G40" s="95">
        <f t="shared" si="2"/>
        <v>45811</v>
      </c>
      <c r="H40" s="95">
        <f t="shared" si="2"/>
        <v>45812</v>
      </c>
      <c r="I40" s="95">
        <f t="shared" si="2"/>
        <v>45813</v>
      </c>
      <c r="J40" s="95">
        <f t="shared" si="2"/>
        <v>45814</v>
      </c>
      <c r="K40" s="95">
        <f t="shared" si="2"/>
        <v>45815</v>
      </c>
      <c r="L40" s="95">
        <f t="shared" si="2"/>
        <v>45816</v>
      </c>
      <c r="M40" s="95">
        <f t="shared" si="2"/>
        <v>45817</v>
      </c>
      <c r="N40" s="95">
        <f t="shared" si="2"/>
        <v>45818</v>
      </c>
      <c r="O40" s="95">
        <f t="shared" si="2"/>
        <v>45819</v>
      </c>
      <c r="P40" s="95">
        <f t="shared" si="2"/>
        <v>45820</v>
      </c>
      <c r="Q40" s="95">
        <f t="shared" si="2"/>
        <v>45821</v>
      </c>
      <c r="R40" s="95">
        <f t="shared" si="2"/>
        <v>45822</v>
      </c>
      <c r="S40" s="95">
        <f t="shared" si="2"/>
        <v>45823</v>
      </c>
      <c r="T40" s="95">
        <f t="shared" si="2"/>
        <v>45824</v>
      </c>
      <c r="U40" s="95">
        <f t="shared" si="2"/>
        <v>45825</v>
      </c>
      <c r="V40" s="95">
        <f t="shared" si="2"/>
        <v>45826</v>
      </c>
      <c r="W40" s="95">
        <f t="shared" si="2"/>
        <v>45827</v>
      </c>
      <c r="X40" s="95">
        <f t="shared" si="2"/>
        <v>45828</v>
      </c>
      <c r="Y40" s="95">
        <f t="shared" si="2"/>
        <v>45829</v>
      </c>
      <c r="Z40" s="95">
        <f t="shared" si="2"/>
        <v>45830</v>
      </c>
      <c r="AA40" s="95">
        <f t="shared" si="2"/>
        <v>45831</v>
      </c>
      <c r="AB40" s="95">
        <f t="shared" si="2"/>
        <v>45832</v>
      </c>
      <c r="AC40" s="95">
        <f t="shared" si="2"/>
        <v>45833</v>
      </c>
      <c r="AD40" s="95">
        <f t="shared" si="2"/>
        <v>45834</v>
      </c>
      <c r="AE40" s="95">
        <f t="shared" si="2"/>
        <v>45835</v>
      </c>
      <c r="AF40" s="95">
        <f t="shared" si="2"/>
        <v>45836</v>
      </c>
      <c r="AG40" s="95">
        <f t="shared" si="2"/>
        <v>45837</v>
      </c>
      <c r="AH40" s="95">
        <f t="shared" si="2"/>
        <v>45838</v>
      </c>
      <c r="AI40" s="162"/>
      <c r="AJ40" s="529" t="s">
        <v>1</v>
      </c>
    </row>
    <row r="41" spans="1:36">
      <c r="A41" s="508"/>
      <c r="B41" s="508"/>
      <c r="C41" s="518"/>
      <c r="D41" s="519"/>
      <c r="E41" s="96" t="str">
        <f t="shared" ref="E41:AH41" si="3">E3</f>
        <v>SUN</v>
      </c>
      <c r="F41" s="96" t="str">
        <f t="shared" si="3"/>
        <v>MON</v>
      </c>
      <c r="G41" s="96" t="str">
        <f t="shared" si="3"/>
        <v>TUE</v>
      </c>
      <c r="H41" s="96" t="str">
        <f t="shared" si="3"/>
        <v>WED</v>
      </c>
      <c r="I41" s="96" t="str">
        <f t="shared" si="3"/>
        <v>THU</v>
      </c>
      <c r="J41" s="96" t="str">
        <f t="shared" si="3"/>
        <v>FRI</v>
      </c>
      <c r="K41" s="96" t="str">
        <f t="shared" si="3"/>
        <v>SAT</v>
      </c>
      <c r="L41" s="96" t="str">
        <f t="shared" si="3"/>
        <v>SUN</v>
      </c>
      <c r="M41" s="96" t="str">
        <f t="shared" si="3"/>
        <v>MON</v>
      </c>
      <c r="N41" s="96" t="str">
        <f t="shared" si="3"/>
        <v>TUE</v>
      </c>
      <c r="O41" s="96" t="str">
        <f t="shared" si="3"/>
        <v>WED</v>
      </c>
      <c r="P41" s="96" t="str">
        <f t="shared" si="3"/>
        <v>THU</v>
      </c>
      <c r="Q41" s="96" t="str">
        <f t="shared" si="3"/>
        <v>FRI</v>
      </c>
      <c r="R41" s="96" t="str">
        <f t="shared" si="3"/>
        <v>SAT</v>
      </c>
      <c r="S41" s="96" t="str">
        <f t="shared" si="3"/>
        <v>SUN</v>
      </c>
      <c r="T41" s="96" t="str">
        <f t="shared" si="3"/>
        <v>MON</v>
      </c>
      <c r="U41" s="96" t="str">
        <f t="shared" si="3"/>
        <v>TUE</v>
      </c>
      <c r="V41" s="96" t="str">
        <f t="shared" si="3"/>
        <v>WED</v>
      </c>
      <c r="W41" s="96" t="str">
        <f t="shared" si="3"/>
        <v>THU</v>
      </c>
      <c r="X41" s="96" t="str">
        <f t="shared" si="3"/>
        <v>FRI</v>
      </c>
      <c r="Y41" s="96" t="str">
        <f t="shared" si="3"/>
        <v>SAT</v>
      </c>
      <c r="Z41" s="96" t="str">
        <f t="shared" si="3"/>
        <v>SUN</v>
      </c>
      <c r="AA41" s="96" t="str">
        <f t="shared" si="3"/>
        <v>MON</v>
      </c>
      <c r="AB41" s="96" t="str">
        <f t="shared" si="3"/>
        <v>TUE</v>
      </c>
      <c r="AC41" s="96" t="str">
        <f t="shared" si="3"/>
        <v>WED</v>
      </c>
      <c r="AD41" s="96" t="str">
        <f t="shared" si="3"/>
        <v>THU</v>
      </c>
      <c r="AE41" s="96" t="str">
        <f t="shared" si="3"/>
        <v>FRI</v>
      </c>
      <c r="AF41" s="96" t="str">
        <f t="shared" si="3"/>
        <v>SAT</v>
      </c>
      <c r="AG41" s="96" t="str">
        <f t="shared" si="3"/>
        <v>SUN</v>
      </c>
      <c r="AH41" s="96" t="str">
        <f t="shared" si="3"/>
        <v>MON</v>
      </c>
      <c r="AI41" s="163"/>
      <c r="AJ41" s="508"/>
    </row>
    <row r="42" spans="1:36">
      <c r="A42" s="508"/>
      <c r="B42" s="508"/>
      <c r="C42" s="518"/>
      <c r="D42" s="519"/>
      <c r="E42" s="97" t="s">
        <v>110</v>
      </c>
      <c r="F42" s="97" t="s">
        <v>110</v>
      </c>
      <c r="G42" s="97" t="s">
        <v>110</v>
      </c>
      <c r="H42" s="97" t="s">
        <v>110</v>
      </c>
      <c r="I42" s="97" t="s">
        <v>110</v>
      </c>
      <c r="J42" s="97" t="s">
        <v>110</v>
      </c>
      <c r="K42" s="97" t="s">
        <v>110</v>
      </c>
      <c r="L42" s="97" t="s">
        <v>110</v>
      </c>
      <c r="M42" s="97" t="s">
        <v>110</v>
      </c>
      <c r="N42" s="97" t="s">
        <v>110</v>
      </c>
      <c r="O42" s="97" t="s">
        <v>110</v>
      </c>
      <c r="P42" s="97" t="s">
        <v>110</v>
      </c>
      <c r="Q42" s="97" t="s">
        <v>110</v>
      </c>
      <c r="R42" s="97" t="s">
        <v>110</v>
      </c>
      <c r="S42" s="97" t="s">
        <v>110</v>
      </c>
      <c r="T42" s="97" t="s">
        <v>110</v>
      </c>
      <c r="U42" s="97" t="s">
        <v>110</v>
      </c>
      <c r="V42" s="97" t="s">
        <v>110</v>
      </c>
      <c r="W42" s="97" t="s">
        <v>110</v>
      </c>
      <c r="X42" s="97" t="s">
        <v>110</v>
      </c>
      <c r="Y42" s="97" t="s">
        <v>110</v>
      </c>
      <c r="Z42" s="97" t="s">
        <v>110</v>
      </c>
      <c r="AA42" s="97" t="s">
        <v>110</v>
      </c>
      <c r="AB42" s="97" t="s">
        <v>110</v>
      </c>
      <c r="AC42" s="97" t="s">
        <v>110</v>
      </c>
      <c r="AD42" s="97" t="s">
        <v>110</v>
      </c>
      <c r="AE42" s="97" t="s">
        <v>110</v>
      </c>
      <c r="AF42" s="97" t="s">
        <v>110</v>
      </c>
      <c r="AG42" s="97" t="s">
        <v>110</v>
      </c>
      <c r="AH42" s="95" t="str">
        <f>AH4</f>
        <v>Time</v>
      </c>
      <c r="AI42" s="164"/>
      <c r="AJ42" s="508"/>
    </row>
    <row r="43" spans="1:36">
      <c r="A43" s="509"/>
      <c r="B43" s="509"/>
      <c r="C43" s="520"/>
      <c r="D43" s="521"/>
      <c r="E43" s="98">
        <v>0.33333333333333331</v>
      </c>
      <c r="F43" s="98">
        <v>0.33333333333333331</v>
      </c>
      <c r="G43" s="98">
        <v>0.33333333333333331</v>
      </c>
      <c r="H43" s="98">
        <v>0.33333333333333331</v>
      </c>
      <c r="I43" s="98">
        <v>0.33333333333333331</v>
      </c>
      <c r="J43" s="98">
        <v>0.33333333333333331</v>
      </c>
      <c r="K43" s="98">
        <v>0.33333333333333331</v>
      </c>
      <c r="L43" s="98">
        <v>0.33333333333333331</v>
      </c>
      <c r="M43" s="98">
        <v>0.33333333333333331</v>
      </c>
      <c r="N43" s="98">
        <v>0.33333333333333331</v>
      </c>
      <c r="O43" s="98">
        <v>0.33333333333333331</v>
      </c>
      <c r="P43" s="98">
        <v>0.33333333333333331</v>
      </c>
      <c r="Q43" s="98">
        <v>0.33333333333333331</v>
      </c>
      <c r="R43" s="98">
        <v>0.33333333333333331</v>
      </c>
      <c r="S43" s="98">
        <v>0.33333333333333331</v>
      </c>
      <c r="T43" s="98">
        <v>0.33333333333333331</v>
      </c>
      <c r="U43" s="98">
        <v>0.33333333333333331</v>
      </c>
      <c r="V43" s="98">
        <v>0.33333333333333331</v>
      </c>
      <c r="W43" s="98">
        <v>0.33333333333333331</v>
      </c>
      <c r="X43" s="98">
        <v>0.33333333333333331</v>
      </c>
      <c r="Y43" s="98">
        <v>0.33333333333333331</v>
      </c>
      <c r="Z43" s="98">
        <v>0.33333333333333331</v>
      </c>
      <c r="AA43" s="98">
        <v>0.33333333333333331</v>
      </c>
      <c r="AB43" s="98">
        <v>0.33333333333333331</v>
      </c>
      <c r="AC43" s="98">
        <v>0.33333333333333331</v>
      </c>
      <c r="AD43" s="98">
        <v>0.33333333333333331</v>
      </c>
      <c r="AE43" s="98">
        <v>0.33333333333333331</v>
      </c>
      <c r="AF43" s="98">
        <v>0.33333333333333331</v>
      </c>
      <c r="AG43" s="98">
        <v>0.33333333333333331</v>
      </c>
      <c r="AH43" s="98">
        <v>0.33333333333333331</v>
      </c>
      <c r="AI43" s="165"/>
      <c r="AJ43" s="509"/>
    </row>
    <row r="44" spans="1:36" ht="15" customHeight="1">
      <c r="A44" s="2">
        <v>1</v>
      </c>
      <c r="B44" s="2" t="s">
        <v>129</v>
      </c>
      <c r="C44" s="503" t="s">
        <v>111</v>
      </c>
      <c r="D44" s="501"/>
      <c r="E44" s="20">
        <f t="shared" ref="E44:AH44" si="4">E6-D6</f>
        <v>666</v>
      </c>
      <c r="F44" s="20">
        <f t="shared" si="4"/>
        <v>258</v>
      </c>
      <c r="G44" s="20">
        <f t="shared" si="4"/>
        <v>267</v>
      </c>
      <c r="H44" s="20">
        <f t="shared" si="4"/>
        <v>273</v>
      </c>
      <c r="I44" s="20">
        <f t="shared" si="4"/>
        <v>274</v>
      </c>
      <c r="J44" s="20">
        <f t="shared" si="4"/>
        <v>272</v>
      </c>
      <c r="K44" s="20">
        <f t="shared" si="4"/>
        <v>212</v>
      </c>
      <c r="L44" s="20">
        <f t="shared" si="4"/>
        <v>208</v>
      </c>
      <c r="M44" s="20">
        <f t="shared" si="4"/>
        <v>250</v>
      </c>
      <c r="N44" s="20">
        <f t="shared" si="4"/>
        <v>260</v>
      </c>
      <c r="O44" s="20">
        <f t="shared" si="4"/>
        <v>264</v>
      </c>
      <c r="P44" s="20">
        <f t="shared" si="4"/>
        <v>263</v>
      </c>
      <c r="Q44" s="20">
        <f t="shared" si="4"/>
        <v>270</v>
      </c>
      <c r="R44" s="20">
        <f t="shared" si="4"/>
        <v>217</v>
      </c>
      <c r="S44" s="20">
        <f t="shared" si="4"/>
        <v>193</v>
      </c>
      <c r="T44" s="20">
        <f t="shared" si="4"/>
        <v>265</v>
      </c>
      <c r="U44" s="20">
        <f t="shared" si="4"/>
        <v>272</v>
      </c>
      <c r="V44" s="20">
        <f t="shared" si="4"/>
        <v>274</v>
      </c>
      <c r="W44" s="20">
        <f t="shared" si="4"/>
        <v>277</v>
      </c>
      <c r="X44" s="20">
        <f t="shared" si="4"/>
        <v>263</v>
      </c>
      <c r="Y44" s="20">
        <f t="shared" si="4"/>
        <v>203</v>
      </c>
      <c r="Z44" s="20">
        <f t="shared" si="4"/>
        <v>207</v>
      </c>
      <c r="AA44" s="20">
        <f t="shared" si="4"/>
        <v>268</v>
      </c>
      <c r="AB44" s="20">
        <f t="shared" si="4"/>
        <v>275</v>
      </c>
      <c r="AC44" s="20">
        <f t="shared" si="4"/>
        <v>296</v>
      </c>
      <c r="AD44" s="20">
        <f t="shared" si="4"/>
        <v>262</v>
      </c>
      <c r="AE44" s="20">
        <f t="shared" si="4"/>
        <v>264</v>
      </c>
      <c r="AF44" s="20">
        <f t="shared" si="4"/>
        <v>212</v>
      </c>
      <c r="AG44" s="20">
        <f t="shared" si="4"/>
        <v>208</v>
      </c>
      <c r="AH44" s="20">
        <f t="shared" si="4"/>
        <v>169</v>
      </c>
      <c r="AI44" s="20"/>
      <c r="AJ44" s="21">
        <f t="shared" ref="AJ44:AJ61" si="5">SUM(E44:AH44)</f>
        <v>7862</v>
      </c>
    </row>
    <row r="45" spans="1:36" ht="15" customHeight="1">
      <c r="A45" s="2"/>
      <c r="B45" s="2"/>
      <c r="C45" s="531" t="s">
        <v>22</v>
      </c>
      <c r="D45" s="501"/>
      <c r="E45" s="20">
        <f t="shared" ref="E45:AH45" si="6">E7-D7</f>
        <v>8</v>
      </c>
      <c r="F45" s="20">
        <f t="shared" si="6"/>
        <v>0</v>
      </c>
      <c r="G45" s="20">
        <f t="shared" si="6"/>
        <v>0</v>
      </c>
      <c r="H45" s="20">
        <f t="shared" si="6"/>
        <v>0</v>
      </c>
      <c r="I45" s="20">
        <f t="shared" si="6"/>
        <v>0</v>
      </c>
      <c r="J45" s="20">
        <f t="shared" si="6"/>
        <v>0</v>
      </c>
      <c r="K45" s="20">
        <f t="shared" si="6"/>
        <v>0</v>
      </c>
      <c r="L45" s="20">
        <f t="shared" si="6"/>
        <v>0</v>
      </c>
      <c r="M45" s="20">
        <f t="shared" si="6"/>
        <v>0</v>
      </c>
      <c r="N45" s="20">
        <f t="shared" si="6"/>
        <v>0</v>
      </c>
      <c r="O45" s="20">
        <f t="shared" si="6"/>
        <v>17</v>
      </c>
      <c r="P45" s="20">
        <f t="shared" si="6"/>
        <v>0</v>
      </c>
      <c r="Q45" s="20">
        <f t="shared" si="6"/>
        <v>0</v>
      </c>
      <c r="R45" s="20">
        <f t="shared" si="6"/>
        <v>0</v>
      </c>
      <c r="S45" s="20">
        <f t="shared" si="6"/>
        <v>0</v>
      </c>
      <c r="T45" s="20">
        <f t="shared" si="6"/>
        <v>0</v>
      </c>
      <c r="U45" s="20">
        <f t="shared" si="6"/>
        <v>0</v>
      </c>
      <c r="V45" s="20">
        <f t="shared" si="6"/>
        <v>0</v>
      </c>
      <c r="W45" s="20">
        <f t="shared" si="6"/>
        <v>0</v>
      </c>
      <c r="X45" s="20">
        <f t="shared" si="6"/>
        <v>0</v>
      </c>
      <c r="Y45" s="20">
        <f t="shared" si="6"/>
        <v>15</v>
      </c>
      <c r="Z45" s="20">
        <f t="shared" si="6"/>
        <v>0</v>
      </c>
      <c r="AA45" s="20">
        <f t="shared" si="6"/>
        <v>0</v>
      </c>
      <c r="AB45" s="20">
        <f t="shared" si="6"/>
        <v>0</v>
      </c>
      <c r="AC45" s="20">
        <f t="shared" si="6"/>
        <v>0</v>
      </c>
      <c r="AD45" s="20">
        <f t="shared" si="6"/>
        <v>0</v>
      </c>
      <c r="AE45" s="20">
        <f t="shared" si="6"/>
        <v>0</v>
      </c>
      <c r="AF45" s="20">
        <f t="shared" si="6"/>
        <v>0</v>
      </c>
      <c r="AG45" s="20">
        <f t="shared" si="6"/>
        <v>0</v>
      </c>
      <c r="AH45" s="20">
        <f t="shared" si="6"/>
        <v>0</v>
      </c>
      <c r="AI45" s="20"/>
      <c r="AJ45" s="21">
        <f t="shared" si="5"/>
        <v>40</v>
      </c>
    </row>
    <row r="46" spans="1:36" ht="15" customHeight="1">
      <c r="A46" s="2">
        <v>2</v>
      </c>
      <c r="B46" s="2" t="s">
        <v>129</v>
      </c>
      <c r="C46" s="503" t="s">
        <v>112</v>
      </c>
      <c r="D46" s="501"/>
      <c r="E46" s="20">
        <f t="shared" ref="E46:I59" si="7">E8-D8</f>
        <v>0</v>
      </c>
      <c r="F46" s="20">
        <f t="shared" si="7"/>
        <v>0</v>
      </c>
      <c r="G46" s="20">
        <f t="shared" si="7"/>
        <v>0</v>
      </c>
      <c r="H46" s="20">
        <f t="shared" si="7"/>
        <v>0</v>
      </c>
      <c r="I46" s="20">
        <f t="shared" si="7"/>
        <v>0</v>
      </c>
      <c r="J46" s="20">
        <v>0</v>
      </c>
      <c r="K46" s="20">
        <v>0</v>
      </c>
      <c r="L46" s="20">
        <f t="shared" ref="L46:O59" si="8">L8-K8</f>
        <v>0</v>
      </c>
      <c r="M46" s="20">
        <f t="shared" si="8"/>
        <v>0</v>
      </c>
      <c r="N46" s="20">
        <f t="shared" si="8"/>
        <v>0</v>
      </c>
      <c r="O46" s="20">
        <f t="shared" si="8"/>
        <v>0</v>
      </c>
      <c r="P46" s="20">
        <v>0</v>
      </c>
      <c r="Q46" s="20">
        <v>0</v>
      </c>
      <c r="R46" s="20">
        <f t="shared" ref="R46:AH46" si="9">R8-Q8</f>
        <v>0</v>
      </c>
      <c r="S46" s="20">
        <f t="shared" si="9"/>
        <v>0</v>
      </c>
      <c r="T46" s="20">
        <f t="shared" si="9"/>
        <v>0</v>
      </c>
      <c r="U46" s="20">
        <f t="shared" si="9"/>
        <v>0</v>
      </c>
      <c r="V46" s="20">
        <f t="shared" si="9"/>
        <v>0</v>
      </c>
      <c r="W46" s="20">
        <f t="shared" si="9"/>
        <v>0</v>
      </c>
      <c r="X46" s="20">
        <f t="shared" si="9"/>
        <v>0</v>
      </c>
      <c r="Y46" s="20">
        <f t="shared" si="9"/>
        <v>0</v>
      </c>
      <c r="Z46" s="20">
        <f t="shared" si="9"/>
        <v>0</v>
      </c>
      <c r="AA46" s="20">
        <f t="shared" si="9"/>
        <v>0</v>
      </c>
      <c r="AB46" s="20">
        <f t="shared" si="9"/>
        <v>0</v>
      </c>
      <c r="AC46" s="20">
        <f t="shared" si="9"/>
        <v>0</v>
      </c>
      <c r="AD46" s="20">
        <f t="shared" si="9"/>
        <v>0</v>
      </c>
      <c r="AE46" s="20">
        <f t="shared" si="9"/>
        <v>0</v>
      </c>
      <c r="AF46" s="20">
        <f t="shared" si="9"/>
        <v>0</v>
      </c>
      <c r="AG46" s="20">
        <f t="shared" si="9"/>
        <v>0</v>
      </c>
      <c r="AH46" s="20">
        <f t="shared" si="9"/>
        <v>0</v>
      </c>
      <c r="AI46" s="20"/>
      <c r="AJ46" s="21">
        <f t="shared" si="5"/>
        <v>0</v>
      </c>
    </row>
    <row r="47" spans="1:36" ht="15" customHeight="1">
      <c r="A47" s="2"/>
      <c r="B47" s="2"/>
      <c r="C47" s="531" t="s">
        <v>22</v>
      </c>
      <c r="D47" s="501"/>
      <c r="E47" s="20">
        <f t="shared" si="7"/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ref="J47:K59" si="10">J9-I9</f>
        <v>0</v>
      </c>
      <c r="K47" s="20">
        <f t="shared" si="10"/>
        <v>0</v>
      </c>
      <c r="L47" s="20">
        <f t="shared" si="8"/>
        <v>0</v>
      </c>
      <c r="M47" s="20">
        <f t="shared" si="8"/>
        <v>0</v>
      </c>
      <c r="N47" s="20">
        <f t="shared" si="8"/>
        <v>0</v>
      </c>
      <c r="O47" s="20">
        <f t="shared" si="8"/>
        <v>0</v>
      </c>
      <c r="P47" s="20">
        <f t="shared" ref="P47:Q59" si="11">P9-O9</f>
        <v>0</v>
      </c>
      <c r="Q47" s="20">
        <f t="shared" si="11"/>
        <v>0</v>
      </c>
      <c r="R47" s="20">
        <f t="shared" ref="R47:AH47" si="12">R9-Q9</f>
        <v>0</v>
      </c>
      <c r="S47" s="20">
        <f t="shared" si="12"/>
        <v>0</v>
      </c>
      <c r="T47" s="20">
        <f t="shared" si="12"/>
        <v>0</v>
      </c>
      <c r="U47" s="20">
        <f t="shared" si="12"/>
        <v>0</v>
      </c>
      <c r="V47" s="20">
        <f t="shared" si="12"/>
        <v>0</v>
      </c>
      <c r="W47" s="20">
        <f t="shared" si="12"/>
        <v>0</v>
      </c>
      <c r="X47" s="20">
        <f t="shared" si="12"/>
        <v>0</v>
      </c>
      <c r="Y47" s="20">
        <f t="shared" si="12"/>
        <v>0</v>
      </c>
      <c r="Z47" s="20">
        <f t="shared" si="12"/>
        <v>0</v>
      </c>
      <c r="AA47" s="20">
        <f t="shared" si="12"/>
        <v>0</v>
      </c>
      <c r="AB47" s="20">
        <f t="shared" si="12"/>
        <v>0</v>
      </c>
      <c r="AC47" s="20">
        <f t="shared" si="12"/>
        <v>0</v>
      </c>
      <c r="AD47" s="20">
        <f t="shared" si="12"/>
        <v>0</v>
      </c>
      <c r="AE47" s="20">
        <f t="shared" si="12"/>
        <v>0</v>
      </c>
      <c r="AF47" s="20">
        <f t="shared" si="12"/>
        <v>0</v>
      </c>
      <c r="AG47" s="20">
        <f t="shared" si="12"/>
        <v>0</v>
      </c>
      <c r="AH47" s="20">
        <f t="shared" si="12"/>
        <v>0</v>
      </c>
      <c r="AI47" s="20"/>
      <c r="AJ47" s="21">
        <f t="shared" si="5"/>
        <v>0</v>
      </c>
    </row>
    <row r="48" spans="1:36" ht="15" customHeight="1">
      <c r="A48" s="2">
        <v>3</v>
      </c>
      <c r="B48" s="2" t="s">
        <v>129</v>
      </c>
      <c r="C48" s="503" t="s">
        <v>113</v>
      </c>
      <c r="D48" s="501"/>
      <c r="E48" s="20">
        <f t="shared" si="7"/>
        <v>912</v>
      </c>
      <c r="F48" s="20">
        <f t="shared" si="7"/>
        <v>371</v>
      </c>
      <c r="G48" s="20">
        <f t="shared" si="7"/>
        <v>391</v>
      </c>
      <c r="H48" s="20">
        <f t="shared" si="7"/>
        <v>404</v>
      </c>
      <c r="I48" s="20">
        <f t="shared" si="7"/>
        <v>403</v>
      </c>
      <c r="J48" s="20">
        <f t="shared" si="10"/>
        <v>404</v>
      </c>
      <c r="K48" s="20">
        <f t="shared" si="10"/>
        <v>280</v>
      </c>
      <c r="L48" s="20">
        <f t="shared" si="8"/>
        <v>274</v>
      </c>
      <c r="M48" s="20">
        <f t="shared" si="8"/>
        <v>354</v>
      </c>
      <c r="N48" s="20">
        <f t="shared" si="8"/>
        <v>379</v>
      </c>
      <c r="O48" s="20">
        <f t="shared" si="8"/>
        <v>390</v>
      </c>
      <c r="P48" s="20">
        <f t="shared" si="11"/>
        <v>388</v>
      </c>
      <c r="Q48" s="20">
        <f t="shared" si="11"/>
        <v>401</v>
      </c>
      <c r="R48" s="20">
        <f t="shared" ref="R48:AH48" si="13">R10-Q10</f>
        <v>289</v>
      </c>
      <c r="S48" s="20">
        <f t="shared" si="13"/>
        <v>255</v>
      </c>
      <c r="T48" s="20">
        <f t="shared" si="13"/>
        <v>388</v>
      </c>
      <c r="U48" s="20">
        <f t="shared" si="13"/>
        <v>402</v>
      </c>
      <c r="V48" s="20">
        <f t="shared" si="13"/>
        <v>404</v>
      </c>
      <c r="W48" s="20">
        <f t="shared" si="13"/>
        <v>411</v>
      </c>
      <c r="X48" s="20">
        <f t="shared" si="13"/>
        <v>384</v>
      </c>
      <c r="Y48" s="20">
        <f t="shared" si="13"/>
        <v>252</v>
      </c>
      <c r="Z48" s="20">
        <f t="shared" si="13"/>
        <v>303</v>
      </c>
      <c r="AA48" s="20">
        <f t="shared" si="13"/>
        <v>396</v>
      </c>
      <c r="AB48" s="20">
        <f t="shared" si="13"/>
        <v>403</v>
      </c>
      <c r="AC48" s="20">
        <f t="shared" si="13"/>
        <v>439</v>
      </c>
      <c r="AD48" s="20">
        <f t="shared" si="13"/>
        <v>389</v>
      </c>
      <c r="AE48" s="20">
        <f t="shared" si="13"/>
        <v>380</v>
      </c>
      <c r="AF48" s="20">
        <f t="shared" si="13"/>
        <v>298</v>
      </c>
      <c r="AG48" s="20">
        <f t="shared" si="13"/>
        <v>274</v>
      </c>
      <c r="AH48" s="20">
        <f t="shared" si="13"/>
        <v>248</v>
      </c>
      <c r="AI48" s="20"/>
      <c r="AJ48" s="21">
        <f t="shared" si="5"/>
        <v>11266</v>
      </c>
    </row>
    <row r="49" spans="1:36" ht="15" customHeight="1">
      <c r="A49" s="2"/>
      <c r="B49" s="2"/>
      <c r="C49" s="531" t="s">
        <v>22</v>
      </c>
      <c r="D49" s="501"/>
      <c r="E49" s="20">
        <f t="shared" si="7"/>
        <v>11</v>
      </c>
      <c r="F49" s="20">
        <f t="shared" si="7"/>
        <v>0</v>
      </c>
      <c r="G49" s="20">
        <f t="shared" si="7"/>
        <v>0</v>
      </c>
      <c r="H49" s="20">
        <f t="shared" si="7"/>
        <v>0</v>
      </c>
      <c r="I49" s="20">
        <f t="shared" si="7"/>
        <v>0</v>
      </c>
      <c r="J49" s="20">
        <f t="shared" si="10"/>
        <v>0</v>
      </c>
      <c r="K49" s="20">
        <f t="shared" si="10"/>
        <v>0</v>
      </c>
      <c r="L49" s="20">
        <f t="shared" si="8"/>
        <v>0</v>
      </c>
      <c r="M49" s="20">
        <f t="shared" si="8"/>
        <v>0</v>
      </c>
      <c r="N49" s="20">
        <f t="shared" si="8"/>
        <v>0</v>
      </c>
      <c r="O49" s="20">
        <f t="shared" si="8"/>
        <v>22</v>
      </c>
      <c r="P49" s="20">
        <f t="shared" si="11"/>
        <v>0</v>
      </c>
      <c r="Q49" s="20">
        <f t="shared" si="11"/>
        <v>0</v>
      </c>
      <c r="R49" s="20">
        <f t="shared" ref="R49:AH49" si="14">R11-Q11</f>
        <v>0</v>
      </c>
      <c r="S49" s="20">
        <f t="shared" si="14"/>
        <v>0</v>
      </c>
      <c r="T49" s="20">
        <f t="shared" si="14"/>
        <v>0</v>
      </c>
      <c r="U49" s="20">
        <f t="shared" si="14"/>
        <v>0</v>
      </c>
      <c r="V49" s="20">
        <f t="shared" si="14"/>
        <v>0</v>
      </c>
      <c r="W49" s="20">
        <f t="shared" si="14"/>
        <v>0</v>
      </c>
      <c r="X49" s="20">
        <f t="shared" si="14"/>
        <v>0</v>
      </c>
      <c r="Y49" s="20">
        <f t="shared" si="14"/>
        <v>20</v>
      </c>
      <c r="Z49" s="20">
        <f t="shared" si="14"/>
        <v>0</v>
      </c>
      <c r="AA49" s="20">
        <f t="shared" si="14"/>
        <v>0</v>
      </c>
      <c r="AB49" s="20">
        <f t="shared" si="14"/>
        <v>0</v>
      </c>
      <c r="AC49" s="20">
        <f t="shared" si="14"/>
        <v>0</v>
      </c>
      <c r="AD49" s="20">
        <f t="shared" si="14"/>
        <v>0</v>
      </c>
      <c r="AE49" s="20">
        <f t="shared" si="14"/>
        <v>0</v>
      </c>
      <c r="AF49" s="20">
        <f t="shared" si="14"/>
        <v>0</v>
      </c>
      <c r="AG49" s="20">
        <f t="shared" si="14"/>
        <v>0</v>
      </c>
      <c r="AH49" s="20">
        <f t="shared" si="14"/>
        <v>0</v>
      </c>
      <c r="AI49" s="20"/>
      <c r="AJ49" s="21">
        <f t="shared" si="5"/>
        <v>53</v>
      </c>
    </row>
    <row r="50" spans="1:36" ht="15" customHeight="1">
      <c r="A50" s="2">
        <v>4</v>
      </c>
      <c r="B50" s="2" t="s">
        <v>129</v>
      </c>
      <c r="C50" s="503" t="s">
        <v>114</v>
      </c>
      <c r="D50" s="501"/>
      <c r="E50" s="20">
        <f t="shared" si="7"/>
        <v>0</v>
      </c>
      <c r="F50" s="20">
        <f t="shared" si="7"/>
        <v>0</v>
      </c>
      <c r="G50" s="20">
        <f t="shared" si="7"/>
        <v>0</v>
      </c>
      <c r="H50" s="20">
        <f t="shared" si="7"/>
        <v>0</v>
      </c>
      <c r="I50" s="20">
        <f t="shared" si="7"/>
        <v>0</v>
      </c>
      <c r="J50" s="20">
        <f t="shared" si="10"/>
        <v>0</v>
      </c>
      <c r="K50" s="20">
        <f t="shared" si="10"/>
        <v>0</v>
      </c>
      <c r="L50" s="20">
        <f t="shared" si="8"/>
        <v>0</v>
      </c>
      <c r="M50" s="20">
        <f t="shared" si="8"/>
        <v>0</v>
      </c>
      <c r="N50" s="20">
        <f t="shared" si="8"/>
        <v>0</v>
      </c>
      <c r="O50" s="20">
        <f t="shared" si="8"/>
        <v>0</v>
      </c>
      <c r="P50" s="20">
        <f t="shared" si="11"/>
        <v>0</v>
      </c>
      <c r="Q50" s="20">
        <f t="shared" si="11"/>
        <v>0</v>
      </c>
      <c r="R50" s="20">
        <f t="shared" ref="R50:AH50" si="15">R12-Q12</f>
        <v>0</v>
      </c>
      <c r="S50" s="20">
        <f t="shared" si="15"/>
        <v>0</v>
      </c>
      <c r="T50" s="20">
        <f t="shared" si="15"/>
        <v>0</v>
      </c>
      <c r="U50" s="20">
        <f t="shared" si="15"/>
        <v>0</v>
      </c>
      <c r="V50" s="20">
        <f t="shared" si="15"/>
        <v>0</v>
      </c>
      <c r="W50" s="20">
        <f t="shared" si="15"/>
        <v>0</v>
      </c>
      <c r="X50" s="20">
        <f t="shared" si="15"/>
        <v>0</v>
      </c>
      <c r="Y50" s="20">
        <f t="shared" si="15"/>
        <v>0</v>
      </c>
      <c r="Z50" s="20">
        <f t="shared" si="15"/>
        <v>0</v>
      </c>
      <c r="AA50" s="20">
        <f t="shared" si="15"/>
        <v>0</v>
      </c>
      <c r="AB50" s="20">
        <f t="shared" si="15"/>
        <v>0</v>
      </c>
      <c r="AC50" s="20">
        <f t="shared" si="15"/>
        <v>0</v>
      </c>
      <c r="AD50" s="20">
        <f t="shared" si="15"/>
        <v>0</v>
      </c>
      <c r="AE50" s="20">
        <f t="shared" si="15"/>
        <v>0</v>
      </c>
      <c r="AF50" s="20">
        <f t="shared" si="15"/>
        <v>0</v>
      </c>
      <c r="AG50" s="20">
        <f t="shared" si="15"/>
        <v>0</v>
      </c>
      <c r="AH50" s="20">
        <f t="shared" si="15"/>
        <v>0</v>
      </c>
      <c r="AI50" s="20"/>
      <c r="AJ50" s="21">
        <f t="shared" si="5"/>
        <v>0</v>
      </c>
    </row>
    <row r="51" spans="1:36" ht="15" customHeight="1">
      <c r="A51" s="2"/>
      <c r="B51" s="2"/>
      <c r="C51" s="531" t="s">
        <v>22</v>
      </c>
      <c r="D51" s="501"/>
      <c r="E51" s="20">
        <f t="shared" si="7"/>
        <v>0</v>
      </c>
      <c r="F51" s="20">
        <f t="shared" si="7"/>
        <v>0</v>
      </c>
      <c r="G51" s="20">
        <f t="shared" si="7"/>
        <v>0</v>
      </c>
      <c r="H51" s="20">
        <f t="shared" si="7"/>
        <v>0</v>
      </c>
      <c r="I51" s="20">
        <f t="shared" si="7"/>
        <v>0</v>
      </c>
      <c r="J51" s="20">
        <f t="shared" si="10"/>
        <v>0</v>
      </c>
      <c r="K51" s="20">
        <f t="shared" si="10"/>
        <v>0</v>
      </c>
      <c r="L51" s="20">
        <f t="shared" si="8"/>
        <v>0</v>
      </c>
      <c r="M51" s="20">
        <f t="shared" si="8"/>
        <v>0</v>
      </c>
      <c r="N51" s="20">
        <f t="shared" si="8"/>
        <v>0</v>
      </c>
      <c r="O51" s="20">
        <f t="shared" si="8"/>
        <v>0</v>
      </c>
      <c r="P51" s="20">
        <f t="shared" si="11"/>
        <v>0</v>
      </c>
      <c r="Q51" s="20">
        <f t="shared" si="11"/>
        <v>0</v>
      </c>
      <c r="R51" s="20">
        <f t="shared" ref="R51:AH51" si="16">R13-Q13</f>
        <v>0</v>
      </c>
      <c r="S51" s="20">
        <f t="shared" si="16"/>
        <v>0</v>
      </c>
      <c r="T51" s="20">
        <f t="shared" si="16"/>
        <v>0</v>
      </c>
      <c r="U51" s="20">
        <f t="shared" si="16"/>
        <v>0</v>
      </c>
      <c r="V51" s="20">
        <f t="shared" si="16"/>
        <v>0</v>
      </c>
      <c r="W51" s="20">
        <f t="shared" si="16"/>
        <v>0</v>
      </c>
      <c r="X51" s="20">
        <f t="shared" si="16"/>
        <v>0</v>
      </c>
      <c r="Y51" s="20">
        <f t="shared" si="16"/>
        <v>0</v>
      </c>
      <c r="Z51" s="20">
        <f t="shared" si="16"/>
        <v>0</v>
      </c>
      <c r="AA51" s="20">
        <f t="shared" si="16"/>
        <v>0</v>
      </c>
      <c r="AB51" s="20">
        <f t="shared" si="16"/>
        <v>0</v>
      </c>
      <c r="AC51" s="20">
        <f t="shared" si="16"/>
        <v>0</v>
      </c>
      <c r="AD51" s="20">
        <f t="shared" si="16"/>
        <v>0</v>
      </c>
      <c r="AE51" s="20">
        <f t="shared" si="16"/>
        <v>0</v>
      </c>
      <c r="AF51" s="20">
        <f t="shared" si="16"/>
        <v>0</v>
      </c>
      <c r="AG51" s="20">
        <f t="shared" si="16"/>
        <v>0</v>
      </c>
      <c r="AH51" s="20">
        <f t="shared" si="16"/>
        <v>0</v>
      </c>
      <c r="AI51" s="166"/>
      <c r="AJ51" s="147">
        <f t="shared" si="5"/>
        <v>0</v>
      </c>
    </row>
    <row r="52" spans="1:36" ht="15" customHeight="1">
      <c r="A52" s="2">
        <v>5</v>
      </c>
      <c r="B52" s="2" t="s">
        <v>129</v>
      </c>
      <c r="C52" s="503" t="s">
        <v>115</v>
      </c>
      <c r="D52" s="501"/>
      <c r="E52" s="20">
        <f t="shared" si="7"/>
        <v>467</v>
      </c>
      <c r="F52" s="20">
        <f t="shared" si="7"/>
        <v>210</v>
      </c>
      <c r="G52" s="20">
        <f t="shared" si="7"/>
        <v>207</v>
      </c>
      <c r="H52" s="20">
        <f t="shared" si="7"/>
        <v>215</v>
      </c>
      <c r="I52" s="20">
        <f t="shared" si="7"/>
        <v>227</v>
      </c>
      <c r="J52" s="20">
        <f t="shared" si="10"/>
        <v>219</v>
      </c>
      <c r="K52" s="20">
        <f t="shared" si="10"/>
        <v>133</v>
      </c>
      <c r="L52" s="20">
        <f t="shared" si="8"/>
        <v>117</v>
      </c>
      <c r="M52" s="20">
        <f t="shared" si="8"/>
        <v>194</v>
      </c>
      <c r="N52" s="20">
        <f t="shared" si="8"/>
        <v>203</v>
      </c>
      <c r="O52" s="20">
        <f t="shared" si="8"/>
        <v>200</v>
      </c>
      <c r="P52" s="20">
        <f t="shared" si="11"/>
        <v>207</v>
      </c>
      <c r="Q52" s="20">
        <f t="shared" si="11"/>
        <v>214</v>
      </c>
      <c r="R52" s="20">
        <f t="shared" ref="R52:AH52" si="17">R14-Q14</f>
        <v>140</v>
      </c>
      <c r="S52" s="20">
        <f t="shared" si="17"/>
        <v>123</v>
      </c>
      <c r="T52" s="20">
        <f t="shared" si="17"/>
        <v>216</v>
      </c>
      <c r="U52" s="20">
        <f t="shared" si="17"/>
        <v>221</v>
      </c>
      <c r="V52" s="20">
        <f t="shared" si="17"/>
        <v>213</v>
      </c>
      <c r="W52" s="20">
        <f t="shared" si="17"/>
        <v>224</v>
      </c>
      <c r="X52" s="20">
        <f t="shared" si="17"/>
        <v>214</v>
      </c>
      <c r="Y52" s="20">
        <f t="shared" si="17"/>
        <v>136</v>
      </c>
      <c r="Z52" s="20">
        <f t="shared" si="17"/>
        <v>125</v>
      </c>
      <c r="AA52" s="20">
        <f t="shared" si="17"/>
        <v>208</v>
      </c>
      <c r="AB52" s="20">
        <f t="shared" si="17"/>
        <v>220</v>
      </c>
      <c r="AC52" s="20">
        <f t="shared" si="17"/>
        <v>234</v>
      </c>
      <c r="AD52" s="20">
        <f t="shared" si="17"/>
        <v>215</v>
      </c>
      <c r="AE52" s="20">
        <f t="shared" si="17"/>
        <v>217</v>
      </c>
      <c r="AF52" s="20">
        <f t="shared" si="17"/>
        <v>148</v>
      </c>
      <c r="AG52" s="20">
        <f t="shared" si="17"/>
        <v>132</v>
      </c>
      <c r="AH52" s="20">
        <f t="shared" si="17"/>
        <v>126</v>
      </c>
      <c r="AI52" s="167"/>
      <c r="AJ52" s="149">
        <f t="shared" si="5"/>
        <v>5925</v>
      </c>
    </row>
    <row r="53" spans="1:36" ht="15" customHeight="1">
      <c r="A53" s="2"/>
      <c r="B53" s="2"/>
      <c r="C53" s="531" t="s">
        <v>22</v>
      </c>
      <c r="D53" s="501"/>
      <c r="E53" s="20">
        <f t="shared" si="7"/>
        <v>5</v>
      </c>
      <c r="F53" s="20">
        <f t="shared" si="7"/>
        <v>0</v>
      </c>
      <c r="G53" s="20">
        <f t="shared" si="7"/>
        <v>0</v>
      </c>
      <c r="H53" s="20">
        <f t="shared" si="7"/>
        <v>0</v>
      </c>
      <c r="I53" s="20">
        <f t="shared" si="7"/>
        <v>0</v>
      </c>
      <c r="J53" s="20">
        <f t="shared" si="10"/>
        <v>0</v>
      </c>
      <c r="K53" s="20">
        <f t="shared" si="10"/>
        <v>0</v>
      </c>
      <c r="L53" s="20">
        <f t="shared" si="8"/>
        <v>0</v>
      </c>
      <c r="M53" s="20">
        <f t="shared" si="8"/>
        <v>0</v>
      </c>
      <c r="N53" s="20">
        <f t="shared" si="8"/>
        <v>0</v>
      </c>
      <c r="O53" s="20">
        <f t="shared" si="8"/>
        <v>10</v>
      </c>
      <c r="P53" s="20">
        <f t="shared" si="11"/>
        <v>0</v>
      </c>
      <c r="Q53" s="20">
        <f t="shared" si="11"/>
        <v>0</v>
      </c>
      <c r="R53" s="20">
        <f t="shared" ref="R53:AH53" si="18">R15-Q15</f>
        <v>0</v>
      </c>
      <c r="S53" s="20">
        <f t="shared" si="18"/>
        <v>0</v>
      </c>
      <c r="T53" s="20">
        <f t="shared" si="18"/>
        <v>0</v>
      </c>
      <c r="U53" s="20">
        <f t="shared" si="18"/>
        <v>0</v>
      </c>
      <c r="V53" s="20">
        <f t="shared" si="18"/>
        <v>0</v>
      </c>
      <c r="W53" s="20">
        <f t="shared" si="18"/>
        <v>0</v>
      </c>
      <c r="X53" s="20">
        <f t="shared" si="18"/>
        <v>0</v>
      </c>
      <c r="Y53" s="20">
        <f t="shared" si="18"/>
        <v>11</v>
      </c>
      <c r="Z53" s="20">
        <f t="shared" si="18"/>
        <v>0</v>
      </c>
      <c r="AA53" s="20">
        <f t="shared" si="18"/>
        <v>0</v>
      </c>
      <c r="AB53" s="20">
        <f t="shared" si="18"/>
        <v>0</v>
      </c>
      <c r="AC53" s="20">
        <f t="shared" si="18"/>
        <v>0</v>
      </c>
      <c r="AD53" s="20">
        <f t="shared" si="18"/>
        <v>0</v>
      </c>
      <c r="AE53" s="20">
        <f t="shared" si="18"/>
        <v>0</v>
      </c>
      <c r="AF53" s="20">
        <f t="shared" si="18"/>
        <v>0</v>
      </c>
      <c r="AG53" s="20">
        <f t="shared" si="18"/>
        <v>0</v>
      </c>
      <c r="AH53" s="20">
        <f t="shared" si="18"/>
        <v>0</v>
      </c>
      <c r="AI53" s="167"/>
      <c r="AJ53" s="149">
        <f t="shared" si="5"/>
        <v>26</v>
      </c>
    </row>
    <row r="54" spans="1:36" ht="15" customHeight="1">
      <c r="A54" s="2">
        <v>6</v>
      </c>
      <c r="B54" s="2" t="s">
        <v>129</v>
      </c>
      <c r="C54" s="503" t="s">
        <v>116</v>
      </c>
      <c r="D54" s="501"/>
      <c r="E54" s="20">
        <f t="shared" si="7"/>
        <v>452</v>
      </c>
      <c r="F54" s="20">
        <f t="shared" si="7"/>
        <v>262</v>
      </c>
      <c r="G54" s="20">
        <f t="shared" si="7"/>
        <v>264</v>
      </c>
      <c r="H54" s="20">
        <f t="shared" si="7"/>
        <v>287</v>
      </c>
      <c r="I54" s="20">
        <f t="shared" si="7"/>
        <v>261</v>
      </c>
      <c r="J54" s="20">
        <f t="shared" si="10"/>
        <v>290</v>
      </c>
      <c r="K54" s="20">
        <f t="shared" si="10"/>
        <v>105</v>
      </c>
      <c r="L54" s="20">
        <f t="shared" si="8"/>
        <v>107</v>
      </c>
      <c r="M54" s="20">
        <f t="shared" si="8"/>
        <v>262</v>
      </c>
      <c r="N54" s="20">
        <f t="shared" si="8"/>
        <v>263</v>
      </c>
      <c r="O54" s="20">
        <f t="shared" si="8"/>
        <v>270</v>
      </c>
      <c r="P54" s="20">
        <f t="shared" si="11"/>
        <v>277</v>
      </c>
      <c r="Q54" s="20">
        <f t="shared" si="11"/>
        <v>272</v>
      </c>
      <c r="R54" s="20">
        <f t="shared" ref="R54:AH54" si="19">R16-Q16</f>
        <v>119</v>
      </c>
      <c r="S54" s="20">
        <f t="shared" si="19"/>
        <v>111</v>
      </c>
      <c r="T54" s="20">
        <f t="shared" si="19"/>
        <v>269</v>
      </c>
      <c r="U54" s="20">
        <f t="shared" si="19"/>
        <v>257</v>
      </c>
      <c r="V54" s="20">
        <f t="shared" si="19"/>
        <v>262</v>
      </c>
      <c r="W54" s="20">
        <f t="shared" si="19"/>
        <v>256</v>
      </c>
      <c r="X54" s="20">
        <f t="shared" si="19"/>
        <v>245</v>
      </c>
      <c r="Y54" s="20">
        <f t="shared" si="19"/>
        <v>66</v>
      </c>
      <c r="Z54" s="20">
        <f t="shared" si="19"/>
        <v>92</v>
      </c>
      <c r="AA54" s="20">
        <f t="shared" si="19"/>
        <v>240</v>
      </c>
      <c r="AB54" s="20">
        <f t="shared" si="19"/>
        <v>287</v>
      </c>
      <c r="AC54" s="20">
        <f t="shared" si="19"/>
        <v>290</v>
      </c>
      <c r="AD54" s="20">
        <f t="shared" si="19"/>
        <v>263</v>
      </c>
      <c r="AE54" s="20">
        <f t="shared" si="19"/>
        <v>287</v>
      </c>
      <c r="AF54" s="20">
        <f t="shared" si="19"/>
        <v>117</v>
      </c>
      <c r="AG54" s="20">
        <f t="shared" si="19"/>
        <v>114</v>
      </c>
      <c r="AH54" s="20">
        <f t="shared" si="19"/>
        <v>129</v>
      </c>
      <c r="AI54" s="167"/>
      <c r="AJ54" s="149">
        <f t="shared" si="5"/>
        <v>6776</v>
      </c>
    </row>
    <row r="55" spans="1:36" ht="15" customHeight="1">
      <c r="A55" s="2"/>
      <c r="B55" s="2"/>
      <c r="C55" s="531" t="s">
        <v>22</v>
      </c>
      <c r="D55" s="501"/>
      <c r="E55" s="20">
        <f t="shared" si="7"/>
        <v>2</v>
      </c>
      <c r="F55" s="20">
        <f t="shared" si="7"/>
        <v>0</v>
      </c>
      <c r="G55" s="20">
        <f t="shared" si="7"/>
        <v>0</v>
      </c>
      <c r="H55" s="20">
        <f t="shared" si="7"/>
        <v>0</v>
      </c>
      <c r="I55" s="20">
        <f t="shared" si="7"/>
        <v>0</v>
      </c>
      <c r="J55" s="20">
        <f t="shared" si="10"/>
        <v>0</v>
      </c>
      <c r="K55" s="20">
        <f t="shared" si="10"/>
        <v>0</v>
      </c>
      <c r="L55" s="20">
        <f t="shared" si="8"/>
        <v>0</v>
      </c>
      <c r="M55" s="20">
        <f t="shared" si="8"/>
        <v>0</v>
      </c>
      <c r="N55" s="20">
        <f t="shared" si="8"/>
        <v>0</v>
      </c>
      <c r="O55" s="20">
        <f t="shared" si="8"/>
        <v>13</v>
      </c>
      <c r="P55" s="20">
        <f t="shared" si="11"/>
        <v>0</v>
      </c>
      <c r="Q55" s="20">
        <f t="shared" si="11"/>
        <v>0</v>
      </c>
      <c r="R55" s="20">
        <f t="shared" ref="R55:AH55" si="20">R17-Q17</f>
        <v>0</v>
      </c>
      <c r="S55" s="20">
        <f t="shared" si="20"/>
        <v>0</v>
      </c>
      <c r="T55" s="20">
        <f t="shared" si="20"/>
        <v>0</v>
      </c>
      <c r="U55" s="20">
        <f t="shared" si="20"/>
        <v>0</v>
      </c>
      <c r="V55" s="20">
        <f t="shared" si="20"/>
        <v>0</v>
      </c>
      <c r="W55" s="20">
        <f t="shared" si="20"/>
        <v>0</v>
      </c>
      <c r="X55" s="20">
        <f t="shared" si="20"/>
        <v>0</v>
      </c>
      <c r="Y55" s="20">
        <f t="shared" si="20"/>
        <v>5</v>
      </c>
      <c r="Z55" s="20">
        <f t="shared" si="20"/>
        <v>0</v>
      </c>
      <c r="AA55" s="20">
        <f t="shared" si="20"/>
        <v>0</v>
      </c>
      <c r="AB55" s="20">
        <f t="shared" si="20"/>
        <v>0</v>
      </c>
      <c r="AC55" s="20">
        <f t="shared" si="20"/>
        <v>0</v>
      </c>
      <c r="AD55" s="20">
        <f t="shared" si="20"/>
        <v>0</v>
      </c>
      <c r="AE55" s="20">
        <f t="shared" si="20"/>
        <v>0</v>
      </c>
      <c r="AF55" s="20">
        <f t="shared" si="20"/>
        <v>0</v>
      </c>
      <c r="AG55" s="20">
        <f t="shared" si="20"/>
        <v>0</v>
      </c>
      <c r="AH55" s="20">
        <f t="shared" si="20"/>
        <v>0</v>
      </c>
      <c r="AI55" s="167"/>
      <c r="AJ55" s="149">
        <f t="shared" si="5"/>
        <v>20</v>
      </c>
    </row>
    <row r="56" spans="1:36" ht="15" customHeight="1">
      <c r="A56" s="2">
        <v>7</v>
      </c>
      <c r="B56" s="2" t="s">
        <v>129</v>
      </c>
      <c r="C56" s="503" t="s">
        <v>117</v>
      </c>
      <c r="D56" s="501"/>
      <c r="E56" s="20">
        <f t="shared" si="7"/>
        <v>1653</v>
      </c>
      <c r="F56" s="20">
        <f t="shared" si="7"/>
        <v>719</v>
      </c>
      <c r="G56" s="20">
        <f t="shared" si="7"/>
        <v>704</v>
      </c>
      <c r="H56" s="20">
        <f t="shared" si="7"/>
        <v>708</v>
      </c>
      <c r="I56" s="20">
        <f t="shared" si="7"/>
        <v>720</v>
      </c>
      <c r="J56" s="20">
        <f t="shared" si="10"/>
        <v>744</v>
      </c>
      <c r="K56" s="20">
        <f t="shared" si="10"/>
        <v>541</v>
      </c>
      <c r="L56" s="20">
        <f t="shared" si="8"/>
        <v>321</v>
      </c>
      <c r="M56" s="20">
        <f t="shared" si="8"/>
        <v>688</v>
      </c>
      <c r="N56" s="20">
        <f t="shared" si="8"/>
        <v>725</v>
      </c>
      <c r="O56" s="20">
        <f t="shared" si="8"/>
        <v>679</v>
      </c>
      <c r="P56" s="20">
        <f t="shared" si="11"/>
        <v>717</v>
      </c>
      <c r="Q56" s="20">
        <f t="shared" si="11"/>
        <v>715</v>
      </c>
      <c r="R56" s="20">
        <f t="shared" ref="R56:AH56" si="21">R18-Q18</f>
        <v>592</v>
      </c>
      <c r="S56" s="20">
        <f t="shared" si="21"/>
        <v>356</v>
      </c>
      <c r="T56" s="20">
        <f t="shared" si="21"/>
        <v>705</v>
      </c>
      <c r="U56" s="20">
        <f t="shared" si="21"/>
        <v>728</v>
      </c>
      <c r="V56" s="20">
        <f t="shared" si="21"/>
        <v>729</v>
      </c>
      <c r="W56" s="20">
        <f t="shared" si="21"/>
        <v>732</v>
      </c>
      <c r="X56" s="20">
        <f t="shared" si="21"/>
        <v>688</v>
      </c>
      <c r="Y56" s="20">
        <f t="shared" si="21"/>
        <v>452</v>
      </c>
      <c r="Z56" s="20">
        <f t="shared" si="21"/>
        <v>295</v>
      </c>
      <c r="AA56" s="20">
        <f t="shared" si="21"/>
        <v>658</v>
      </c>
      <c r="AB56" s="20">
        <f t="shared" si="21"/>
        <v>717</v>
      </c>
      <c r="AC56" s="20">
        <f t="shared" si="21"/>
        <v>793</v>
      </c>
      <c r="AD56" s="20">
        <f t="shared" si="21"/>
        <v>669</v>
      </c>
      <c r="AE56" s="20">
        <f t="shared" si="21"/>
        <v>698</v>
      </c>
      <c r="AF56" s="20">
        <f t="shared" si="21"/>
        <v>594</v>
      </c>
      <c r="AG56" s="20">
        <f t="shared" si="21"/>
        <v>388</v>
      </c>
      <c r="AH56" s="20">
        <f t="shared" si="21"/>
        <v>381</v>
      </c>
      <c r="AI56" s="167"/>
      <c r="AJ56" s="149">
        <f t="shared" si="5"/>
        <v>19809</v>
      </c>
    </row>
    <row r="57" spans="1:36" ht="15" customHeight="1">
      <c r="A57" s="2"/>
      <c r="B57" s="2"/>
      <c r="C57" s="531" t="s">
        <v>22</v>
      </c>
      <c r="D57" s="501"/>
      <c r="E57" s="20">
        <f t="shared" si="7"/>
        <v>15</v>
      </c>
      <c r="F57" s="20">
        <f t="shared" si="7"/>
        <v>0</v>
      </c>
      <c r="G57" s="20">
        <f t="shared" si="7"/>
        <v>0</v>
      </c>
      <c r="H57" s="20">
        <f t="shared" si="7"/>
        <v>0</v>
      </c>
      <c r="I57" s="20">
        <f t="shared" si="7"/>
        <v>0</v>
      </c>
      <c r="J57" s="20">
        <f t="shared" si="10"/>
        <v>0</v>
      </c>
      <c r="K57" s="20">
        <f t="shared" si="10"/>
        <v>0</v>
      </c>
      <c r="L57" s="20">
        <f t="shared" si="8"/>
        <v>0</v>
      </c>
      <c r="M57" s="20">
        <f t="shared" si="8"/>
        <v>0</v>
      </c>
      <c r="N57" s="20">
        <f t="shared" si="8"/>
        <v>0</v>
      </c>
      <c r="O57" s="20">
        <f t="shared" si="8"/>
        <v>34</v>
      </c>
      <c r="P57" s="20">
        <f t="shared" si="11"/>
        <v>0</v>
      </c>
      <c r="Q57" s="20">
        <f t="shared" si="11"/>
        <v>0</v>
      </c>
      <c r="R57" s="20">
        <f t="shared" ref="R57:AH57" si="22">R19-Q19</f>
        <v>0</v>
      </c>
      <c r="S57" s="20">
        <f t="shared" si="22"/>
        <v>0</v>
      </c>
      <c r="T57" s="20">
        <f t="shared" si="22"/>
        <v>0</v>
      </c>
      <c r="U57" s="20">
        <f t="shared" si="22"/>
        <v>0</v>
      </c>
      <c r="V57" s="20">
        <f t="shared" si="22"/>
        <v>0</v>
      </c>
      <c r="W57" s="20">
        <f t="shared" si="22"/>
        <v>0</v>
      </c>
      <c r="X57" s="20">
        <f t="shared" si="22"/>
        <v>0</v>
      </c>
      <c r="Y57" s="20">
        <f t="shared" si="22"/>
        <v>52</v>
      </c>
      <c r="Z57" s="20">
        <f t="shared" si="22"/>
        <v>0</v>
      </c>
      <c r="AA57" s="20">
        <f t="shared" si="22"/>
        <v>0</v>
      </c>
      <c r="AB57" s="20">
        <f t="shared" si="22"/>
        <v>0</v>
      </c>
      <c r="AC57" s="20">
        <f t="shared" si="22"/>
        <v>0</v>
      </c>
      <c r="AD57" s="20">
        <f t="shared" si="22"/>
        <v>0</v>
      </c>
      <c r="AE57" s="20">
        <f t="shared" si="22"/>
        <v>0</v>
      </c>
      <c r="AF57" s="20">
        <f t="shared" si="22"/>
        <v>0</v>
      </c>
      <c r="AG57" s="20">
        <f t="shared" si="22"/>
        <v>0</v>
      </c>
      <c r="AH57" s="20">
        <f t="shared" si="22"/>
        <v>0</v>
      </c>
      <c r="AI57" s="167"/>
      <c r="AJ57" s="149">
        <f t="shared" si="5"/>
        <v>101</v>
      </c>
    </row>
    <row r="58" spans="1:36" ht="15" customHeight="1">
      <c r="A58" s="2">
        <v>8</v>
      </c>
      <c r="B58" s="2" t="s">
        <v>129</v>
      </c>
      <c r="C58" s="503" t="s">
        <v>118</v>
      </c>
      <c r="D58" s="501"/>
      <c r="E58" s="20">
        <f t="shared" si="7"/>
        <v>378</v>
      </c>
      <c r="F58" s="20">
        <f t="shared" si="7"/>
        <v>133</v>
      </c>
      <c r="G58" s="20">
        <f t="shared" si="7"/>
        <v>145</v>
      </c>
      <c r="H58" s="20">
        <f t="shared" si="7"/>
        <v>78</v>
      </c>
      <c r="I58" s="20">
        <f t="shared" si="7"/>
        <v>184</v>
      </c>
      <c r="J58" s="20">
        <f t="shared" si="10"/>
        <v>131</v>
      </c>
      <c r="K58" s="20">
        <f t="shared" si="10"/>
        <v>132</v>
      </c>
      <c r="L58" s="20">
        <f t="shared" si="8"/>
        <v>149</v>
      </c>
      <c r="M58" s="20">
        <f t="shared" si="8"/>
        <v>179</v>
      </c>
      <c r="N58" s="20">
        <f t="shared" si="8"/>
        <v>149</v>
      </c>
      <c r="O58" s="20">
        <f t="shared" si="8"/>
        <v>167</v>
      </c>
      <c r="P58" s="20">
        <f t="shared" si="11"/>
        <v>144</v>
      </c>
      <c r="Q58" s="20">
        <f t="shared" si="11"/>
        <v>155</v>
      </c>
      <c r="R58" s="20">
        <f t="shared" ref="R58:AH58" si="23">R20-Q20</f>
        <v>135</v>
      </c>
      <c r="S58" s="20">
        <f t="shared" si="23"/>
        <v>137</v>
      </c>
      <c r="T58" s="20">
        <f t="shared" si="23"/>
        <v>134</v>
      </c>
      <c r="U58" s="20">
        <f t="shared" si="23"/>
        <v>149</v>
      </c>
      <c r="V58" s="20">
        <f t="shared" si="23"/>
        <v>132</v>
      </c>
      <c r="W58" s="20">
        <f t="shared" si="23"/>
        <v>150</v>
      </c>
      <c r="X58" s="20">
        <f t="shared" si="23"/>
        <v>129</v>
      </c>
      <c r="Y58" s="20">
        <f t="shared" si="23"/>
        <v>160</v>
      </c>
      <c r="Z58" s="20">
        <f t="shared" si="23"/>
        <v>147</v>
      </c>
      <c r="AA58" s="20">
        <f t="shared" si="23"/>
        <v>139</v>
      </c>
      <c r="AB58" s="20">
        <f t="shared" si="23"/>
        <v>147</v>
      </c>
      <c r="AC58" s="20">
        <f t="shared" si="23"/>
        <v>142</v>
      </c>
      <c r="AD58" s="20">
        <f t="shared" si="23"/>
        <v>143</v>
      </c>
      <c r="AE58" s="20">
        <f t="shared" si="23"/>
        <v>128</v>
      </c>
      <c r="AF58" s="20">
        <f t="shared" si="23"/>
        <v>149</v>
      </c>
      <c r="AG58" s="20">
        <f t="shared" si="23"/>
        <v>114</v>
      </c>
      <c r="AH58" s="20">
        <f t="shared" si="23"/>
        <v>108</v>
      </c>
      <c r="AI58" s="168"/>
      <c r="AJ58" s="148">
        <f t="shared" si="5"/>
        <v>4467</v>
      </c>
    </row>
    <row r="59" spans="1:36" ht="15" customHeight="1">
      <c r="A59" s="2"/>
      <c r="B59" s="2"/>
      <c r="C59" s="531" t="s">
        <v>22</v>
      </c>
      <c r="D59" s="501"/>
      <c r="E59" s="20">
        <f t="shared" si="7"/>
        <v>7</v>
      </c>
      <c r="F59" s="20">
        <f t="shared" si="7"/>
        <v>0</v>
      </c>
      <c r="G59" s="20">
        <f t="shared" si="7"/>
        <v>0</v>
      </c>
      <c r="H59" s="20">
        <f t="shared" si="7"/>
        <v>0</v>
      </c>
      <c r="I59" s="20">
        <f t="shared" si="7"/>
        <v>0</v>
      </c>
      <c r="J59" s="20">
        <f t="shared" si="10"/>
        <v>0</v>
      </c>
      <c r="K59" s="20">
        <f t="shared" si="10"/>
        <v>0</v>
      </c>
      <c r="L59" s="20">
        <f t="shared" si="8"/>
        <v>0</v>
      </c>
      <c r="M59" s="20">
        <f t="shared" si="8"/>
        <v>0</v>
      </c>
      <c r="N59" s="20">
        <f t="shared" si="8"/>
        <v>0</v>
      </c>
      <c r="O59" s="20">
        <f t="shared" si="8"/>
        <v>9</v>
      </c>
      <c r="P59" s="20">
        <f t="shared" si="11"/>
        <v>0</v>
      </c>
      <c r="Q59" s="20">
        <f t="shared" si="11"/>
        <v>0</v>
      </c>
      <c r="R59" s="20">
        <f t="shared" ref="R59:AH59" si="24">R21-Q21</f>
        <v>0</v>
      </c>
      <c r="S59" s="20">
        <f t="shared" si="24"/>
        <v>0</v>
      </c>
      <c r="T59" s="20">
        <f t="shared" si="24"/>
        <v>0</v>
      </c>
      <c r="U59" s="20">
        <f t="shared" si="24"/>
        <v>0</v>
      </c>
      <c r="V59" s="20">
        <f t="shared" si="24"/>
        <v>0</v>
      </c>
      <c r="W59" s="20">
        <f t="shared" si="24"/>
        <v>0</v>
      </c>
      <c r="X59" s="20">
        <f t="shared" si="24"/>
        <v>0</v>
      </c>
      <c r="Y59" s="20">
        <f t="shared" si="24"/>
        <v>12</v>
      </c>
      <c r="Z59" s="20">
        <f t="shared" si="24"/>
        <v>0</v>
      </c>
      <c r="AA59" s="20">
        <f t="shared" si="24"/>
        <v>0</v>
      </c>
      <c r="AB59" s="20">
        <f t="shared" si="24"/>
        <v>0</v>
      </c>
      <c r="AC59" s="20">
        <f t="shared" si="24"/>
        <v>0</v>
      </c>
      <c r="AD59" s="20">
        <f t="shared" si="24"/>
        <v>0</v>
      </c>
      <c r="AE59" s="20">
        <f t="shared" si="24"/>
        <v>0</v>
      </c>
      <c r="AF59" s="20">
        <f t="shared" si="24"/>
        <v>0</v>
      </c>
      <c r="AG59" s="20">
        <f t="shared" si="24"/>
        <v>0</v>
      </c>
      <c r="AH59" s="20">
        <f t="shared" si="24"/>
        <v>0</v>
      </c>
      <c r="AI59" s="20"/>
      <c r="AJ59" s="21">
        <f t="shared" si="5"/>
        <v>28</v>
      </c>
    </row>
    <row r="60" spans="1:36" ht="15" customHeight="1">
      <c r="A60" s="99"/>
      <c r="B60" s="99"/>
      <c r="C60" s="500" t="s">
        <v>130</v>
      </c>
      <c r="D60" s="501"/>
      <c r="E60" s="23">
        <f t="shared" ref="E60:AH60" si="25">SUM(E58,E56,E54,E52,E50,E48,E46,E44)</f>
        <v>4528</v>
      </c>
      <c r="F60" s="23">
        <f t="shared" si="25"/>
        <v>1953</v>
      </c>
      <c r="G60" s="23">
        <f t="shared" si="25"/>
        <v>1978</v>
      </c>
      <c r="H60" s="23">
        <f t="shared" si="25"/>
        <v>1965</v>
      </c>
      <c r="I60" s="23">
        <f t="shared" si="25"/>
        <v>2069</v>
      </c>
      <c r="J60" s="23">
        <f t="shared" si="25"/>
        <v>2060</v>
      </c>
      <c r="K60" s="23">
        <f t="shared" si="25"/>
        <v>1403</v>
      </c>
      <c r="L60" s="23">
        <f t="shared" si="25"/>
        <v>1176</v>
      </c>
      <c r="M60" s="23">
        <f t="shared" si="25"/>
        <v>1927</v>
      </c>
      <c r="N60" s="23">
        <f t="shared" si="25"/>
        <v>1979</v>
      </c>
      <c r="O60" s="23">
        <f t="shared" si="25"/>
        <v>1970</v>
      </c>
      <c r="P60" s="23">
        <f t="shared" si="25"/>
        <v>1996</v>
      </c>
      <c r="Q60" s="23">
        <f t="shared" si="25"/>
        <v>2027</v>
      </c>
      <c r="R60" s="23">
        <f t="shared" si="25"/>
        <v>1492</v>
      </c>
      <c r="S60" s="23">
        <f t="shared" si="25"/>
        <v>1175</v>
      </c>
      <c r="T60" s="23">
        <f t="shared" si="25"/>
        <v>1977</v>
      </c>
      <c r="U60" s="23">
        <f t="shared" si="25"/>
        <v>2029</v>
      </c>
      <c r="V60" s="23">
        <f t="shared" si="25"/>
        <v>2014</v>
      </c>
      <c r="W60" s="23">
        <f t="shared" si="25"/>
        <v>2050</v>
      </c>
      <c r="X60" s="23">
        <f t="shared" si="25"/>
        <v>1923</v>
      </c>
      <c r="Y60" s="23">
        <f t="shared" si="25"/>
        <v>1269</v>
      </c>
      <c r="Z60" s="23">
        <f t="shared" si="25"/>
        <v>1169</v>
      </c>
      <c r="AA60" s="23">
        <f t="shared" si="25"/>
        <v>1909</v>
      </c>
      <c r="AB60" s="23">
        <f t="shared" si="25"/>
        <v>2049</v>
      </c>
      <c r="AC60" s="23">
        <f t="shared" si="25"/>
        <v>2194</v>
      </c>
      <c r="AD60" s="23">
        <f t="shared" si="25"/>
        <v>1941</v>
      </c>
      <c r="AE60" s="23">
        <f t="shared" si="25"/>
        <v>1974</v>
      </c>
      <c r="AF60" s="23">
        <f t="shared" si="25"/>
        <v>1518</v>
      </c>
      <c r="AG60" s="23">
        <f t="shared" si="25"/>
        <v>1230</v>
      </c>
      <c r="AH60" s="23">
        <f t="shared" si="25"/>
        <v>1161</v>
      </c>
      <c r="AI60" s="23"/>
      <c r="AJ60" s="24">
        <f t="shared" si="5"/>
        <v>56105</v>
      </c>
    </row>
    <row r="61" spans="1:36" ht="15" customHeight="1">
      <c r="A61" s="99"/>
      <c r="B61" s="99"/>
      <c r="C61" s="145" t="s">
        <v>131</v>
      </c>
      <c r="D61" s="108"/>
      <c r="E61" s="23">
        <f t="shared" ref="E61:AH61" si="26">SUM(E45,E47,E49,E51,E53,E55,E57,E59)</f>
        <v>48</v>
      </c>
      <c r="F61" s="23">
        <f t="shared" si="26"/>
        <v>0</v>
      </c>
      <c r="G61" s="23">
        <f t="shared" si="26"/>
        <v>0</v>
      </c>
      <c r="H61" s="23">
        <f t="shared" si="26"/>
        <v>0</v>
      </c>
      <c r="I61" s="23">
        <f t="shared" si="26"/>
        <v>0</v>
      </c>
      <c r="J61" s="23">
        <f t="shared" si="26"/>
        <v>0</v>
      </c>
      <c r="K61" s="23">
        <f t="shared" si="26"/>
        <v>0</v>
      </c>
      <c r="L61" s="23">
        <f t="shared" si="26"/>
        <v>0</v>
      </c>
      <c r="M61" s="23">
        <f t="shared" si="26"/>
        <v>0</v>
      </c>
      <c r="N61" s="23">
        <f t="shared" si="26"/>
        <v>0</v>
      </c>
      <c r="O61" s="23">
        <f t="shared" si="26"/>
        <v>105</v>
      </c>
      <c r="P61" s="23">
        <f t="shared" si="26"/>
        <v>0</v>
      </c>
      <c r="Q61" s="23">
        <f t="shared" si="26"/>
        <v>0</v>
      </c>
      <c r="R61" s="23">
        <f t="shared" si="26"/>
        <v>0</v>
      </c>
      <c r="S61" s="23">
        <f t="shared" si="26"/>
        <v>0</v>
      </c>
      <c r="T61" s="23">
        <f t="shared" si="26"/>
        <v>0</v>
      </c>
      <c r="U61" s="23">
        <f t="shared" si="26"/>
        <v>0</v>
      </c>
      <c r="V61" s="23">
        <f t="shared" si="26"/>
        <v>0</v>
      </c>
      <c r="W61" s="23">
        <f t="shared" si="26"/>
        <v>0</v>
      </c>
      <c r="X61" s="23">
        <f t="shared" si="26"/>
        <v>0</v>
      </c>
      <c r="Y61" s="23">
        <f t="shared" si="26"/>
        <v>115</v>
      </c>
      <c r="Z61" s="23">
        <f t="shared" si="26"/>
        <v>0</v>
      </c>
      <c r="AA61" s="23">
        <f t="shared" si="26"/>
        <v>0</v>
      </c>
      <c r="AB61" s="23">
        <f t="shared" si="26"/>
        <v>0</v>
      </c>
      <c r="AC61" s="23">
        <f t="shared" si="26"/>
        <v>0</v>
      </c>
      <c r="AD61" s="23">
        <f t="shared" si="26"/>
        <v>0</v>
      </c>
      <c r="AE61" s="23">
        <f t="shared" si="26"/>
        <v>0</v>
      </c>
      <c r="AF61" s="23">
        <f t="shared" si="26"/>
        <v>0</v>
      </c>
      <c r="AG61" s="23">
        <f t="shared" si="26"/>
        <v>0</v>
      </c>
      <c r="AH61" s="23">
        <f t="shared" si="26"/>
        <v>0</v>
      </c>
      <c r="AI61" s="23"/>
      <c r="AJ61" s="24">
        <f t="shared" si="5"/>
        <v>268</v>
      </c>
    </row>
    <row r="62" spans="1:36">
      <c r="A62" s="101"/>
      <c r="B62" s="101"/>
      <c r="C62" s="539" t="s">
        <v>132</v>
      </c>
      <c r="D62" s="501"/>
      <c r="E62" s="102">
        <f t="shared" ref="E62:AH62" si="27">E60</f>
        <v>4528</v>
      </c>
      <c r="F62" s="102">
        <f t="shared" si="27"/>
        <v>1953</v>
      </c>
      <c r="G62" s="102">
        <f t="shared" si="27"/>
        <v>1978</v>
      </c>
      <c r="H62" s="102">
        <f t="shared" si="27"/>
        <v>1965</v>
      </c>
      <c r="I62" s="102">
        <f t="shared" si="27"/>
        <v>2069</v>
      </c>
      <c r="J62" s="102">
        <f t="shared" si="27"/>
        <v>2060</v>
      </c>
      <c r="K62" s="102">
        <f t="shared" si="27"/>
        <v>1403</v>
      </c>
      <c r="L62" s="102">
        <f t="shared" si="27"/>
        <v>1176</v>
      </c>
      <c r="M62" s="102">
        <f t="shared" si="27"/>
        <v>1927</v>
      </c>
      <c r="N62" s="102">
        <f t="shared" si="27"/>
        <v>1979</v>
      </c>
      <c r="O62" s="102">
        <f t="shared" si="27"/>
        <v>1970</v>
      </c>
      <c r="P62" s="102">
        <f t="shared" si="27"/>
        <v>1996</v>
      </c>
      <c r="Q62" s="102">
        <f t="shared" si="27"/>
        <v>2027</v>
      </c>
      <c r="R62" s="102">
        <f t="shared" si="27"/>
        <v>1492</v>
      </c>
      <c r="S62" s="102">
        <f t="shared" si="27"/>
        <v>1175</v>
      </c>
      <c r="T62" s="102">
        <f t="shared" si="27"/>
        <v>1977</v>
      </c>
      <c r="U62" s="102">
        <f t="shared" si="27"/>
        <v>2029</v>
      </c>
      <c r="V62" s="102">
        <f t="shared" si="27"/>
        <v>2014</v>
      </c>
      <c r="W62" s="102">
        <f t="shared" si="27"/>
        <v>2050</v>
      </c>
      <c r="X62" s="102">
        <f t="shared" si="27"/>
        <v>1923</v>
      </c>
      <c r="Y62" s="102">
        <f t="shared" si="27"/>
        <v>1269</v>
      </c>
      <c r="Z62" s="102">
        <f t="shared" si="27"/>
        <v>1169</v>
      </c>
      <c r="AA62" s="102">
        <f t="shared" si="27"/>
        <v>1909</v>
      </c>
      <c r="AB62" s="102">
        <f t="shared" si="27"/>
        <v>2049</v>
      </c>
      <c r="AC62" s="102">
        <f t="shared" si="27"/>
        <v>2194</v>
      </c>
      <c r="AD62" s="102">
        <f t="shared" si="27"/>
        <v>1941</v>
      </c>
      <c r="AE62" s="102">
        <f t="shared" si="27"/>
        <v>1974</v>
      </c>
      <c r="AF62" s="102">
        <f t="shared" si="27"/>
        <v>1518</v>
      </c>
      <c r="AG62" s="102">
        <f t="shared" si="27"/>
        <v>1230</v>
      </c>
      <c r="AH62" s="102">
        <f t="shared" si="27"/>
        <v>1161</v>
      </c>
      <c r="AI62" s="102"/>
      <c r="AJ62" s="102">
        <f>AJ60</f>
        <v>56105</v>
      </c>
    </row>
    <row r="63" spans="1:36">
      <c r="A63" s="94"/>
      <c r="B63" s="27"/>
      <c r="C63" s="146"/>
      <c r="D63" s="10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</row>
    <row r="64" spans="1:36">
      <c r="A64" s="28" t="s">
        <v>133</v>
      </c>
      <c r="B64" s="28" t="s">
        <v>100</v>
      </c>
      <c r="C64" s="523" t="s">
        <v>101</v>
      </c>
      <c r="D64" s="501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103"/>
    </row>
    <row r="65" spans="1:38">
      <c r="A65" s="2">
        <v>1</v>
      </c>
      <c r="B65" s="2" t="s">
        <v>129</v>
      </c>
      <c r="C65" s="506" t="s">
        <v>119</v>
      </c>
      <c r="D65" s="501"/>
      <c r="E65" s="102">
        <f t="shared" ref="E65:AH65" si="28">E23-D23</f>
        <v>95</v>
      </c>
      <c r="F65" s="102">
        <f t="shared" si="28"/>
        <v>71</v>
      </c>
      <c r="G65" s="102">
        <f t="shared" si="28"/>
        <v>68</v>
      </c>
      <c r="H65" s="102">
        <f t="shared" si="28"/>
        <v>65</v>
      </c>
      <c r="I65" s="102">
        <f t="shared" si="28"/>
        <v>66</v>
      </c>
      <c r="J65" s="102">
        <f t="shared" si="28"/>
        <v>70</v>
      </c>
      <c r="K65" s="102">
        <f t="shared" si="28"/>
        <v>39</v>
      </c>
      <c r="L65" s="102">
        <f t="shared" si="28"/>
        <v>0</v>
      </c>
      <c r="M65" s="102">
        <f t="shared" si="28"/>
        <v>81</v>
      </c>
      <c r="N65" s="102">
        <f t="shared" si="28"/>
        <v>73</v>
      </c>
      <c r="O65" s="102">
        <f t="shared" si="28"/>
        <v>75</v>
      </c>
      <c r="P65" s="102">
        <f t="shared" si="28"/>
        <v>60</v>
      </c>
      <c r="Q65" s="102">
        <f t="shared" si="28"/>
        <v>46</v>
      </c>
      <c r="R65" s="102">
        <f t="shared" si="28"/>
        <v>31</v>
      </c>
      <c r="S65" s="102">
        <f t="shared" si="28"/>
        <v>0</v>
      </c>
      <c r="T65" s="102">
        <f t="shared" si="28"/>
        <v>78</v>
      </c>
      <c r="U65" s="102">
        <f t="shared" si="28"/>
        <v>69</v>
      </c>
      <c r="V65" s="102">
        <f t="shared" si="28"/>
        <v>75</v>
      </c>
      <c r="W65" s="102">
        <f t="shared" si="28"/>
        <v>72</v>
      </c>
      <c r="X65" s="102">
        <f t="shared" si="28"/>
        <v>64</v>
      </c>
      <c r="Y65" s="102">
        <f t="shared" si="28"/>
        <v>48</v>
      </c>
      <c r="Z65" s="102">
        <f t="shared" si="28"/>
        <v>0</v>
      </c>
      <c r="AA65" s="102">
        <f t="shared" si="28"/>
        <v>77</v>
      </c>
      <c r="AB65" s="102">
        <f t="shared" si="28"/>
        <v>72</v>
      </c>
      <c r="AC65" s="102">
        <f t="shared" si="28"/>
        <v>56</v>
      </c>
      <c r="AD65" s="102">
        <f t="shared" si="28"/>
        <v>50</v>
      </c>
      <c r="AE65" s="102">
        <f t="shared" si="28"/>
        <v>51</v>
      </c>
      <c r="AF65" s="102">
        <f t="shared" si="28"/>
        <v>49</v>
      </c>
      <c r="AG65" s="102">
        <f t="shared" si="28"/>
        <v>0</v>
      </c>
      <c r="AH65" s="102">
        <f t="shared" si="28"/>
        <v>33</v>
      </c>
      <c r="AI65" s="102"/>
      <c r="AJ65" s="102">
        <f t="shared" ref="AJ65:AJ78" si="29">SUM(E65:AH65)</f>
        <v>1634</v>
      </c>
    </row>
    <row r="66" spans="1:38">
      <c r="A66" s="2"/>
      <c r="B66" s="2"/>
      <c r="C66" s="532" t="s">
        <v>22</v>
      </c>
      <c r="D66" s="501"/>
      <c r="E66" s="102">
        <f t="shared" ref="E66:AH66" si="30">E24-D24</f>
        <v>0</v>
      </c>
      <c r="F66" s="102">
        <f t="shared" si="30"/>
        <v>0</v>
      </c>
      <c r="G66" s="102">
        <f t="shared" si="30"/>
        <v>0</v>
      </c>
      <c r="H66" s="102">
        <f t="shared" si="30"/>
        <v>0</v>
      </c>
      <c r="I66" s="102">
        <f t="shared" si="30"/>
        <v>0</v>
      </c>
      <c r="J66" s="102">
        <f t="shared" si="30"/>
        <v>0</v>
      </c>
      <c r="K66" s="102">
        <f t="shared" si="30"/>
        <v>0</v>
      </c>
      <c r="L66" s="102">
        <f t="shared" si="30"/>
        <v>20</v>
      </c>
      <c r="M66" s="102">
        <f t="shared" si="30"/>
        <v>0</v>
      </c>
      <c r="N66" s="102">
        <f t="shared" si="30"/>
        <v>0</v>
      </c>
      <c r="O66" s="102">
        <f t="shared" si="30"/>
        <v>0</v>
      </c>
      <c r="P66" s="102">
        <f t="shared" si="30"/>
        <v>-20</v>
      </c>
      <c r="Q66" s="102">
        <f t="shared" si="30"/>
        <v>0</v>
      </c>
      <c r="R66" s="102">
        <f t="shared" si="30"/>
        <v>0</v>
      </c>
      <c r="S66" s="102">
        <f t="shared" si="30"/>
        <v>0</v>
      </c>
      <c r="T66" s="102">
        <f t="shared" si="30"/>
        <v>0</v>
      </c>
      <c r="U66" s="102">
        <f t="shared" si="30"/>
        <v>0</v>
      </c>
      <c r="V66" s="102">
        <f t="shared" si="30"/>
        <v>0</v>
      </c>
      <c r="W66" s="102">
        <f t="shared" si="30"/>
        <v>0</v>
      </c>
      <c r="X66" s="102">
        <f t="shared" si="30"/>
        <v>0</v>
      </c>
      <c r="Y66" s="102">
        <f t="shared" si="30"/>
        <v>4</v>
      </c>
      <c r="Z66" s="102">
        <f t="shared" si="30"/>
        <v>0</v>
      </c>
      <c r="AA66" s="102">
        <f t="shared" si="30"/>
        <v>0</v>
      </c>
      <c r="AB66" s="102">
        <f t="shared" si="30"/>
        <v>0</v>
      </c>
      <c r="AC66" s="102">
        <f t="shared" si="30"/>
        <v>0</v>
      </c>
      <c r="AD66" s="102">
        <f t="shared" si="30"/>
        <v>0</v>
      </c>
      <c r="AE66" s="102">
        <f t="shared" si="30"/>
        <v>0</v>
      </c>
      <c r="AF66" s="102">
        <f t="shared" si="30"/>
        <v>0</v>
      </c>
      <c r="AG66" s="102">
        <f t="shared" si="30"/>
        <v>0</v>
      </c>
      <c r="AH66" s="102">
        <f t="shared" si="30"/>
        <v>0</v>
      </c>
      <c r="AI66" s="102"/>
      <c r="AJ66" s="102">
        <f t="shared" si="29"/>
        <v>4</v>
      </c>
    </row>
    <row r="67" spans="1:38">
      <c r="A67" s="2">
        <v>2</v>
      </c>
      <c r="B67" s="2" t="s">
        <v>129</v>
      </c>
      <c r="C67" s="506" t="s">
        <v>120</v>
      </c>
      <c r="D67" s="501"/>
      <c r="E67" s="102">
        <f t="shared" ref="E67:AH67" si="31">E25-D25</f>
        <v>144</v>
      </c>
      <c r="F67" s="102">
        <f t="shared" si="31"/>
        <v>89</v>
      </c>
      <c r="G67" s="102">
        <f t="shared" si="31"/>
        <v>92</v>
      </c>
      <c r="H67" s="102">
        <f t="shared" si="31"/>
        <v>98</v>
      </c>
      <c r="I67" s="102">
        <f t="shared" si="31"/>
        <v>99</v>
      </c>
      <c r="J67" s="102">
        <f t="shared" si="31"/>
        <v>101</v>
      </c>
      <c r="K67" s="102">
        <f t="shared" si="31"/>
        <v>59</v>
      </c>
      <c r="L67" s="102">
        <f t="shared" si="31"/>
        <v>0</v>
      </c>
      <c r="M67" s="102">
        <f t="shared" si="31"/>
        <v>110</v>
      </c>
      <c r="N67" s="102">
        <f t="shared" si="31"/>
        <v>113</v>
      </c>
      <c r="O67" s="102">
        <f t="shared" si="31"/>
        <v>111</v>
      </c>
      <c r="P67" s="102">
        <f t="shared" si="31"/>
        <v>110</v>
      </c>
      <c r="Q67" s="102">
        <f t="shared" si="31"/>
        <v>87</v>
      </c>
      <c r="R67" s="102">
        <f t="shared" si="31"/>
        <v>67</v>
      </c>
      <c r="S67" s="102">
        <f t="shared" si="31"/>
        <v>0</v>
      </c>
      <c r="T67" s="102">
        <f t="shared" si="31"/>
        <v>99</v>
      </c>
      <c r="U67" s="102">
        <f t="shared" si="31"/>
        <v>93</v>
      </c>
      <c r="V67" s="102">
        <f t="shared" si="31"/>
        <v>111</v>
      </c>
      <c r="W67" s="102">
        <f t="shared" si="31"/>
        <v>86</v>
      </c>
      <c r="X67" s="102">
        <f t="shared" si="31"/>
        <v>97</v>
      </c>
      <c r="Y67" s="102">
        <f t="shared" si="31"/>
        <v>72</v>
      </c>
      <c r="Z67" s="102">
        <f t="shared" si="31"/>
        <v>0</v>
      </c>
      <c r="AA67" s="102">
        <f t="shared" si="31"/>
        <v>115</v>
      </c>
      <c r="AB67" s="102">
        <f t="shared" si="31"/>
        <v>71</v>
      </c>
      <c r="AC67" s="102">
        <f t="shared" si="31"/>
        <v>85</v>
      </c>
      <c r="AD67" s="102">
        <f t="shared" si="31"/>
        <v>109</v>
      </c>
      <c r="AE67" s="102">
        <f t="shared" si="31"/>
        <v>109</v>
      </c>
      <c r="AF67" s="102">
        <f t="shared" si="31"/>
        <v>90</v>
      </c>
      <c r="AG67" s="102">
        <f t="shared" si="31"/>
        <v>0</v>
      </c>
      <c r="AH67" s="102">
        <f t="shared" si="31"/>
        <v>52</v>
      </c>
      <c r="AI67" s="102"/>
      <c r="AJ67" s="102">
        <f t="shared" si="29"/>
        <v>2469</v>
      </c>
    </row>
    <row r="68" spans="1:38">
      <c r="A68" s="2"/>
      <c r="B68" s="2"/>
      <c r="C68" s="532" t="s">
        <v>22</v>
      </c>
      <c r="D68" s="501"/>
      <c r="E68" s="102">
        <f t="shared" ref="E68:AH68" si="32">E26-D26</f>
        <v>0</v>
      </c>
      <c r="F68" s="102">
        <f t="shared" si="32"/>
        <v>0</v>
      </c>
      <c r="G68" s="102">
        <f t="shared" si="32"/>
        <v>0</v>
      </c>
      <c r="H68" s="102">
        <f t="shared" si="32"/>
        <v>0</v>
      </c>
      <c r="I68" s="102">
        <f t="shared" si="32"/>
        <v>0</v>
      </c>
      <c r="J68" s="102">
        <f t="shared" si="32"/>
        <v>0</v>
      </c>
      <c r="K68" s="102">
        <f t="shared" si="32"/>
        <v>0</v>
      </c>
      <c r="L68" s="102">
        <f t="shared" si="32"/>
        <v>0</v>
      </c>
      <c r="M68" s="102">
        <f t="shared" si="32"/>
        <v>0</v>
      </c>
      <c r="N68" s="102">
        <f t="shared" si="32"/>
        <v>0</v>
      </c>
      <c r="O68" s="102">
        <f t="shared" si="32"/>
        <v>0</v>
      </c>
      <c r="P68" s="102">
        <f t="shared" si="32"/>
        <v>0</v>
      </c>
      <c r="Q68" s="102">
        <f t="shared" si="32"/>
        <v>0</v>
      </c>
      <c r="R68" s="102">
        <f t="shared" si="32"/>
        <v>0</v>
      </c>
      <c r="S68" s="102">
        <f t="shared" si="32"/>
        <v>0</v>
      </c>
      <c r="T68" s="102">
        <f t="shared" si="32"/>
        <v>0</v>
      </c>
      <c r="U68" s="102">
        <f t="shared" si="32"/>
        <v>0</v>
      </c>
      <c r="V68" s="102">
        <f t="shared" si="32"/>
        <v>0</v>
      </c>
      <c r="W68" s="102">
        <f t="shared" si="32"/>
        <v>0</v>
      </c>
      <c r="X68" s="102">
        <f t="shared" si="32"/>
        <v>0</v>
      </c>
      <c r="Y68" s="102">
        <f t="shared" si="32"/>
        <v>4</v>
      </c>
      <c r="Z68" s="102">
        <f t="shared" si="32"/>
        <v>0</v>
      </c>
      <c r="AA68" s="102">
        <f t="shared" si="32"/>
        <v>0</v>
      </c>
      <c r="AB68" s="102">
        <f t="shared" si="32"/>
        <v>0</v>
      </c>
      <c r="AC68" s="102">
        <f t="shared" si="32"/>
        <v>0</v>
      </c>
      <c r="AD68" s="102">
        <f t="shared" si="32"/>
        <v>0</v>
      </c>
      <c r="AE68" s="102">
        <f t="shared" si="32"/>
        <v>0</v>
      </c>
      <c r="AF68" s="102">
        <f t="shared" si="32"/>
        <v>0</v>
      </c>
      <c r="AG68" s="102">
        <f t="shared" si="32"/>
        <v>0</v>
      </c>
      <c r="AH68" s="102">
        <f t="shared" si="32"/>
        <v>0</v>
      </c>
      <c r="AI68" s="102"/>
      <c r="AJ68" s="102">
        <f t="shared" si="29"/>
        <v>4</v>
      </c>
      <c r="AK68" s="115" t="s">
        <v>20</v>
      </c>
      <c r="AL68" s="116">
        <f>AJ60</f>
        <v>56105</v>
      </c>
    </row>
    <row r="69" spans="1:38">
      <c r="A69" s="2">
        <v>3</v>
      </c>
      <c r="B69" s="2" t="s">
        <v>129</v>
      </c>
      <c r="C69" s="506" t="s">
        <v>121</v>
      </c>
      <c r="D69" s="501"/>
      <c r="E69" s="102">
        <f t="shared" ref="E69:AH69" si="33">E27-D27</f>
        <v>197</v>
      </c>
      <c r="F69" s="102">
        <f t="shared" si="33"/>
        <v>111</v>
      </c>
      <c r="G69" s="102">
        <f t="shared" si="33"/>
        <v>120</v>
      </c>
      <c r="H69" s="102">
        <f t="shared" si="33"/>
        <v>121</v>
      </c>
      <c r="I69" s="102">
        <f t="shared" si="33"/>
        <v>132</v>
      </c>
      <c r="J69" s="102">
        <f t="shared" si="33"/>
        <v>131</v>
      </c>
      <c r="K69" s="102">
        <f t="shared" si="33"/>
        <v>72</v>
      </c>
      <c r="L69" s="102">
        <f t="shared" si="33"/>
        <v>0</v>
      </c>
      <c r="M69" s="102">
        <f t="shared" si="33"/>
        <v>133</v>
      </c>
      <c r="N69" s="102">
        <f t="shared" si="33"/>
        <v>129</v>
      </c>
      <c r="O69" s="102">
        <f t="shared" si="33"/>
        <v>133</v>
      </c>
      <c r="P69" s="102">
        <f t="shared" si="33"/>
        <v>123</v>
      </c>
      <c r="Q69" s="102">
        <f t="shared" si="33"/>
        <v>94</v>
      </c>
      <c r="R69" s="102">
        <f t="shared" si="33"/>
        <v>61</v>
      </c>
      <c r="S69" s="102">
        <f t="shared" si="33"/>
        <v>0</v>
      </c>
      <c r="T69" s="102">
        <f t="shared" si="33"/>
        <v>122</v>
      </c>
      <c r="U69" s="102">
        <f t="shared" si="33"/>
        <v>124</v>
      </c>
      <c r="V69" s="102">
        <f t="shared" si="33"/>
        <v>126</v>
      </c>
      <c r="W69" s="102">
        <f t="shared" si="33"/>
        <v>126</v>
      </c>
      <c r="X69" s="102">
        <f t="shared" si="33"/>
        <v>122</v>
      </c>
      <c r="Y69" s="102">
        <f t="shared" si="33"/>
        <v>82</v>
      </c>
      <c r="Z69" s="102">
        <f t="shared" si="33"/>
        <v>0</v>
      </c>
      <c r="AA69" s="102">
        <f t="shared" si="33"/>
        <v>126</v>
      </c>
      <c r="AB69" s="102">
        <f t="shared" si="33"/>
        <v>127</v>
      </c>
      <c r="AC69" s="102">
        <f t="shared" si="33"/>
        <v>113</v>
      </c>
      <c r="AD69" s="102">
        <f t="shared" si="33"/>
        <v>108</v>
      </c>
      <c r="AE69" s="102">
        <f t="shared" si="33"/>
        <v>104</v>
      </c>
      <c r="AF69" s="102">
        <f t="shared" si="33"/>
        <v>93</v>
      </c>
      <c r="AG69" s="102">
        <f t="shared" si="33"/>
        <v>0</v>
      </c>
      <c r="AH69" s="102">
        <f t="shared" si="33"/>
        <v>53</v>
      </c>
      <c r="AI69" s="102"/>
      <c r="AJ69" s="102">
        <f t="shared" si="29"/>
        <v>2983</v>
      </c>
      <c r="AK69" s="115" t="s">
        <v>21</v>
      </c>
      <c r="AL69" s="116">
        <f>AJ73</f>
        <v>9341</v>
      </c>
    </row>
    <row r="70" spans="1:38">
      <c r="A70" s="2"/>
      <c r="B70" s="2"/>
      <c r="C70" s="532" t="s">
        <v>22</v>
      </c>
      <c r="D70" s="501"/>
      <c r="E70" s="102">
        <f t="shared" ref="E70:AH70" si="34">E28-D28</f>
        <v>0</v>
      </c>
      <c r="F70" s="102">
        <f t="shared" si="34"/>
        <v>0</v>
      </c>
      <c r="G70" s="102">
        <f t="shared" si="34"/>
        <v>0</v>
      </c>
      <c r="H70" s="102">
        <f t="shared" si="34"/>
        <v>0</v>
      </c>
      <c r="I70" s="102">
        <f t="shared" si="34"/>
        <v>0</v>
      </c>
      <c r="J70" s="102">
        <f t="shared" si="34"/>
        <v>0</v>
      </c>
      <c r="K70" s="102">
        <f t="shared" si="34"/>
        <v>0</v>
      </c>
      <c r="L70" s="102">
        <f t="shared" si="34"/>
        <v>0</v>
      </c>
      <c r="M70" s="102">
        <f t="shared" si="34"/>
        <v>0</v>
      </c>
      <c r="N70" s="102">
        <f t="shared" si="34"/>
        <v>0</v>
      </c>
      <c r="O70" s="102">
        <f t="shared" si="34"/>
        <v>0</v>
      </c>
      <c r="P70" s="102">
        <f t="shared" si="34"/>
        <v>0</v>
      </c>
      <c r="Q70" s="102">
        <f t="shared" si="34"/>
        <v>0</v>
      </c>
      <c r="R70" s="102">
        <f t="shared" si="34"/>
        <v>0</v>
      </c>
      <c r="S70" s="102">
        <f t="shared" si="34"/>
        <v>0</v>
      </c>
      <c r="T70" s="102">
        <f t="shared" si="34"/>
        <v>0</v>
      </c>
      <c r="U70" s="102">
        <f t="shared" si="34"/>
        <v>0</v>
      </c>
      <c r="V70" s="102">
        <f t="shared" si="34"/>
        <v>0</v>
      </c>
      <c r="W70" s="102">
        <f t="shared" si="34"/>
        <v>0</v>
      </c>
      <c r="X70" s="102">
        <f t="shared" si="34"/>
        <v>0</v>
      </c>
      <c r="Y70" s="102">
        <f t="shared" si="34"/>
        <v>11</v>
      </c>
      <c r="Z70" s="102">
        <f t="shared" si="34"/>
        <v>0</v>
      </c>
      <c r="AA70" s="102">
        <f t="shared" si="34"/>
        <v>0</v>
      </c>
      <c r="AB70" s="102">
        <f t="shared" si="34"/>
        <v>0</v>
      </c>
      <c r="AC70" s="102">
        <f t="shared" si="34"/>
        <v>0</v>
      </c>
      <c r="AD70" s="102">
        <f t="shared" si="34"/>
        <v>0</v>
      </c>
      <c r="AE70" s="102">
        <f t="shared" si="34"/>
        <v>0</v>
      </c>
      <c r="AF70" s="102">
        <f t="shared" si="34"/>
        <v>0</v>
      </c>
      <c r="AG70" s="102">
        <f t="shared" si="34"/>
        <v>0</v>
      </c>
      <c r="AH70" s="102">
        <f t="shared" si="34"/>
        <v>0</v>
      </c>
      <c r="AI70" s="102"/>
      <c r="AJ70" s="102">
        <f t="shared" si="29"/>
        <v>11</v>
      </c>
      <c r="AK70" s="115" t="s">
        <v>23</v>
      </c>
      <c r="AL70" s="116">
        <f>AJ79*40%</f>
        <v>39983.200000000004</v>
      </c>
    </row>
    <row r="71" spans="1:38">
      <c r="A71" s="2">
        <v>4</v>
      </c>
      <c r="B71" s="2" t="s">
        <v>129</v>
      </c>
      <c r="C71" s="506" t="s">
        <v>122</v>
      </c>
      <c r="D71" s="501"/>
      <c r="E71" s="102">
        <f t="shared" ref="E71:AH71" si="35">E29-D29</f>
        <v>122</v>
      </c>
      <c r="F71" s="102">
        <f t="shared" si="35"/>
        <v>95</v>
      </c>
      <c r="G71" s="102">
        <f t="shared" si="35"/>
        <v>93</v>
      </c>
      <c r="H71" s="102">
        <f t="shared" si="35"/>
        <v>88</v>
      </c>
      <c r="I71" s="102">
        <f t="shared" si="35"/>
        <v>90</v>
      </c>
      <c r="J71" s="102">
        <f t="shared" si="35"/>
        <v>92</v>
      </c>
      <c r="K71" s="102">
        <f t="shared" si="35"/>
        <v>52</v>
      </c>
      <c r="L71" s="102">
        <f t="shared" si="35"/>
        <v>0</v>
      </c>
      <c r="M71" s="102">
        <f t="shared" si="35"/>
        <v>96</v>
      </c>
      <c r="N71" s="102">
        <f t="shared" si="35"/>
        <v>97</v>
      </c>
      <c r="O71" s="102">
        <f t="shared" si="35"/>
        <v>98</v>
      </c>
      <c r="P71" s="102">
        <f t="shared" si="35"/>
        <v>85</v>
      </c>
      <c r="Q71" s="102">
        <f t="shared" si="35"/>
        <v>75</v>
      </c>
      <c r="R71" s="102">
        <f t="shared" si="35"/>
        <v>53</v>
      </c>
      <c r="S71" s="102">
        <f t="shared" si="35"/>
        <v>0</v>
      </c>
      <c r="T71" s="102">
        <f t="shared" si="35"/>
        <v>97</v>
      </c>
      <c r="U71" s="102">
        <f t="shared" si="35"/>
        <v>92</v>
      </c>
      <c r="V71" s="102">
        <f t="shared" si="35"/>
        <v>95</v>
      </c>
      <c r="W71" s="102">
        <f t="shared" si="35"/>
        <v>95</v>
      </c>
      <c r="X71" s="102">
        <f t="shared" si="35"/>
        <v>84</v>
      </c>
      <c r="Y71" s="102">
        <f t="shared" si="35"/>
        <v>61</v>
      </c>
      <c r="Z71" s="102">
        <f t="shared" si="35"/>
        <v>0</v>
      </c>
      <c r="AA71" s="102">
        <f t="shared" si="35"/>
        <v>100</v>
      </c>
      <c r="AB71" s="102">
        <f t="shared" si="35"/>
        <v>96</v>
      </c>
      <c r="AC71" s="102">
        <f t="shared" si="35"/>
        <v>93</v>
      </c>
      <c r="AD71" s="102">
        <f t="shared" si="35"/>
        <v>96</v>
      </c>
      <c r="AE71" s="102">
        <f t="shared" si="35"/>
        <v>91</v>
      </c>
      <c r="AF71" s="102">
        <f t="shared" si="35"/>
        <v>75</v>
      </c>
      <c r="AG71" s="102">
        <f t="shared" si="35"/>
        <v>0</v>
      </c>
      <c r="AH71" s="102">
        <f t="shared" si="35"/>
        <v>44</v>
      </c>
      <c r="AI71" s="102"/>
      <c r="AJ71" s="102">
        <f t="shared" si="29"/>
        <v>2255</v>
      </c>
      <c r="AK71" s="117" t="s">
        <v>22</v>
      </c>
      <c r="AL71" s="118">
        <f>AJ74+AJ61</f>
        <v>292</v>
      </c>
    </row>
    <row r="72" spans="1:38">
      <c r="A72" s="2"/>
      <c r="B72" s="2"/>
      <c r="C72" s="532" t="s">
        <v>22</v>
      </c>
      <c r="D72" s="501"/>
      <c r="E72" s="102">
        <f t="shared" ref="E72:AH72" si="36">E30-D30</f>
        <v>0</v>
      </c>
      <c r="F72" s="102">
        <f t="shared" si="36"/>
        <v>0</v>
      </c>
      <c r="G72" s="102">
        <f t="shared" si="36"/>
        <v>0</v>
      </c>
      <c r="H72" s="102">
        <f t="shared" si="36"/>
        <v>0</v>
      </c>
      <c r="I72" s="102">
        <f t="shared" si="36"/>
        <v>0</v>
      </c>
      <c r="J72" s="102">
        <f t="shared" si="36"/>
        <v>0</v>
      </c>
      <c r="K72" s="102">
        <f t="shared" si="36"/>
        <v>0</v>
      </c>
      <c r="L72" s="102">
        <f t="shared" si="36"/>
        <v>0</v>
      </c>
      <c r="M72" s="102">
        <f t="shared" si="36"/>
        <v>0</v>
      </c>
      <c r="N72" s="102">
        <f t="shared" si="36"/>
        <v>0</v>
      </c>
      <c r="O72" s="102">
        <f t="shared" si="36"/>
        <v>0</v>
      </c>
      <c r="P72" s="102">
        <f t="shared" si="36"/>
        <v>0</v>
      </c>
      <c r="Q72" s="102">
        <f t="shared" si="36"/>
        <v>0</v>
      </c>
      <c r="R72" s="102">
        <f t="shared" si="36"/>
        <v>0</v>
      </c>
      <c r="S72" s="102">
        <f t="shared" si="36"/>
        <v>0</v>
      </c>
      <c r="T72" s="102">
        <f t="shared" si="36"/>
        <v>0</v>
      </c>
      <c r="U72" s="102">
        <f t="shared" si="36"/>
        <v>0</v>
      </c>
      <c r="V72" s="102">
        <f t="shared" si="36"/>
        <v>0</v>
      </c>
      <c r="W72" s="102">
        <f t="shared" si="36"/>
        <v>0</v>
      </c>
      <c r="X72" s="102">
        <f t="shared" si="36"/>
        <v>0</v>
      </c>
      <c r="Y72" s="102">
        <f t="shared" si="36"/>
        <v>5</v>
      </c>
      <c r="Z72" s="102">
        <f t="shared" si="36"/>
        <v>0</v>
      </c>
      <c r="AA72" s="102">
        <f t="shared" si="36"/>
        <v>0</v>
      </c>
      <c r="AB72" s="102">
        <f t="shared" si="36"/>
        <v>0</v>
      </c>
      <c r="AC72" s="102">
        <f t="shared" si="36"/>
        <v>0</v>
      </c>
      <c r="AD72" s="102">
        <f t="shared" si="36"/>
        <v>0</v>
      </c>
      <c r="AE72" s="102">
        <f t="shared" si="36"/>
        <v>0</v>
      </c>
      <c r="AF72" s="102">
        <f t="shared" si="36"/>
        <v>0</v>
      </c>
      <c r="AG72" s="102">
        <f t="shared" si="36"/>
        <v>0</v>
      </c>
      <c r="AH72" s="102">
        <f t="shared" si="36"/>
        <v>0</v>
      </c>
      <c r="AI72" s="102"/>
      <c r="AJ72" s="102">
        <f t="shared" si="29"/>
        <v>5</v>
      </c>
    </row>
    <row r="73" spans="1:38" ht="15" customHeight="1">
      <c r="A73" s="99"/>
      <c r="B73" s="99"/>
      <c r="C73" s="500" t="s">
        <v>134</v>
      </c>
      <c r="D73" s="501"/>
      <c r="E73" s="23">
        <f t="shared" ref="E73:AH73" si="37">SUM(E65,E67,E69,E71)</f>
        <v>558</v>
      </c>
      <c r="F73" s="23">
        <f t="shared" si="37"/>
        <v>366</v>
      </c>
      <c r="G73" s="23">
        <f t="shared" si="37"/>
        <v>373</v>
      </c>
      <c r="H73" s="23">
        <f t="shared" si="37"/>
        <v>372</v>
      </c>
      <c r="I73" s="23">
        <f t="shared" si="37"/>
        <v>387</v>
      </c>
      <c r="J73" s="23">
        <f t="shared" si="37"/>
        <v>394</v>
      </c>
      <c r="K73" s="23">
        <f t="shared" si="37"/>
        <v>222</v>
      </c>
      <c r="L73" s="23">
        <f t="shared" si="37"/>
        <v>0</v>
      </c>
      <c r="M73" s="23">
        <f t="shared" si="37"/>
        <v>420</v>
      </c>
      <c r="N73" s="23">
        <f t="shared" si="37"/>
        <v>412</v>
      </c>
      <c r="O73" s="23">
        <f t="shared" si="37"/>
        <v>417</v>
      </c>
      <c r="P73" s="23">
        <f t="shared" si="37"/>
        <v>378</v>
      </c>
      <c r="Q73" s="23">
        <f t="shared" si="37"/>
        <v>302</v>
      </c>
      <c r="R73" s="23">
        <f t="shared" si="37"/>
        <v>212</v>
      </c>
      <c r="S73" s="23">
        <f t="shared" si="37"/>
        <v>0</v>
      </c>
      <c r="T73" s="23">
        <f t="shared" si="37"/>
        <v>396</v>
      </c>
      <c r="U73" s="23">
        <f t="shared" si="37"/>
        <v>378</v>
      </c>
      <c r="V73" s="23">
        <f t="shared" si="37"/>
        <v>407</v>
      </c>
      <c r="W73" s="23">
        <f t="shared" si="37"/>
        <v>379</v>
      </c>
      <c r="X73" s="23">
        <f t="shared" si="37"/>
        <v>367</v>
      </c>
      <c r="Y73" s="23">
        <f t="shared" si="37"/>
        <v>263</v>
      </c>
      <c r="Z73" s="23">
        <f t="shared" si="37"/>
        <v>0</v>
      </c>
      <c r="AA73" s="23">
        <f t="shared" si="37"/>
        <v>418</v>
      </c>
      <c r="AB73" s="23">
        <f t="shared" si="37"/>
        <v>366</v>
      </c>
      <c r="AC73" s="23">
        <f t="shared" si="37"/>
        <v>347</v>
      </c>
      <c r="AD73" s="23">
        <f t="shared" si="37"/>
        <v>363</v>
      </c>
      <c r="AE73" s="23">
        <f t="shared" si="37"/>
        <v>355</v>
      </c>
      <c r="AF73" s="23">
        <f t="shared" si="37"/>
        <v>307</v>
      </c>
      <c r="AG73" s="23">
        <f t="shared" si="37"/>
        <v>0</v>
      </c>
      <c r="AH73" s="23">
        <f t="shared" si="37"/>
        <v>182</v>
      </c>
      <c r="AI73" s="23"/>
      <c r="AJ73" s="24">
        <f t="shared" si="29"/>
        <v>9341</v>
      </c>
    </row>
    <row r="74" spans="1:38" ht="15" customHeight="1">
      <c r="A74" s="99"/>
      <c r="B74" s="99"/>
      <c r="C74" s="513" t="s">
        <v>135</v>
      </c>
      <c r="D74" s="501"/>
      <c r="E74" s="23">
        <f t="shared" ref="E74:AH74" si="38">SUM(E66,E68,E70,E72)</f>
        <v>0</v>
      </c>
      <c r="F74" s="23">
        <f t="shared" si="38"/>
        <v>0</v>
      </c>
      <c r="G74" s="23">
        <f t="shared" si="38"/>
        <v>0</v>
      </c>
      <c r="H74" s="23">
        <f t="shared" si="38"/>
        <v>0</v>
      </c>
      <c r="I74" s="23">
        <f t="shared" si="38"/>
        <v>0</v>
      </c>
      <c r="J74" s="23">
        <f t="shared" si="38"/>
        <v>0</v>
      </c>
      <c r="K74" s="23">
        <f t="shared" si="38"/>
        <v>0</v>
      </c>
      <c r="L74" s="23">
        <f t="shared" si="38"/>
        <v>20</v>
      </c>
      <c r="M74" s="23">
        <f t="shared" si="38"/>
        <v>0</v>
      </c>
      <c r="N74" s="23">
        <f t="shared" si="38"/>
        <v>0</v>
      </c>
      <c r="O74" s="23">
        <f t="shared" si="38"/>
        <v>0</v>
      </c>
      <c r="P74" s="23">
        <f t="shared" si="38"/>
        <v>-20</v>
      </c>
      <c r="Q74" s="23">
        <f t="shared" si="38"/>
        <v>0</v>
      </c>
      <c r="R74" s="23">
        <f t="shared" si="38"/>
        <v>0</v>
      </c>
      <c r="S74" s="23">
        <f t="shared" si="38"/>
        <v>0</v>
      </c>
      <c r="T74" s="23">
        <f t="shared" si="38"/>
        <v>0</v>
      </c>
      <c r="U74" s="23">
        <f t="shared" si="38"/>
        <v>0</v>
      </c>
      <c r="V74" s="23">
        <f t="shared" si="38"/>
        <v>0</v>
      </c>
      <c r="W74" s="23">
        <f t="shared" si="38"/>
        <v>0</v>
      </c>
      <c r="X74" s="23">
        <f t="shared" si="38"/>
        <v>0</v>
      </c>
      <c r="Y74" s="23">
        <f t="shared" si="38"/>
        <v>24</v>
      </c>
      <c r="Z74" s="23">
        <f t="shared" si="38"/>
        <v>0</v>
      </c>
      <c r="AA74" s="23">
        <f t="shared" si="38"/>
        <v>0</v>
      </c>
      <c r="AB74" s="23">
        <f t="shared" si="38"/>
        <v>0</v>
      </c>
      <c r="AC74" s="23">
        <f t="shared" si="38"/>
        <v>0</v>
      </c>
      <c r="AD74" s="23">
        <f t="shared" si="38"/>
        <v>0</v>
      </c>
      <c r="AE74" s="23">
        <f t="shared" si="38"/>
        <v>0</v>
      </c>
      <c r="AF74" s="23">
        <f t="shared" si="38"/>
        <v>0</v>
      </c>
      <c r="AG74" s="23">
        <f t="shared" si="38"/>
        <v>0</v>
      </c>
      <c r="AH74" s="23">
        <f t="shared" si="38"/>
        <v>0</v>
      </c>
      <c r="AI74" s="23"/>
      <c r="AJ74" s="24">
        <f t="shared" si="29"/>
        <v>24</v>
      </c>
    </row>
    <row r="75" spans="1:38">
      <c r="A75" s="2">
        <v>1</v>
      </c>
      <c r="B75" s="2" t="s">
        <v>129</v>
      </c>
      <c r="C75" s="503" t="s">
        <v>123</v>
      </c>
      <c r="D75" s="501"/>
      <c r="E75" s="102">
        <f t="shared" ref="E75:AH75" si="39">E32-D32</f>
        <v>1573</v>
      </c>
      <c r="F75" s="102">
        <f t="shared" si="39"/>
        <v>1061</v>
      </c>
      <c r="G75" s="102">
        <f t="shared" si="39"/>
        <v>1013</v>
      </c>
      <c r="H75" s="102">
        <f t="shared" si="39"/>
        <v>945</v>
      </c>
      <c r="I75" s="102">
        <f t="shared" si="39"/>
        <v>1035</v>
      </c>
      <c r="J75" s="102">
        <f t="shared" si="39"/>
        <v>1063</v>
      </c>
      <c r="K75" s="102">
        <f t="shared" si="39"/>
        <v>441</v>
      </c>
      <c r="L75" s="102">
        <f t="shared" si="39"/>
        <v>0</v>
      </c>
      <c r="M75" s="102">
        <f t="shared" si="39"/>
        <v>1274</v>
      </c>
      <c r="N75" s="102">
        <f t="shared" si="39"/>
        <v>968</v>
      </c>
      <c r="O75" s="102">
        <f t="shared" si="39"/>
        <v>1010</v>
      </c>
      <c r="P75" s="102">
        <f t="shared" si="39"/>
        <v>1099</v>
      </c>
      <c r="Q75" s="102">
        <f t="shared" si="39"/>
        <v>1170</v>
      </c>
      <c r="R75" s="102">
        <f t="shared" si="39"/>
        <v>546</v>
      </c>
      <c r="S75" s="102">
        <f t="shared" si="39"/>
        <v>0</v>
      </c>
      <c r="T75" s="102">
        <f t="shared" si="39"/>
        <v>1329</v>
      </c>
      <c r="U75" s="102">
        <f t="shared" si="39"/>
        <v>1163</v>
      </c>
      <c r="V75" s="102">
        <f t="shared" si="39"/>
        <v>1185</v>
      </c>
      <c r="W75" s="102">
        <f t="shared" si="39"/>
        <v>1072</v>
      </c>
      <c r="X75" s="102">
        <f t="shared" si="39"/>
        <v>1162</v>
      </c>
      <c r="Y75" s="102">
        <f t="shared" si="39"/>
        <v>615</v>
      </c>
      <c r="Z75" s="102">
        <f t="shared" si="39"/>
        <v>0</v>
      </c>
      <c r="AA75" s="102">
        <f t="shared" si="39"/>
        <v>1329</v>
      </c>
      <c r="AB75" s="102">
        <f t="shared" si="39"/>
        <v>1133</v>
      </c>
      <c r="AC75" s="102">
        <f t="shared" si="39"/>
        <v>984</v>
      </c>
      <c r="AD75" s="102">
        <f t="shared" si="39"/>
        <v>1309</v>
      </c>
      <c r="AE75" s="102">
        <f t="shared" si="39"/>
        <v>1096</v>
      </c>
      <c r="AF75" s="102">
        <f t="shared" si="39"/>
        <v>615</v>
      </c>
      <c r="AG75" s="102">
        <f t="shared" si="39"/>
        <v>0</v>
      </c>
      <c r="AH75" s="102">
        <f t="shared" si="39"/>
        <v>1293</v>
      </c>
      <c r="AI75" s="102"/>
      <c r="AJ75" s="102">
        <f t="shared" si="29"/>
        <v>27483</v>
      </c>
    </row>
    <row r="76" spans="1:38">
      <c r="A76" s="2">
        <v>2</v>
      </c>
      <c r="B76" s="2" t="s">
        <v>129</v>
      </c>
      <c r="C76" s="503" t="s">
        <v>124</v>
      </c>
      <c r="D76" s="501"/>
      <c r="E76" s="102">
        <f t="shared" ref="E76:AH76" si="40">E33-D33</f>
        <v>1130</v>
      </c>
      <c r="F76" s="102">
        <f t="shared" si="40"/>
        <v>913</v>
      </c>
      <c r="G76" s="102">
        <f t="shared" si="40"/>
        <v>788</v>
      </c>
      <c r="H76" s="102">
        <f t="shared" si="40"/>
        <v>660</v>
      </c>
      <c r="I76" s="102">
        <f t="shared" si="40"/>
        <v>702</v>
      </c>
      <c r="J76" s="102">
        <f t="shared" si="40"/>
        <v>681</v>
      </c>
      <c r="K76" s="102">
        <f t="shared" si="40"/>
        <v>495</v>
      </c>
      <c r="L76" s="102">
        <f t="shared" si="40"/>
        <v>0</v>
      </c>
      <c r="M76" s="102">
        <f t="shared" si="40"/>
        <v>1053</v>
      </c>
      <c r="N76" s="102">
        <f t="shared" si="40"/>
        <v>810</v>
      </c>
      <c r="O76" s="102">
        <f t="shared" si="40"/>
        <v>873</v>
      </c>
      <c r="P76" s="102">
        <f t="shared" si="40"/>
        <v>795</v>
      </c>
      <c r="Q76" s="102">
        <f t="shared" si="40"/>
        <v>808</v>
      </c>
      <c r="R76" s="102">
        <f t="shared" si="40"/>
        <v>664</v>
      </c>
      <c r="S76" s="102">
        <f t="shared" si="40"/>
        <v>0</v>
      </c>
      <c r="T76" s="102">
        <f t="shared" si="40"/>
        <v>1015</v>
      </c>
      <c r="U76" s="102">
        <f t="shared" si="40"/>
        <v>755</v>
      </c>
      <c r="V76" s="102">
        <f t="shared" si="40"/>
        <v>767</v>
      </c>
      <c r="W76" s="102">
        <f t="shared" si="40"/>
        <v>785</v>
      </c>
      <c r="X76" s="102">
        <f t="shared" si="40"/>
        <v>759</v>
      </c>
      <c r="Y76" s="102">
        <f t="shared" si="40"/>
        <v>601</v>
      </c>
      <c r="Z76" s="102">
        <f t="shared" si="40"/>
        <v>0</v>
      </c>
      <c r="AA76" s="102">
        <f t="shared" si="40"/>
        <v>1161</v>
      </c>
      <c r="AB76" s="102">
        <f t="shared" si="40"/>
        <v>823</v>
      </c>
      <c r="AC76" s="102">
        <f t="shared" si="40"/>
        <v>676</v>
      </c>
      <c r="AD76" s="102">
        <f t="shared" si="40"/>
        <v>915</v>
      </c>
      <c r="AE76" s="102">
        <f t="shared" si="40"/>
        <v>733</v>
      </c>
      <c r="AF76" s="102">
        <f t="shared" si="40"/>
        <v>516</v>
      </c>
      <c r="AG76" s="102">
        <f t="shared" si="40"/>
        <v>0</v>
      </c>
      <c r="AH76" s="102">
        <f t="shared" si="40"/>
        <v>884</v>
      </c>
      <c r="AI76" s="102"/>
      <c r="AJ76" s="102">
        <f t="shared" si="29"/>
        <v>20762</v>
      </c>
    </row>
    <row r="77" spans="1:38">
      <c r="A77" s="2">
        <v>3</v>
      </c>
      <c r="B77" s="2" t="s">
        <v>129</v>
      </c>
      <c r="C77" s="503" t="s">
        <v>125</v>
      </c>
      <c r="D77" s="501"/>
      <c r="E77" s="102">
        <f t="shared" ref="E77:AH77" si="41">E34-D34</f>
        <v>1461</v>
      </c>
      <c r="F77" s="102">
        <f t="shared" si="41"/>
        <v>1051</v>
      </c>
      <c r="G77" s="102">
        <f t="shared" si="41"/>
        <v>751</v>
      </c>
      <c r="H77" s="102">
        <f t="shared" si="41"/>
        <v>644</v>
      </c>
      <c r="I77" s="102">
        <f t="shared" si="41"/>
        <v>501</v>
      </c>
      <c r="J77" s="102">
        <f t="shared" si="41"/>
        <v>595</v>
      </c>
      <c r="K77" s="102">
        <f t="shared" si="41"/>
        <v>659</v>
      </c>
      <c r="L77" s="102">
        <f t="shared" si="41"/>
        <v>0</v>
      </c>
      <c r="M77" s="102">
        <f t="shared" si="41"/>
        <v>1388</v>
      </c>
      <c r="N77" s="102">
        <f t="shared" si="41"/>
        <v>1151</v>
      </c>
      <c r="O77" s="102">
        <f t="shared" si="41"/>
        <v>1196</v>
      </c>
      <c r="P77" s="102">
        <f t="shared" si="41"/>
        <v>1035</v>
      </c>
      <c r="Q77" s="102">
        <f t="shared" si="41"/>
        <v>1203</v>
      </c>
      <c r="R77" s="102">
        <f t="shared" si="41"/>
        <v>732</v>
      </c>
      <c r="S77" s="102">
        <f t="shared" si="41"/>
        <v>0</v>
      </c>
      <c r="T77" s="102">
        <f t="shared" si="41"/>
        <v>1275</v>
      </c>
      <c r="U77" s="102">
        <f t="shared" si="41"/>
        <v>1047</v>
      </c>
      <c r="V77" s="102">
        <f t="shared" si="41"/>
        <v>1058</v>
      </c>
      <c r="W77" s="102">
        <f t="shared" si="41"/>
        <v>1101</v>
      </c>
      <c r="X77" s="102">
        <f t="shared" si="41"/>
        <v>1229</v>
      </c>
      <c r="Y77" s="102">
        <f t="shared" si="41"/>
        <v>605</v>
      </c>
      <c r="Z77" s="102">
        <f t="shared" si="41"/>
        <v>0</v>
      </c>
      <c r="AA77" s="102">
        <f t="shared" si="41"/>
        <v>1466</v>
      </c>
      <c r="AB77" s="102">
        <f t="shared" si="41"/>
        <v>974</v>
      </c>
      <c r="AC77" s="102">
        <f t="shared" si="41"/>
        <v>867</v>
      </c>
      <c r="AD77" s="102">
        <f t="shared" si="41"/>
        <v>1029</v>
      </c>
      <c r="AE77" s="102">
        <f t="shared" si="41"/>
        <v>893</v>
      </c>
      <c r="AF77" s="102">
        <f t="shared" si="41"/>
        <v>684</v>
      </c>
      <c r="AG77" s="102">
        <f t="shared" si="41"/>
        <v>0</v>
      </c>
      <c r="AH77" s="102">
        <f t="shared" si="41"/>
        <v>1167</v>
      </c>
      <c r="AI77" s="102"/>
      <c r="AJ77" s="102">
        <f t="shared" si="29"/>
        <v>25762</v>
      </c>
    </row>
    <row r="78" spans="1:38">
      <c r="A78" s="2">
        <v>4</v>
      </c>
      <c r="B78" s="2" t="s">
        <v>129</v>
      </c>
      <c r="C78" s="503" t="s">
        <v>126</v>
      </c>
      <c r="D78" s="501"/>
      <c r="E78" s="102">
        <f t="shared" ref="E78:AH78" si="42">E35-D35</f>
        <v>1490</v>
      </c>
      <c r="F78" s="102">
        <f t="shared" si="42"/>
        <v>1064</v>
      </c>
      <c r="G78" s="102">
        <f t="shared" si="42"/>
        <v>1017</v>
      </c>
      <c r="H78" s="102">
        <f t="shared" si="42"/>
        <v>931</v>
      </c>
      <c r="I78" s="102">
        <f t="shared" si="42"/>
        <v>1007</v>
      </c>
      <c r="J78" s="102">
        <f t="shared" si="42"/>
        <v>992</v>
      </c>
      <c r="K78" s="102">
        <f t="shared" si="42"/>
        <v>423</v>
      </c>
      <c r="L78" s="102">
        <f t="shared" si="42"/>
        <v>0</v>
      </c>
      <c r="M78" s="102">
        <f t="shared" si="42"/>
        <v>1206</v>
      </c>
      <c r="N78" s="102">
        <f t="shared" si="42"/>
        <v>928</v>
      </c>
      <c r="O78" s="102">
        <f t="shared" si="42"/>
        <v>943</v>
      </c>
      <c r="P78" s="102">
        <f t="shared" si="42"/>
        <v>986</v>
      </c>
      <c r="Q78" s="102">
        <f t="shared" si="42"/>
        <v>1025</v>
      </c>
      <c r="R78" s="102">
        <f t="shared" si="42"/>
        <v>499</v>
      </c>
      <c r="S78" s="102">
        <f t="shared" si="42"/>
        <v>0</v>
      </c>
      <c r="T78" s="102">
        <f t="shared" si="42"/>
        <v>1191</v>
      </c>
      <c r="U78" s="102">
        <f t="shared" si="42"/>
        <v>1169</v>
      </c>
      <c r="V78" s="102">
        <f t="shared" si="42"/>
        <v>1030</v>
      </c>
      <c r="W78" s="102">
        <f t="shared" si="42"/>
        <v>926</v>
      </c>
      <c r="X78" s="102">
        <f t="shared" si="42"/>
        <v>992</v>
      </c>
      <c r="Y78" s="102">
        <f t="shared" si="42"/>
        <v>577</v>
      </c>
      <c r="Z78" s="102">
        <f t="shared" si="42"/>
        <v>0</v>
      </c>
      <c r="AA78" s="102">
        <f t="shared" si="42"/>
        <v>1374</v>
      </c>
      <c r="AB78" s="102">
        <f t="shared" si="42"/>
        <v>1090</v>
      </c>
      <c r="AC78" s="102">
        <f t="shared" si="42"/>
        <v>910</v>
      </c>
      <c r="AD78" s="102">
        <f t="shared" si="42"/>
        <v>1280</v>
      </c>
      <c r="AE78" s="102">
        <f t="shared" si="42"/>
        <v>1052</v>
      </c>
      <c r="AF78" s="102">
        <f t="shared" si="42"/>
        <v>586</v>
      </c>
      <c r="AG78" s="102">
        <f t="shared" si="42"/>
        <v>0</v>
      </c>
      <c r="AH78" s="102">
        <f t="shared" si="42"/>
        <v>1263</v>
      </c>
      <c r="AI78" s="102"/>
      <c r="AJ78" s="102">
        <f t="shared" si="29"/>
        <v>25951</v>
      </c>
    </row>
    <row r="79" spans="1:38" ht="15" customHeight="1">
      <c r="A79" s="99"/>
      <c r="B79" s="99"/>
      <c r="C79" s="500" t="s">
        <v>136</v>
      </c>
      <c r="D79" s="501"/>
      <c r="E79" s="23">
        <f t="shared" ref="E79:AH79" si="43">SUM(E75:E78)</f>
        <v>5654</v>
      </c>
      <c r="F79" s="23">
        <f t="shared" si="43"/>
        <v>4089</v>
      </c>
      <c r="G79" s="23">
        <f t="shared" si="43"/>
        <v>3569</v>
      </c>
      <c r="H79" s="23">
        <f t="shared" si="43"/>
        <v>3180</v>
      </c>
      <c r="I79" s="23">
        <f t="shared" si="43"/>
        <v>3245</v>
      </c>
      <c r="J79" s="23">
        <f t="shared" si="43"/>
        <v>3331</v>
      </c>
      <c r="K79" s="23">
        <f t="shared" si="43"/>
        <v>2018</v>
      </c>
      <c r="L79" s="23">
        <f t="shared" si="43"/>
        <v>0</v>
      </c>
      <c r="M79" s="23">
        <f t="shared" si="43"/>
        <v>4921</v>
      </c>
      <c r="N79" s="23">
        <f t="shared" si="43"/>
        <v>3857</v>
      </c>
      <c r="O79" s="23">
        <f t="shared" si="43"/>
        <v>4022</v>
      </c>
      <c r="P79" s="23">
        <f t="shared" si="43"/>
        <v>3915</v>
      </c>
      <c r="Q79" s="23">
        <f t="shared" si="43"/>
        <v>4206</v>
      </c>
      <c r="R79" s="23">
        <f t="shared" si="43"/>
        <v>2441</v>
      </c>
      <c r="S79" s="23">
        <f t="shared" si="43"/>
        <v>0</v>
      </c>
      <c r="T79" s="23">
        <f t="shared" si="43"/>
        <v>4810</v>
      </c>
      <c r="U79" s="23">
        <f t="shared" si="43"/>
        <v>4134</v>
      </c>
      <c r="V79" s="23">
        <f t="shared" si="43"/>
        <v>4040</v>
      </c>
      <c r="W79" s="23">
        <f t="shared" si="43"/>
        <v>3884</v>
      </c>
      <c r="X79" s="23">
        <f t="shared" si="43"/>
        <v>4142</v>
      </c>
      <c r="Y79" s="23">
        <f t="shared" si="43"/>
        <v>2398</v>
      </c>
      <c r="Z79" s="23">
        <f t="shared" si="43"/>
        <v>0</v>
      </c>
      <c r="AA79" s="23">
        <f t="shared" si="43"/>
        <v>5330</v>
      </c>
      <c r="AB79" s="23">
        <f t="shared" si="43"/>
        <v>4020</v>
      </c>
      <c r="AC79" s="23">
        <f t="shared" si="43"/>
        <v>3437</v>
      </c>
      <c r="AD79" s="23">
        <f t="shared" si="43"/>
        <v>4533</v>
      </c>
      <c r="AE79" s="23">
        <f t="shared" si="43"/>
        <v>3774</v>
      </c>
      <c r="AF79" s="23">
        <f t="shared" si="43"/>
        <v>2401</v>
      </c>
      <c r="AG79" s="23">
        <f t="shared" si="43"/>
        <v>0</v>
      </c>
      <c r="AH79" s="23">
        <f t="shared" si="43"/>
        <v>4607</v>
      </c>
      <c r="AI79" s="23"/>
      <c r="AJ79" s="24">
        <f>SUM(AJ75:AJ78)</f>
        <v>99958</v>
      </c>
    </row>
  </sheetData>
  <mergeCells count="49">
    <mergeCell ref="AJ40:AJ43"/>
    <mergeCell ref="C62:D62"/>
    <mergeCell ref="C68:D68"/>
    <mergeCell ref="C58:D58"/>
    <mergeCell ref="C40:D43"/>
    <mergeCell ref="C45:D45"/>
    <mergeCell ref="C67:D67"/>
    <mergeCell ref="C57:D57"/>
    <mergeCell ref="C66:D66"/>
    <mergeCell ref="C53:D53"/>
    <mergeCell ref="AJ2:AJ5"/>
    <mergeCell ref="E1:AH1"/>
    <mergeCell ref="C74:D74"/>
    <mergeCell ref="B2:B5"/>
    <mergeCell ref="C64:D64"/>
    <mergeCell ref="A1:D1"/>
    <mergeCell ref="A22:AJ22"/>
    <mergeCell ref="C60:D60"/>
    <mergeCell ref="C51:D51"/>
    <mergeCell ref="A2:A5"/>
    <mergeCell ref="C71:D71"/>
    <mergeCell ref="C2:C5"/>
    <mergeCell ref="C52:D52"/>
    <mergeCell ref="C70:D70"/>
    <mergeCell ref="C48:D48"/>
    <mergeCell ref="A31:AJ31"/>
    <mergeCell ref="B38:D38"/>
    <mergeCell ref="D2:D5"/>
    <mergeCell ref="C73:D73"/>
    <mergeCell ref="C47:D47"/>
    <mergeCell ref="C54:D54"/>
    <mergeCell ref="C65:D65"/>
    <mergeCell ref="C55:D55"/>
    <mergeCell ref="C50:D50"/>
    <mergeCell ref="C44:D44"/>
    <mergeCell ref="C56:D56"/>
    <mergeCell ref="C59:D59"/>
    <mergeCell ref="C49:D49"/>
    <mergeCell ref="C46:D46"/>
    <mergeCell ref="B40:B43"/>
    <mergeCell ref="C72:D72"/>
    <mergeCell ref="B39:D39"/>
    <mergeCell ref="C78:D78"/>
    <mergeCell ref="C69:D69"/>
    <mergeCell ref="A40:A43"/>
    <mergeCell ref="C79:D79"/>
    <mergeCell ref="C75:D75"/>
    <mergeCell ref="C77:D77"/>
    <mergeCell ref="C76:D7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L79"/>
  <sheetViews>
    <sheetView topLeftCell="H42" zoomScale="85" zoomScaleNormal="85" workbookViewId="0">
      <selection activeCell="E79" sqref="E79"/>
    </sheetView>
  </sheetViews>
  <sheetFormatPr defaultRowHeight="14.5"/>
  <cols>
    <col min="1" max="1" width="14" customWidth="1"/>
    <col min="2" max="2" width="27" customWidth="1"/>
    <col min="3" max="3" width="32" bestFit="1" customWidth="1"/>
    <col min="4" max="4" width="20" bestFit="1" customWidth="1"/>
    <col min="5" max="6" width="23" bestFit="1" customWidth="1"/>
    <col min="7" max="13" width="23" customWidth="1"/>
    <col min="14" max="14" width="23" bestFit="1" customWidth="1"/>
    <col min="15" max="15" width="23" customWidth="1"/>
    <col min="16" max="16" width="23" bestFit="1" customWidth="1"/>
    <col min="17" max="23" width="23" customWidth="1"/>
    <col min="24" max="26" width="23" bestFit="1" customWidth="1"/>
    <col min="27" max="34" width="23" customWidth="1"/>
    <col min="35" max="35" width="23" bestFit="1" customWidth="1"/>
    <col min="36" max="36" width="18" bestFit="1" customWidth="1"/>
    <col min="37" max="37" width="14" customWidth="1"/>
    <col min="38" max="38" width="18" customWidth="1"/>
  </cols>
  <sheetData>
    <row r="1" spans="1:36" ht="26" customHeight="1">
      <c r="A1" s="573"/>
      <c r="B1" s="526"/>
      <c r="C1" s="526"/>
      <c r="D1" s="527"/>
      <c r="E1" s="581" t="s">
        <v>178</v>
      </c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  <c r="AI1" s="159"/>
      <c r="AJ1" s="50"/>
    </row>
    <row r="2" spans="1:36" ht="26.25" customHeight="1">
      <c r="A2" s="510" t="s">
        <v>99</v>
      </c>
      <c r="B2" s="510" t="s">
        <v>100</v>
      </c>
      <c r="C2" s="580" t="s">
        <v>101</v>
      </c>
      <c r="D2" s="572" t="s">
        <v>102</v>
      </c>
      <c r="E2" s="51">
        <v>45778</v>
      </c>
      <c r="F2" s="51">
        <v>45779</v>
      </c>
      <c r="G2" s="51">
        <v>45780</v>
      </c>
      <c r="H2" s="51">
        <v>45781</v>
      </c>
      <c r="I2" s="51">
        <v>45782</v>
      </c>
      <c r="J2" s="51">
        <v>45783</v>
      </c>
      <c r="K2" s="51">
        <v>45784</v>
      </c>
      <c r="L2" s="51">
        <v>45785</v>
      </c>
      <c r="M2" s="51">
        <v>45786</v>
      </c>
      <c r="N2" s="51">
        <v>45787</v>
      </c>
      <c r="O2" s="51">
        <v>45788</v>
      </c>
      <c r="P2" s="51">
        <v>45789</v>
      </c>
      <c r="Q2" s="51">
        <v>45790</v>
      </c>
      <c r="R2" s="51">
        <v>45791</v>
      </c>
      <c r="S2" s="51">
        <v>45792</v>
      </c>
      <c r="T2" s="51">
        <v>45793</v>
      </c>
      <c r="U2" s="51">
        <v>45794</v>
      </c>
      <c r="V2" s="51">
        <v>45795</v>
      </c>
      <c r="W2" s="51">
        <v>45796</v>
      </c>
      <c r="X2" s="51">
        <v>45797</v>
      </c>
      <c r="Y2" s="51">
        <v>45798</v>
      </c>
      <c r="Z2" s="51">
        <v>45799</v>
      </c>
      <c r="AA2" s="51">
        <v>45800</v>
      </c>
      <c r="AB2" s="51">
        <v>45801</v>
      </c>
      <c r="AC2" s="51">
        <v>45802</v>
      </c>
      <c r="AD2" s="51">
        <v>45803</v>
      </c>
      <c r="AE2" s="51">
        <v>45804</v>
      </c>
      <c r="AF2" s="51">
        <v>45805</v>
      </c>
      <c r="AG2" s="51">
        <v>45806</v>
      </c>
      <c r="AH2" s="51">
        <v>45807</v>
      </c>
      <c r="AI2" s="51">
        <v>45808</v>
      </c>
      <c r="AJ2" s="514" t="s">
        <v>1</v>
      </c>
    </row>
    <row r="3" spans="1:36">
      <c r="A3" s="511"/>
      <c r="B3" s="511"/>
      <c r="C3" s="511"/>
      <c r="D3" s="511"/>
      <c r="E3" s="52" t="s">
        <v>171</v>
      </c>
      <c r="F3" s="52" t="s">
        <v>172</v>
      </c>
      <c r="G3" s="52" t="s">
        <v>173</v>
      </c>
      <c r="H3" s="52" t="s">
        <v>174</v>
      </c>
      <c r="I3" s="52" t="s">
        <v>175</v>
      </c>
      <c r="J3" s="52" t="s">
        <v>169</v>
      </c>
      <c r="K3" s="52" t="s">
        <v>170</v>
      </c>
      <c r="L3" s="52" t="s">
        <v>171</v>
      </c>
      <c r="M3" s="52" t="s">
        <v>172</v>
      </c>
      <c r="N3" s="52" t="s">
        <v>173</v>
      </c>
      <c r="O3" s="52" t="s">
        <v>174</v>
      </c>
      <c r="P3" s="52" t="s">
        <v>175</v>
      </c>
      <c r="Q3" s="52" t="s">
        <v>169</v>
      </c>
      <c r="R3" s="52" t="s">
        <v>170</v>
      </c>
      <c r="S3" s="52" t="s">
        <v>171</v>
      </c>
      <c r="T3" s="52" t="s">
        <v>172</v>
      </c>
      <c r="U3" s="52" t="s">
        <v>173</v>
      </c>
      <c r="V3" s="52" t="s">
        <v>174</v>
      </c>
      <c r="W3" s="52" t="s">
        <v>175</v>
      </c>
      <c r="X3" s="52" t="s">
        <v>169</v>
      </c>
      <c r="Y3" s="52" t="s">
        <v>170</v>
      </c>
      <c r="Z3" s="52" t="s">
        <v>171</v>
      </c>
      <c r="AA3" s="52" t="s">
        <v>172</v>
      </c>
      <c r="AB3" s="52" t="s">
        <v>173</v>
      </c>
      <c r="AC3" s="52" t="s">
        <v>174</v>
      </c>
      <c r="AD3" s="52" t="s">
        <v>175</v>
      </c>
      <c r="AE3" s="52" t="s">
        <v>169</v>
      </c>
      <c r="AF3" s="52" t="s">
        <v>170</v>
      </c>
      <c r="AG3" s="52" t="s">
        <v>171</v>
      </c>
      <c r="AH3" s="52" t="s">
        <v>172</v>
      </c>
      <c r="AI3" s="52" t="s">
        <v>173</v>
      </c>
      <c r="AJ3" s="511"/>
    </row>
    <row r="4" spans="1:36">
      <c r="A4" s="511"/>
      <c r="B4" s="511"/>
      <c r="C4" s="511"/>
      <c r="D4" s="511"/>
      <c r="E4" s="52" t="s">
        <v>110</v>
      </c>
      <c r="F4" s="52" t="s">
        <v>110</v>
      </c>
      <c r="G4" s="52" t="s">
        <v>110</v>
      </c>
      <c r="H4" s="52" t="s">
        <v>110</v>
      </c>
      <c r="I4" s="52" t="s">
        <v>110</v>
      </c>
      <c r="J4" s="52" t="s">
        <v>110</v>
      </c>
      <c r="K4" s="52" t="s">
        <v>110</v>
      </c>
      <c r="L4" s="52" t="s">
        <v>110</v>
      </c>
      <c r="M4" s="52" t="s">
        <v>110</v>
      </c>
      <c r="N4" s="52" t="s">
        <v>110</v>
      </c>
      <c r="O4" s="52" t="s">
        <v>110</v>
      </c>
      <c r="P4" s="52" t="s">
        <v>110</v>
      </c>
      <c r="Q4" s="52" t="s">
        <v>110</v>
      </c>
      <c r="R4" s="52" t="s">
        <v>110</v>
      </c>
      <c r="S4" s="52" t="s">
        <v>110</v>
      </c>
      <c r="T4" s="52" t="s">
        <v>110</v>
      </c>
      <c r="U4" s="52" t="s">
        <v>110</v>
      </c>
      <c r="V4" s="52" t="s">
        <v>110</v>
      </c>
      <c r="W4" s="52" t="s">
        <v>110</v>
      </c>
      <c r="X4" s="52" t="s">
        <v>110</v>
      </c>
      <c r="Y4" s="52" t="s">
        <v>110</v>
      </c>
      <c r="Z4" s="52" t="s">
        <v>110</v>
      </c>
      <c r="AA4" s="52" t="s">
        <v>110</v>
      </c>
      <c r="AB4" s="52" t="s">
        <v>110</v>
      </c>
      <c r="AC4" s="52" t="s">
        <v>110</v>
      </c>
      <c r="AD4" s="52" t="s">
        <v>110</v>
      </c>
      <c r="AE4" s="52" t="s">
        <v>110</v>
      </c>
      <c r="AF4" s="52" t="s">
        <v>110</v>
      </c>
      <c r="AG4" s="52" t="s">
        <v>110</v>
      </c>
      <c r="AH4" s="52" t="s">
        <v>110</v>
      </c>
      <c r="AI4" s="52" t="s">
        <v>110</v>
      </c>
      <c r="AJ4" s="511"/>
    </row>
    <row r="5" spans="1:36">
      <c r="A5" s="512"/>
      <c r="B5" s="512"/>
      <c r="C5" s="512"/>
      <c r="D5" s="512"/>
      <c r="E5" s="53">
        <v>0.33333333333333331</v>
      </c>
      <c r="F5" s="53">
        <v>0.33333333333333331</v>
      </c>
      <c r="G5" s="53">
        <v>0.33333333333333331</v>
      </c>
      <c r="H5" s="53">
        <v>0.33333333333333331</v>
      </c>
      <c r="I5" s="53">
        <v>0.33333333333333331</v>
      </c>
      <c r="J5" s="53">
        <v>0.33333333333333331</v>
      </c>
      <c r="K5" s="53">
        <v>0.33333333333333331</v>
      </c>
      <c r="L5" s="53">
        <v>0.33333333333333331</v>
      </c>
      <c r="M5" s="53">
        <v>0.33333333333333331</v>
      </c>
      <c r="N5" s="53">
        <v>0.33333333333333331</v>
      </c>
      <c r="O5" s="53">
        <v>0.33333333333333331</v>
      </c>
      <c r="P5" s="53">
        <v>0.33333333333333331</v>
      </c>
      <c r="Q5" s="53">
        <v>0.33333333333333331</v>
      </c>
      <c r="R5" s="53">
        <v>0.33333333333333331</v>
      </c>
      <c r="S5" s="53">
        <v>0.33333333333333331</v>
      </c>
      <c r="T5" s="53">
        <v>0.33333333333333331</v>
      </c>
      <c r="U5" s="53">
        <v>0.33333333333333331</v>
      </c>
      <c r="V5" s="53">
        <v>0.33333333333333331</v>
      </c>
      <c r="W5" s="53">
        <v>0.33333333333333331</v>
      </c>
      <c r="X5" s="53">
        <v>0.33333333333333331</v>
      </c>
      <c r="Y5" s="53">
        <v>0.33333333333333331</v>
      </c>
      <c r="Z5" s="53">
        <v>0.33333333333333331</v>
      </c>
      <c r="AA5" s="53">
        <v>0.33333333333333331</v>
      </c>
      <c r="AB5" s="53">
        <v>0.33333333333333331</v>
      </c>
      <c r="AC5" s="53">
        <v>0.33333333333333331</v>
      </c>
      <c r="AD5" s="53">
        <v>0.33333333333333331</v>
      </c>
      <c r="AE5" s="53">
        <v>0.33333333333333331</v>
      </c>
      <c r="AF5" s="53">
        <v>0.33333333333333331</v>
      </c>
      <c r="AG5" s="53">
        <v>0.33333333333333331</v>
      </c>
      <c r="AH5" s="53">
        <v>0.33333333333333331</v>
      </c>
      <c r="AI5" s="53">
        <v>0.33333333333333331</v>
      </c>
      <c r="AJ5" s="512"/>
    </row>
    <row r="6" spans="1:36">
      <c r="A6" s="48">
        <v>1</v>
      </c>
      <c r="B6" s="4" t="s">
        <v>129</v>
      </c>
      <c r="C6" s="139" t="s">
        <v>111</v>
      </c>
      <c r="D6" s="55">
        <v>106913</v>
      </c>
      <c r="E6" s="4">
        <v>107184</v>
      </c>
      <c r="F6" s="4">
        <v>107435</v>
      </c>
      <c r="G6" s="8">
        <v>107629</v>
      </c>
      <c r="H6" s="5">
        <v>107819</v>
      </c>
      <c r="I6" s="4">
        <v>108087</v>
      </c>
      <c r="J6" s="4">
        <v>108344</v>
      </c>
      <c r="K6" s="4">
        <v>108596</v>
      </c>
      <c r="L6" s="58">
        <v>108856</v>
      </c>
      <c r="M6" s="48">
        <v>109113</v>
      </c>
      <c r="N6" s="59">
        <v>109305</v>
      </c>
      <c r="O6" s="4">
        <v>109509</v>
      </c>
      <c r="P6" s="58">
        <v>109765</v>
      </c>
      <c r="Q6" s="48">
        <v>110014</v>
      </c>
      <c r="R6" s="59">
        <v>110298</v>
      </c>
      <c r="S6" s="4">
        <v>110568</v>
      </c>
      <c r="T6" s="4">
        <v>110819</v>
      </c>
      <c r="U6" s="4">
        <v>111021</v>
      </c>
      <c r="V6" s="125">
        <v>111225</v>
      </c>
      <c r="W6" s="4">
        <v>111494</v>
      </c>
      <c r="X6" s="4">
        <v>111762</v>
      </c>
      <c r="Y6" s="4">
        <v>112036</v>
      </c>
      <c r="Z6" s="4">
        <v>112311</v>
      </c>
      <c r="AA6" s="4">
        <v>112565</v>
      </c>
      <c r="AB6" s="4">
        <v>112770</v>
      </c>
      <c r="AC6" s="4">
        <v>112968</v>
      </c>
      <c r="AD6" s="4">
        <v>113223</v>
      </c>
      <c r="AE6" s="4">
        <v>113491</v>
      </c>
      <c r="AF6" s="4">
        <v>113759</v>
      </c>
      <c r="AG6" s="48">
        <v>114025</v>
      </c>
      <c r="AH6" s="169">
        <v>114282</v>
      </c>
      <c r="AI6" s="48">
        <v>114498</v>
      </c>
      <c r="AJ6" s="57">
        <f t="shared" ref="AJ6:AJ21" si="0">AG6-D6</f>
        <v>7112</v>
      </c>
    </row>
    <row r="7" spans="1:36">
      <c r="A7" s="8"/>
      <c r="B7" s="8"/>
      <c r="C7" s="140" t="s">
        <v>22</v>
      </c>
      <c r="D7" s="45">
        <v>4118</v>
      </c>
      <c r="E7" s="8">
        <v>4118</v>
      </c>
      <c r="F7" s="8">
        <v>4118</v>
      </c>
      <c r="G7" s="8">
        <v>4118</v>
      </c>
      <c r="H7" s="8">
        <v>4118</v>
      </c>
      <c r="I7" s="8">
        <v>4118</v>
      </c>
      <c r="J7" s="8">
        <v>4118</v>
      </c>
      <c r="K7" s="8">
        <v>4118</v>
      </c>
      <c r="L7" s="8">
        <v>4118</v>
      </c>
      <c r="M7" s="8">
        <v>4118</v>
      </c>
      <c r="N7" s="8">
        <v>4118</v>
      </c>
      <c r="O7" s="8">
        <v>4118</v>
      </c>
      <c r="P7" s="8">
        <v>4118</v>
      </c>
      <c r="Q7" s="8">
        <v>4118</v>
      </c>
      <c r="R7" s="8">
        <v>4118</v>
      </c>
      <c r="S7" s="8">
        <v>4122</v>
      </c>
      <c r="T7" s="8">
        <v>4131</v>
      </c>
      <c r="U7" s="8">
        <v>4131</v>
      </c>
      <c r="V7" s="8">
        <v>4131</v>
      </c>
      <c r="W7" s="8">
        <v>4131</v>
      </c>
      <c r="X7" s="8">
        <v>4131</v>
      </c>
      <c r="Y7" s="8">
        <v>4131</v>
      </c>
      <c r="Z7" s="8">
        <v>4131</v>
      </c>
      <c r="AA7" s="8">
        <v>4131</v>
      </c>
      <c r="AB7" s="8">
        <v>4131</v>
      </c>
      <c r="AC7" s="8">
        <v>4131</v>
      </c>
      <c r="AD7" s="8">
        <v>4136</v>
      </c>
      <c r="AE7" s="8">
        <v>4136</v>
      </c>
      <c r="AF7" s="8">
        <v>4136</v>
      </c>
      <c r="AG7" s="8">
        <v>4136</v>
      </c>
      <c r="AH7" s="128">
        <v>4136</v>
      </c>
      <c r="AI7" s="48">
        <v>4144</v>
      </c>
      <c r="AJ7" s="57">
        <f t="shared" si="0"/>
        <v>18</v>
      </c>
    </row>
    <row r="8" spans="1:36">
      <c r="A8" s="4">
        <v>2</v>
      </c>
      <c r="B8" s="4" t="s">
        <v>129</v>
      </c>
      <c r="C8" s="141" t="s">
        <v>112</v>
      </c>
      <c r="D8" s="3">
        <v>1956</v>
      </c>
      <c r="E8" s="4">
        <v>1956</v>
      </c>
      <c r="F8" s="4">
        <v>1956</v>
      </c>
      <c r="G8" s="4">
        <v>1956</v>
      </c>
      <c r="H8" s="4">
        <v>1956</v>
      </c>
      <c r="I8" s="4">
        <v>1956</v>
      </c>
      <c r="J8" s="4">
        <v>1956</v>
      </c>
      <c r="K8" s="4">
        <v>1956</v>
      </c>
      <c r="L8" s="4">
        <v>1956</v>
      </c>
      <c r="M8" s="4">
        <v>1956</v>
      </c>
      <c r="N8" s="4">
        <v>1956</v>
      </c>
      <c r="O8" s="4">
        <v>1956</v>
      </c>
      <c r="P8" s="4">
        <v>1956</v>
      </c>
      <c r="Q8" s="4">
        <v>1956</v>
      </c>
      <c r="R8" s="4">
        <v>1956</v>
      </c>
      <c r="S8" s="4">
        <v>1956</v>
      </c>
      <c r="T8" s="4">
        <v>1956</v>
      </c>
      <c r="U8" s="4">
        <v>1956</v>
      </c>
      <c r="V8" s="4">
        <v>1956</v>
      </c>
      <c r="W8" s="4">
        <v>1956</v>
      </c>
      <c r="X8" s="4">
        <v>1956</v>
      </c>
      <c r="Y8" s="4">
        <v>1956</v>
      </c>
      <c r="Z8" s="4">
        <v>1956</v>
      </c>
      <c r="AA8" s="4">
        <v>1956</v>
      </c>
      <c r="AB8" s="4">
        <v>1956</v>
      </c>
      <c r="AC8" s="4">
        <v>1956</v>
      </c>
      <c r="AD8" s="4">
        <v>1956</v>
      </c>
      <c r="AE8" s="4">
        <v>1956</v>
      </c>
      <c r="AF8" s="4">
        <v>1956</v>
      </c>
      <c r="AG8" s="4">
        <v>1956</v>
      </c>
      <c r="AH8" s="4">
        <v>1956</v>
      </c>
      <c r="AI8" s="4">
        <v>1956</v>
      </c>
      <c r="AJ8" s="57">
        <f t="shared" si="0"/>
        <v>0</v>
      </c>
    </row>
    <row r="9" spans="1:36">
      <c r="A9" s="4"/>
      <c r="B9" s="4"/>
      <c r="C9" s="140" t="s">
        <v>22</v>
      </c>
      <c r="D9" s="3">
        <v>28.6</v>
      </c>
      <c r="E9" s="4">
        <v>28.6</v>
      </c>
      <c r="F9" s="4">
        <v>28.6</v>
      </c>
      <c r="G9" s="4">
        <v>28.6</v>
      </c>
      <c r="H9" s="4">
        <v>28.6</v>
      </c>
      <c r="I9" s="4">
        <v>28.6</v>
      </c>
      <c r="J9" s="4">
        <v>28.6</v>
      </c>
      <c r="K9" s="4">
        <v>28.6</v>
      </c>
      <c r="L9" s="4">
        <v>28.6</v>
      </c>
      <c r="M9" s="4">
        <v>28.6</v>
      </c>
      <c r="N9" s="4">
        <v>28.6</v>
      </c>
      <c r="O9" s="4">
        <v>28.6</v>
      </c>
      <c r="P9" s="4">
        <v>28.6</v>
      </c>
      <c r="Q9" s="4">
        <v>28.6</v>
      </c>
      <c r="R9" s="4">
        <v>28.6</v>
      </c>
      <c r="S9" s="4">
        <v>28.6</v>
      </c>
      <c r="T9" s="4">
        <v>28.6</v>
      </c>
      <c r="U9" s="4">
        <v>28.6</v>
      </c>
      <c r="V9" s="4">
        <v>28.6</v>
      </c>
      <c r="W9" s="4">
        <v>28.6</v>
      </c>
      <c r="X9" s="4">
        <v>28.6</v>
      </c>
      <c r="Y9" s="4">
        <v>28.6</v>
      </c>
      <c r="Z9" s="4">
        <v>28.6</v>
      </c>
      <c r="AA9" s="4">
        <v>28.6</v>
      </c>
      <c r="AB9" s="4">
        <v>28.6</v>
      </c>
      <c r="AC9" s="4">
        <v>28.6</v>
      </c>
      <c r="AD9" s="4">
        <v>28.6</v>
      </c>
      <c r="AE9" s="4">
        <v>28.6</v>
      </c>
      <c r="AF9" s="4">
        <v>28.6</v>
      </c>
      <c r="AG9" s="4">
        <v>28.6</v>
      </c>
      <c r="AH9" s="4">
        <v>28.6</v>
      </c>
      <c r="AI9" s="4">
        <v>28.6</v>
      </c>
      <c r="AJ9" s="57">
        <f t="shared" si="0"/>
        <v>0</v>
      </c>
    </row>
    <row r="10" spans="1:36">
      <c r="A10" s="4">
        <v>3</v>
      </c>
      <c r="B10" s="4" t="s">
        <v>129</v>
      </c>
      <c r="C10" s="141" t="s">
        <v>113</v>
      </c>
      <c r="D10" s="45">
        <v>156211</v>
      </c>
      <c r="E10" s="4">
        <v>156582</v>
      </c>
      <c r="F10" s="4">
        <v>156939</v>
      </c>
      <c r="G10" s="4">
        <v>157193</v>
      </c>
      <c r="H10" s="4">
        <v>157439</v>
      </c>
      <c r="I10" s="4">
        <v>157828</v>
      </c>
      <c r="J10" s="4">
        <v>158204</v>
      </c>
      <c r="K10" s="4">
        <v>158569</v>
      </c>
      <c r="L10" s="4">
        <v>158953</v>
      </c>
      <c r="M10" s="4">
        <v>159320</v>
      </c>
      <c r="N10" s="4">
        <v>159576</v>
      </c>
      <c r="O10" s="4">
        <v>159837</v>
      </c>
      <c r="P10" s="4">
        <v>160220</v>
      </c>
      <c r="Q10" s="4">
        <v>160616</v>
      </c>
      <c r="R10" s="4">
        <v>161007</v>
      </c>
      <c r="S10" s="4">
        <v>161401</v>
      </c>
      <c r="T10" s="4">
        <v>161767</v>
      </c>
      <c r="U10" s="4">
        <v>162033</v>
      </c>
      <c r="V10" s="4">
        <v>162276</v>
      </c>
      <c r="W10" s="4">
        <v>162697</v>
      </c>
      <c r="X10" s="4">
        <v>163092</v>
      </c>
      <c r="Y10" s="4">
        <v>163497</v>
      </c>
      <c r="Z10" s="4">
        <v>163899</v>
      </c>
      <c r="AA10" s="8">
        <v>164272</v>
      </c>
      <c r="AB10" s="8">
        <v>164539</v>
      </c>
      <c r="AC10" s="4">
        <v>164795</v>
      </c>
      <c r="AD10" s="4">
        <v>165259</v>
      </c>
      <c r="AE10" s="8">
        <v>165550</v>
      </c>
      <c r="AF10" s="8">
        <v>165901</v>
      </c>
      <c r="AG10" s="8">
        <v>166335</v>
      </c>
      <c r="AH10" s="128">
        <v>166711</v>
      </c>
      <c r="AI10" s="48">
        <v>166996</v>
      </c>
      <c r="AJ10" s="57">
        <f t="shared" si="0"/>
        <v>10124</v>
      </c>
    </row>
    <row r="11" spans="1:36">
      <c r="A11" s="4"/>
      <c r="B11" s="4"/>
      <c r="C11" s="140" t="s">
        <v>22</v>
      </c>
      <c r="D11" s="3">
        <v>6164</v>
      </c>
      <c r="E11" s="4">
        <v>6164</v>
      </c>
      <c r="F11" s="4">
        <v>6164</v>
      </c>
      <c r="G11" s="4">
        <v>6164</v>
      </c>
      <c r="H11" s="4">
        <v>6164</v>
      </c>
      <c r="I11" s="4">
        <v>6164</v>
      </c>
      <c r="J11" s="4">
        <v>6164</v>
      </c>
      <c r="K11" s="4">
        <v>6164</v>
      </c>
      <c r="L11" s="4">
        <v>6164</v>
      </c>
      <c r="M11" s="4">
        <v>6164</v>
      </c>
      <c r="N11" s="4">
        <v>6164</v>
      </c>
      <c r="O11" s="4">
        <v>6164</v>
      </c>
      <c r="P11" s="4">
        <v>6164</v>
      </c>
      <c r="Q11" s="4">
        <v>6164</v>
      </c>
      <c r="R11" s="4">
        <v>6164</v>
      </c>
      <c r="S11" s="4">
        <v>6169</v>
      </c>
      <c r="T11" s="4">
        <v>6183</v>
      </c>
      <c r="U11" s="4">
        <v>6183</v>
      </c>
      <c r="V11" s="4">
        <v>6183</v>
      </c>
      <c r="W11" s="4">
        <v>6183</v>
      </c>
      <c r="X11" s="4">
        <v>6183</v>
      </c>
      <c r="Y11" s="4">
        <v>6183</v>
      </c>
      <c r="Z11" s="4">
        <v>6183</v>
      </c>
      <c r="AA11" s="4">
        <v>6183</v>
      </c>
      <c r="AB11" s="4">
        <v>6183</v>
      </c>
      <c r="AC11" s="4">
        <v>6183</v>
      </c>
      <c r="AD11" s="4">
        <v>6189</v>
      </c>
      <c r="AE11" s="4">
        <v>6189</v>
      </c>
      <c r="AF11" s="4">
        <v>6189</v>
      </c>
      <c r="AG11" s="4">
        <v>6189</v>
      </c>
      <c r="AH11" s="58">
        <v>6189</v>
      </c>
      <c r="AI11" s="48">
        <v>6200</v>
      </c>
      <c r="AJ11" s="57">
        <f t="shared" si="0"/>
        <v>25</v>
      </c>
    </row>
    <row r="12" spans="1:36">
      <c r="A12" s="4">
        <v>4</v>
      </c>
      <c r="B12" s="4" t="s">
        <v>129</v>
      </c>
      <c r="C12" s="141" t="s">
        <v>114</v>
      </c>
      <c r="D12" s="3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57">
        <f t="shared" si="0"/>
        <v>0</v>
      </c>
    </row>
    <row r="13" spans="1:36">
      <c r="A13" s="4"/>
      <c r="B13" s="4"/>
      <c r="C13" s="140" t="s">
        <v>22</v>
      </c>
      <c r="D13" s="3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57">
        <f t="shared" si="0"/>
        <v>0</v>
      </c>
    </row>
    <row r="14" spans="1:36">
      <c r="A14" s="4">
        <v>5</v>
      </c>
      <c r="B14" s="4" t="s">
        <v>129</v>
      </c>
      <c r="C14" s="141" t="s">
        <v>115</v>
      </c>
      <c r="D14" s="45">
        <v>73751</v>
      </c>
      <c r="E14" s="4">
        <v>73958</v>
      </c>
      <c r="F14" s="4">
        <v>74156</v>
      </c>
      <c r="G14" s="4">
        <v>74293</v>
      </c>
      <c r="H14" s="4">
        <v>74422</v>
      </c>
      <c r="I14" s="4">
        <v>74649</v>
      </c>
      <c r="J14" s="4">
        <v>74874</v>
      </c>
      <c r="K14" s="4">
        <v>75087</v>
      </c>
      <c r="L14" s="4">
        <v>75307</v>
      </c>
      <c r="M14" s="4">
        <v>75513</v>
      </c>
      <c r="N14" s="4">
        <v>75636</v>
      </c>
      <c r="O14" s="4">
        <v>75747</v>
      </c>
      <c r="P14" s="4">
        <v>75956</v>
      </c>
      <c r="Q14" s="4">
        <v>76174</v>
      </c>
      <c r="R14" s="4">
        <v>76395</v>
      </c>
      <c r="S14" s="4">
        <v>76622</v>
      </c>
      <c r="T14" s="4">
        <v>76830</v>
      </c>
      <c r="U14" s="33">
        <v>76943</v>
      </c>
      <c r="V14" s="4">
        <v>77053</v>
      </c>
      <c r="W14" s="4">
        <v>77272</v>
      </c>
      <c r="X14" s="4">
        <v>77492</v>
      </c>
      <c r="Y14" s="4">
        <v>77726</v>
      </c>
      <c r="Z14" s="4">
        <v>77967</v>
      </c>
      <c r="AA14" s="8">
        <v>78185</v>
      </c>
      <c r="AB14" s="8">
        <v>78324</v>
      </c>
      <c r="AC14" s="4">
        <v>78429</v>
      </c>
      <c r="AD14" s="4">
        <v>78638</v>
      </c>
      <c r="AE14" s="8">
        <v>78848</v>
      </c>
      <c r="AF14" s="8">
        <v>79078</v>
      </c>
      <c r="AG14" s="8">
        <v>79294</v>
      </c>
      <c r="AH14" s="128">
        <v>79503</v>
      </c>
      <c r="AI14" s="48">
        <v>79648</v>
      </c>
      <c r="AJ14" s="57">
        <f t="shared" si="0"/>
        <v>5543</v>
      </c>
    </row>
    <row r="15" spans="1:36">
      <c r="A15" s="4"/>
      <c r="B15" s="4"/>
      <c r="C15" s="140" t="s">
        <v>22</v>
      </c>
      <c r="D15" s="3">
        <v>3149</v>
      </c>
      <c r="E15" s="4">
        <v>3149</v>
      </c>
      <c r="F15" s="4">
        <v>3149</v>
      </c>
      <c r="G15" s="4">
        <v>3149</v>
      </c>
      <c r="H15" s="4">
        <v>3149</v>
      </c>
      <c r="I15" s="4">
        <v>3149</v>
      </c>
      <c r="J15" s="4">
        <v>3149</v>
      </c>
      <c r="K15" s="4">
        <v>3149</v>
      </c>
      <c r="L15" s="4">
        <v>3149</v>
      </c>
      <c r="M15" s="4">
        <v>3149</v>
      </c>
      <c r="N15" s="4">
        <v>3149</v>
      </c>
      <c r="O15" s="4">
        <v>3149</v>
      </c>
      <c r="P15" s="4">
        <v>3149</v>
      </c>
      <c r="Q15" s="4">
        <v>3149</v>
      </c>
      <c r="R15" s="60">
        <v>3149</v>
      </c>
      <c r="S15" s="60">
        <v>3151</v>
      </c>
      <c r="T15" s="60">
        <v>3159</v>
      </c>
      <c r="U15" s="60">
        <v>3159</v>
      </c>
      <c r="V15" s="60">
        <v>3159</v>
      </c>
      <c r="W15" s="60">
        <v>3159</v>
      </c>
      <c r="X15" s="60">
        <v>3159</v>
      </c>
      <c r="Y15" s="60">
        <v>3159</v>
      </c>
      <c r="Z15" s="60">
        <v>3159</v>
      </c>
      <c r="AA15" s="60">
        <v>3159</v>
      </c>
      <c r="AB15" s="4">
        <v>3159</v>
      </c>
      <c r="AC15" s="4">
        <v>3159</v>
      </c>
      <c r="AD15" s="4">
        <v>3162</v>
      </c>
      <c r="AE15" s="4">
        <v>3162</v>
      </c>
      <c r="AF15" s="4">
        <v>3162</v>
      </c>
      <c r="AG15" s="4">
        <v>3162</v>
      </c>
      <c r="AH15" s="58">
        <v>3162</v>
      </c>
      <c r="AI15" s="48">
        <v>3167</v>
      </c>
      <c r="AJ15" s="57">
        <f t="shared" si="0"/>
        <v>13</v>
      </c>
    </row>
    <row r="16" spans="1:36">
      <c r="A16" s="4">
        <v>6</v>
      </c>
      <c r="B16" s="4" t="s">
        <v>129</v>
      </c>
      <c r="C16" s="141" t="s">
        <v>142</v>
      </c>
      <c r="D16" s="45">
        <v>89738</v>
      </c>
      <c r="E16" s="131">
        <v>89990</v>
      </c>
      <c r="F16" s="4">
        <v>90245</v>
      </c>
      <c r="G16" s="4">
        <v>90358</v>
      </c>
      <c r="H16" s="4">
        <v>90496</v>
      </c>
      <c r="I16" s="4">
        <v>90738</v>
      </c>
      <c r="J16" s="4">
        <v>91014</v>
      </c>
      <c r="K16" s="58">
        <v>91264</v>
      </c>
      <c r="L16" s="127">
        <v>91549</v>
      </c>
      <c r="M16" s="132">
        <v>91805</v>
      </c>
      <c r="N16" s="132">
        <v>91933</v>
      </c>
      <c r="O16" s="132">
        <v>92045</v>
      </c>
      <c r="P16" s="132">
        <v>92312</v>
      </c>
      <c r="Q16" s="133">
        <v>92561</v>
      </c>
      <c r="R16" s="132">
        <v>92826</v>
      </c>
      <c r="S16" s="59">
        <v>93104</v>
      </c>
      <c r="T16" s="4">
        <v>93366</v>
      </c>
      <c r="U16" s="4">
        <v>93473</v>
      </c>
      <c r="V16" s="4">
        <v>93641</v>
      </c>
      <c r="W16" s="4">
        <v>93915</v>
      </c>
      <c r="X16" s="4">
        <v>94200</v>
      </c>
      <c r="Y16" s="4">
        <v>94479</v>
      </c>
      <c r="Z16" s="4">
        <v>94739</v>
      </c>
      <c r="AA16" s="4">
        <v>94989</v>
      </c>
      <c r="AB16" s="8">
        <v>95089</v>
      </c>
      <c r="AC16" s="4">
        <v>95205</v>
      </c>
      <c r="AD16" s="4">
        <v>95435</v>
      </c>
      <c r="AE16" s="8">
        <v>95705</v>
      </c>
      <c r="AF16" s="8">
        <v>95965</v>
      </c>
      <c r="AG16" s="4">
        <v>96236</v>
      </c>
      <c r="AH16" s="128">
        <v>96478</v>
      </c>
      <c r="AI16" s="48">
        <v>96593</v>
      </c>
      <c r="AJ16" s="57">
        <f t="shared" si="0"/>
        <v>6498</v>
      </c>
    </row>
    <row r="17" spans="1:36">
      <c r="A17" s="4"/>
      <c r="B17" s="4"/>
      <c r="C17" s="140" t="s">
        <v>22</v>
      </c>
      <c r="D17" s="3">
        <v>4115</v>
      </c>
      <c r="E17" s="4">
        <v>4115</v>
      </c>
      <c r="F17" s="4">
        <v>4115</v>
      </c>
      <c r="G17" s="4">
        <v>4115</v>
      </c>
      <c r="H17" s="4">
        <v>4115</v>
      </c>
      <c r="I17" s="4">
        <v>4115</v>
      </c>
      <c r="J17" s="4">
        <v>4115</v>
      </c>
      <c r="K17" s="4">
        <v>4115</v>
      </c>
      <c r="L17" s="4">
        <v>4115</v>
      </c>
      <c r="M17" s="4">
        <v>4115</v>
      </c>
      <c r="N17" s="4">
        <v>4115</v>
      </c>
      <c r="O17" s="4">
        <v>4115</v>
      </c>
      <c r="P17" s="4">
        <v>4115</v>
      </c>
      <c r="Q17" s="4">
        <v>4115</v>
      </c>
      <c r="R17" s="8">
        <v>4115</v>
      </c>
      <c r="S17" s="129">
        <v>4117</v>
      </c>
      <c r="T17" s="129">
        <v>4128</v>
      </c>
      <c r="U17" s="129">
        <v>4128</v>
      </c>
      <c r="V17" s="129">
        <v>4128</v>
      </c>
      <c r="W17" s="129">
        <v>4128</v>
      </c>
      <c r="X17" s="129">
        <v>4128</v>
      </c>
      <c r="Y17" s="129">
        <v>4128</v>
      </c>
      <c r="Z17" s="129">
        <v>4128</v>
      </c>
      <c r="AA17" s="129">
        <v>4128</v>
      </c>
      <c r="AB17" s="4">
        <v>4128</v>
      </c>
      <c r="AC17" s="4">
        <v>4128</v>
      </c>
      <c r="AD17" s="4">
        <v>4135</v>
      </c>
      <c r="AE17" s="4">
        <v>4135</v>
      </c>
      <c r="AF17" s="4">
        <v>4135</v>
      </c>
      <c r="AG17" s="4">
        <v>4135</v>
      </c>
      <c r="AH17" s="58">
        <v>4135</v>
      </c>
      <c r="AI17" s="48">
        <v>4137</v>
      </c>
      <c r="AJ17" s="57">
        <f t="shared" si="0"/>
        <v>20</v>
      </c>
    </row>
    <row r="18" spans="1:36">
      <c r="A18" s="4">
        <v>7</v>
      </c>
      <c r="B18" s="4" t="s">
        <v>129</v>
      </c>
      <c r="C18" s="141" t="s">
        <v>117</v>
      </c>
      <c r="D18" s="45">
        <v>295586</v>
      </c>
      <c r="E18" s="4">
        <v>296344</v>
      </c>
      <c r="F18" s="4">
        <v>297135</v>
      </c>
      <c r="G18" s="4">
        <v>297721</v>
      </c>
      <c r="H18" s="4">
        <v>298186</v>
      </c>
      <c r="I18" s="4">
        <v>298967</v>
      </c>
      <c r="J18" s="4">
        <v>299719</v>
      </c>
      <c r="K18" s="4">
        <v>300451</v>
      </c>
      <c r="L18" s="4">
        <v>301215</v>
      </c>
      <c r="M18" s="4">
        <v>301956</v>
      </c>
      <c r="N18" s="5">
        <v>302453</v>
      </c>
      <c r="O18" s="4">
        <v>302782</v>
      </c>
      <c r="P18" s="4">
        <v>303520</v>
      </c>
      <c r="Q18" s="4">
        <v>304301</v>
      </c>
      <c r="R18" s="8">
        <v>305075</v>
      </c>
      <c r="S18" s="5">
        <v>305824</v>
      </c>
      <c r="T18" s="4">
        <v>306569</v>
      </c>
      <c r="U18" s="4">
        <v>307168</v>
      </c>
      <c r="V18" s="4">
        <v>307652</v>
      </c>
      <c r="W18" s="4">
        <v>308419</v>
      </c>
      <c r="X18" s="33">
        <v>309183</v>
      </c>
      <c r="Y18" s="4">
        <v>309964</v>
      </c>
      <c r="Z18" s="4">
        <v>310749</v>
      </c>
      <c r="AA18" s="8">
        <v>311500</v>
      </c>
      <c r="AB18" s="8">
        <v>312083</v>
      </c>
      <c r="AC18" s="4">
        <v>312515</v>
      </c>
      <c r="AD18" s="4">
        <v>313259</v>
      </c>
      <c r="AE18" s="8">
        <v>313995</v>
      </c>
      <c r="AF18" s="8">
        <v>314756</v>
      </c>
      <c r="AG18" s="8">
        <v>315463</v>
      </c>
      <c r="AH18" s="128">
        <v>316184</v>
      </c>
      <c r="AI18" s="48">
        <v>316770</v>
      </c>
      <c r="AJ18" s="57">
        <f t="shared" si="0"/>
        <v>19877</v>
      </c>
    </row>
    <row r="19" spans="1:36">
      <c r="A19" s="4"/>
      <c r="B19" s="4"/>
      <c r="C19" s="140" t="s">
        <v>22</v>
      </c>
      <c r="D19" s="3">
        <v>11189</v>
      </c>
      <c r="E19" s="4">
        <v>11189</v>
      </c>
      <c r="F19" s="4">
        <v>11189</v>
      </c>
      <c r="G19" s="4">
        <v>11189</v>
      </c>
      <c r="H19" s="4">
        <v>11189</v>
      </c>
      <c r="I19" s="4">
        <v>11189</v>
      </c>
      <c r="J19" s="4">
        <v>11189</v>
      </c>
      <c r="K19" s="4">
        <v>11189</v>
      </c>
      <c r="L19" s="4">
        <v>11189</v>
      </c>
      <c r="M19" s="4">
        <v>11189</v>
      </c>
      <c r="N19" s="4">
        <v>11189</v>
      </c>
      <c r="O19" s="4">
        <v>11189</v>
      </c>
      <c r="P19" s="4">
        <v>11189</v>
      </c>
      <c r="Q19" s="4">
        <v>11189</v>
      </c>
      <c r="R19" s="4">
        <v>11189</v>
      </c>
      <c r="S19" s="4">
        <v>11198</v>
      </c>
      <c r="T19" s="4">
        <v>11222</v>
      </c>
      <c r="U19" s="4">
        <v>11222</v>
      </c>
      <c r="V19" s="4">
        <v>11222</v>
      </c>
      <c r="W19" s="4">
        <v>11222</v>
      </c>
      <c r="X19" s="4">
        <v>11222</v>
      </c>
      <c r="Y19" s="4">
        <v>11222</v>
      </c>
      <c r="Z19" s="4">
        <v>11222</v>
      </c>
      <c r="AA19" s="4">
        <v>11222</v>
      </c>
      <c r="AB19" s="4">
        <v>11222</v>
      </c>
      <c r="AC19" s="4">
        <v>11222</v>
      </c>
      <c r="AD19" s="4">
        <v>11237</v>
      </c>
      <c r="AE19" s="4">
        <v>11237</v>
      </c>
      <c r="AF19" s="4">
        <v>11237</v>
      </c>
      <c r="AG19" s="4">
        <v>11237</v>
      </c>
      <c r="AH19" s="58">
        <v>11237</v>
      </c>
      <c r="AI19" s="48">
        <v>11252</v>
      </c>
      <c r="AJ19" s="57">
        <f t="shared" si="0"/>
        <v>48</v>
      </c>
    </row>
    <row r="20" spans="1:36">
      <c r="A20" s="4">
        <v>8</v>
      </c>
      <c r="B20" s="4" t="s">
        <v>129</v>
      </c>
      <c r="C20" s="141" t="s">
        <v>118</v>
      </c>
      <c r="D20" s="45">
        <v>59619</v>
      </c>
      <c r="E20" s="4">
        <v>59808</v>
      </c>
      <c r="F20" s="4">
        <v>59963</v>
      </c>
      <c r="G20" s="4">
        <v>60126</v>
      </c>
      <c r="H20" s="4">
        <v>60257</v>
      </c>
      <c r="I20" s="4">
        <v>60449</v>
      </c>
      <c r="J20" s="4">
        <v>60601</v>
      </c>
      <c r="K20" s="4">
        <v>60756</v>
      </c>
      <c r="L20" s="4">
        <v>60935</v>
      </c>
      <c r="M20" s="4">
        <v>61120</v>
      </c>
      <c r="N20" s="4">
        <v>61245</v>
      </c>
      <c r="O20" s="4">
        <v>61431</v>
      </c>
      <c r="P20" s="4">
        <v>61597</v>
      </c>
      <c r="Q20" s="4">
        <v>61802</v>
      </c>
      <c r="R20" s="4">
        <v>61963</v>
      </c>
      <c r="S20" s="4">
        <v>62175</v>
      </c>
      <c r="T20" s="4">
        <v>62338</v>
      </c>
      <c r="U20" s="4">
        <v>62513</v>
      </c>
      <c r="V20" s="4">
        <v>62624</v>
      </c>
      <c r="W20" s="4">
        <v>62800</v>
      </c>
      <c r="X20" s="4">
        <v>63002</v>
      </c>
      <c r="Y20" s="4">
        <v>63166</v>
      </c>
      <c r="Z20" s="4">
        <v>63344</v>
      </c>
      <c r="AA20" s="8">
        <v>63461</v>
      </c>
      <c r="AB20" s="8">
        <v>63619</v>
      </c>
      <c r="AC20" s="4">
        <v>63728</v>
      </c>
      <c r="AD20" s="4">
        <v>63876</v>
      </c>
      <c r="AE20" s="8">
        <v>64009</v>
      </c>
      <c r="AF20" s="8">
        <v>64161</v>
      </c>
      <c r="AG20" s="8">
        <v>64289</v>
      </c>
      <c r="AH20" s="128">
        <v>64434</v>
      </c>
      <c r="AI20" s="48">
        <v>64545</v>
      </c>
      <c r="AJ20" s="57">
        <f t="shared" si="0"/>
        <v>4670</v>
      </c>
    </row>
    <row r="21" spans="1:36">
      <c r="A21" s="4"/>
      <c r="B21" s="4"/>
      <c r="C21" s="140" t="s">
        <v>22</v>
      </c>
      <c r="D21" s="3">
        <v>2128</v>
      </c>
      <c r="E21" s="4">
        <v>2128</v>
      </c>
      <c r="F21" s="4">
        <v>2128</v>
      </c>
      <c r="G21" s="4">
        <v>2128</v>
      </c>
      <c r="H21" s="4">
        <v>2128</v>
      </c>
      <c r="I21" s="4">
        <v>2128</v>
      </c>
      <c r="J21" s="4">
        <v>2128</v>
      </c>
      <c r="K21" s="4">
        <v>2128</v>
      </c>
      <c r="L21" s="4">
        <v>2128</v>
      </c>
      <c r="M21" s="4">
        <v>2128</v>
      </c>
      <c r="N21" s="4">
        <v>2128</v>
      </c>
      <c r="O21" s="4">
        <v>2128</v>
      </c>
      <c r="P21" s="4">
        <v>2128</v>
      </c>
      <c r="Q21" s="4">
        <v>2128</v>
      </c>
      <c r="R21" s="4">
        <v>2128</v>
      </c>
      <c r="S21" s="4">
        <v>2130</v>
      </c>
      <c r="T21" s="4">
        <v>2134</v>
      </c>
      <c r="U21" s="4">
        <v>2134</v>
      </c>
      <c r="V21" s="4">
        <v>2134</v>
      </c>
      <c r="W21" s="4">
        <v>2134</v>
      </c>
      <c r="X21" s="4">
        <v>2134</v>
      </c>
      <c r="Y21" s="4">
        <v>2134</v>
      </c>
      <c r="Z21" s="4">
        <v>2134</v>
      </c>
      <c r="AA21" s="4">
        <v>2134</v>
      </c>
      <c r="AB21" s="4">
        <v>2134</v>
      </c>
      <c r="AC21" s="4">
        <v>2134</v>
      </c>
      <c r="AD21" s="4">
        <v>2136</v>
      </c>
      <c r="AE21" s="4">
        <v>2136</v>
      </c>
      <c r="AF21" s="4">
        <v>2136</v>
      </c>
      <c r="AG21" s="4">
        <v>2136</v>
      </c>
      <c r="AH21" s="58">
        <v>2136</v>
      </c>
      <c r="AI21" s="48">
        <v>2143</v>
      </c>
      <c r="AJ21" s="57">
        <f t="shared" si="0"/>
        <v>8</v>
      </c>
    </row>
    <row r="22" spans="1:36">
      <c r="A22" s="503"/>
      <c r="B22" s="504"/>
      <c r="C22" s="504"/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4"/>
      <c r="W22" s="504"/>
      <c r="X22" s="504"/>
      <c r="Y22" s="504"/>
      <c r="Z22" s="504"/>
      <c r="AA22" s="504"/>
      <c r="AB22" s="504"/>
      <c r="AC22" s="504"/>
      <c r="AD22" s="504"/>
      <c r="AE22" s="504"/>
      <c r="AF22" s="504"/>
      <c r="AG22" s="504"/>
      <c r="AH22" s="504"/>
      <c r="AI22" s="504"/>
      <c r="AJ22" s="501"/>
    </row>
    <row r="23" spans="1:36">
      <c r="A23" s="4">
        <v>1</v>
      </c>
      <c r="B23" s="4" t="s">
        <v>129</v>
      </c>
      <c r="C23" s="141" t="s">
        <v>119</v>
      </c>
      <c r="D23" s="45">
        <v>26337</v>
      </c>
      <c r="E23" s="4">
        <v>26397</v>
      </c>
      <c r="F23" s="4">
        <v>26460</v>
      </c>
      <c r="G23" s="4">
        <v>26499</v>
      </c>
      <c r="H23" s="4">
        <v>26499</v>
      </c>
      <c r="I23" s="4">
        <v>26534</v>
      </c>
      <c r="J23" s="4">
        <v>26565</v>
      </c>
      <c r="K23" s="4">
        <v>26604</v>
      </c>
      <c r="L23" s="4">
        <v>26646</v>
      </c>
      <c r="M23" s="4">
        <v>26688</v>
      </c>
      <c r="N23" s="4">
        <v>26714</v>
      </c>
      <c r="O23" s="4">
        <v>26714</v>
      </c>
      <c r="P23" s="4">
        <v>26763</v>
      </c>
      <c r="Q23" s="4">
        <v>26809</v>
      </c>
      <c r="R23" s="4">
        <v>26845</v>
      </c>
      <c r="S23" s="4">
        <v>26905</v>
      </c>
      <c r="T23" s="4">
        <v>26947</v>
      </c>
      <c r="U23" s="4">
        <v>26972</v>
      </c>
      <c r="V23" s="4">
        <v>26973</v>
      </c>
      <c r="W23" s="4">
        <v>27054</v>
      </c>
      <c r="X23" s="4">
        <v>27110</v>
      </c>
      <c r="Y23" s="4">
        <v>27171</v>
      </c>
      <c r="Z23" s="4">
        <v>27219</v>
      </c>
      <c r="AA23" s="4">
        <v>27268</v>
      </c>
      <c r="AB23" s="4">
        <v>27292</v>
      </c>
      <c r="AC23" s="4">
        <v>27292</v>
      </c>
      <c r="AD23" s="4">
        <v>27367</v>
      </c>
      <c r="AE23" s="4">
        <v>27439</v>
      </c>
      <c r="AF23" s="4">
        <v>27506</v>
      </c>
      <c r="AG23" s="4">
        <v>27563</v>
      </c>
      <c r="AH23" s="8">
        <v>27621</v>
      </c>
      <c r="AI23" s="8">
        <v>27658</v>
      </c>
      <c r="AJ23" s="7">
        <f t="shared" ref="AJ23:AJ30" si="1">AG23-D23</f>
        <v>1226</v>
      </c>
    </row>
    <row r="24" spans="1:36">
      <c r="A24" s="4"/>
      <c r="B24" s="4"/>
      <c r="C24" s="142" t="s">
        <v>22</v>
      </c>
      <c r="D24" s="3">
        <v>1876</v>
      </c>
      <c r="E24" s="4">
        <v>1876</v>
      </c>
      <c r="F24" s="4">
        <v>1876</v>
      </c>
      <c r="G24" s="4">
        <v>1876</v>
      </c>
      <c r="H24" s="4">
        <v>1876</v>
      </c>
      <c r="I24" s="4">
        <v>1876</v>
      </c>
      <c r="J24" s="4">
        <v>1876</v>
      </c>
      <c r="K24" s="4">
        <v>1876</v>
      </c>
      <c r="L24" s="4">
        <v>1876</v>
      </c>
      <c r="M24" s="4">
        <v>1876</v>
      </c>
      <c r="N24" s="4">
        <v>1876</v>
      </c>
      <c r="O24" s="4">
        <v>1876</v>
      </c>
      <c r="P24" s="4">
        <v>1876</v>
      </c>
      <c r="Q24" s="4">
        <v>1876</v>
      </c>
      <c r="R24" s="4">
        <v>1876</v>
      </c>
      <c r="S24" s="4">
        <v>1876</v>
      </c>
      <c r="T24" s="4">
        <v>1878</v>
      </c>
      <c r="U24" s="4">
        <v>1878</v>
      </c>
      <c r="V24" s="4">
        <v>1878</v>
      </c>
      <c r="W24" s="4">
        <v>1878</v>
      </c>
      <c r="X24" s="4">
        <v>1878</v>
      </c>
      <c r="Y24" s="4">
        <v>1878</v>
      </c>
      <c r="Z24" s="4">
        <v>1878</v>
      </c>
      <c r="AA24" s="4">
        <v>1878</v>
      </c>
      <c r="AB24" s="4">
        <v>1878</v>
      </c>
      <c r="AC24" s="4">
        <v>1878</v>
      </c>
      <c r="AD24" s="4">
        <v>1878</v>
      </c>
      <c r="AE24" s="4">
        <v>1878</v>
      </c>
      <c r="AF24" s="4">
        <v>1878</v>
      </c>
      <c r="AG24" s="4">
        <v>1878</v>
      </c>
      <c r="AH24" s="4">
        <v>1878</v>
      </c>
      <c r="AI24" s="8">
        <v>1878</v>
      </c>
      <c r="AJ24" s="7">
        <f t="shared" si="1"/>
        <v>2</v>
      </c>
    </row>
    <row r="25" spans="1:36">
      <c r="A25" s="4">
        <v>2</v>
      </c>
      <c r="B25" s="4" t="s">
        <v>129</v>
      </c>
      <c r="C25" s="141" t="s">
        <v>120</v>
      </c>
      <c r="D25" s="45">
        <v>27621</v>
      </c>
      <c r="E25" s="4">
        <v>27703</v>
      </c>
      <c r="F25" s="4">
        <v>27771</v>
      </c>
      <c r="G25" s="4">
        <v>27804</v>
      </c>
      <c r="H25" s="4">
        <v>27804</v>
      </c>
      <c r="I25" s="4">
        <v>27870</v>
      </c>
      <c r="J25" s="4">
        <v>27929</v>
      </c>
      <c r="K25" s="4">
        <v>27975</v>
      </c>
      <c r="L25" s="4">
        <v>28050</v>
      </c>
      <c r="M25" s="4">
        <v>28130</v>
      </c>
      <c r="N25" s="4">
        <v>28173</v>
      </c>
      <c r="O25" s="4">
        <v>28173</v>
      </c>
      <c r="P25" s="4">
        <v>28262</v>
      </c>
      <c r="Q25" s="4">
        <v>28345</v>
      </c>
      <c r="R25" s="4">
        <v>28434</v>
      </c>
      <c r="S25" s="4">
        <v>28522</v>
      </c>
      <c r="T25" s="4">
        <v>28582</v>
      </c>
      <c r="U25" s="4">
        <v>28624</v>
      </c>
      <c r="V25" s="4">
        <v>28625</v>
      </c>
      <c r="W25" s="4">
        <v>28730</v>
      </c>
      <c r="X25" s="4">
        <v>28840</v>
      </c>
      <c r="Y25" s="4">
        <v>28938</v>
      </c>
      <c r="Z25" s="4">
        <v>29015</v>
      </c>
      <c r="AA25" s="4">
        <v>29083</v>
      </c>
      <c r="AB25" s="4">
        <v>29118</v>
      </c>
      <c r="AC25" s="4">
        <v>29118</v>
      </c>
      <c r="AD25" s="4">
        <v>29204</v>
      </c>
      <c r="AE25" s="4">
        <v>29288</v>
      </c>
      <c r="AF25" s="4">
        <v>29350</v>
      </c>
      <c r="AG25" s="4">
        <v>29426</v>
      </c>
      <c r="AH25" s="8">
        <v>29507</v>
      </c>
      <c r="AI25" s="8">
        <v>29570</v>
      </c>
      <c r="AJ25" s="7">
        <f t="shared" si="1"/>
        <v>1805</v>
      </c>
    </row>
    <row r="26" spans="1:36">
      <c r="A26" s="4"/>
      <c r="B26" s="4"/>
      <c r="C26" s="142" t="s">
        <v>22</v>
      </c>
      <c r="D26" s="3">
        <v>1855</v>
      </c>
      <c r="E26" s="4">
        <v>1855</v>
      </c>
      <c r="F26" s="4">
        <v>1855</v>
      </c>
      <c r="G26" s="4">
        <v>1855</v>
      </c>
      <c r="H26" s="4">
        <v>1855</v>
      </c>
      <c r="I26" s="4">
        <v>1855</v>
      </c>
      <c r="J26" s="4">
        <v>1855</v>
      </c>
      <c r="K26" s="4">
        <v>1855</v>
      </c>
      <c r="L26" s="4">
        <v>1855</v>
      </c>
      <c r="M26" s="4">
        <v>1855</v>
      </c>
      <c r="N26" s="4">
        <v>1855</v>
      </c>
      <c r="O26" s="4">
        <v>1855</v>
      </c>
      <c r="P26" s="4">
        <v>1855</v>
      </c>
      <c r="Q26" s="4">
        <v>1855</v>
      </c>
      <c r="R26" s="4">
        <v>1855</v>
      </c>
      <c r="S26" s="4">
        <v>1855</v>
      </c>
      <c r="T26" s="4">
        <v>1857</v>
      </c>
      <c r="U26" s="4">
        <v>1857</v>
      </c>
      <c r="V26" s="4">
        <v>1857</v>
      </c>
      <c r="W26" s="4">
        <v>1857</v>
      </c>
      <c r="X26" s="4">
        <v>1857</v>
      </c>
      <c r="Y26" s="4">
        <v>1857</v>
      </c>
      <c r="Z26" s="4">
        <v>1857</v>
      </c>
      <c r="AA26" s="4">
        <v>1857</v>
      </c>
      <c r="AB26" s="4">
        <v>1857</v>
      </c>
      <c r="AC26" s="4">
        <v>1857</v>
      </c>
      <c r="AD26" s="4">
        <v>1857</v>
      </c>
      <c r="AE26" s="4">
        <v>1857</v>
      </c>
      <c r="AF26" s="4">
        <v>1857</v>
      </c>
      <c r="AG26" s="4">
        <v>1857</v>
      </c>
      <c r="AH26" s="4">
        <v>1857</v>
      </c>
      <c r="AI26" s="8">
        <v>1857</v>
      </c>
      <c r="AJ26" s="7">
        <f t="shared" si="1"/>
        <v>2</v>
      </c>
    </row>
    <row r="27" spans="1:36">
      <c r="A27" s="4">
        <v>3</v>
      </c>
      <c r="B27" s="4" t="s">
        <v>129</v>
      </c>
      <c r="C27" s="141" t="s">
        <v>121</v>
      </c>
      <c r="D27" s="3">
        <v>29154</v>
      </c>
      <c r="E27" s="4">
        <v>29273</v>
      </c>
      <c r="F27" s="4">
        <v>29392</v>
      </c>
      <c r="G27" s="4">
        <v>29463</v>
      </c>
      <c r="H27" s="4">
        <v>29463</v>
      </c>
      <c r="I27" s="4">
        <v>29572</v>
      </c>
      <c r="J27" s="4">
        <v>29682</v>
      </c>
      <c r="K27" s="4">
        <v>29784</v>
      </c>
      <c r="L27" s="4">
        <v>29896</v>
      </c>
      <c r="M27" s="4">
        <v>29990</v>
      </c>
      <c r="N27" s="4">
        <v>30032</v>
      </c>
      <c r="O27" s="4">
        <v>30032</v>
      </c>
      <c r="P27" s="4">
        <v>30140</v>
      </c>
      <c r="Q27" s="4">
        <v>30251</v>
      </c>
      <c r="R27" s="4">
        <v>30361</v>
      </c>
      <c r="S27" s="4">
        <v>30476</v>
      </c>
      <c r="T27" s="4">
        <v>30562</v>
      </c>
      <c r="U27" s="4">
        <v>30623</v>
      </c>
      <c r="V27" s="4">
        <v>30624</v>
      </c>
      <c r="W27" s="4">
        <v>30725</v>
      </c>
      <c r="X27" s="4">
        <v>30853</v>
      </c>
      <c r="Y27" s="4">
        <v>30979</v>
      </c>
      <c r="Z27" s="4">
        <v>31082</v>
      </c>
      <c r="AA27" s="4">
        <v>31206</v>
      </c>
      <c r="AB27" s="4">
        <v>31276</v>
      </c>
      <c r="AC27" s="4">
        <v>31276</v>
      </c>
      <c r="AD27" s="4">
        <v>31378</v>
      </c>
      <c r="AE27" s="4">
        <v>31498</v>
      </c>
      <c r="AF27" s="4">
        <v>31623</v>
      </c>
      <c r="AG27" s="4">
        <v>31727</v>
      </c>
      <c r="AH27" s="4">
        <v>31839</v>
      </c>
      <c r="AI27" s="8">
        <v>31924</v>
      </c>
      <c r="AJ27" s="7">
        <f t="shared" si="1"/>
        <v>2573</v>
      </c>
    </row>
    <row r="28" spans="1:36">
      <c r="A28" s="4"/>
      <c r="B28" s="4"/>
      <c r="C28" s="142" t="s">
        <v>22</v>
      </c>
      <c r="D28" s="3">
        <v>2002</v>
      </c>
      <c r="E28" s="4">
        <v>2002</v>
      </c>
      <c r="F28" s="4">
        <v>2002</v>
      </c>
      <c r="G28" s="4">
        <v>2002</v>
      </c>
      <c r="H28" s="4">
        <v>2002</v>
      </c>
      <c r="I28" s="4">
        <v>2002</v>
      </c>
      <c r="J28" s="4">
        <v>2002</v>
      </c>
      <c r="K28" s="4">
        <v>2002</v>
      </c>
      <c r="L28" s="4">
        <v>2002</v>
      </c>
      <c r="M28" s="4">
        <v>2002</v>
      </c>
      <c r="N28" s="4">
        <v>2002</v>
      </c>
      <c r="O28" s="4">
        <v>2002</v>
      </c>
      <c r="P28" s="4">
        <v>2002</v>
      </c>
      <c r="Q28" s="4">
        <v>2002</v>
      </c>
      <c r="R28" s="4">
        <v>2002</v>
      </c>
      <c r="S28" s="4">
        <v>2002</v>
      </c>
      <c r="T28" s="4">
        <v>2005</v>
      </c>
      <c r="U28" s="4">
        <v>2005</v>
      </c>
      <c r="V28" s="4">
        <v>2005</v>
      </c>
      <c r="W28" s="4">
        <v>2005</v>
      </c>
      <c r="X28" s="4">
        <v>2005</v>
      </c>
      <c r="Y28" s="4">
        <v>2005</v>
      </c>
      <c r="Z28" s="4">
        <v>2005</v>
      </c>
      <c r="AA28" s="4">
        <v>2005</v>
      </c>
      <c r="AB28" s="4">
        <v>2005</v>
      </c>
      <c r="AC28" s="4">
        <v>2005</v>
      </c>
      <c r="AD28" s="4">
        <v>2005</v>
      </c>
      <c r="AE28" s="4">
        <v>2005</v>
      </c>
      <c r="AF28" s="4">
        <v>2005</v>
      </c>
      <c r="AG28" s="4">
        <v>2005</v>
      </c>
      <c r="AH28" s="4">
        <v>2005</v>
      </c>
      <c r="AI28" s="8">
        <v>2005</v>
      </c>
      <c r="AJ28" s="7">
        <f t="shared" si="1"/>
        <v>3</v>
      </c>
    </row>
    <row r="29" spans="1:36">
      <c r="A29" s="4">
        <v>4</v>
      </c>
      <c r="B29" s="4" t="s">
        <v>129</v>
      </c>
      <c r="C29" s="141" t="s">
        <v>122</v>
      </c>
      <c r="D29" s="45">
        <v>24643</v>
      </c>
      <c r="E29" s="4">
        <v>24732</v>
      </c>
      <c r="F29" s="4">
        <v>24821</v>
      </c>
      <c r="G29" s="4">
        <v>24876</v>
      </c>
      <c r="H29" s="4">
        <v>24876</v>
      </c>
      <c r="I29" s="4">
        <v>24963</v>
      </c>
      <c r="J29" s="4">
        <v>25045</v>
      </c>
      <c r="K29" s="4">
        <v>25098</v>
      </c>
      <c r="L29" s="4">
        <v>25154</v>
      </c>
      <c r="M29" s="4">
        <v>25210</v>
      </c>
      <c r="N29" s="4">
        <v>25244</v>
      </c>
      <c r="O29" s="4">
        <v>25244</v>
      </c>
      <c r="P29" s="4">
        <v>25304</v>
      </c>
      <c r="Q29" s="4">
        <v>25361</v>
      </c>
      <c r="R29" s="4">
        <v>25421</v>
      </c>
      <c r="S29" s="4">
        <v>25479</v>
      </c>
      <c r="T29" s="4">
        <v>25527</v>
      </c>
      <c r="U29" s="4">
        <v>25559</v>
      </c>
      <c r="V29" s="4">
        <v>25559</v>
      </c>
      <c r="W29" s="4">
        <v>25656</v>
      </c>
      <c r="X29" s="4">
        <v>25764</v>
      </c>
      <c r="Y29" s="4">
        <v>25872</v>
      </c>
      <c r="Z29" s="4">
        <v>25964</v>
      </c>
      <c r="AA29" s="4">
        <v>26057</v>
      </c>
      <c r="AB29" s="4">
        <v>26103</v>
      </c>
      <c r="AC29" s="4">
        <v>26103</v>
      </c>
      <c r="AD29" s="4">
        <v>26203</v>
      </c>
      <c r="AE29" s="4">
        <v>26300</v>
      </c>
      <c r="AF29" s="4">
        <v>26387</v>
      </c>
      <c r="AG29" s="4">
        <v>26464</v>
      </c>
      <c r="AH29" s="8">
        <v>26538</v>
      </c>
      <c r="AI29" s="8">
        <v>26586</v>
      </c>
      <c r="AJ29" s="7">
        <f t="shared" si="1"/>
        <v>1821</v>
      </c>
    </row>
    <row r="30" spans="1:36">
      <c r="A30" s="4"/>
      <c r="B30" s="4"/>
      <c r="C30" s="142" t="s">
        <v>22</v>
      </c>
      <c r="D30" s="3">
        <v>1736</v>
      </c>
      <c r="E30" s="4">
        <v>1736</v>
      </c>
      <c r="F30" s="4">
        <v>1736</v>
      </c>
      <c r="G30" s="4">
        <v>1736</v>
      </c>
      <c r="H30" s="4">
        <v>1736</v>
      </c>
      <c r="I30" s="4">
        <v>1736</v>
      </c>
      <c r="J30" s="4">
        <v>1736</v>
      </c>
      <c r="K30" s="4">
        <v>1736</v>
      </c>
      <c r="L30" s="4">
        <v>1736</v>
      </c>
      <c r="M30" s="4">
        <v>1736</v>
      </c>
      <c r="N30" s="4">
        <v>1736</v>
      </c>
      <c r="O30" s="4">
        <v>1736</v>
      </c>
      <c r="P30" s="4">
        <v>1736</v>
      </c>
      <c r="Q30" s="4">
        <v>1736</v>
      </c>
      <c r="R30" s="4">
        <v>1736</v>
      </c>
      <c r="S30" s="4">
        <v>1736</v>
      </c>
      <c r="T30" s="4">
        <v>1739</v>
      </c>
      <c r="U30" s="4">
        <v>1739</v>
      </c>
      <c r="V30" s="4">
        <v>1739</v>
      </c>
      <c r="W30" s="4">
        <v>1739</v>
      </c>
      <c r="X30" s="4">
        <v>1739</v>
      </c>
      <c r="Y30" s="4">
        <v>1739</v>
      </c>
      <c r="Z30" s="4">
        <v>1739</v>
      </c>
      <c r="AA30" s="4">
        <v>1739</v>
      </c>
      <c r="AB30" s="4">
        <v>1739</v>
      </c>
      <c r="AC30" s="4">
        <v>1739</v>
      </c>
      <c r="AD30" s="4">
        <v>1739</v>
      </c>
      <c r="AE30" s="4">
        <v>1739</v>
      </c>
      <c r="AF30" s="4">
        <v>1739</v>
      </c>
      <c r="AG30" s="4">
        <v>1739</v>
      </c>
      <c r="AH30" s="4">
        <v>1739</v>
      </c>
      <c r="AI30" s="8">
        <v>1739</v>
      </c>
      <c r="AJ30" s="7">
        <f t="shared" si="1"/>
        <v>3</v>
      </c>
    </row>
    <row r="31" spans="1:36">
      <c r="A31" s="564"/>
      <c r="B31" s="504"/>
      <c r="C31" s="504"/>
      <c r="D31" s="504"/>
      <c r="E31" s="504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4"/>
      <c r="AH31" s="504"/>
      <c r="AI31" s="504"/>
      <c r="AJ31" s="501"/>
    </row>
    <row r="32" spans="1:36">
      <c r="A32" s="4">
        <v>1</v>
      </c>
      <c r="B32" s="4" t="s">
        <v>129</v>
      </c>
      <c r="C32" s="141" t="s">
        <v>123</v>
      </c>
      <c r="D32" s="160">
        <v>241097</v>
      </c>
      <c r="E32" s="44">
        <v>242086</v>
      </c>
      <c r="F32" s="150">
        <v>242985</v>
      </c>
      <c r="G32" s="150">
        <v>243555</v>
      </c>
      <c r="H32" s="150">
        <v>243555</v>
      </c>
      <c r="I32" s="44">
        <v>244595</v>
      </c>
      <c r="J32" s="150">
        <v>245525</v>
      </c>
      <c r="K32" s="150">
        <v>246403</v>
      </c>
      <c r="L32" s="150">
        <v>247294</v>
      </c>
      <c r="M32" s="44">
        <v>248175</v>
      </c>
      <c r="N32" s="150">
        <v>248557</v>
      </c>
      <c r="O32" s="150">
        <v>248557</v>
      </c>
      <c r="P32" s="150">
        <v>249668</v>
      </c>
      <c r="Q32" s="44">
        <v>250522</v>
      </c>
      <c r="R32" s="150">
        <v>251517</v>
      </c>
      <c r="S32" s="150">
        <v>252344</v>
      </c>
      <c r="T32" s="150">
        <v>253139</v>
      </c>
      <c r="U32" s="44">
        <v>253582</v>
      </c>
      <c r="V32" s="150">
        <v>253582</v>
      </c>
      <c r="W32" s="150">
        <v>255018</v>
      </c>
      <c r="X32" s="150">
        <v>256248</v>
      </c>
      <c r="Y32" s="44">
        <v>257442</v>
      </c>
      <c r="Z32" s="150">
        <v>258366</v>
      </c>
      <c r="AA32" s="150">
        <v>259334</v>
      </c>
      <c r="AB32" s="150">
        <v>259807</v>
      </c>
      <c r="AC32" s="44">
        <v>259807</v>
      </c>
      <c r="AD32" s="150">
        <v>261113</v>
      </c>
      <c r="AE32" s="150">
        <v>262236</v>
      </c>
      <c r="AF32" s="150">
        <v>263263</v>
      </c>
      <c r="AG32" s="44">
        <v>264315</v>
      </c>
      <c r="AH32" s="150">
        <v>265337</v>
      </c>
      <c r="AI32" s="161">
        <v>265888</v>
      </c>
      <c r="AJ32" s="7">
        <f>AG32-D32</f>
        <v>23218</v>
      </c>
    </row>
    <row r="33" spans="1:36">
      <c r="A33" s="4">
        <v>2</v>
      </c>
      <c r="B33" s="4" t="s">
        <v>129</v>
      </c>
      <c r="C33" s="141" t="s">
        <v>124</v>
      </c>
      <c r="D33" s="160">
        <v>241385</v>
      </c>
      <c r="E33" s="150">
        <v>242077</v>
      </c>
      <c r="F33" s="150">
        <v>242589</v>
      </c>
      <c r="G33" s="150">
        <v>242852</v>
      </c>
      <c r="H33" s="150">
        <v>242852</v>
      </c>
      <c r="I33" s="150">
        <v>243585</v>
      </c>
      <c r="J33" s="150">
        <v>244270</v>
      </c>
      <c r="K33" s="150">
        <v>244823</v>
      </c>
      <c r="L33" s="150">
        <v>245387</v>
      </c>
      <c r="M33" s="150">
        <v>246070</v>
      </c>
      <c r="N33" s="150">
        <v>246331</v>
      </c>
      <c r="O33" s="150">
        <v>246331</v>
      </c>
      <c r="P33" s="150">
        <v>247228</v>
      </c>
      <c r="Q33" s="150">
        <v>248015</v>
      </c>
      <c r="R33" s="150">
        <v>248825</v>
      </c>
      <c r="S33" s="150">
        <v>249556</v>
      </c>
      <c r="T33" s="150">
        <v>250191</v>
      </c>
      <c r="U33" s="150">
        <v>250510</v>
      </c>
      <c r="V33" s="150">
        <v>250510</v>
      </c>
      <c r="W33" s="150">
        <v>251699</v>
      </c>
      <c r="X33" s="150">
        <v>252623</v>
      </c>
      <c r="Y33" s="150">
        <v>253466</v>
      </c>
      <c r="Z33" s="150">
        <v>254176</v>
      </c>
      <c r="AA33" s="150">
        <v>254907</v>
      </c>
      <c r="AB33" s="150">
        <v>255145</v>
      </c>
      <c r="AC33" s="150">
        <v>255145</v>
      </c>
      <c r="AD33" s="150">
        <v>256027</v>
      </c>
      <c r="AE33" s="150">
        <v>256784</v>
      </c>
      <c r="AF33" s="150">
        <v>257528</v>
      </c>
      <c r="AG33" s="150">
        <v>258287</v>
      </c>
      <c r="AH33" s="150">
        <v>258858</v>
      </c>
      <c r="AI33" s="161">
        <v>259417</v>
      </c>
      <c r="AJ33" s="7">
        <f>AG33-D33</f>
        <v>16902</v>
      </c>
    </row>
    <row r="34" spans="1:36">
      <c r="A34" s="4">
        <v>3</v>
      </c>
      <c r="B34" s="4" t="s">
        <v>129</v>
      </c>
      <c r="C34" s="141" t="s">
        <v>125</v>
      </c>
      <c r="D34" s="160">
        <v>237325</v>
      </c>
      <c r="E34" s="150">
        <v>238030</v>
      </c>
      <c r="F34" s="150">
        <v>238530</v>
      </c>
      <c r="G34" s="150">
        <v>238808</v>
      </c>
      <c r="H34" s="150">
        <v>238808</v>
      </c>
      <c r="I34" s="150">
        <v>239749</v>
      </c>
      <c r="J34" s="150">
        <v>240412</v>
      </c>
      <c r="K34" s="150">
        <v>240947</v>
      </c>
      <c r="L34" s="150">
        <v>241812</v>
      </c>
      <c r="M34" s="150">
        <v>242618</v>
      </c>
      <c r="N34" s="150">
        <v>242850</v>
      </c>
      <c r="O34" s="150">
        <v>242850</v>
      </c>
      <c r="P34" s="150">
        <v>243888</v>
      </c>
      <c r="Q34" s="150">
        <v>244869</v>
      </c>
      <c r="R34" s="150">
        <v>245894</v>
      </c>
      <c r="S34" s="150">
        <v>246699</v>
      </c>
      <c r="T34" s="150">
        <v>247536</v>
      </c>
      <c r="U34" s="150">
        <v>247750</v>
      </c>
      <c r="V34" s="150">
        <v>247750</v>
      </c>
      <c r="W34" s="150">
        <v>248978</v>
      </c>
      <c r="X34" s="150">
        <v>250362</v>
      </c>
      <c r="Y34" s="150">
        <v>251556</v>
      </c>
      <c r="Z34" s="150">
        <v>252373</v>
      </c>
      <c r="AA34" s="150">
        <v>253287</v>
      </c>
      <c r="AB34" s="150">
        <v>253441</v>
      </c>
      <c r="AC34" s="150">
        <v>253441</v>
      </c>
      <c r="AD34" s="150">
        <v>254687</v>
      </c>
      <c r="AE34" s="150">
        <v>255521</v>
      </c>
      <c r="AF34" s="150">
        <v>256583</v>
      </c>
      <c r="AG34" s="150">
        <v>257817</v>
      </c>
      <c r="AH34" s="150">
        <v>258532</v>
      </c>
      <c r="AI34" s="161">
        <v>259278</v>
      </c>
      <c r="AJ34" s="7">
        <f>AG34-D34</f>
        <v>20492</v>
      </c>
    </row>
    <row r="35" spans="1:36">
      <c r="A35" s="4">
        <v>4</v>
      </c>
      <c r="B35" s="4" t="s">
        <v>129</v>
      </c>
      <c r="C35" s="141" t="s">
        <v>126</v>
      </c>
      <c r="D35" s="160">
        <v>262507</v>
      </c>
      <c r="E35" s="150">
        <v>263374</v>
      </c>
      <c r="F35" s="150">
        <v>264092</v>
      </c>
      <c r="G35" s="150">
        <v>264569</v>
      </c>
      <c r="H35" s="150">
        <v>264569</v>
      </c>
      <c r="I35" s="150">
        <v>265515</v>
      </c>
      <c r="J35" s="150">
        <v>266380</v>
      </c>
      <c r="K35" s="150">
        <v>267137</v>
      </c>
      <c r="L35" s="150">
        <v>267987</v>
      </c>
      <c r="M35" s="150">
        <v>268825</v>
      </c>
      <c r="N35" s="150">
        <v>269222</v>
      </c>
      <c r="O35" s="150">
        <v>269222</v>
      </c>
      <c r="P35" s="150">
        <v>270200</v>
      </c>
      <c r="Q35" s="150">
        <v>270966</v>
      </c>
      <c r="R35" s="150">
        <v>271869</v>
      </c>
      <c r="S35" s="150">
        <v>272650</v>
      </c>
      <c r="T35" s="150">
        <v>273363</v>
      </c>
      <c r="U35" s="150">
        <v>273765</v>
      </c>
      <c r="V35" s="150">
        <v>273765</v>
      </c>
      <c r="W35" s="150">
        <v>275069</v>
      </c>
      <c r="X35" s="150">
        <v>276208</v>
      </c>
      <c r="Y35" s="150">
        <v>277343</v>
      </c>
      <c r="Z35" s="150">
        <v>278268</v>
      </c>
      <c r="AA35" s="150">
        <v>279211</v>
      </c>
      <c r="AB35" s="150">
        <v>279609</v>
      </c>
      <c r="AC35" s="150">
        <v>279609</v>
      </c>
      <c r="AD35" s="150">
        <v>280781</v>
      </c>
      <c r="AE35" s="150">
        <v>281801</v>
      </c>
      <c r="AF35" s="150">
        <v>282806</v>
      </c>
      <c r="AG35" s="150">
        <v>283828</v>
      </c>
      <c r="AH35" s="150">
        <v>284763</v>
      </c>
      <c r="AI35" s="161">
        <v>285318</v>
      </c>
      <c r="AJ35" s="7">
        <f>AG35-D35</f>
        <v>21321</v>
      </c>
    </row>
    <row r="36" spans="1:36">
      <c r="A36" s="134"/>
      <c r="B36" s="134"/>
      <c r="C36" s="143"/>
      <c r="D36" s="134"/>
      <c r="E36" s="13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6"/>
      <c r="AD36" s="134"/>
      <c r="AE36" s="134"/>
      <c r="AF36" s="134"/>
      <c r="AG36" s="134"/>
      <c r="AH36" s="134"/>
      <c r="AI36" s="134"/>
      <c r="AJ36" s="136"/>
    </row>
    <row r="37" spans="1:36">
      <c r="A37" s="14"/>
      <c r="B37" s="137"/>
      <c r="C37" s="144"/>
      <c r="D37" s="138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spans="1:36">
      <c r="A38" s="93"/>
      <c r="B38" s="534" t="s">
        <v>127</v>
      </c>
      <c r="C38" s="504"/>
      <c r="D38" s="501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  <c r="AJ38" s="93"/>
    </row>
    <row r="39" spans="1:36">
      <c r="A39" s="94"/>
      <c r="B39" s="538" t="s">
        <v>128</v>
      </c>
      <c r="C39" s="504"/>
      <c r="D39" s="501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171"/>
      <c r="AJ39" s="171"/>
    </row>
    <row r="40" spans="1:36">
      <c r="A40" s="529" t="s">
        <v>99</v>
      </c>
      <c r="B40" s="529" t="s">
        <v>100</v>
      </c>
      <c r="C40" s="529" t="s">
        <v>101</v>
      </c>
      <c r="D40" s="517"/>
      <c r="E40" s="95">
        <f t="shared" ref="E40:AI40" si="2">E2</f>
        <v>45778</v>
      </c>
      <c r="F40" s="95">
        <f t="shared" si="2"/>
        <v>45779</v>
      </c>
      <c r="G40" s="95">
        <f t="shared" si="2"/>
        <v>45780</v>
      </c>
      <c r="H40" s="95">
        <f t="shared" si="2"/>
        <v>45781</v>
      </c>
      <c r="I40" s="95">
        <f t="shared" si="2"/>
        <v>45782</v>
      </c>
      <c r="J40" s="95">
        <f t="shared" si="2"/>
        <v>45783</v>
      </c>
      <c r="K40" s="95">
        <f t="shared" si="2"/>
        <v>45784</v>
      </c>
      <c r="L40" s="95">
        <f t="shared" si="2"/>
        <v>45785</v>
      </c>
      <c r="M40" s="95">
        <f t="shared" si="2"/>
        <v>45786</v>
      </c>
      <c r="N40" s="95">
        <f t="shared" si="2"/>
        <v>45787</v>
      </c>
      <c r="O40" s="95">
        <f t="shared" si="2"/>
        <v>45788</v>
      </c>
      <c r="P40" s="95">
        <f t="shared" si="2"/>
        <v>45789</v>
      </c>
      <c r="Q40" s="95">
        <f t="shared" si="2"/>
        <v>45790</v>
      </c>
      <c r="R40" s="95">
        <f t="shared" si="2"/>
        <v>45791</v>
      </c>
      <c r="S40" s="95">
        <f t="shared" si="2"/>
        <v>45792</v>
      </c>
      <c r="T40" s="95">
        <f t="shared" si="2"/>
        <v>45793</v>
      </c>
      <c r="U40" s="95">
        <f t="shared" si="2"/>
        <v>45794</v>
      </c>
      <c r="V40" s="95">
        <f t="shared" si="2"/>
        <v>45795</v>
      </c>
      <c r="W40" s="95">
        <f t="shared" si="2"/>
        <v>45796</v>
      </c>
      <c r="X40" s="95">
        <f t="shared" si="2"/>
        <v>45797</v>
      </c>
      <c r="Y40" s="95">
        <f t="shared" si="2"/>
        <v>45798</v>
      </c>
      <c r="Z40" s="95">
        <f t="shared" si="2"/>
        <v>45799</v>
      </c>
      <c r="AA40" s="95">
        <f t="shared" si="2"/>
        <v>45800</v>
      </c>
      <c r="AB40" s="95">
        <f t="shared" si="2"/>
        <v>45801</v>
      </c>
      <c r="AC40" s="95">
        <f t="shared" si="2"/>
        <v>45802</v>
      </c>
      <c r="AD40" s="95">
        <f t="shared" si="2"/>
        <v>45803</v>
      </c>
      <c r="AE40" s="95">
        <f t="shared" si="2"/>
        <v>45804</v>
      </c>
      <c r="AF40" s="95">
        <f t="shared" si="2"/>
        <v>45805</v>
      </c>
      <c r="AG40" s="95">
        <f t="shared" si="2"/>
        <v>45806</v>
      </c>
      <c r="AH40" s="95">
        <f t="shared" si="2"/>
        <v>45807</v>
      </c>
      <c r="AI40" s="95">
        <f t="shared" si="2"/>
        <v>45808</v>
      </c>
      <c r="AJ40" s="600" t="s">
        <v>1</v>
      </c>
    </row>
    <row r="41" spans="1:36">
      <c r="A41" s="508"/>
      <c r="B41" s="508"/>
      <c r="C41" s="518"/>
      <c r="D41" s="519"/>
      <c r="E41" s="96" t="str">
        <f t="shared" ref="E41:AI41" si="3">E3</f>
        <v>THU</v>
      </c>
      <c r="F41" s="96" t="str">
        <f t="shared" si="3"/>
        <v>FRI</v>
      </c>
      <c r="G41" s="96" t="str">
        <f t="shared" si="3"/>
        <v>SAT</v>
      </c>
      <c r="H41" s="96" t="str">
        <f t="shared" si="3"/>
        <v>SUN</v>
      </c>
      <c r="I41" s="96" t="str">
        <f t="shared" si="3"/>
        <v>MON</v>
      </c>
      <c r="J41" s="96" t="str">
        <f t="shared" si="3"/>
        <v>TUE</v>
      </c>
      <c r="K41" s="96" t="str">
        <f t="shared" si="3"/>
        <v>WED</v>
      </c>
      <c r="L41" s="96" t="str">
        <f t="shared" si="3"/>
        <v>THU</v>
      </c>
      <c r="M41" s="96" t="str">
        <f t="shared" si="3"/>
        <v>FRI</v>
      </c>
      <c r="N41" s="96" t="str">
        <f t="shared" si="3"/>
        <v>SAT</v>
      </c>
      <c r="O41" s="96" t="str">
        <f t="shared" si="3"/>
        <v>SUN</v>
      </c>
      <c r="P41" s="96" t="str">
        <f t="shared" si="3"/>
        <v>MON</v>
      </c>
      <c r="Q41" s="96" t="str">
        <f t="shared" si="3"/>
        <v>TUE</v>
      </c>
      <c r="R41" s="96" t="str">
        <f t="shared" si="3"/>
        <v>WED</v>
      </c>
      <c r="S41" s="96" t="str">
        <f t="shared" si="3"/>
        <v>THU</v>
      </c>
      <c r="T41" s="96" t="str">
        <f t="shared" si="3"/>
        <v>FRI</v>
      </c>
      <c r="U41" s="96" t="str">
        <f t="shared" si="3"/>
        <v>SAT</v>
      </c>
      <c r="V41" s="96" t="str">
        <f t="shared" si="3"/>
        <v>SUN</v>
      </c>
      <c r="W41" s="96" t="str">
        <f t="shared" si="3"/>
        <v>MON</v>
      </c>
      <c r="X41" s="96" t="str">
        <f t="shared" si="3"/>
        <v>TUE</v>
      </c>
      <c r="Y41" s="96" t="str">
        <f t="shared" si="3"/>
        <v>WED</v>
      </c>
      <c r="Z41" s="96" t="str">
        <f t="shared" si="3"/>
        <v>THU</v>
      </c>
      <c r="AA41" s="96" t="str">
        <f t="shared" si="3"/>
        <v>FRI</v>
      </c>
      <c r="AB41" s="96" t="str">
        <f t="shared" si="3"/>
        <v>SAT</v>
      </c>
      <c r="AC41" s="96" t="str">
        <f t="shared" si="3"/>
        <v>SUN</v>
      </c>
      <c r="AD41" s="96" t="str">
        <f t="shared" si="3"/>
        <v>MON</v>
      </c>
      <c r="AE41" s="96" t="str">
        <f t="shared" si="3"/>
        <v>TUE</v>
      </c>
      <c r="AF41" s="96" t="str">
        <f t="shared" si="3"/>
        <v>WED</v>
      </c>
      <c r="AG41" s="96" t="str">
        <f t="shared" si="3"/>
        <v>THU</v>
      </c>
      <c r="AH41" s="96" t="str">
        <f t="shared" si="3"/>
        <v>FRI</v>
      </c>
      <c r="AI41" s="96" t="str">
        <f t="shared" si="3"/>
        <v>SAT</v>
      </c>
      <c r="AJ41" s="508"/>
    </row>
    <row r="42" spans="1:36">
      <c r="A42" s="508"/>
      <c r="B42" s="508"/>
      <c r="C42" s="518"/>
      <c r="D42" s="519"/>
      <c r="E42" s="97" t="s">
        <v>110</v>
      </c>
      <c r="F42" s="97" t="s">
        <v>110</v>
      </c>
      <c r="G42" s="97" t="s">
        <v>110</v>
      </c>
      <c r="H42" s="97" t="s">
        <v>110</v>
      </c>
      <c r="I42" s="97" t="s">
        <v>110</v>
      </c>
      <c r="J42" s="97" t="s">
        <v>110</v>
      </c>
      <c r="K42" s="97" t="s">
        <v>110</v>
      </c>
      <c r="L42" s="97" t="s">
        <v>110</v>
      </c>
      <c r="M42" s="97" t="s">
        <v>110</v>
      </c>
      <c r="N42" s="97" t="s">
        <v>110</v>
      </c>
      <c r="O42" s="97" t="s">
        <v>110</v>
      </c>
      <c r="P42" s="97" t="s">
        <v>110</v>
      </c>
      <c r="Q42" s="97" t="s">
        <v>110</v>
      </c>
      <c r="R42" s="97" t="s">
        <v>110</v>
      </c>
      <c r="S42" s="97" t="s">
        <v>110</v>
      </c>
      <c r="T42" s="97" t="s">
        <v>110</v>
      </c>
      <c r="U42" s="97" t="s">
        <v>110</v>
      </c>
      <c r="V42" s="97" t="s">
        <v>110</v>
      </c>
      <c r="W42" s="97" t="s">
        <v>110</v>
      </c>
      <c r="X42" s="97" t="s">
        <v>110</v>
      </c>
      <c r="Y42" s="97" t="s">
        <v>110</v>
      </c>
      <c r="Z42" s="97" t="s">
        <v>110</v>
      </c>
      <c r="AA42" s="97" t="s">
        <v>110</v>
      </c>
      <c r="AB42" s="97" t="s">
        <v>110</v>
      </c>
      <c r="AC42" s="97" t="s">
        <v>110</v>
      </c>
      <c r="AD42" s="97" t="s">
        <v>110</v>
      </c>
      <c r="AE42" s="97" t="s">
        <v>110</v>
      </c>
      <c r="AF42" s="97" t="s">
        <v>110</v>
      </c>
      <c r="AG42" s="97" t="s">
        <v>110</v>
      </c>
      <c r="AH42" s="95" t="str">
        <f>AH4</f>
        <v>Time</v>
      </c>
      <c r="AI42" s="95" t="str">
        <f>AI4</f>
        <v>Time</v>
      </c>
      <c r="AJ42" s="508"/>
    </row>
    <row r="43" spans="1:36">
      <c r="A43" s="509"/>
      <c r="B43" s="509"/>
      <c r="C43" s="520"/>
      <c r="D43" s="521"/>
      <c r="E43" s="98">
        <v>0.33333333333333331</v>
      </c>
      <c r="F43" s="98">
        <v>0.33333333333333331</v>
      </c>
      <c r="G43" s="98">
        <v>0.33333333333333331</v>
      </c>
      <c r="H43" s="98">
        <v>0.33333333333333331</v>
      </c>
      <c r="I43" s="98">
        <v>0.33333333333333331</v>
      </c>
      <c r="J43" s="98">
        <v>0.33333333333333331</v>
      </c>
      <c r="K43" s="98">
        <v>0.33333333333333331</v>
      </c>
      <c r="L43" s="98">
        <v>0.33333333333333331</v>
      </c>
      <c r="M43" s="98">
        <v>0.33333333333333331</v>
      </c>
      <c r="N43" s="98">
        <v>0.33333333333333331</v>
      </c>
      <c r="O43" s="98">
        <v>0.33333333333333331</v>
      </c>
      <c r="P43" s="98">
        <v>0.33333333333333331</v>
      </c>
      <c r="Q43" s="98">
        <v>0.33333333333333331</v>
      </c>
      <c r="R43" s="98">
        <v>0.33333333333333331</v>
      </c>
      <c r="S43" s="98">
        <v>0.33333333333333331</v>
      </c>
      <c r="T43" s="98">
        <v>0.33333333333333331</v>
      </c>
      <c r="U43" s="98">
        <v>0.33333333333333331</v>
      </c>
      <c r="V43" s="98">
        <v>0.33333333333333331</v>
      </c>
      <c r="W43" s="98">
        <v>0.33333333333333331</v>
      </c>
      <c r="X43" s="98">
        <v>0.33333333333333331</v>
      </c>
      <c r="Y43" s="98">
        <v>0.33333333333333331</v>
      </c>
      <c r="Z43" s="98">
        <v>0.33333333333333331</v>
      </c>
      <c r="AA43" s="98">
        <v>0.33333333333333331</v>
      </c>
      <c r="AB43" s="98">
        <v>0.33333333333333331</v>
      </c>
      <c r="AC43" s="98">
        <v>0.33333333333333331</v>
      </c>
      <c r="AD43" s="98">
        <v>0.33333333333333331</v>
      </c>
      <c r="AE43" s="98">
        <v>0.33333333333333331</v>
      </c>
      <c r="AF43" s="98">
        <v>0.33333333333333331</v>
      </c>
      <c r="AG43" s="98">
        <v>0.33333333333333331</v>
      </c>
      <c r="AH43" s="98">
        <v>0.33333333333333331</v>
      </c>
      <c r="AI43" s="98">
        <v>0.375</v>
      </c>
      <c r="AJ43" s="509"/>
    </row>
    <row r="44" spans="1:36" ht="15" customHeight="1">
      <c r="A44" s="2">
        <v>1</v>
      </c>
      <c r="B44" s="2" t="s">
        <v>129</v>
      </c>
      <c r="C44" s="503" t="s">
        <v>111</v>
      </c>
      <c r="D44" s="501"/>
      <c r="E44" s="20">
        <f t="shared" ref="E44:AI44" si="4">E6-D6</f>
        <v>271</v>
      </c>
      <c r="F44" s="20">
        <f t="shared" si="4"/>
        <v>251</v>
      </c>
      <c r="G44" s="20">
        <f t="shared" si="4"/>
        <v>194</v>
      </c>
      <c r="H44" s="20">
        <f t="shared" si="4"/>
        <v>190</v>
      </c>
      <c r="I44" s="20">
        <f t="shared" si="4"/>
        <v>268</v>
      </c>
      <c r="J44" s="20">
        <f t="shared" si="4"/>
        <v>257</v>
      </c>
      <c r="K44" s="20">
        <f t="shared" si="4"/>
        <v>252</v>
      </c>
      <c r="L44" s="20">
        <f t="shared" si="4"/>
        <v>260</v>
      </c>
      <c r="M44" s="20">
        <f t="shared" si="4"/>
        <v>257</v>
      </c>
      <c r="N44" s="20">
        <f t="shared" si="4"/>
        <v>192</v>
      </c>
      <c r="O44" s="20">
        <f t="shared" si="4"/>
        <v>204</v>
      </c>
      <c r="P44" s="20">
        <f t="shared" si="4"/>
        <v>256</v>
      </c>
      <c r="Q44" s="20">
        <f t="shared" si="4"/>
        <v>249</v>
      </c>
      <c r="R44" s="20">
        <f t="shared" si="4"/>
        <v>284</v>
      </c>
      <c r="S44" s="20">
        <f t="shared" si="4"/>
        <v>270</v>
      </c>
      <c r="T44" s="20">
        <f t="shared" si="4"/>
        <v>251</v>
      </c>
      <c r="U44" s="20">
        <f t="shared" si="4"/>
        <v>202</v>
      </c>
      <c r="V44" s="20">
        <f t="shared" si="4"/>
        <v>204</v>
      </c>
      <c r="W44" s="20">
        <f t="shared" si="4"/>
        <v>269</v>
      </c>
      <c r="X44" s="20">
        <f t="shared" si="4"/>
        <v>268</v>
      </c>
      <c r="Y44" s="20">
        <f t="shared" si="4"/>
        <v>274</v>
      </c>
      <c r="Z44" s="20">
        <f t="shared" si="4"/>
        <v>275</v>
      </c>
      <c r="AA44" s="20">
        <f t="shared" si="4"/>
        <v>254</v>
      </c>
      <c r="AB44" s="20">
        <f t="shared" si="4"/>
        <v>205</v>
      </c>
      <c r="AC44" s="20">
        <f t="shared" si="4"/>
        <v>198</v>
      </c>
      <c r="AD44" s="20">
        <f t="shared" si="4"/>
        <v>255</v>
      </c>
      <c r="AE44" s="20">
        <f t="shared" si="4"/>
        <v>268</v>
      </c>
      <c r="AF44" s="20">
        <f t="shared" si="4"/>
        <v>268</v>
      </c>
      <c r="AG44" s="20">
        <f t="shared" si="4"/>
        <v>266</v>
      </c>
      <c r="AH44" s="20">
        <f t="shared" si="4"/>
        <v>257</v>
      </c>
      <c r="AI44" s="20">
        <f t="shared" si="4"/>
        <v>216</v>
      </c>
      <c r="AJ44" s="172">
        <f t="shared" ref="AJ44:AJ61" si="5">SUM(E44:AG44)</f>
        <v>7112</v>
      </c>
    </row>
    <row r="45" spans="1:36" ht="15" customHeight="1">
      <c r="A45" s="2"/>
      <c r="B45" s="2"/>
      <c r="C45" s="531" t="s">
        <v>22</v>
      </c>
      <c r="D45" s="501"/>
      <c r="E45" s="20">
        <f t="shared" ref="E45:AI45" si="6">E7-D7</f>
        <v>0</v>
      </c>
      <c r="F45" s="20">
        <f t="shared" si="6"/>
        <v>0</v>
      </c>
      <c r="G45" s="20">
        <f t="shared" si="6"/>
        <v>0</v>
      </c>
      <c r="H45" s="20">
        <f t="shared" si="6"/>
        <v>0</v>
      </c>
      <c r="I45" s="20">
        <f t="shared" si="6"/>
        <v>0</v>
      </c>
      <c r="J45" s="20">
        <f t="shared" si="6"/>
        <v>0</v>
      </c>
      <c r="K45" s="20">
        <f t="shared" si="6"/>
        <v>0</v>
      </c>
      <c r="L45" s="20">
        <f t="shared" si="6"/>
        <v>0</v>
      </c>
      <c r="M45" s="20">
        <f t="shared" si="6"/>
        <v>0</v>
      </c>
      <c r="N45" s="20">
        <f t="shared" si="6"/>
        <v>0</v>
      </c>
      <c r="O45" s="20">
        <f t="shared" si="6"/>
        <v>0</v>
      </c>
      <c r="P45" s="20">
        <f t="shared" si="6"/>
        <v>0</v>
      </c>
      <c r="Q45" s="20">
        <f t="shared" si="6"/>
        <v>0</v>
      </c>
      <c r="R45" s="20">
        <f t="shared" si="6"/>
        <v>0</v>
      </c>
      <c r="S45" s="20">
        <f t="shared" si="6"/>
        <v>4</v>
      </c>
      <c r="T45" s="20">
        <f t="shared" si="6"/>
        <v>9</v>
      </c>
      <c r="U45" s="20">
        <f t="shared" si="6"/>
        <v>0</v>
      </c>
      <c r="V45" s="20">
        <f t="shared" si="6"/>
        <v>0</v>
      </c>
      <c r="W45" s="20">
        <f t="shared" si="6"/>
        <v>0</v>
      </c>
      <c r="X45" s="20">
        <f t="shared" si="6"/>
        <v>0</v>
      </c>
      <c r="Y45" s="20">
        <f t="shared" si="6"/>
        <v>0</v>
      </c>
      <c r="Z45" s="20">
        <f t="shared" si="6"/>
        <v>0</v>
      </c>
      <c r="AA45" s="20">
        <f t="shared" si="6"/>
        <v>0</v>
      </c>
      <c r="AB45" s="20">
        <f t="shared" si="6"/>
        <v>0</v>
      </c>
      <c r="AC45" s="20">
        <f t="shared" si="6"/>
        <v>0</v>
      </c>
      <c r="AD45" s="20">
        <f t="shared" si="6"/>
        <v>5</v>
      </c>
      <c r="AE45" s="20">
        <f t="shared" si="6"/>
        <v>0</v>
      </c>
      <c r="AF45" s="20">
        <f t="shared" si="6"/>
        <v>0</v>
      </c>
      <c r="AG45" s="20">
        <f t="shared" si="6"/>
        <v>0</v>
      </c>
      <c r="AH45" s="20">
        <f t="shared" si="6"/>
        <v>0</v>
      </c>
      <c r="AI45" s="20">
        <f t="shared" si="6"/>
        <v>8</v>
      </c>
      <c r="AJ45" s="172">
        <f t="shared" si="5"/>
        <v>18</v>
      </c>
    </row>
    <row r="46" spans="1:36" ht="15" customHeight="1">
      <c r="A46" s="2">
        <v>2</v>
      </c>
      <c r="B46" s="2" t="s">
        <v>129</v>
      </c>
      <c r="C46" s="503" t="s">
        <v>112</v>
      </c>
      <c r="D46" s="501"/>
      <c r="E46" s="20">
        <f t="shared" ref="E46:I59" si="7">E8-D8</f>
        <v>0</v>
      </c>
      <c r="F46" s="20">
        <f t="shared" si="7"/>
        <v>0</v>
      </c>
      <c r="G46" s="20">
        <f t="shared" si="7"/>
        <v>0</v>
      </c>
      <c r="H46" s="20">
        <f t="shared" si="7"/>
        <v>0</v>
      </c>
      <c r="I46" s="20">
        <f t="shared" si="7"/>
        <v>0</v>
      </c>
      <c r="J46" s="20">
        <f>P8-I8</f>
        <v>0</v>
      </c>
      <c r="K46" s="20">
        <f>K8-P8</f>
        <v>0</v>
      </c>
      <c r="L46" s="20">
        <f t="shared" ref="L46:O59" si="8">L8-K8</f>
        <v>0</v>
      </c>
      <c r="M46" s="20">
        <f t="shared" si="8"/>
        <v>0</v>
      </c>
      <c r="N46" s="20">
        <f t="shared" si="8"/>
        <v>0</v>
      </c>
      <c r="O46" s="20">
        <f t="shared" si="8"/>
        <v>0</v>
      </c>
      <c r="P46" s="20">
        <v>0</v>
      </c>
      <c r="Q46" s="20">
        <v>0</v>
      </c>
      <c r="R46" s="20">
        <f t="shared" ref="R46:AI46" si="9">R8-Q8</f>
        <v>0</v>
      </c>
      <c r="S46" s="20">
        <f t="shared" si="9"/>
        <v>0</v>
      </c>
      <c r="T46" s="20">
        <f t="shared" si="9"/>
        <v>0</v>
      </c>
      <c r="U46" s="20">
        <f t="shared" si="9"/>
        <v>0</v>
      </c>
      <c r="V46" s="20">
        <f t="shared" si="9"/>
        <v>0</v>
      </c>
      <c r="W46" s="20">
        <f t="shared" si="9"/>
        <v>0</v>
      </c>
      <c r="X46" s="20">
        <f t="shared" si="9"/>
        <v>0</v>
      </c>
      <c r="Y46" s="20">
        <f t="shared" si="9"/>
        <v>0</v>
      </c>
      <c r="Z46" s="20">
        <f t="shared" si="9"/>
        <v>0</v>
      </c>
      <c r="AA46" s="20">
        <f t="shared" si="9"/>
        <v>0</v>
      </c>
      <c r="AB46" s="20">
        <f t="shared" si="9"/>
        <v>0</v>
      </c>
      <c r="AC46" s="20">
        <f t="shared" si="9"/>
        <v>0</v>
      </c>
      <c r="AD46" s="20">
        <f t="shared" si="9"/>
        <v>0</v>
      </c>
      <c r="AE46" s="20">
        <f t="shared" si="9"/>
        <v>0</v>
      </c>
      <c r="AF46" s="20">
        <f t="shared" si="9"/>
        <v>0</v>
      </c>
      <c r="AG46" s="20">
        <f t="shared" si="9"/>
        <v>0</v>
      </c>
      <c r="AH46" s="20">
        <f t="shared" si="9"/>
        <v>0</v>
      </c>
      <c r="AI46" s="20">
        <f t="shared" si="9"/>
        <v>0</v>
      </c>
      <c r="AJ46" s="172">
        <f t="shared" si="5"/>
        <v>0</v>
      </c>
    </row>
    <row r="47" spans="1:36" ht="15" customHeight="1">
      <c r="A47" s="2"/>
      <c r="B47" s="2"/>
      <c r="C47" s="531" t="s">
        <v>22</v>
      </c>
      <c r="D47" s="501"/>
      <c r="E47" s="20">
        <f t="shared" si="7"/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ref="J47:K59" si="10">J9-I9</f>
        <v>0</v>
      </c>
      <c r="K47" s="20">
        <f t="shared" si="10"/>
        <v>0</v>
      </c>
      <c r="L47" s="20">
        <f t="shared" si="8"/>
        <v>0</v>
      </c>
      <c r="M47" s="20">
        <f t="shared" si="8"/>
        <v>0</v>
      </c>
      <c r="N47" s="20">
        <f t="shared" si="8"/>
        <v>0</v>
      </c>
      <c r="O47" s="20">
        <f t="shared" si="8"/>
        <v>0</v>
      </c>
      <c r="P47" s="20">
        <f t="shared" ref="P47:Q59" si="11">P9-O9</f>
        <v>0</v>
      </c>
      <c r="Q47" s="20">
        <f t="shared" si="11"/>
        <v>0</v>
      </c>
      <c r="R47" s="20">
        <f t="shared" ref="R47:AI47" si="12">R9-Q9</f>
        <v>0</v>
      </c>
      <c r="S47" s="20">
        <f t="shared" si="12"/>
        <v>0</v>
      </c>
      <c r="T47" s="20">
        <f t="shared" si="12"/>
        <v>0</v>
      </c>
      <c r="U47" s="20">
        <f t="shared" si="12"/>
        <v>0</v>
      </c>
      <c r="V47" s="20">
        <f t="shared" si="12"/>
        <v>0</v>
      </c>
      <c r="W47" s="20">
        <f t="shared" si="12"/>
        <v>0</v>
      </c>
      <c r="X47" s="20">
        <f t="shared" si="12"/>
        <v>0</v>
      </c>
      <c r="Y47" s="20">
        <f t="shared" si="12"/>
        <v>0</v>
      </c>
      <c r="Z47" s="20">
        <f t="shared" si="12"/>
        <v>0</v>
      </c>
      <c r="AA47" s="20">
        <f t="shared" si="12"/>
        <v>0</v>
      </c>
      <c r="AB47" s="20">
        <f t="shared" si="12"/>
        <v>0</v>
      </c>
      <c r="AC47" s="20">
        <f t="shared" si="12"/>
        <v>0</v>
      </c>
      <c r="AD47" s="20">
        <f t="shared" si="12"/>
        <v>0</v>
      </c>
      <c r="AE47" s="20">
        <f t="shared" si="12"/>
        <v>0</v>
      </c>
      <c r="AF47" s="20">
        <f t="shared" si="12"/>
        <v>0</v>
      </c>
      <c r="AG47" s="20">
        <f t="shared" si="12"/>
        <v>0</v>
      </c>
      <c r="AH47" s="20">
        <f t="shared" si="12"/>
        <v>0</v>
      </c>
      <c r="AI47" s="20">
        <f t="shared" si="12"/>
        <v>0</v>
      </c>
      <c r="AJ47" s="172">
        <f t="shared" si="5"/>
        <v>0</v>
      </c>
    </row>
    <row r="48" spans="1:36" ht="15" customHeight="1">
      <c r="A48" s="2">
        <v>3</v>
      </c>
      <c r="B48" s="2" t="s">
        <v>129</v>
      </c>
      <c r="C48" s="503" t="s">
        <v>113</v>
      </c>
      <c r="D48" s="501"/>
      <c r="E48" s="20">
        <f t="shared" si="7"/>
        <v>371</v>
      </c>
      <c r="F48" s="20">
        <f t="shared" si="7"/>
        <v>357</v>
      </c>
      <c r="G48" s="20">
        <f t="shared" si="7"/>
        <v>254</v>
      </c>
      <c r="H48" s="20">
        <f t="shared" si="7"/>
        <v>246</v>
      </c>
      <c r="I48" s="20">
        <f t="shared" si="7"/>
        <v>389</v>
      </c>
      <c r="J48" s="20">
        <f t="shared" si="10"/>
        <v>376</v>
      </c>
      <c r="K48" s="20">
        <f t="shared" si="10"/>
        <v>365</v>
      </c>
      <c r="L48" s="20">
        <f t="shared" si="8"/>
        <v>384</v>
      </c>
      <c r="M48" s="20">
        <f t="shared" si="8"/>
        <v>367</v>
      </c>
      <c r="N48" s="20">
        <f t="shared" si="8"/>
        <v>256</v>
      </c>
      <c r="O48" s="20">
        <f t="shared" si="8"/>
        <v>261</v>
      </c>
      <c r="P48" s="20">
        <f t="shared" si="11"/>
        <v>383</v>
      </c>
      <c r="Q48" s="20">
        <f t="shared" si="11"/>
        <v>396</v>
      </c>
      <c r="R48" s="20">
        <f t="shared" ref="R48:AI48" si="13">R10-Q10</f>
        <v>391</v>
      </c>
      <c r="S48" s="20">
        <f t="shared" si="13"/>
        <v>394</v>
      </c>
      <c r="T48" s="20">
        <f t="shared" si="13"/>
        <v>366</v>
      </c>
      <c r="U48" s="20">
        <f t="shared" si="13"/>
        <v>266</v>
      </c>
      <c r="V48" s="20">
        <f t="shared" si="13"/>
        <v>243</v>
      </c>
      <c r="W48" s="20">
        <f t="shared" si="13"/>
        <v>421</v>
      </c>
      <c r="X48" s="20">
        <f t="shared" si="13"/>
        <v>395</v>
      </c>
      <c r="Y48" s="20">
        <f t="shared" si="13"/>
        <v>405</v>
      </c>
      <c r="Z48" s="20">
        <f t="shared" si="13"/>
        <v>402</v>
      </c>
      <c r="AA48" s="20">
        <f t="shared" si="13"/>
        <v>373</v>
      </c>
      <c r="AB48" s="20">
        <f t="shared" si="13"/>
        <v>267</v>
      </c>
      <c r="AC48" s="20">
        <f t="shared" si="13"/>
        <v>256</v>
      </c>
      <c r="AD48" s="20">
        <f t="shared" si="13"/>
        <v>464</v>
      </c>
      <c r="AE48" s="20">
        <f t="shared" si="13"/>
        <v>291</v>
      </c>
      <c r="AF48" s="20">
        <f t="shared" si="13"/>
        <v>351</v>
      </c>
      <c r="AG48" s="20">
        <f t="shared" si="13"/>
        <v>434</v>
      </c>
      <c r="AH48" s="20">
        <f t="shared" si="13"/>
        <v>376</v>
      </c>
      <c r="AI48" s="20">
        <f t="shared" si="13"/>
        <v>285</v>
      </c>
      <c r="AJ48" s="172">
        <f t="shared" si="5"/>
        <v>10124</v>
      </c>
    </row>
    <row r="49" spans="1:36" ht="15" customHeight="1">
      <c r="A49" s="2"/>
      <c r="B49" s="2"/>
      <c r="C49" s="531" t="s">
        <v>22</v>
      </c>
      <c r="D49" s="501"/>
      <c r="E49" s="20">
        <f t="shared" si="7"/>
        <v>0</v>
      </c>
      <c r="F49" s="20">
        <f t="shared" si="7"/>
        <v>0</v>
      </c>
      <c r="G49" s="20">
        <f t="shared" si="7"/>
        <v>0</v>
      </c>
      <c r="H49" s="20">
        <f t="shared" si="7"/>
        <v>0</v>
      </c>
      <c r="I49" s="20">
        <f t="shared" si="7"/>
        <v>0</v>
      </c>
      <c r="J49" s="20">
        <f t="shared" si="10"/>
        <v>0</v>
      </c>
      <c r="K49" s="20">
        <f t="shared" si="10"/>
        <v>0</v>
      </c>
      <c r="L49" s="20">
        <f t="shared" si="8"/>
        <v>0</v>
      </c>
      <c r="M49" s="20">
        <f t="shared" si="8"/>
        <v>0</v>
      </c>
      <c r="N49" s="20">
        <f t="shared" si="8"/>
        <v>0</v>
      </c>
      <c r="O49" s="20">
        <f t="shared" si="8"/>
        <v>0</v>
      </c>
      <c r="P49" s="20">
        <f t="shared" si="11"/>
        <v>0</v>
      </c>
      <c r="Q49" s="20">
        <f t="shared" si="11"/>
        <v>0</v>
      </c>
      <c r="R49" s="20">
        <f t="shared" ref="R49:AI49" si="14">R11-Q11</f>
        <v>0</v>
      </c>
      <c r="S49" s="20">
        <f t="shared" si="14"/>
        <v>5</v>
      </c>
      <c r="T49" s="20">
        <f t="shared" si="14"/>
        <v>14</v>
      </c>
      <c r="U49" s="20">
        <f t="shared" si="14"/>
        <v>0</v>
      </c>
      <c r="V49" s="20">
        <f t="shared" si="14"/>
        <v>0</v>
      </c>
      <c r="W49" s="20">
        <f t="shared" si="14"/>
        <v>0</v>
      </c>
      <c r="X49" s="20">
        <f t="shared" si="14"/>
        <v>0</v>
      </c>
      <c r="Y49" s="20">
        <f t="shared" si="14"/>
        <v>0</v>
      </c>
      <c r="Z49" s="20">
        <f t="shared" si="14"/>
        <v>0</v>
      </c>
      <c r="AA49" s="20">
        <f t="shared" si="14"/>
        <v>0</v>
      </c>
      <c r="AB49" s="20">
        <f t="shared" si="14"/>
        <v>0</v>
      </c>
      <c r="AC49" s="20">
        <f t="shared" si="14"/>
        <v>0</v>
      </c>
      <c r="AD49" s="20">
        <f t="shared" si="14"/>
        <v>6</v>
      </c>
      <c r="AE49" s="20">
        <f t="shared" si="14"/>
        <v>0</v>
      </c>
      <c r="AF49" s="20">
        <f t="shared" si="14"/>
        <v>0</v>
      </c>
      <c r="AG49" s="20">
        <f t="shared" si="14"/>
        <v>0</v>
      </c>
      <c r="AH49" s="20">
        <f t="shared" si="14"/>
        <v>0</v>
      </c>
      <c r="AI49" s="20">
        <f t="shared" si="14"/>
        <v>11</v>
      </c>
      <c r="AJ49" s="172">
        <f t="shared" si="5"/>
        <v>25</v>
      </c>
    </row>
    <row r="50" spans="1:36" ht="15" customHeight="1">
      <c r="A50" s="2">
        <v>4</v>
      </c>
      <c r="B50" s="2" t="s">
        <v>129</v>
      </c>
      <c r="C50" s="503" t="s">
        <v>114</v>
      </c>
      <c r="D50" s="501"/>
      <c r="E50" s="20">
        <f t="shared" si="7"/>
        <v>0</v>
      </c>
      <c r="F50" s="20">
        <f t="shared" si="7"/>
        <v>0</v>
      </c>
      <c r="G50" s="20">
        <f t="shared" si="7"/>
        <v>0</v>
      </c>
      <c r="H50" s="20">
        <f t="shared" si="7"/>
        <v>0</v>
      </c>
      <c r="I50" s="20">
        <f t="shared" si="7"/>
        <v>0</v>
      </c>
      <c r="J50" s="20">
        <f t="shared" si="10"/>
        <v>0</v>
      </c>
      <c r="K50" s="20">
        <f t="shared" si="10"/>
        <v>0</v>
      </c>
      <c r="L50" s="20">
        <f t="shared" si="8"/>
        <v>0</v>
      </c>
      <c r="M50" s="20">
        <f t="shared" si="8"/>
        <v>0</v>
      </c>
      <c r="N50" s="20">
        <f t="shared" si="8"/>
        <v>0</v>
      </c>
      <c r="O50" s="20">
        <f t="shared" si="8"/>
        <v>0</v>
      </c>
      <c r="P50" s="20">
        <f t="shared" si="11"/>
        <v>0</v>
      </c>
      <c r="Q50" s="20">
        <f t="shared" si="11"/>
        <v>0</v>
      </c>
      <c r="R50" s="20">
        <f t="shared" ref="R50:AI50" si="15">R12-Q12</f>
        <v>0</v>
      </c>
      <c r="S50" s="20">
        <f t="shared" si="15"/>
        <v>0</v>
      </c>
      <c r="T50" s="20">
        <f t="shared" si="15"/>
        <v>0</v>
      </c>
      <c r="U50" s="20">
        <f t="shared" si="15"/>
        <v>0</v>
      </c>
      <c r="V50" s="20">
        <f t="shared" si="15"/>
        <v>0</v>
      </c>
      <c r="W50" s="20">
        <f t="shared" si="15"/>
        <v>0</v>
      </c>
      <c r="X50" s="20">
        <f t="shared" si="15"/>
        <v>0</v>
      </c>
      <c r="Y50" s="20">
        <f t="shared" si="15"/>
        <v>0</v>
      </c>
      <c r="Z50" s="20">
        <f t="shared" si="15"/>
        <v>0</v>
      </c>
      <c r="AA50" s="20">
        <f t="shared" si="15"/>
        <v>0</v>
      </c>
      <c r="AB50" s="20">
        <f t="shared" si="15"/>
        <v>0</v>
      </c>
      <c r="AC50" s="20">
        <f t="shared" si="15"/>
        <v>0</v>
      </c>
      <c r="AD50" s="20">
        <f t="shared" si="15"/>
        <v>0</v>
      </c>
      <c r="AE50" s="20">
        <f t="shared" si="15"/>
        <v>0</v>
      </c>
      <c r="AF50" s="20">
        <f t="shared" si="15"/>
        <v>0</v>
      </c>
      <c r="AG50" s="20">
        <f t="shared" si="15"/>
        <v>0</v>
      </c>
      <c r="AH50" s="20">
        <f t="shared" si="15"/>
        <v>0</v>
      </c>
      <c r="AI50" s="20">
        <f t="shared" si="15"/>
        <v>0</v>
      </c>
      <c r="AJ50" s="172">
        <f t="shared" si="5"/>
        <v>0</v>
      </c>
    </row>
    <row r="51" spans="1:36" ht="15" customHeight="1">
      <c r="A51" s="2"/>
      <c r="B51" s="2"/>
      <c r="C51" s="531" t="s">
        <v>22</v>
      </c>
      <c r="D51" s="501"/>
      <c r="E51" s="20">
        <f t="shared" si="7"/>
        <v>0</v>
      </c>
      <c r="F51" s="20">
        <f t="shared" si="7"/>
        <v>0</v>
      </c>
      <c r="G51" s="20">
        <f t="shared" si="7"/>
        <v>0</v>
      </c>
      <c r="H51" s="20">
        <f t="shared" si="7"/>
        <v>0</v>
      </c>
      <c r="I51" s="20">
        <f t="shared" si="7"/>
        <v>0</v>
      </c>
      <c r="J51" s="20">
        <f t="shared" si="10"/>
        <v>0</v>
      </c>
      <c r="K51" s="20">
        <f t="shared" si="10"/>
        <v>0</v>
      </c>
      <c r="L51" s="20">
        <f t="shared" si="8"/>
        <v>0</v>
      </c>
      <c r="M51" s="20">
        <f t="shared" si="8"/>
        <v>0</v>
      </c>
      <c r="N51" s="20">
        <f t="shared" si="8"/>
        <v>0</v>
      </c>
      <c r="O51" s="20">
        <f t="shared" si="8"/>
        <v>0</v>
      </c>
      <c r="P51" s="20">
        <f t="shared" si="11"/>
        <v>0</v>
      </c>
      <c r="Q51" s="20">
        <f t="shared" si="11"/>
        <v>0</v>
      </c>
      <c r="R51" s="20">
        <f t="shared" ref="R51:AI51" si="16">R13-Q13</f>
        <v>0</v>
      </c>
      <c r="S51" s="20">
        <f t="shared" si="16"/>
        <v>0</v>
      </c>
      <c r="T51" s="20">
        <f t="shared" si="16"/>
        <v>0</v>
      </c>
      <c r="U51" s="20">
        <f t="shared" si="16"/>
        <v>0</v>
      </c>
      <c r="V51" s="20">
        <f t="shared" si="16"/>
        <v>0</v>
      </c>
      <c r="W51" s="20">
        <f t="shared" si="16"/>
        <v>0</v>
      </c>
      <c r="X51" s="20">
        <f t="shared" si="16"/>
        <v>0</v>
      </c>
      <c r="Y51" s="20">
        <f t="shared" si="16"/>
        <v>0</v>
      </c>
      <c r="Z51" s="20">
        <f t="shared" si="16"/>
        <v>0</v>
      </c>
      <c r="AA51" s="20">
        <f t="shared" si="16"/>
        <v>0</v>
      </c>
      <c r="AB51" s="20">
        <f t="shared" si="16"/>
        <v>0</v>
      </c>
      <c r="AC51" s="20">
        <f t="shared" si="16"/>
        <v>0</v>
      </c>
      <c r="AD51" s="20">
        <f t="shared" si="16"/>
        <v>0</v>
      </c>
      <c r="AE51" s="20">
        <f t="shared" si="16"/>
        <v>0</v>
      </c>
      <c r="AF51" s="20">
        <f t="shared" si="16"/>
        <v>0</v>
      </c>
      <c r="AG51" s="20">
        <f t="shared" si="16"/>
        <v>0</v>
      </c>
      <c r="AH51" s="20">
        <f t="shared" si="16"/>
        <v>0</v>
      </c>
      <c r="AI51" s="20">
        <f t="shared" si="16"/>
        <v>0</v>
      </c>
      <c r="AJ51" s="172">
        <f t="shared" si="5"/>
        <v>0</v>
      </c>
    </row>
    <row r="52" spans="1:36" ht="15" customHeight="1">
      <c r="A52" s="2">
        <v>5</v>
      </c>
      <c r="B52" s="2" t="s">
        <v>129</v>
      </c>
      <c r="C52" s="503" t="s">
        <v>115</v>
      </c>
      <c r="D52" s="501"/>
      <c r="E52" s="20">
        <f t="shared" si="7"/>
        <v>207</v>
      </c>
      <c r="F52" s="20">
        <f t="shared" si="7"/>
        <v>198</v>
      </c>
      <c r="G52" s="20">
        <f t="shared" si="7"/>
        <v>137</v>
      </c>
      <c r="H52" s="20">
        <f t="shared" si="7"/>
        <v>129</v>
      </c>
      <c r="I52" s="20">
        <f t="shared" si="7"/>
        <v>227</v>
      </c>
      <c r="J52" s="20">
        <f t="shared" si="10"/>
        <v>225</v>
      </c>
      <c r="K52" s="20">
        <f t="shared" si="10"/>
        <v>213</v>
      </c>
      <c r="L52" s="20">
        <f t="shared" si="8"/>
        <v>220</v>
      </c>
      <c r="M52" s="20">
        <f t="shared" si="8"/>
        <v>206</v>
      </c>
      <c r="N52" s="20">
        <f t="shared" si="8"/>
        <v>123</v>
      </c>
      <c r="O52" s="20">
        <f t="shared" si="8"/>
        <v>111</v>
      </c>
      <c r="P52" s="20">
        <f t="shared" si="11"/>
        <v>209</v>
      </c>
      <c r="Q52" s="20">
        <f t="shared" si="11"/>
        <v>218</v>
      </c>
      <c r="R52" s="20">
        <f t="shared" ref="R52:AI52" si="17">R14-Q14</f>
        <v>221</v>
      </c>
      <c r="S52" s="20">
        <f t="shared" si="17"/>
        <v>227</v>
      </c>
      <c r="T52" s="20">
        <f t="shared" si="17"/>
        <v>208</v>
      </c>
      <c r="U52" s="20">
        <f t="shared" si="17"/>
        <v>113</v>
      </c>
      <c r="V52" s="20">
        <f t="shared" si="17"/>
        <v>110</v>
      </c>
      <c r="W52" s="20">
        <f t="shared" si="17"/>
        <v>219</v>
      </c>
      <c r="X52" s="20">
        <f t="shared" si="17"/>
        <v>220</v>
      </c>
      <c r="Y52" s="20">
        <f t="shared" si="17"/>
        <v>234</v>
      </c>
      <c r="Z52" s="20">
        <f t="shared" si="17"/>
        <v>241</v>
      </c>
      <c r="AA52" s="20">
        <f t="shared" si="17"/>
        <v>218</v>
      </c>
      <c r="AB52" s="20">
        <f t="shared" si="17"/>
        <v>139</v>
      </c>
      <c r="AC52" s="20">
        <f t="shared" si="17"/>
        <v>105</v>
      </c>
      <c r="AD52" s="20">
        <f t="shared" si="17"/>
        <v>209</v>
      </c>
      <c r="AE52" s="20">
        <f t="shared" si="17"/>
        <v>210</v>
      </c>
      <c r="AF52" s="20">
        <f t="shared" si="17"/>
        <v>230</v>
      </c>
      <c r="AG52" s="20">
        <f t="shared" si="17"/>
        <v>216</v>
      </c>
      <c r="AH52" s="20">
        <f t="shared" si="17"/>
        <v>209</v>
      </c>
      <c r="AI52" s="20">
        <f t="shared" si="17"/>
        <v>145</v>
      </c>
      <c r="AJ52" s="172">
        <f t="shared" si="5"/>
        <v>5543</v>
      </c>
    </row>
    <row r="53" spans="1:36" ht="15" customHeight="1">
      <c r="A53" s="2"/>
      <c r="B53" s="2"/>
      <c r="C53" s="531" t="s">
        <v>22</v>
      </c>
      <c r="D53" s="501"/>
      <c r="E53" s="20">
        <f t="shared" si="7"/>
        <v>0</v>
      </c>
      <c r="F53" s="20">
        <f t="shared" si="7"/>
        <v>0</v>
      </c>
      <c r="G53" s="20">
        <f t="shared" si="7"/>
        <v>0</v>
      </c>
      <c r="H53" s="20">
        <f t="shared" si="7"/>
        <v>0</v>
      </c>
      <c r="I53" s="20">
        <f t="shared" si="7"/>
        <v>0</v>
      </c>
      <c r="J53" s="20">
        <f t="shared" si="10"/>
        <v>0</v>
      </c>
      <c r="K53" s="20">
        <f t="shared" si="10"/>
        <v>0</v>
      </c>
      <c r="L53" s="20">
        <f t="shared" si="8"/>
        <v>0</v>
      </c>
      <c r="M53" s="20">
        <f t="shared" si="8"/>
        <v>0</v>
      </c>
      <c r="N53" s="20">
        <f t="shared" si="8"/>
        <v>0</v>
      </c>
      <c r="O53" s="20">
        <f t="shared" si="8"/>
        <v>0</v>
      </c>
      <c r="P53" s="20">
        <f t="shared" si="11"/>
        <v>0</v>
      </c>
      <c r="Q53" s="20">
        <f t="shared" si="11"/>
        <v>0</v>
      </c>
      <c r="R53" s="20">
        <f t="shared" ref="R53:AI53" si="18">R15-Q15</f>
        <v>0</v>
      </c>
      <c r="S53" s="20">
        <f t="shared" si="18"/>
        <v>2</v>
      </c>
      <c r="T53" s="20">
        <f t="shared" si="18"/>
        <v>8</v>
      </c>
      <c r="U53" s="20">
        <f t="shared" si="18"/>
        <v>0</v>
      </c>
      <c r="V53" s="20">
        <f t="shared" si="18"/>
        <v>0</v>
      </c>
      <c r="W53" s="20">
        <f t="shared" si="18"/>
        <v>0</v>
      </c>
      <c r="X53" s="20">
        <f t="shared" si="18"/>
        <v>0</v>
      </c>
      <c r="Y53" s="20">
        <f t="shared" si="18"/>
        <v>0</v>
      </c>
      <c r="Z53" s="20">
        <f t="shared" si="18"/>
        <v>0</v>
      </c>
      <c r="AA53" s="20">
        <f t="shared" si="18"/>
        <v>0</v>
      </c>
      <c r="AB53" s="20">
        <f t="shared" si="18"/>
        <v>0</v>
      </c>
      <c r="AC53" s="20">
        <f t="shared" si="18"/>
        <v>0</v>
      </c>
      <c r="AD53" s="20">
        <f t="shared" si="18"/>
        <v>3</v>
      </c>
      <c r="AE53" s="20">
        <f t="shared" si="18"/>
        <v>0</v>
      </c>
      <c r="AF53" s="20">
        <f t="shared" si="18"/>
        <v>0</v>
      </c>
      <c r="AG53" s="20">
        <f t="shared" si="18"/>
        <v>0</v>
      </c>
      <c r="AH53" s="20">
        <f t="shared" si="18"/>
        <v>0</v>
      </c>
      <c r="AI53" s="20">
        <f t="shared" si="18"/>
        <v>5</v>
      </c>
      <c r="AJ53" s="172">
        <f t="shared" si="5"/>
        <v>13</v>
      </c>
    </row>
    <row r="54" spans="1:36" ht="15" customHeight="1">
      <c r="A54" s="2">
        <v>6</v>
      </c>
      <c r="B54" s="2" t="s">
        <v>129</v>
      </c>
      <c r="C54" s="503" t="s">
        <v>116</v>
      </c>
      <c r="D54" s="501"/>
      <c r="E54" s="20">
        <f t="shared" si="7"/>
        <v>252</v>
      </c>
      <c r="F54" s="20">
        <f t="shared" si="7"/>
        <v>255</v>
      </c>
      <c r="G54" s="20">
        <f t="shared" si="7"/>
        <v>113</v>
      </c>
      <c r="H54" s="20">
        <f t="shared" si="7"/>
        <v>138</v>
      </c>
      <c r="I54" s="20">
        <f t="shared" si="7"/>
        <v>242</v>
      </c>
      <c r="J54" s="20">
        <f t="shared" si="10"/>
        <v>276</v>
      </c>
      <c r="K54" s="20">
        <f t="shared" si="10"/>
        <v>250</v>
      </c>
      <c r="L54" s="20">
        <f t="shared" si="8"/>
        <v>285</v>
      </c>
      <c r="M54" s="20">
        <f t="shared" si="8"/>
        <v>256</v>
      </c>
      <c r="N54" s="20">
        <f t="shared" si="8"/>
        <v>128</v>
      </c>
      <c r="O54" s="20">
        <f t="shared" si="8"/>
        <v>112</v>
      </c>
      <c r="P54" s="20">
        <f t="shared" si="11"/>
        <v>267</v>
      </c>
      <c r="Q54" s="20">
        <f t="shared" si="11"/>
        <v>249</v>
      </c>
      <c r="R54" s="20">
        <f t="shared" ref="R54:AI54" si="19">R16-Q16</f>
        <v>265</v>
      </c>
      <c r="S54" s="20">
        <f t="shared" si="19"/>
        <v>278</v>
      </c>
      <c r="T54" s="20">
        <f t="shared" si="19"/>
        <v>262</v>
      </c>
      <c r="U54" s="20">
        <f t="shared" si="19"/>
        <v>107</v>
      </c>
      <c r="V54" s="20">
        <f t="shared" si="19"/>
        <v>168</v>
      </c>
      <c r="W54" s="20">
        <f t="shared" si="19"/>
        <v>274</v>
      </c>
      <c r="X54" s="20">
        <f t="shared" si="19"/>
        <v>285</v>
      </c>
      <c r="Y54" s="20">
        <f t="shared" si="19"/>
        <v>279</v>
      </c>
      <c r="Z54" s="20">
        <f t="shared" si="19"/>
        <v>260</v>
      </c>
      <c r="AA54" s="20">
        <f t="shared" si="19"/>
        <v>250</v>
      </c>
      <c r="AB54" s="20">
        <f t="shared" si="19"/>
        <v>100</v>
      </c>
      <c r="AC54" s="20">
        <f t="shared" si="19"/>
        <v>116</v>
      </c>
      <c r="AD54" s="20">
        <f t="shared" si="19"/>
        <v>230</v>
      </c>
      <c r="AE54" s="20">
        <f t="shared" si="19"/>
        <v>270</v>
      </c>
      <c r="AF54" s="20">
        <f t="shared" si="19"/>
        <v>260</v>
      </c>
      <c r="AG54" s="20">
        <f t="shared" si="19"/>
        <v>271</v>
      </c>
      <c r="AH54" s="20">
        <f t="shared" si="19"/>
        <v>242</v>
      </c>
      <c r="AI54" s="20">
        <f t="shared" si="19"/>
        <v>115</v>
      </c>
      <c r="AJ54" s="172">
        <f t="shared" si="5"/>
        <v>6498</v>
      </c>
    </row>
    <row r="55" spans="1:36" ht="15" customHeight="1">
      <c r="A55" s="2"/>
      <c r="B55" s="2"/>
      <c r="C55" s="531" t="s">
        <v>22</v>
      </c>
      <c r="D55" s="501"/>
      <c r="E55" s="20">
        <f t="shared" si="7"/>
        <v>0</v>
      </c>
      <c r="F55" s="20">
        <f t="shared" si="7"/>
        <v>0</v>
      </c>
      <c r="G55" s="20">
        <f t="shared" si="7"/>
        <v>0</v>
      </c>
      <c r="H55" s="20">
        <f t="shared" si="7"/>
        <v>0</v>
      </c>
      <c r="I55" s="20">
        <f t="shared" si="7"/>
        <v>0</v>
      </c>
      <c r="J55" s="20">
        <f t="shared" si="10"/>
        <v>0</v>
      </c>
      <c r="K55" s="20">
        <f t="shared" si="10"/>
        <v>0</v>
      </c>
      <c r="L55" s="20">
        <f t="shared" si="8"/>
        <v>0</v>
      </c>
      <c r="M55" s="20">
        <f t="shared" si="8"/>
        <v>0</v>
      </c>
      <c r="N55" s="20">
        <f t="shared" si="8"/>
        <v>0</v>
      </c>
      <c r="O55" s="20">
        <f t="shared" si="8"/>
        <v>0</v>
      </c>
      <c r="P55" s="20">
        <f t="shared" si="11"/>
        <v>0</v>
      </c>
      <c r="Q55" s="20">
        <f t="shared" si="11"/>
        <v>0</v>
      </c>
      <c r="R55" s="20">
        <f t="shared" ref="R55:AI55" si="20">R17-Q17</f>
        <v>0</v>
      </c>
      <c r="S55" s="20">
        <f t="shared" si="20"/>
        <v>2</v>
      </c>
      <c r="T55" s="20">
        <f t="shared" si="20"/>
        <v>11</v>
      </c>
      <c r="U55" s="20">
        <f t="shared" si="20"/>
        <v>0</v>
      </c>
      <c r="V55" s="20">
        <f t="shared" si="20"/>
        <v>0</v>
      </c>
      <c r="W55" s="20">
        <f t="shared" si="20"/>
        <v>0</v>
      </c>
      <c r="X55" s="20">
        <f t="shared" si="20"/>
        <v>0</v>
      </c>
      <c r="Y55" s="20">
        <f t="shared" si="20"/>
        <v>0</v>
      </c>
      <c r="Z55" s="20">
        <f t="shared" si="20"/>
        <v>0</v>
      </c>
      <c r="AA55" s="20">
        <f t="shared" si="20"/>
        <v>0</v>
      </c>
      <c r="AB55" s="20">
        <f t="shared" si="20"/>
        <v>0</v>
      </c>
      <c r="AC55" s="20">
        <f t="shared" si="20"/>
        <v>0</v>
      </c>
      <c r="AD55" s="20">
        <f t="shared" si="20"/>
        <v>7</v>
      </c>
      <c r="AE55" s="20">
        <f t="shared" si="20"/>
        <v>0</v>
      </c>
      <c r="AF55" s="20">
        <f t="shared" si="20"/>
        <v>0</v>
      </c>
      <c r="AG55" s="20">
        <f t="shared" si="20"/>
        <v>0</v>
      </c>
      <c r="AH55" s="20">
        <f t="shared" si="20"/>
        <v>0</v>
      </c>
      <c r="AI55" s="20">
        <f t="shared" si="20"/>
        <v>2</v>
      </c>
      <c r="AJ55" s="172">
        <f t="shared" si="5"/>
        <v>20</v>
      </c>
    </row>
    <row r="56" spans="1:36" ht="15" customHeight="1">
      <c r="A56" s="2">
        <v>7</v>
      </c>
      <c r="B56" s="2" t="s">
        <v>129</v>
      </c>
      <c r="C56" s="503" t="s">
        <v>117</v>
      </c>
      <c r="D56" s="501"/>
      <c r="E56" s="20">
        <f t="shared" si="7"/>
        <v>758</v>
      </c>
      <c r="F56" s="20">
        <f t="shared" si="7"/>
        <v>791</v>
      </c>
      <c r="G56" s="20">
        <f t="shared" si="7"/>
        <v>586</v>
      </c>
      <c r="H56" s="20">
        <f t="shared" si="7"/>
        <v>465</v>
      </c>
      <c r="I56" s="20">
        <f t="shared" si="7"/>
        <v>781</v>
      </c>
      <c r="J56" s="20">
        <f t="shared" si="10"/>
        <v>752</v>
      </c>
      <c r="K56" s="20">
        <f t="shared" si="10"/>
        <v>732</v>
      </c>
      <c r="L56" s="20">
        <f t="shared" si="8"/>
        <v>764</v>
      </c>
      <c r="M56" s="20">
        <f t="shared" si="8"/>
        <v>741</v>
      </c>
      <c r="N56" s="20">
        <f t="shared" si="8"/>
        <v>497</v>
      </c>
      <c r="O56" s="20">
        <f t="shared" si="8"/>
        <v>329</v>
      </c>
      <c r="P56" s="20">
        <f t="shared" si="11"/>
        <v>738</v>
      </c>
      <c r="Q56" s="20">
        <f t="shared" si="11"/>
        <v>781</v>
      </c>
      <c r="R56" s="20">
        <f t="shared" ref="R56:AI56" si="21">R18-Q18</f>
        <v>774</v>
      </c>
      <c r="S56" s="20">
        <f t="shared" si="21"/>
        <v>749</v>
      </c>
      <c r="T56" s="20">
        <f t="shared" si="21"/>
        <v>745</v>
      </c>
      <c r="U56" s="20">
        <f t="shared" si="21"/>
        <v>599</v>
      </c>
      <c r="V56" s="20">
        <f t="shared" si="21"/>
        <v>484</v>
      </c>
      <c r="W56" s="20">
        <f t="shared" si="21"/>
        <v>767</v>
      </c>
      <c r="X56" s="20">
        <f t="shared" si="21"/>
        <v>764</v>
      </c>
      <c r="Y56" s="20">
        <f t="shared" si="21"/>
        <v>781</v>
      </c>
      <c r="Z56" s="20">
        <f t="shared" si="21"/>
        <v>785</v>
      </c>
      <c r="AA56" s="20">
        <f t="shared" si="21"/>
        <v>751</v>
      </c>
      <c r="AB56" s="20">
        <f t="shared" si="21"/>
        <v>583</v>
      </c>
      <c r="AC56" s="20">
        <f t="shared" si="21"/>
        <v>432</v>
      </c>
      <c r="AD56" s="20">
        <f t="shared" si="21"/>
        <v>744</v>
      </c>
      <c r="AE56" s="20">
        <f t="shared" si="21"/>
        <v>736</v>
      </c>
      <c r="AF56" s="20">
        <f t="shared" si="21"/>
        <v>761</v>
      </c>
      <c r="AG56" s="20">
        <f t="shared" si="21"/>
        <v>707</v>
      </c>
      <c r="AH56" s="20">
        <f t="shared" si="21"/>
        <v>721</v>
      </c>
      <c r="AI56" s="20">
        <f t="shared" si="21"/>
        <v>586</v>
      </c>
      <c r="AJ56" s="172">
        <f t="shared" si="5"/>
        <v>19877</v>
      </c>
    </row>
    <row r="57" spans="1:36" ht="15" customHeight="1">
      <c r="A57" s="2"/>
      <c r="B57" s="2"/>
      <c r="C57" s="531" t="s">
        <v>22</v>
      </c>
      <c r="D57" s="501"/>
      <c r="E57" s="20">
        <f t="shared" si="7"/>
        <v>0</v>
      </c>
      <c r="F57" s="20">
        <f t="shared" si="7"/>
        <v>0</v>
      </c>
      <c r="G57" s="20">
        <f t="shared" si="7"/>
        <v>0</v>
      </c>
      <c r="H57" s="20">
        <f t="shared" si="7"/>
        <v>0</v>
      </c>
      <c r="I57" s="20">
        <f t="shared" si="7"/>
        <v>0</v>
      </c>
      <c r="J57" s="20">
        <f t="shared" si="10"/>
        <v>0</v>
      </c>
      <c r="K57" s="20">
        <f t="shared" si="10"/>
        <v>0</v>
      </c>
      <c r="L57" s="20">
        <f t="shared" si="8"/>
        <v>0</v>
      </c>
      <c r="M57" s="20">
        <f t="shared" si="8"/>
        <v>0</v>
      </c>
      <c r="N57" s="20">
        <f t="shared" si="8"/>
        <v>0</v>
      </c>
      <c r="O57" s="20">
        <f t="shared" si="8"/>
        <v>0</v>
      </c>
      <c r="P57" s="20">
        <f t="shared" si="11"/>
        <v>0</v>
      </c>
      <c r="Q57" s="20">
        <f t="shared" si="11"/>
        <v>0</v>
      </c>
      <c r="R57" s="20">
        <f t="shared" ref="R57:AI57" si="22">R19-Q19</f>
        <v>0</v>
      </c>
      <c r="S57" s="20">
        <f t="shared" si="22"/>
        <v>9</v>
      </c>
      <c r="T57" s="20">
        <f t="shared" si="22"/>
        <v>24</v>
      </c>
      <c r="U57" s="20">
        <f t="shared" si="22"/>
        <v>0</v>
      </c>
      <c r="V57" s="20">
        <f t="shared" si="22"/>
        <v>0</v>
      </c>
      <c r="W57" s="20">
        <f t="shared" si="22"/>
        <v>0</v>
      </c>
      <c r="X57" s="20">
        <f t="shared" si="22"/>
        <v>0</v>
      </c>
      <c r="Y57" s="20">
        <f t="shared" si="22"/>
        <v>0</v>
      </c>
      <c r="Z57" s="20">
        <f t="shared" si="22"/>
        <v>0</v>
      </c>
      <c r="AA57" s="20">
        <f t="shared" si="22"/>
        <v>0</v>
      </c>
      <c r="AB57" s="20">
        <f t="shared" si="22"/>
        <v>0</v>
      </c>
      <c r="AC57" s="20">
        <f t="shared" si="22"/>
        <v>0</v>
      </c>
      <c r="AD57" s="20">
        <f t="shared" si="22"/>
        <v>15</v>
      </c>
      <c r="AE57" s="20">
        <f t="shared" si="22"/>
        <v>0</v>
      </c>
      <c r="AF57" s="20">
        <f t="shared" si="22"/>
        <v>0</v>
      </c>
      <c r="AG57" s="20">
        <f t="shared" si="22"/>
        <v>0</v>
      </c>
      <c r="AH57" s="20">
        <f t="shared" si="22"/>
        <v>0</v>
      </c>
      <c r="AI57" s="20">
        <f t="shared" si="22"/>
        <v>15</v>
      </c>
      <c r="AJ57" s="172">
        <f t="shared" si="5"/>
        <v>48</v>
      </c>
    </row>
    <row r="58" spans="1:36" ht="15" customHeight="1">
      <c r="A58" s="2">
        <v>8</v>
      </c>
      <c r="B58" s="2" t="s">
        <v>129</v>
      </c>
      <c r="C58" s="503" t="s">
        <v>118</v>
      </c>
      <c r="D58" s="501"/>
      <c r="E58" s="20">
        <f t="shared" si="7"/>
        <v>189</v>
      </c>
      <c r="F58" s="20">
        <f t="shared" si="7"/>
        <v>155</v>
      </c>
      <c r="G58" s="20">
        <f t="shared" si="7"/>
        <v>163</v>
      </c>
      <c r="H58" s="20">
        <f t="shared" si="7"/>
        <v>131</v>
      </c>
      <c r="I58" s="20">
        <f t="shared" si="7"/>
        <v>192</v>
      </c>
      <c r="J58" s="20">
        <f t="shared" si="10"/>
        <v>152</v>
      </c>
      <c r="K58" s="20">
        <f t="shared" si="10"/>
        <v>155</v>
      </c>
      <c r="L58" s="20">
        <f t="shared" si="8"/>
        <v>179</v>
      </c>
      <c r="M58" s="20">
        <f t="shared" si="8"/>
        <v>185</v>
      </c>
      <c r="N58" s="20">
        <f t="shared" si="8"/>
        <v>125</v>
      </c>
      <c r="O58" s="20">
        <f t="shared" si="8"/>
        <v>186</v>
      </c>
      <c r="P58" s="20">
        <f t="shared" si="11"/>
        <v>166</v>
      </c>
      <c r="Q58" s="20">
        <f t="shared" si="11"/>
        <v>205</v>
      </c>
      <c r="R58" s="20">
        <f t="shared" ref="R58:AI58" si="23">R20-Q20</f>
        <v>161</v>
      </c>
      <c r="S58" s="20">
        <f t="shared" si="23"/>
        <v>212</v>
      </c>
      <c r="T58" s="20">
        <f t="shared" si="23"/>
        <v>163</v>
      </c>
      <c r="U58" s="20">
        <f t="shared" si="23"/>
        <v>175</v>
      </c>
      <c r="V58" s="20">
        <f t="shared" si="23"/>
        <v>111</v>
      </c>
      <c r="W58" s="20">
        <f t="shared" si="23"/>
        <v>176</v>
      </c>
      <c r="X58" s="20">
        <f t="shared" si="23"/>
        <v>202</v>
      </c>
      <c r="Y58" s="20">
        <f t="shared" si="23"/>
        <v>164</v>
      </c>
      <c r="Z58" s="20">
        <f t="shared" si="23"/>
        <v>178</v>
      </c>
      <c r="AA58" s="20">
        <f t="shared" si="23"/>
        <v>117</v>
      </c>
      <c r="AB58" s="20">
        <f t="shared" si="23"/>
        <v>158</v>
      </c>
      <c r="AC58" s="20">
        <f t="shared" si="23"/>
        <v>109</v>
      </c>
      <c r="AD58" s="20">
        <f t="shared" si="23"/>
        <v>148</v>
      </c>
      <c r="AE58" s="20">
        <f t="shared" si="23"/>
        <v>133</v>
      </c>
      <c r="AF58" s="20">
        <f t="shared" si="23"/>
        <v>152</v>
      </c>
      <c r="AG58" s="20">
        <f t="shared" si="23"/>
        <v>128</v>
      </c>
      <c r="AH58" s="20">
        <f t="shared" si="23"/>
        <v>145</v>
      </c>
      <c r="AI58" s="20">
        <f t="shared" si="23"/>
        <v>111</v>
      </c>
      <c r="AJ58" s="172">
        <f t="shared" si="5"/>
        <v>4670</v>
      </c>
    </row>
    <row r="59" spans="1:36" ht="15" customHeight="1">
      <c r="A59" s="2"/>
      <c r="B59" s="2"/>
      <c r="C59" s="531" t="s">
        <v>22</v>
      </c>
      <c r="D59" s="501"/>
      <c r="E59" s="20">
        <f t="shared" si="7"/>
        <v>0</v>
      </c>
      <c r="F59" s="20">
        <f t="shared" si="7"/>
        <v>0</v>
      </c>
      <c r="G59" s="20">
        <f t="shared" si="7"/>
        <v>0</v>
      </c>
      <c r="H59" s="20">
        <f t="shared" si="7"/>
        <v>0</v>
      </c>
      <c r="I59" s="20">
        <f t="shared" si="7"/>
        <v>0</v>
      </c>
      <c r="J59" s="20">
        <f t="shared" si="10"/>
        <v>0</v>
      </c>
      <c r="K59" s="20">
        <f t="shared" si="10"/>
        <v>0</v>
      </c>
      <c r="L59" s="20">
        <f t="shared" si="8"/>
        <v>0</v>
      </c>
      <c r="M59" s="20">
        <f t="shared" si="8"/>
        <v>0</v>
      </c>
      <c r="N59" s="20">
        <f t="shared" si="8"/>
        <v>0</v>
      </c>
      <c r="O59" s="20">
        <f t="shared" si="8"/>
        <v>0</v>
      </c>
      <c r="P59" s="20">
        <f t="shared" si="11"/>
        <v>0</v>
      </c>
      <c r="Q59" s="20">
        <f t="shared" si="11"/>
        <v>0</v>
      </c>
      <c r="R59" s="20">
        <f t="shared" ref="R59:AI59" si="24">R21-Q21</f>
        <v>0</v>
      </c>
      <c r="S59" s="20">
        <f t="shared" si="24"/>
        <v>2</v>
      </c>
      <c r="T59" s="20">
        <f t="shared" si="24"/>
        <v>4</v>
      </c>
      <c r="U59" s="20">
        <f t="shared" si="24"/>
        <v>0</v>
      </c>
      <c r="V59" s="20">
        <f t="shared" si="24"/>
        <v>0</v>
      </c>
      <c r="W59" s="20">
        <f t="shared" si="24"/>
        <v>0</v>
      </c>
      <c r="X59" s="20">
        <f t="shared" si="24"/>
        <v>0</v>
      </c>
      <c r="Y59" s="20">
        <f t="shared" si="24"/>
        <v>0</v>
      </c>
      <c r="Z59" s="20">
        <f t="shared" si="24"/>
        <v>0</v>
      </c>
      <c r="AA59" s="20">
        <f t="shared" si="24"/>
        <v>0</v>
      </c>
      <c r="AB59" s="20">
        <f t="shared" si="24"/>
        <v>0</v>
      </c>
      <c r="AC59" s="20">
        <f t="shared" si="24"/>
        <v>0</v>
      </c>
      <c r="AD59" s="20">
        <f t="shared" si="24"/>
        <v>2</v>
      </c>
      <c r="AE59" s="20">
        <f t="shared" si="24"/>
        <v>0</v>
      </c>
      <c r="AF59" s="20">
        <f t="shared" si="24"/>
        <v>0</v>
      </c>
      <c r="AG59" s="20">
        <f t="shared" si="24"/>
        <v>0</v>
      </c>
      <c r="AH59" s="20">
        <f t="shared" si="24"/>
        <v>0</v>
      </c>
      <c r="AI59" s="20">
        <f t="shared" si="24"/>
        <v>7</v>
      </c>
      <c r="AJ59" s="172">
        <f t="shared" si="5"/>
        <v>8</v>
      </c>
    </row>
    <row r="60" spans="1:36" ht="15" customHeight="1">
      <c r="A60" s="99"/>
      <c r="B60" s="99"/>
      <c r="C60" s="500" t="s">
        <v>130</v>
      </c>
      <c r="D60" s="501"/>
      <c r="E60" s="23">
        <f t="shared" ref="E60:AI60" si="25">SUM(E58,E56,E54,E52,E50,E48,E46,E44)</f>
        <v>2048</v>
      </c>
      <c r="F60" s="23">
        <f t="shared" si="25"/>
        <v>2007</v>
      </c>
      <c r="G60" s="23">
        <f t="shared" si="25"/>
        <v>1447</v>
      </c>
      <c r="H60" s="23">
        <f t="shared" si="25"/>
        <v>1299</v>
      </c>
      <c r="I60" s="23">
        <f t="shared" si="25"/>
        <v>2099</v>
      </c>
      <c r="J60" s="23">
        <f t="shared" si="25"/>
        <v>2038</v>
      </c>
      <c r="K60" s="23">
        <f t="shared" si="25"/>
        <v>1967</v>
      </c>
      <c r="L60" s="23">
        <f t="shared" si="25"/>
        <v>2092</v>
      </c>
      <c r="M60" s="23">
        <f t="shared" si="25"/>
        <v>2012</v>
      </c>
      <c r="N60" s="23">
        <f t="shared" si="25"/>
        <v>1321</v>
      </c>
      <c r="O60" s="23">
        <f t="shared" si="25"/>
        <v>1203</v>
      </c>
      <c r="P60" s="23">
        <f t="shared" si="25"/>
        <v>2019</v>
      </c>
      <c r="Q60" s="23">
        <f t="shared" si="25"/>
        <v>2098</v>
      </c>
      <c r="R60" s="23">
        <f t="shared" si="25"/>
        <v>2096</v>
      </c>
      <c r="S60" s="23">
        <f t="shared" si="25"/>
        <v>2130</v>
      </c>
      <c r="T60" s="23">
        <f t="shared" si="25"/>
        <v>1995</v>
      </c>
      <c r="U60" s="23">
        <f t="shared" si="25"/>
        <v>1462</v>
      </c>
      <c r="V60" s="23">
        <f t="shared" si="25"/>
        <v>1320</v>
      </c>
      <c r="W60" s="23">
        <f t="shared" si="25"/>
        <v>2126</v>
      </c>
      <c r="X60" s="23">
        <f t="shared" si="25"/>
        <v>2134</v>
      </c>
      <c r="Y60" s="23">
        <f t="shared" si="25"/>
        <v>2137</v>
      </c>
      <c r="Z60" s="23">
        <f t="shared" si="25"/>
        <v>2141</v>
      </c>
      <c r="AA60" s="23">
        <f t="shared" si="25"/>
        <v>1963</v>
      </c>
      <c r="AB60" s="23">
        <f t="shared" si="25"/>
        <v>1452</v>
      </c>
      <c r="AC60" s="23">
        <f t="shared" si="25"/>
        <v>1216</v>
      </c>
      <c r="AD60" s="23">
        <f t="shared" si="25"/>
        <v>2050</v>
      </c>
      <c r="AE60" s="23">
        <f t="shared" si="25"/>
        <v>1908</v>
      </c>
      <c r="AF60" s="23">
        <f t="shared" si="25"/>
        <v>2022</v>
      </c>
      <c r="AG60" s="23">
        <f t="shared" si="25"/>
        <v>2022</v>
      </c>
      <c r="AH60" s="23">
        <f t="shared" si="25"/>
        <v>1950</v>
      </c>
      <c r="AI60" s="23">
        <f t="shared" si="25"/>
        <v>1458</v>
      </c>
      <c r="AJ60" s="173">
        <f t="shared" si="5"/>
        <v>53824</v>
      </c>
    </row>
    <row r="61" spans="1:36" ht="15" customHeight="1">
      <c r="A61" s="99"/>
      <c r="B61" s="99"/>
      <c r="C61" s="145" t="s">
        <v>131</v>
      </c>
      <c r="D61" s="108"/>
      <c r="E61" s="23">
        <f t="shared" ref="E61:AI61" si="26">SUM(E45,E47,E49,E51,E53,E55,E57,E59)</f>
        <v>0</v>
      </c>
      <c r="F61" s="23">
        <f t="shared" si="26"/>
        <v>0</v>
      </c>
      <c r="G61" s="23">
        <f t="shared" si="26"/>
        <v>0</v>
      </c>
      <c r="H61" s="23">
        <f t="shared" si="26"/>
        <v>0</v>
      </c>
      <c r="I61" s="23">
        <f t="shared" si="26"/>
        <v>0</v>
      </c>
      <c r="J61" s="23">
        <f t="shared" si="26"/>
        <v>0</v>
      </c>
      <c r="K61" s="23">
        <f t="shared" si="26"/>
        <v>0</v>
      </c>
      <c r="L61" s="23">
        <f t="shared" si="26"/>
        <v>0</v>
      </c>
      <c r="M61" s="23">
        <f t="shared" si="26"/>
        <v>0</v>
      </c>
      <c r="N61" s="23">
        <f t="shared" si="26"/>
        <v>0</v>
      </c>
      <c r="O61" s="23">
        <f t="shared" si="26"/>
        <v>0</v>
      </c>
      <c r="P61" s="23">
        <f t="shared" si="26"/>
        <v>0</v>
      </c>
      <c r="Q61" s="23">
        <f t="shared" si="26"/>
        <v>0</v>
      </c>
      <c r="R61" s="23">
        <f t="shared" si="26"/>
        <v>0</v>
      </c>
      <c r="S61" s="23">
        <f t="shared" si="26"/>
        <v>24</v>
      </c>
      <c r="T61" s="23">
        <f t="shared" si="26"/>
        <v>70</v>
      </c>
      <c r="U61" s="23">
        <f t="shared" si="26"/>
        <v>0</v>
      </c>
      <c r="V61" s="23">
        <f t="shared" si="26"/>
        <v>0</v>
      </c>
      <c r="W61" s="23">
        <f t="shared" si="26"/>
        <v>0</v>
      </c>
      <c r="X61" s="23">
        <f t="shared" si="26"/>
        <v>0</v>
      </c>
      <c r="Y61" s="23">
        <f t="shared" si="26"/>
        <v>0</v>
      </c>
      <c r="Z61" s="23">
        <f t="shared" si="26"/>
        <v>0</v>
      </c>
      <c r="AA61" s="23">
        <f t="shared" si="26"/>
        <v>0</v>
      </c>
      <c r="AB61" s="23">
        <f t="shared" si="26"/>
        <v>0</v>
      </c>
      <c r="AC61" s="23">
        <f t="shared" si="26"/>
        <v>0</v>
      </c>
      <c r="AD61" s="23">
        <f t="shared" si="26"/>
        <v>38</v>
      </c>
      <c r="AE61" s="23">
        <f t="shared" si="26"/>
        <v>0</v>
      </c>
      <c r="AF61" s="23">
        <f t="shared" si="26"/>
        <v>0</v>
      </c>
      <c r="AG61" s="23">
        <f t="shared" si="26"/>
        <v>0</v>
      </c>
      <c r="AH61" s="23">
        <f t="shared" si="26"/>
        <v>0</v>
      </c>
      <c r="AI61" s="23">
        <f t="shared" si="26"/>
        <v>48</v>
      </c>
      <c r="AJ61" s="173">
        <f t="shared" si="5"/>
        <v>132</v>
      </c>
    </row>
    <row r="62" spans="1:36">
      <c r="A62" s="101"/>
      <c r="B62" s="101"/>
      <c r="C62" s="539" t="s">
        <v>132</v>
      </c>
      <c r="D62" s="501"/>
      <c r="E62" s="102">
        <f t="shared" ref="E62:AJ62" si="27">E60</f>
        <v>2048</v>
      </c>
      <c r="F62" s="102">
        <f t="shared" si="27"/>
        <v>2007</v>
      </c>
      <c r="G62" s="102">
        <f t="shared" si="27"/>
        <v>1447</v>
      </c>
      <c r="H62" s="102">
        <f t="shared" si="27"/>
        <v>1299</v>
      </c>
      <c r="I62" s="102">
        <f t="shared" si="27"/>
        <v>2099</v>
      </c>
      <c r="J62" s="102">
        <f t="shared" si="27"/>
        <v>2038</v>
      </c>
      <c r="K62" s="102">
        <f t="shared" si="27"/>
        <v>1967</v>
      </c>
      <c r="L62" s="102">
        <f t="shared" si="27"/>
        <v>2092</v>
      </c>
      <c r="M62" s="102">
        <f t="shared" si="27"/>
        <v>2012</v>
      </c>
      <c r="N62" s="102">
        <f t="shared" si="27"/>
        <v>1321</v>
      </c>
      <c r="O62" s="102">
        <f t="shared" si="27"/>
        <v>1203</v>
      </c>
      <c r="P62" s="102">
        <f t="shared" si="27"/>
        <v>2019</v>
      </c>
      <c r="Q62" s="102">
        <f t="shared" si="27"/>
        <v>2098</v>
      </c>
      <c r="R62" s="102">
        <f t="shared" si="27"/>
        <v>2096</v>
      </c>
      <c r="S62" s="102">
        <f t="shared" si="27"/>
        <v>2130</v>
      </c>
      <c r="T62" s="102">
        <f t="shared" si="27"/>
        <v>1995</v>
      </c>
      <c r="U62" s="102">
        <f t="shared" si="27"/>
        <v>1462</v>
      </c>
      <c r="V62" s="102">
        <f t="shared" si="27"/>
        <v>1320</v>
      </c>
      <c r="W62" s="102">
        <f t="shared" si="27"/>
        <v>2126</v>
      </c>
      <c r="X62" s="102">
        <f t="shared" si="27"/>
        <v>2134</v>
      </c>
      <c r="Y62" s="102">
        <f t="shared" si="27"/>
        <v>2137</v>
      </c>
      <c r="Z62" s="102">
        <f t="shared" si="27"/>
        <v>2141</v>
      </c>
      <c r="AA62" s="102">
        <f t="shared" si="27"/>
        <v>1963</v>
      </c>
      <c r="AB62" s="102">
        <f t="shared" si="27"/>
        <v>1452</v>
      </c>
      <c r="AC62" s="102">
        <f t="shared" si="27"/>
        <v>1216</v>
      </c>
      <c r="AD62" s="102">
        <f t="shared" si="27"/>
        <v>2050</v>
      </c>
      <c r="AE62" s="102">
        <f t="shared" si="27"/>
        <v>1908</v>
      </c>
      <c r="AF62" s="102">
        <f t="shared" si="27"/>
        <v>2022</v>
      </c>
      <c r="AG62" s="102">
        <f t="shared" si="27"/>
        <v>2022</v>
      </c>
      <c r="AH62" s="102">
        <f t="shared" si="27"/>
        <v>1950</v>
      </c>
      <c r="AI62" s="102">
        <f t="shared" si="27"/>
        <v>1458</v>
      </c>
      <c r="AJ62" s="174">
        <f t="shared" si="27"/>
        <v>53824</v>
      </c>
    </row>
    <row r="63" spans="1:36">
      <c r="A63" s="94"/>
      <c r="B63" s="27"/>
      <c r="C63" s="146"/>
      <c r="D63" s="10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171"/>
      <c r="AJ63" s="171"/>
    </row>
    <row r="64" spans="1:36">
      <c r="A64" s="28" t="s">
        <v>133</v>
      </c>
      <c r="B64" s="28" t="s">
        <v>100</v>
      </c>
      <c r="C64" s="523" t="s">
        <v>101</v>
      </c>
      <c r="D64" s="501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175"/>
      <c r="AJ64" s="176"/>
    </row>
    <row r="65" spans="1:38">
      <c r="A65" s="2">
        <v>1</v>
      </c>
      <c r="B65" s="2" t="s">
        <v>129</v>
      </c>
      <c r="C65" s="506" t="s">
        <v>119</v>
      </c>
      <c r="D65" s="501"/>
      <c r="E65" s="102">
        <f t="shared" ref="E65:AI65" si="28">E23-D23</f>
        <v>60</v>
      </c>
      <c r="F65" s="102">
        <f t="shared" si="28"/>
        <v>63</v>
      </c>
      <c r="G65" s="102">
        <f t="shared" si="28"/>
        <v>39</v>
      </c>
      <c r="H65" s="102">
        <f t="shared" si="28"/>
        <v>0</v>
      </c>
      <c r="I65" s="102">
        <f t="shared" si="28"/>
        <v>35</v>
      </c>
      <c r="J65" s="102">
        <f t="shared" si="28"/>
        <v>31</v>
      </c>
      <c r="K65" s="102">
        <f t="shared" si="28"/>
        <v>39</v>
      </c>
      <c r="L65" s="102">
        <f t="shared" si="28"/>
        <v>42</v>
      </c>
      <c r="M65" s="102">
        <f t="shared" si="28"/>
        <v>42</v>
      </c>
      <c r="N65" s="102">
        <f t="shared" si="28"/>
        <v>26</v>
      </c>
      <c r="O65" s="102">
        <f t="shared" si="28"/>
        <v>0</v>
      </c>
      <c r="P65" s="102">
        <f t="shared" si="28"/>
        <v>49</v>
      </c>
      <c r="Q65" s="102">
        <f t="shared" si="28"/>
        <v>46</v>
      </c>
      <c r="R65" s="102">
        <f t="shared" si="28"/>
        <v>36</v>
      </c>
      <c r="S65" s="102">
        <f t="shared" si="28"/>
        <v>60</v>
      </c>
      <c r="T65" s="102">
        <f t="shared" si="28"/>
        <v>42</v>
      </c>
      <c r="U65" s="102">
        <f t="shared" si="28"/>
        <v>25</v>
      </c>
      <c r="V65" s="102">
        <f t="shared" si="28"/>
        <v>1</v>
      </c>
      <c r="W65" s="102">
        <f t="shared" si="28"/>
        <v>81</v>
      </c>
      <c r="X65" s="102">
        <f t="shared" si="28"/>
        <v>56</v>
      </c>
      <c r="Y65" s="102">
        <f t="shared" si="28"/>
        <v>61</v>
      </c>
      <c r="Z65" s="102">
        <f t="shared" si="28"/>
        <v>48</v>
      </c>
      <c r="AA65" s="102">
        <f t="shared" si="28"/>
        <v>49</v>
      </c>
      <c r="AB65" s="102">
        <f t="shared" si="28"/>
        <v>24</v>
      </c>
      <c r="AC65" s="102">
        <f t="shared" si="28"/>
        <v>0</v>
      </c>
      <c r="AD65" s="102">
        <f t="shared" si="28"/>
        <v>75</v>
      </c>
      <c r="AE65" s="102">
        <f t="shared" si="28"/>
        <v>72</v>
      </c>
      <c r="AF65" s="102">
        <f t="shared" si="28"/>
        <v>67</v>
      </c>
      <c r="AG65" s="102">
        <f t="shared" si="28"/>
        <v>57</v>
      </c>
      <c r="AH65" s="102">
        <f t="shared" si="28"/>
        <v>58</v>
      </c>
      <c r="AI65" s="102">
        <f t="shared" si="28"/>
        <v>37</v>
      </c>
      <c r="AJ65" s="174">
        <f t="shared" ref="AJ65:AJ78" si="29">SUM(E65:AG65)</f>
        <v>1226</v>
      </c>
    </row>
    <row r="66" spans="1:38">
      <c r="A66" s="2"/>
      <c r="B66" s="2"/>
      <c r="C66" s="532" t="s">
        <v>22</v>
      </c>
      <c r="D66" s="501"/>
      <c r="E66" s="102">
        <f t="shared" ref="E66:AI66" si="30">E24-D24</f>
        <v>0</v>
      </c>
      <c r="F66" s="102">
        <f t="shared" si="30"/>
        <v>0</v>
      </c>
      <c r="G66" s="102">
        <f t="shared" si="30"/>
        <v>0</v>
      </c>
      <c r="H66" s="102">
        <f t="shared" si="30"/>
        <v>0</v>
      </c>
      <c r="I66" s="102">
        <f t="shared" si="30"/>
        <v>0</v>
      </c>
      <c r="J66" s="102">
        <f t="shared" si="30"/>
        <v>0</v>
      </c>
      <c r="K66" s="102">
        <f t="shared" si="30"/>
        <v>0</v>
      </c>
      <c r="L66" s="102">
        <f t="shared" si="30"/>
        <v>0</v>
      </c>
      <c r="M66" s="102">
        <f t="shared" si="30"/>
        <v>0</v>
      </c>
      <c r="N66" s="102">
        <f t="shared" si="30"/>
        <v>0</v>
      </c>
      <c r="O66" s="102">
        <f t="shared" si="30"/>
        <v>0</v>
      </c>
      <c r="P66" s="102">
        <f t="shared" si="30"/>
        <v>0</v>
      </c>
      <c r="Q66" s="102">
        <f t="shared" si="30"/>
        <v>0</v>
      </c>
      <c r="R66" s="102">
        <f t="shared" si="30"/>
        <v>0</v>
      </c>
      <c r="S66" s="102">
        <f t="shared" si="30"/>
        <v>0</v>
      </c>
      <c r="T66" s="102">
        <f t="shared" si="30"/>
        <v>2</v>
      </c>
      <c r="U66" s="102">
        <f t="shared" si="30"/>
        <v>0</v>
      </c>
      <c r="V66" s="102">
        <f t="shared" si="30"/>
        <v>0</v>
      </c>
      <c r="W66" s="102">
        <f t="shared" si="30"/>
        <v>0</v>
      </c>
      <c r="X66" s="102">
        <f t="shared" si="30"/>
        <v>0</v>
      </c>
      <c r="Y66" s="102">
        <f t="shared" si="30"/>
        <v>0</v>
      </c>
      <c r="Z66" s="102">
        <f t="shared" si="30"/>
        <v>0</v>
      </c>
      <c r="AA66" s="102">
        <f t="shared" si="30"/>
        <v>0</v>
      </c>
      <c r="AB66" s="102">
        <f t="shared" si="30"/>
        <v>0</v>
      </c>
      <c r="AC66" s="102">
        <f t="shared" si="30"/>
        <v>0</v>
      </c>
      <c r="AD66" s="102">
        <f t="shared" si="30"/>
        <v>0</v>
      </c>
      <c r="AE66" s="102">
        <f t="shared" si="30"/>
        <v>0</v>
      </c>
      <c r="AF66" s="102">
        <f t="shared" si="30"/>
        <v>0</v>
      </c>
      <c r="AG66" s="102">
        <f t="shared" si="30"/>
        <v>0</v>
      </c>
      <c r="AH66" s="102">
        <f t="shared" si="30"/>
        <v>0</v>
      </c>
      <c r="AI66" s="102">
        <f t="shared" si="30"/>
        <v>0</v>
      </c>
      <c r="AJ66" s="174">
        <f t="shared" si="29"/>
        <v>2</v>
      </c>
    </row>
    <row r="67" spans="1:38">
      <c r="A67" s="2">
        <v>2</v>
      </c>
      <c r="B67" s="2" t="s">
        <v>129</v>
      </c>
      <c r="C67" s="506" t="s">
        <v>120</v>
      </c>
      <c r="D67" s="501"/>
      <c r="E67" s="102">
        <f t="shared" ref="E67:AI67" si="31">E25-D25</f>
        <v>82</v>
      </c>
      <c r="F67" s="102">
        <f t="shared" si="31"/>
        <v>68</v>
      </c>
      <c r="G67" s="102">
        <f t="shared" si="31"/>
        <v>33</v>
      </c>
      <c r="H67" s="102">
        <f t="shared" si="31"/>
        <v>0</v>
      </c>
      <c r="I67" s="102">
        <f t="shared" si="31"/>
        <v>66</v>
      </c>
      <c r="J67" s="102">
        <f t="shared" si="31"/>
        <v>59</v>
      </c>
      <c r="K67" s="102">
        <f t="shared" si="31"/>
        <v>46</v>
      </c>
      <c r="L67" s="102">
        <f t="shared" si="31"/>
        <v>75</v>
      </c>
      <c r="M67" s="102">
        <f t="shared" si="31"/>
        <v>80</v>
      </c>
      <c r="N67" s="102">
        <f t="shared" si="31"/>
        <v>43</v>
      </c>
      <c r="O67" s="102">
        <f t="shared" si="31"/>
        <v>0</v>
      </c>
      <c r="P67" s="102">
        <f t="shared" si="31"/>
        <v>89</v>
      </c>
      <c r="Q67" s="102">
        <f t="shared" si="31"/>
        <v>83</v>
      </c>
      <c r="R67" s="102">
        <f t="shared" si="31"/>
        <v>89</v>
      </c>
      <c r="S67" s="102">
        <f t="shared" si="31"/>
        <v>88</v>
      </c>
      <c r="T67" s="102">
        <f t="shared" si="31"/>
        <v>60</v>
      </c>
      <c r="U67" s="102">
        <f t="shared" si="31"/>
        <v>42</v>
      </c>
      <c r="V67" s="102">
        <f t="shared" si="31"/>
        <v>1</v>
      </c>
      <c r="W67" s="102">
        <f t="shared" si="31"/>
        <v>105</v>
      </c>
      <c r="X67" s="102">
        <f t="shared" si="31"/>
        <v>110</v>
      </c>
      <c r="Y67" s="102">
        <f t="shared" si="31"/>
        <v>98</v>
      </c>
      <c r="Z67" s="102">
        <f t="shared" si="31"/>
        <v>77</v>
      </c>
      <c r="AA67" s="102">
        <f t="shared" si="31"/>
        <v>68</v>
      </c>
      <c r="AB67" s="102">
        <f t="shared" si="31"/>
        <v>35</v>
      </c>
      <c r="AC67" s="102">
        <f t="shared" si="31"/>
        <v>0</v>
      </c>
      <c r="AD67" s="102">
        <f t="shared" si="31"/>
        <v>86</v>
      </c>
      <c r="AE67" s="102">
        <f t="shared" si="31"/>
        <v>84</v>
      </c>
      <c r="AF67" s="102">
        <f t="shared" si="31"/>
        <v>62</v>
      </c>
      <c r="AG67" s="102">
        <f t="shared" si="31"/>
        <v>76</v>
      </c>
      <c r="AH67" s="102">
        <f t="shared" si="31"/>
        <v>81</v>
      </c>
      <c r="AI67" s="102">
        <f t="shared" si="31"/>
        <v>63</v>
      </c>
      <c r="AJ67" s="174">
        <f t="shared" si="29"/>
        <v>1805</v>
      </c>
    </row>
    <row r="68" spans="1:38">
      <c r="A68" s="2"/>
      <c r="B68" s="2"/>
      <c r="C68" s="532" t="s">
        <v>22</v>
      </c>
      <c r="D68" s="501"/>
      <c r="E68" s="102">
        <f t="shared" ref="E68:AI68" si="32">E26-D26</f>
        <v>0</v>
      </c>
      <c r="F68" s="102">
        <f t="shared" si="32"/>
        <v>0</v>
      </c>
      <c r="G68" s="102">
        <f t="shared" si="32"/>
        <v>0</v>
      </c>
      <c r="H68" s="102">
        <f t="shared" si="32"/>
        <v>0</v>
      </c>
      <c r="I68" s="102">
        <f t="shared" si="32"/>
        <v>0</v>
      </c>
      <c r="J68" s="102">
        <f t="shared" si="32"/>
        <v>0</v>
      </c>
      <c r="K68" s="102">
        <f t="shared" si="32"/>
        <v>0</v>
      </c>
      <c r="L68" s="102">
        <f t="shared" si="32"/>
        <v>0</v>
      </c>
      <c r="M68" s="102">
        <f t="shared" si="32"/>
        <v>0</v>
      </c>
      <c r="N68" s="102">
        <f t="shared" si="32"/>
        <v>0</v>
      </c>
      <c r="O68" s="102">
        <f t="shared" si="32"/>
        <v>0</v>
      </c>
      <c r="P68" s="102">
        <f t="shared" si="32"/>
        <v>0</v>
      </c>
      <c r="Q68" s="102">
        <f t="shared" si="32"/>
        <v>0</v>
      </c>
      <c r="R68" s="102">
        <f t="shared" si="32"/>
        <v>0</v>
      </c>
      <c r="S68" s="102">
        <f t="shared" si="32"/>
        <v>0</v>
      </c>
      <c r="T68" s="102">
        <f t="shared" si="32"/>
        <v>2</v>
      </c>
      <c r="U68" s="102">
        <f t="shared" si="32"/>
        <v>0</v>
      </c>
      <c r="V68" s="102">
        <f t="shared" si="32"/>
        <v>0</v>
      </c>
      <c r="W68" s="102">
        <f t="shared" si="32"/>
        <v>0</v>
      </c>
      <c r="X68" s="102">
        <f t="shared" si="32"/>
        <v>0</v>
      </c>
      <c r="Y68" s="102">
        <f t="shared" si="32"/>
        <v>0</v>
      </c>
      <c r="Z68" s="102">
        <f t="shared" si="32"/>
        <v>0</v>
      </c>
      <c r="AA68" s="102">
        <f t="shared" si="32"/>
        <v>0</v>
      </c>
      <c r="AB68" s="102">
        <f t="shared" si="32"/>
        <v>0</v>
      </c>
      <c r="AC68" s="102">
        <f t="shared" si="32"/>
        <v>0</v>
      </c>
      <c r="AD68" s="102">
        <f t="shared" si="32"/>
        <v>0</v>
      </c>
      <c r="AE68" s="102">
        <f t="shared" si="32"/>
        <v>0</v>
      </c>
      <c r="AF68" s="102">
        <f t="shared" si="32"/>
        <v>0</v>
      </c>
      <c r="AG68" s="102">
        <f t="shared" si="32"/>
        <v>0</v>
      </c>
      <c r="AH68" s="102">
        <f t="shared" si="32"/>
        <v>0</v>
      </c>
      <c r="AI68" s="102">
        <f t="shared" si="32"/>
        <v>0</v>
      </c>
      <c r="AJ68" s="174">
        <f t="shared" si="29"/>
        <v>2</v>
      </c>
    </row>
    <row r="69" spans="1:38">
      <c r="A69" s="2">
        <v>3</v>
      </c>
      <c r="B69" s="2" t="s">
        <v>129</v>
      </c>
      <c r="C69" s="506" t="s">
        <v>121</v>
      </c>
      <c r="D69" s="501"/>
      <c r="E69" s="102">
        <f t="shared" ref="E69:AI69" si="33">E27-D27</f>
        <v>119</v>
      </c>
      <c r="F69" s="102">
        <f t="shared" si="33"/>
        <v>119</v>
      </c>
      <c r="G69" s="102">
        <f t="shared" si="33"/>
        <v>71</v>
      </c>
      <c r="H69" s="102">
        <f t="shared" si="33"/>
        <v>0</v>
      </c>
      <c r="I69" s="102">
        <f t="shared" si="33"/>
        <v>109</v>
      </c>
      <c r="J69" s="102">
        <f t="shared" si="33"/>
        <v>110</v>
      </c>
      <c r="K69" s="102">
        <f t="shared" si="33"/>
        <v>102</v>
      </c>
      <c r="L69" s="102">
        <f t="shared" si="33"/>
        <v>112</v>
      </c>
      <c r="M69" s="102">
        <f t="shared" si="33"/>
        <v>94</v>
      </c>
      <c r="N69" s="102">
        <f t="shared" si="33"/>
        <v>42</v>
      </c>
      <c r="O69" s="102">
        <f t="shared" si="33"/>
        <v>0</v>
      </c>
      <c r="P69" s="102">
        <f t="shared" si="33"/>
        <v>108</v>
      </c>
      <c r="Q69" s="102">
        <f t="shared" si="33"/>
        <v>111</v>
      </c>
      <c r="R69" s="102">
        <f t="shared" si="33"/>
        <v>110</v>
      </c>
      <c r="S69" s="102">
        <f t="shared" si="33"/>
        <v>115</v>
      </c>
      <c r="T69" s="102">
        <f t="shared" si="33"/>
        <v>86</v>
      </c>
      <c r="U69" s="102">
        <f t="shared" si="33"/>
        <v>61</v>
      </c>
      <c r="V69" s="102">
        <f t="shared" si="33"/>
        <v>1</v>
      </c>
      <c r="W69" s="102">
        <f t="shared" si="33"/>
        <v>101</v>
      </c>
      <c r="X69" s="102">
        <f t="shared" si="33"/>
        <v>128</v>
      </c>
      <c r="Y69" s="102">
        <f t="shared" si="33"/>
        <v>126</v>
      </c>
      <c r="Z69" s="102">
        <f t="shared" si="33"/>
        <v>103</v>
      </c>
      <c r="AA69" s="102">
        <f t="shared" si="33"/>
        <v>124</v>
      </c>
      <c r="AB69" s="102">
        <f t="shared" si="33"/>
        <v>70</v>
      </c>
      <c r="AC69" s="102">
        <f t="shared" si="33"/>
        <v>0</v>
      </c>
      <c r="AD69" s="102">
        <f t="shared" si="33"/>
        <v>102</v>
      </c>
      <c r="AE69" s="102">
        <f t="shared" si="33"/>
        <v>120</v>
      </c>
      <c r="AF69" s="102">
        <f t="shared" si="33"/>
        <v>125</v>
      </c>
      <c r="AG69" s="102">
        <f t="shared" si="33"/>
        <v>104</v>
      </c>
      <c r="AH69" s="102">
        <f t="shared" si="33"/>
        <v>112</v>
      </c>
      <c r="AI69" s="102">
        <f t="shared" si="33"/>
        <v>85</v>
      </c>
      <c r="AJ69" s="174">
        <f t="shared" si="29"/>
        <v>2573</v>
      </c>
      <c r="AK69" s="115" t="s">
        <v>20</v>
      </c>
      <c r="AL69" s="116">
        <f>AJ60</f>
        <v>53824</v>
      </c>
    </row>
    <row r="70" spans="1:38">
      <c r="A70" s="2"/>
      <c r="B70" s="2"/>
      <c r="C70" s="532" t="s">
        <v>22</v>
      </c>
      <c r="D70" s="501"/>
      <c r="E70" s="102">
        <f t="shared" ref="E70:AI70" si="34">E28-D28</f>
        <v>0</v>
      </c>
      <c r="F70" s="102">
        <f t="shared" si="34"/>
        <v>0</v>
      </c>
      <c r="G70" s="102">
        <f t="shared" si="34"/>
        <v>0</v>
      </c>
      <c r="H70" s="102">
        <f t="shared" si="34"/>
        <v>0</v>
      </c>
      <c r="I70" s="102">
        <f t="shared" si="34"/>
        <v>0</v>
      </c>
      <c r="J70" s="102">
        <f t="shared" si="34"/>
        <v>0</v>
      </c>
      <c r="K70" s="102">
        <f t="shared" si="34"/>
        <v>0</v>
      </c>
      <c r="L70" s="102">
        <f t="shared" si="34"/>
        <v>0</v>
      </c>
      <c r="M70" s="102">
        <f t="shared" si="34"/>
        <v>0</v>
      </c>
      <c r="N70" s="102">
        <f t="shared" si="34"/>
        <v>0</v>
      </c>
      <c r="O70" s="102">
        <f t="shared" si="34"/>
        <v>0</v>
      </c>
      <c r="P70" s="102">
        <f t="shared" si="34"/>
        <v>0</v>
      </c>
      <c r="Q70" s="102">
        <f t="shared" si="34"/>
        <v>0</v>
      </c>
      <c r="R70" s="102">
        <f t="shared" si="34"/>
        <v>0</v>
      </c>
      <c r="S70" s="102">
        <f t="shared" si="34"/>
        <v>0</v>
      </c>
      <c r="T70" s="102">
        <f t="shared" si="34"/>
        <v>3</v>
      </c>
      <c r="U70" s="102">
        <f t="shared" si="34"/>
        <v>0</v>
      </c>
      <c r="V70" s="102">
        <f t="shared" si="34"/>
        <v>0</v>
      </c>
      <c r="W70" s="102">
        <f t="shared" si="34"/>
        <v>0</v>
      </c>
      <c r="X70" s="102">
        <f t="shared" si="34"/>
        <v>0</v>
      </c>
      <c r="Y70" s="102">
        <f t="shared" si="34"/>
        <v>0</v>
      </c>
      <c r="Z70" s="102">
        <f t="shared" si="34"/>
        <v>0</v>
      </c>
      <c r="AA70" s="102">
        <f t="shared" si="34"/>
        <v>0</v>
      </c>
      <c r="AB70" s="102">
        <f t="shared" si="34"/>
        <v>0</v>
      </c>
      <c r="AC70" s="102">
        <f t="shared" si="34"/>
        <v>0</v>
      </c>
      <c r="AD70" s="102">
        <f t="shared" si="34"/>
        <v>0</v>
      </c>
      <c r="AE70" s="102">
        <f t="shared" si="34"/>
        <v>0</v>
      </c>
      <c r="AF70" s="102">
        <f t="shared" si="34"/>
        <v>0</v>
      </c>
      <c r="AG70" s="102">
        <f t="shared" si="34"/>
        <v>0</v>
      </c>
      <c r="AH70" s="102">
        <f t="shared" si="34"/>
        <v>0</v>
      </c>
      <c r="AI70" s="102">
        <f t="shared" si="34"/>
        <v>0</v>
      </c>
      <c r="AJ70" s="174">
        <f t="shared" si="29"/>
        <v>3</v>
      </c>
      <c r="AK70" s="115" t="s">
        <v>21</v>
      </c>
      <c r="AL70" s="116">
        <f>AJ73</f>
        <v>7425</v>
      </c>
    </row>
    <row r="71" spans="1:38">
      <c r="A71" s="2">
        <v>4</v>
      </c>
      <c r="B71" s="2" t="s">
        <v>129</v>
      </c>
      <c r="C71" s="506" t="s">
        <v>122</v>
      </c>
      <c r="D71" s="501"/>
      <c r="E71" s="102">
        <f t="shared" ref="E71:AI71" si="35">E29-D29</f>
        <v>89</v>
      </c>
      <c r="F71" s="102">
        <f t="shared" si="35"/>
        <v>89</v>
      </c>
      <c r="G71" s="102">
        <f t="shared" si="35"/>
        <v>55</v>
      </c>
      <c r="H71" s="102">
        <f t="shared" si="35"/>
        <v>0</v>
      </c>
      <c r="I71" s="102">
        <f t="shared" si="35"/>
        <v>87</v>
      </c>
      <c r="J71" s="102">
        <f t="shared" si="35"/>
        <v>82</v>
      </c>
      <c r="K71" s="102">
        <f t="shared" si="35"/>
        <v>53</v>
      </c>
      <c r="L71" s="102">
        <f t="shared" si="35"/>
        <v>56</v>
      </c>
      <c r="M71" s="102">
        <f t="shared" si="35"/>
        <v>56</v>
      </c>
      <c r="N71" s="102">
        <f t="shared" si="35"/>
        <v>34</v>
      </c>
      <c r="O71" s="102">
        <f t="shared" si="35"/>
        <v>0</v>
      </c>
      <c r="P71" s="102">
        <f t="shared" si="35"/>
        <v>60</v>
      </c>
      <c r="Q71" s="102">
        <f t="shared" si="35"/>
        <v>57</v>
      </c>
      <c r="R71" s="102">
        <f t="shared" si="35"/>
        <v>60</v>
      </c>
      <c r="S71" s="102">
        <f t="shared" si="35"/>
        <v>58</v>
      </c>
      <c r="T71" s="102">
        <f t="shared" si="35"/>
        <v>48</v>
      </c>
      <c r="U71" s="102">
        <f t="shared" si="35"/>
        <v>32</v>
      </c>
      <c r="V71" s="102">
        <f t="shared" si="35"/>
        <v>0</v>
      </c>
      <c r="W71" s="102">
        <f t="shared" si="35"/>
        <v>97</v>
      </c>
      <c r="X71" s="102">
        <f t="shared" si="35"/>
        <v>108</v>
      </c>
      <c r="Y71" s="102">
        <f t="shared" si="35"/>
        <v>108</v>
      </c>
      <c r="Z71" s="102">
        <f t="shared" si="35"/>
        <v>92</v>
      </c>
      <c r="AA71" s="102">
        <f t="shared" si="35"/>
        <v>93</v>
      </c>
      <c r="AB71" s="102">
        <f t="shared" si="35"/>
        <v>46</v>
      </c>
      <c r="AC71" s="102">
        <f t="shared" si="35"/>
        <v>0</v>
      </c>
      <c r="AD71" s="102">
        <f t="shared" si="35"/>
        <v>100</v>
      </c>
      <c r="AE71" s="102">
        <f t="shared" si="35"/>
        <v>97</v>
      </c>
      <c r="AF71" s="102">
        <f t="shared" si="35"/>
        <v>87</v>
      </c>
      <c r="AG71" s="102">
        <f t="shared" si="35"/>
        <v>77</v>
      </c>
      <c r="AH71" s="102">
        <f t="shared" si="35"/>
        <v>74</v>
      </c>
      <c r="AI71" s="102">
        <f t="shared" si="35"/>
        <v>48</v>
      </c>
      <c r="AJ71" s="174">
        <f t="shared" si="29"/>
        <v>1821</v>
      </c>
      <c r="AK71" s="115" t="s">
        <v>23</v>
      </c>
      <c r="AL71" s="116">
        <f>AJ79*40%</f>
        <v>32773.200000000004</v>
      </c>
    </row>
    <row r="72" spans="1:38">
      <c r="A72" s="2"/>
      <c r="B72" s="2"/>
      <c r="C72" s="532" t="s">
        <v>22</v>
      </c>
      <c r="D72" s="501"/>
      <c r="E72" s="102">
        <f t="shared" ref="E72:AI72" si="36">E30-D30</f>
        <v>0</v>
      </c>
      <c r="F72" s="102">
        <f t="shared" si="36"/>
        <v>0</v>
      </c>
      <c r="G72" s="102">
        <f t="shared" si="36"/>
        <v>0</v>
      </c>
      <c r="H72" s="102">
        <f t="shared" si="36"/>
        <v>0</v>
      </c>
      <c r="I72" s="102">
        <f t="shared" si="36"/>
        <v>0</v>
      </c>
      <c r="J72" s="102">
        <f t="shared" si="36"/>
        <v>0</v>
      </c>
      <c r="K72" s="102">
        <f t="shared" si="36"/>
        <v>0</v>
      </c>
      <c r="L72" s="102">
        <f t="shared" si="36"/>
        <v>0</v>
      </c>
      <c r="M72" s="102">
        <f t="shared" si="36"/>
        <v>0</v>
      </c>
      <c r="N72" s="102">
        <f t="shared" si="36"/>
        <v>0</v>
      </c>
      <c r="O72" s="102">
        <f t="shared" si="36"/>
        <v>0</v>
      </c>
      <c r="P72" s="102">
        <f t="shared" si="36"/>
        <v>0</v>
      </c>
      <c r="Q72" s="102">
        <f t="shared" si="36"/>
        <v>0</v>
      </c>
      <c r="R72" s="102">
        <f t="shared" si="36"/>
        <v>0</v>
      </c>
      <c r="S72" s="102">
        <f t="shared" si="36"/>
        <v>0</v>
      </c>
      <c r="T72" s="102">
        <f t="shared" si="36"/>
        <v>3</v>
      </c>
      <c r="U72" s="102">
        <f t="shared" si="36"/>
        <v>0</v>
      </c>
      <c r="V72" s="102">
        <f t="shared" si="36"/>
        <v>0</v>
      </c>
      <c r="W72" s="102">
        <f t="shared" si="36"/>
        <v>0</v>
      </c>
      <c r="X72" s="102">
        <f t="shared" si="36"/>
        <v>0</v>
      </c>
      <c r="Y72" s="102">
        <f t="shared" si="36"/>
        <v>0</v>
      </c>
      <c r="Z72" s="102">
        <f t="shared" si="36"/>
        <v>0</v>
      </c>
      <c r="AA72" s="102">
        <f t="shared" si="36"/>
        <v>0</v>
      </c>
      <c r="AB72" s="102">
        <f t="shared" si="36"/>
        <v>0</v>
      </c>
      <c r="AC72" s="102">
        <f t="shared" si="36"/>
        <v>0</v>
      </c>
      <c r="AD72" s="102">
        <f t="shared" si="36"/>
        <v>0</v>
      </c>
      <c r="AE72" s="102">
        <f t="shared" si="36"/>
        <v>0</v>
      </c>
      <c r="AF72" s="102">
        <f t="shared" si="36"/>
        <v>0</v>
      </c>
      <c r="AG72" s="102">
        <f t="shared" si="36"/>
        <v>0</v>
      </c>
      <c r="AH72" s="102">
        <f t="shared" si="36"/>
        <v>0</v>
      </c>
      <c r="AI72" s="102">
        <f t="shared" si="36"/>
        <v>0</v>
      </c>
      <c r="AJ72" s="174">
        <f t="shared" si="29"/>
        <v>3</v>
      </c>
      <c r="AK72" s="117" t="s">
        <v>22</v>
      </c>
      <c r="AL72" s="118">
        <f>AJ61+AJ74</f>
        <v>142</v>
      </c>
    </row>
    <row r="73" spans="1:38" ht="15" customHeight="1">
      <c r="A73" s="99"/>
      <c r="B73" s="99"/>
      <c r="C73" s="500" t="s">
        <v>134</v>
      </c>
      <c r="D73" s="501"/>
      <c r="E73" s="23">
        <f t="shared" ref="E73:AI73" si="37">SUM(E65,E67,E69,E71)</f>
        <v>350</v>
      </c>
      <c r="F73" s="23">
        <f t="shared" si="37"/>
        <v>339</v>
      </c>
      <c r="G73" s="23">
        <f t="shared" si="37"/>
        <v>198</v>
      </c>
      <c r="H73" s="23">
        <f t="shared" si="37"/>
        <v>0</v>
      </c>
      <c r="I73" s="23">
        <f t="shared" si="37"/>
        <v>297</v>
      </c>
      <c r="J73" s="23">
        <f t="shared" si="37"/>
        <v>282</v>
      </c>
      <c r="K73" s="23">
        <f t="shared" si="37"/>
        <v>240</v>
      </c>
      <c r="L73" s="23">
        <f t="shared" si="37"/>
        <v>285</v>
      </c>
      <c r="M73" s="23">
        <f t="shared" si="37"/>
        <v>272</v>
      </c>
      <c r="N73" s="23">
        <f t="shared" si="37"/>
        <v>145</v>
      </c>
      <c r="O73" s="23">
        <f t="shared" si="37"/>
        <v>0</v>
      </c>
      <c r="P73" s="23">
        <f t="shared" si="37"/>
        <v>306</v>
      </c>
      <c r="Q73" s="23">
        <f t="shared" si="37"/>
        <v>297</v>
      </c>
      <c r="R73" s="23">
        <f t="shared" si="37"/>
        <v>295</v>
      </c>
      <c r="S73" s="23">
        <f t="shared" si="37"/>
        <v>321</v>
      </c>
      <c r="T73" s="23">
        <f t="shared" si="37"/>
        <v>236</v>
      </c>
      <c r="U73" s="23">
        <f t="shared" si="37"/>
        <v>160</v>
      </c>
      <c r="V73" s="23">
        <f t="shared" si="37"/>
        <v>3</v>
      </c>
      <c r="W73" s="23">
        <f t="shared" si="37"/>
        <v>384</v>
      </c>
      <c r="X73" s="23">
        <f t="shared" si="37"/>
        <v>402</v>
      </c>
      <c r="Y73" s="23">
        <f t="shared" si="37"/>
        <v>393</v>
      </c>
      <c r="Z73" s="23">
        <f t="shared" si="37"/>
        <v>320</v>
      </c>
      <c r="AA73" s="23">
        <f t="shared" si="37"/>
        <v>334</v>
      </c>
      <c r="AB73" s="23">
        <f t="shared" si="37"/>
        <v>175</v>
      </c>
      <c r="AC73" s="23">
        <f t="shared" si="37"/>
        <v>0</v>
      </c>
      <c r="AD73" s="23">
        <f t="shared" si="37"/>
        <v>363</v>
      </c>
      <c r="AE73" s="23">
        <f t="shared" si="37"/>
        <v>373</v>
      </c>
      <c r="AF73" s="23">
        <f t="shared" si="37"/>
        <v>341</v>
      </c>
      <c r="AG73" s="23">
        <f t="shared" si="37"/>
        <v>314</v>
      </c>
      <c r="AH73" s="23">
        <f t="shared" si="37"/>
        <v>325</v>
      </c>
      <c r="AI73" s="23">
        <f t="shared" si="37"/>
        <v>233</v>
      </c>
      <c r="AJ73" s="173">
        <f t="shared" si="29"/>
        <v>7425</v>
      </c>
    </row>
    <row r="74" spans="1:38" ht="15" customHeight="1">
      <c r="A74" s="99"/>
      <c r="B74" s="99"/>
      <c r="C74" s="513" t="s">
        <v>135</v>
      </c>
      <c r="D74" s="501"/>
      <c r="E74" s="23">
        <f t="shared" ref="E74:AI74" si="38">SUM(E66,E68,E70,E72)</f>
        <v>0</v>
      </c>
      <c r="F74" s="23">
        <f t="shared" si="38"/>
        <v>0</v>
      </c>
      <c r="G74" s="23">
        <f t="shared" si="38"/>
        <v>0</v>
      </c>
      <c r="H74" s="23">
        <f t="shared" si="38"/>
        <v>0</v>
      </c>
      <c r="I74" s="23">
        <f t="shared" si="38"/>
        <v>0</v>
      </c>
      <c r="J74" s="23">
        <f t="shared" si="38"/>
        <v>0</v>
      </c>
      <c r="K74" s="23">
        <f t="shared" si="38"/>
        <v>0</v>
      </c>
      <c r="L74" s="23">
        <f t="shared" si="38"/>
        <v>0</v>
      </c>
      <c r="M74" s="23">
        <f t="shared" si="38"/>
        <v>0</v>
      </c>
      <c r="N74" s="23">
        <f t="shared" si="38"/>
        <v>0</v>
      </c>
      <c r="O74" s="23">
        <f t="shared" si="38"/>
        <v>0</v>
      </c>
      <c r="P74" s="23">
        <f t="shared" si="38"/>
        <v>0</v>
      </c>
      <c r="Q74" s="23">
        <f t="shared" si="38"/>
        <v>0</v>
      </c>
      <c r="R74" s="23">
        <f t="shared" si="38"/>
        <v>0</v>
      </c>
      <c r="S74" s="23">
        <f t="shared" si="38"/>
        <v>0</v>
      </c>
      <c r="T74" s="23">
        <f t="shared" si="38"/>
        <v>10</v>
      </c>
      <c r="U74" s="23">
        <f t="shared" si="38"/>
        <v>0</v>
      </c>
      <c r="V74" s="23">
        <f t="shared" si="38"/>
        <v>0</v>
      </c>
      <c r="W74" s="23">
        <f t="shared" si="38"/>
        <v>0</v>
      </c>
      <c r="X74" s="23">
        <f t="shared" si="38"/>
        <v>0</v>
      </c>
      <c r="Y74" s="23">
        <f t="shared" si="38"/>
        <v>0</v>
      </c>
      <c r="Z74" s="23">
        <f t="shared" si="38"/>
        <v>0</v>
      </c>
      <c r="AA74" s="23">
        <f t="shared" si="38"/>
        <v>0</v>
      </c>
      <c r="AB74" s="23">
        <f t="shared" si="38"/>
        <v>0</v>
      </c>
      <c r="AC74" s="23">
        <f t="shared" si="38"/>
        <v>0</v>
      </c>
      <c r="AD74" s="23">
        <f t="shared" si="38"/>
        <v>0</v>
      </c>
      <c r="AE74" s="23">
        <f t="shared" si="38"/>
        <v>0</v>
      </c>
      <c r="AF74" s="23">
        <f t="shared" si="38"/>
        <v>0</v>
      </c>
      <c r="AG74" s="23">
        <f t="shared" si="38"/>
        <v>0</v>
      </c>
      <c r="AH74" s="23">
        <f t="shared" si="38"/>
        <v>0</v>
      </c>
      <c r="AI74" s="23">
        <f t="shared" si="38"/>
        <v>0</v>
      </c>
      <c r="AJ74" s="173">
        <f t="shared" si="29"/>
        <v>10</v>
      </c>
    </row>
    <row r="75" spans="1:38">
      <c r="A75" s="2">
        <v>1</v>
      </c>
      <c r="B75" s="2" t="s">
        <v>129</v>
      </c>
      <c r="C75" s="503" t="s">
        <v>123</v>
      </c>
      <c r="D75" s="501"/>
      <c r="E75" s="102">
        <f t="shared" ref="E75:AI75" si="39">E32-D32</f>
        <v>989</v>
      </c>
      <c r="F75" s="102">
        <f t="shared" si="39"/>
        <v>899</v>
      </c>
      <c r="G75" s="102">
        <f t="shared" si="39"/>
        <v>570</v>
      </c>
      <c r="H75" s="102">
        <f t="shared" si="39"/>
        <v>0</v>
      </c>
      <c r="I75" s="102">
        <f t="shared" si="39"/>
        <v>1040</v>
      </c>
      <c r="J75" s="102">
        <f t="shared" si="39"/>
        <v>930</v>
      </c>
      <c r="K75" s="102">
        <f t="shared" si="39"/>
        <v>878</v>
      </c>
      <c r="L75" s="102">
        <f t="shared" si="39"/>
        <v>891</v>
      </c>
      <c r="M75" s="102">
        <f t="shared" si="39"/>
        <v>881</v>
      </c>
      <c r="N75" s="102">
        <f t="shared" si="39"/>
        <v>382</v>
      </c>
      <c r="O75" s="102">
        <f t="shared" si="39"/>
        <v>0</v>
      </c>
      <c r="P75" s="102">
        <f t="shared" si="39"/>
        <v>1111</v>
      </c>
      <c r="Q75" s="102">
        <f t="shared" si="39"/>
        <v>854</v>
      </c>
      <c r="R75" s="102">
        <f t="shared" si="39"/>
        <v>995</v>
      </c>
      <c r="S75" s="102">
        <f t="shared" si="39"/>
        <v>827</v>
      </c>
      <c r="T75" s="102">
        <f t="shared" si="39"/>
        <v>795</v>
      </c>
      <c r="U75" s="102">
        <f t="shared" si="39"/>
        <v>443</v>
      </c>
      <c r="V75" s="102">
        <f t="shared" si="39"/>
        <v>0</v>
      </c>
      <c r="W75" s="102">
        <f t="shared" si="39"/>
        <v>1436</v>
      </c>
      <c r="X75" s="102">
        <f t="shared" si="39"/>
        <v>1230</v>
      </c>
      <c r="Y75" s="102">
        <f t="shared" si="39"/>
        <v>1194</v>
      </c>
      <c r="Z75" s="102">
        <f t="shared" si="39"/>
        <v>924</v>
      </c>
      <c r="AA75" s="102">
        <f t="shared" si="39"/>
        <v>968</v>
      </c>
      <c r="AB75" s="102">
        <f t="shared" si="39"/>
        <v>473</v>
      </c>
      <c r="AC75" s="102">
        <f t="shared" si="39"/>
        <v>0</v>
      </c>
      <c r="AD75" s="102">
        <f t="shared" si="39"/>
        <v>1306</v>
      </c>
      <c r="AE75" s="102">
        <f t="shared" si="39"/>
        <v>1123</v>
      </c>
      <c r="AF75" s="102">
        <f t="shared" si="39"/>
        <v>1027</v>
      </c>
      <c r="AG75" s="102">
        <f t="shared" si="39"/>
        <v>1052</v>
      </c>
      <c r="AH75" s="102">
        <f t="shared" si="39"/>
        <v>1022</v>
      </c>
      <c r="AI75" s="102">
        <f t="shared" si="39"/>
        <v>551</v>
      </c>
      <c r="AJ75" s="174">
        <f t="shared" si="29"/>
        <v>23218</v>
      </c>
    </row>
    <row r="76" spans="1:38">
      <c r="A76" s="2">
        <v>2</v>
      </c>
      <c r="B76" s="2" t="s">
        <v>129</v>
      </c>
      <c r="C76" s="503" t="s">
        <v>124</v>
      </c>
      <c r="D76" s="501"/>
      <c r="E76" s="102">
        <f t="shared" ref="E76:AI76" si="40">E33-D33</f>
        <v>692</v>
      </c>
      <c r="F76" s="102">
        <f t="shared" si="40"/>
        <v>512</v>
      </c>
      <c r="G76" s="102">
        <f t="shared" si="40"/>
        <v>263</v>
      </c>
      <c r="H76" s="102">
        <f t="shared" si="40"/>
        <v>0</v>
      </c>
      <c r="I76" s="102">
        <f t="shared" si="40"/>
        <v>733</v>
      </c>
      <c r="J76" s="102">
        <f t="shared" si="40"/>
        <v>685</v>
      </c>
      <c r="K76" s="102">
        <f t="shared" si="40"/>
        <v>553</v>
      </c>
      <c r="L76" s="102">
        <f t="shared" si="40"/>
        <v>564</v>
      </c>
      <c r="M76" s="102">
        <f t="shared" si="40"/>
        <v>683</v>
      </c>
      <c r="N76" s="102">
        <f t="shared" si="40"/>
        <v>261</v>
      </c>
      <c r="O76" s="102">
        <f t="shared" si="40"/>
        <v>0</v>
      </c>
      <c r="P76" s="102">
        <f t="shared" si="40"/>
        <v>897</v>
      </c>
      <c r="Q76" s="102">
        <f t="shared" si="40"/>
        <v>787</v>
      </c>
      <c r="R76" s="102">
        <f t="shared" si="40"/>
        <v>810</v>
      </c>
      <c r="S76" s="102">
        <f t="shared" si="40"/>
        <v>731</v>
      </c>
      <c r="T76" s="102">
        <f t="shared" si="40"/>
        <v>635</v>
      </c>
      <c r="U76" s="102">
        <f t="shared" si="40"/>
        <v>319</v>
      </c>
      <c r="V76" s="102">
        <f t="shared" si="40"/>
        <v>0</v>
      </c>
      <c r="W76" s="102">
        <f t="shared" si="40"/>
        <v>1189</v>
      </c>
      <c r="X76" s="102">
        <f t="shared" si="40"/>
        <v>924</v>
      </c>
      <c r="Y76" s="102">
        <f t="shared" si="40"/>
        <v>843</v>
      </c>
      <c r="Z76" s="102">
        <f t="shared" si="40"/>
        <v>710</v>
      </c>
      <c r="AA76" s="102">
        <f t="shared" si="40"/>
        <v>731</v>
      </c>
      <c r="AB76" s="102">
        <f t="shared" si="40"/>
        <v>238</v>
      </c>
      <c r="AC76" s="102">
        <f t="shared" si="40"/>
        <v>0</v>
      </c>
      <c r="AD76" s="102">
        <f t="shared" si="40"/>
        <v>882</v>
      </c>
      <c r="AE76" s="102">
        <f t="shared" si="40"/>
        <v>757</v>
      </c>
      <c r="AF76" s="102">
        <f t="shared" si="40"/>
        <v>744</v>
      </c>
      <c r="AG76" s="102">
        <f t="shared" si="40"/>
        <v>759</v>
      </c>
      <c r="AH76" s="102">
        <f t="shared" si="40"/>
        <v>571</v>
      </c>
      <c r="AI76" s="102">
        <f t="shared" si="40"/>
        <v>559</v>
      </c>
      <c r="AJ76" s="174">
        <f t="shared" si="29"/>
        <v>16902</v>
      </c>
    </row>
    <row r="77" spans="1:38">
      <c r="A77" s="2">
        <v>3</v>
      </c>
      <c r="B77" s="2" t="s">
        <v>129</v>
      </c>
      <c r="C77" s="503" t="s">
        <v>125</v>
      </c>
      <c r="D77" s="501"/>
      <c r="E77" s="102">
        <f t="shared" ref="E77:AI77" si="41">E34-D34</f>
        <v>705</v>
      </c>
      <c r="F77" s="102">
        <f t="shared" si="41"/>
        <v>500</v>
      </c>
      <c r="G77" s="102">
        <f t="shared" si="41"/>
        <v>278</v>
      </c>
      <c r="H77" s="102">
        <f t="shared" si="41"/>
        <v>0</v>
      </c>
      <c r="I77" s="102">
        <f t="shared" si="41"/>
        <v>941</v>
      </c>
      <c r="J77" s="102">
        <f t="shared" si="41"/>
        <v>663</v>
      </c>
      <c r="K77" s="102">
        <f t="shared" si="41"/>
        <v>535</v>
      </c>
      <c r="L77" s="102">
        <f t="shared" si="41"/>
        <v>865</v>
      </c>
      <c r="M77" s="102">
        <f t="shared" si="41"/>
        <v>806</v>
      </c>
      <c r="N77" s="102">
        <f t="shared" si="41"/>
        <v>232</v>
      </c>
      <c r="O77" s="102">
        <f t="shared" si="41"/>
        <v>0</v>
      </c>
      <c r="P77" s="102">
        <f t="shared" si="41"/>
        <v>1038</v>
      </c>
      <c r="Q77" s="102">
        <f t="shared" si="41"/>
        <v>981</v>
      </c>
      <c r="R77" s="102">
        <f t="shared" si="41"/>
        <v>1025</v>
      </c>
      <c r="S77" s="102">
        <f t="shared" si="41"/>
        <v>805</v>
      </c>
      <c r="T77" s="102">
        <f t="shared" si="41"/>
        <v>837</v>
      </c>
      <c r="U77" s="102">
        <f t="shared" si="41"/>
        <v>214</v>
      </c>
      <c r="V77" s="102">
        <f t="shared" si="41"/>
        <v>0</v>
      </c>
      <c r="W77" s="102">
        <f t="shared" si="41"/>
        <v>1228</v>
      </c>
      <c r="X77" s="102">
        <f t="shared" si="41"/>
        <v>1384</v>
      </c>
      <c r="Y77" s="102">
        <f t="shared" si="41"/>
        <v>1194</v>
      </c>
      <c r="Z77" s="102">
        <f t="shared" si="41"/>
        <v>817</v>
      </c>
      <c r="AA77" s="102">
        <f t="shared" si="41"/>
        <v>914</v>
      </c>
      <c r="AB77" s="102">
        <f t="shared" si="41"/>
        <v>154</v>
      </c>
      <c r="AC77" s="102">
        <f t="shared" si="41"/>
        <v>0</v>
      </c>
      <c r="AD77" s="102">
        <f t="shared" si="41"/>
        <v>1246</v>
      </c>
      <c r="AE77" s="102">
        <f t="shared" si="41"/>
        <v>834</v>
      </c>
      <c r="AF77" s="102">
        <f t="shared" si="41"/>
        <v>1062</v>
      </c>
      <c r="AG77" s="102">
        <f t="shared" si="41"/>
        <v>1234</v>
      </c>
      <c r="AH77" s="102">
        <f t="shared" si="41"/>
        <v>715</v>
      </c>
      <c r="AI77" s="102">
        <f t="shared" si="41"/>
        <v>746</v>
      </c>
      <c r="AJ77" s="174">
        <f t="shared" si="29"/>
        <v>20492</v>
      </c>
    </row>
    <row r="78" spans="1:38">
      <c r="A78" s="2">
        <v>4</v>
      </c>
      <c r="B78" s="2" t="s">
        <v>129</v>
      </c>
      <c r="C78" s="503" t="s">
        <v>126</v>
      </c>
      <c r="D78" s="501"/>
      <c r="E78" s="102">
        <f t="shared" ref="E78:AI78" si="42">E35-D35</f>
        <v>867</v>
      </c>
      <c r="F78" s="102">
        <f t="shared" si="42"/>
        <v>718</v>
      </c>
      <c r="G78" s="102">
        <f t="shared" si="42"/>
        <v>477</v>
      </c>
      <c r="H78" s="102">
        <f t="shared" si="42"/>
        <v>0</v>
      </c>
      <c r="I78" s="102">
        <f t="shared" si="42"/>
        <v>946</v>
      </c>
      <c r="J78" s="102">
        <f t="shared" si="42"/>
        <v>865</v>
      </c>
      <c r="K78" s="102">
        <f t="shared" si="42"/>
        <v>757</v>
      </c>
      <c r="L78" s="102">
        <f t="shared" si="42"/>
        <v>850</v>
      </c>
      <c r="M78" s="102">
        <f t="shared" si="42"/>
        <v>838</v>
      </c>
      <c r="N78" s="102">
        <f t="shared" si="42"/>
        <v>397</v>
      </c>
      <c r="O78" s="102">
        <f t="shared" si="42"/>
        <v>0</v>
      </c>
      <c r="P78" s="102">
        <f t="shared" si="42"/>
        <v>978</v>
      </c>
      <c r="Q78" s="102">
        <f t="shared" si="42"/>
        <v>766</v>
      </c>
      <c r="R78" s="102">
        <f t="shared" si="42"/>
        <v>903</v>
      </c>
      <c r="S78" s="102">
        <f t="shared" si="42"/>
        <v>781</v>
      </c>
      <c r="T78" s="102">
        <f t="shared" si="42"/>
        <v>713</v>
      </c>
      <c r="U78" s="102">
        <f t="shared" si="42"/>
        <v>402</v>
      </c>
      <c r="V78" s="102">
        <f t="shared" si="42"/>
        <v>0</v>
      </c>
      <c r="W78" s="102">
        <f t="shared" si="42"/>
        <v>1304</v>
      </c>
      <c r="X78" s="102">
        <f t="shared" si="42"/>
        <v>1139</v>
      </c>
      <c r="Y78" s="102">
        <f t="shared" si="42"/>
        <v>1135</v>
      </c>
      <c r="Z78" s="102">
        <f t="shared" si="42"/>
        <v>925</v>
      </c>
      <c r="AA78" s="102">
        <f t="shared" si="42"/>
        <v>943</v>
      </c>
      <c r="AB78" s="102">
        <f t="shared" si="42"/>
        <v>398</v>
      </c>
      <c r="AC78" s="102">
        <f t="shared" si="42"/>
        <v>0</v>
      </c>
      <c r="AD78" s="102">
        <f t="shared" si="42"/>
        <v>1172</v>
      </c>
      <c r="AE78" s="102">
        <f t="shared" si="42"/>
        <v>1020</v>
      </c>
      <c r="AF78" s="102">
        <f t="shared" si="42"/>
        <v>1005</v>
      </c>
      <c r="AG78" s="102">
        <f t="shared" si="42"/>
        <v>1022</v>
      </c>
      <c r="AH78" s="102">
        <f t="shared" si="42"/>
        <v>935</v>
      </c>
      <c r="AI78" s="102">
        <f t="shared" si="42"/>
        <v>555</v>
      </c>
      <c r="AJ78" s="174">
        <f t="shared" si="29"/>
        <v>21321</v>
      </c>
    </row>
    <row r="79" spans="1:38" ht="15" customHeight="1">
      <c r="A79" s="99"/>
      <c r="B79" s="99"/>
      <c r="C79" s="500" t="s">
        <v>136</v>
      </c>
      <c r="D79" s="501"/>
      <c r="E79" s="23">
        <f t="shared" ref="E79:AJ79" si="43">SUM(E75:E78)</f>
        <v>3253</v>
      </c>
      <c r="F79" s="23">
        <f t="shared" si="43"/>
        <v>2629</v>
      </c>
      <c r="G79" s="23">
        <f t="shared" si="43"/>
        <v>1588</v>
      </c>
      <c r="H79" s="23">
        <f t="shared" si="43"/>
        <v>0</v>
      </c>
      <c r="I79" s="23">
        <f t="shared" si="43"/>
        <v>3660</v>
      </c>
      <c r="J79" s="23">
        <f t="shared" si="43"/>
        <v>3143</v>
      </c>
      <c r="K79" s="23">
        <f t="shared" si="43"/>
        <v>2723</v>
      </c>
      <c r="L79" s="23">
        <f t="shared" si="43"/>
        <v>3170</v>
      </c>
      <c r="M79" s="23">
        <f t="shared" si="43"/>
        <v>3208</v>
      </c>
      <c r="N79" s="23">
        <f t="shared" si="43"/>
        <v>1272</v>
      </c>
      <c r="O79" s="23">
        <f t="shared" si="43"/>
        <v>0</v>
      </c>
      <c r="P79" s="23">
        <f t="shared" si="43"/>
        <v>4024</v>
      </c>
      <c r="Q79" s="23">
        <f t="shared" si="43"/>
        <v>3388</v>
      </c>
      <c r="R79" s="23">
        <f t="shared" si="43"/>
        <v>3733</v>
      </c>
      <c r="S79" s="23">
        <f t="shared" si="43"/>
        <v>3144</v>
      </c>
      <c r="T79" s="23">
        <f t="shared" si="43"/>
        <v>2980</v>
      </c>
      <c r="U79" s="23">
        <f t="shared" si="43"/>
        <v>1378</v>
      </c>
      <c r="V79" s="23">
        <f t="shared" si="43"/>
        <v>0</v>
      </c>
      <c r="W79" s="23">
        <f t="shared" si="43"/>
        <v>5157</v>
      </c>
      <c r="X79" s="23">
        <f t="shared" si="43"/>
        <v>4677</v>
      </c>
      <c r="Y79" s="23">
        <f t="shared" si="43"/>
        <v>4366</v>
      </c>
      <c r="Z79" s="23">
        <f t="shared" si="43"/>
        <v>3376</v>
      </c>
      <c r="AA79" s="23">
        <f t="shared" si="43"/>
        <v>3556</v>
      </c>
      <c r="AB79" s="23">
        <f t="shared" si="43"/>
        <v>1263</v>
      </c>
      <c r="AC79" s="23">
        <f t="shared" si="43"/>
        <v>0</v>
      </c>
      <c r="AD79" s="23">
        <f t="shared" si="43"/>
        <v>4606</v>
      </c>
      <c r="AE79" s="23">
        <f t="shared" si="43"/>
        <v>3734</v>
      </c>
      <c r="AF79" s="23">
        <f t="shared" si="43"/>
        <v>3838</v>
      </c>
      <c r="AG79" s="23">
        <f t="shared" si="43"/>
        <v>4067</v>
      </c>
      <c r="AH79" s="23">
        <f t="shared" si="43"/>
        <v>3243</v>
      </c>
      <c r="AI79" s="23">
        <f t="shared" si="43"/>
        <v>2411</v>
      </c>
      <c r="AJ79" s="173">
        <f t="shared" si="43"/>
        <v>81933</v>
      </c>
    </row>
  </sheetData>
  <mergeCells count="49">
    <mergeCell ref="AJ40:AJ43"/>
    <mergeCell ref="C62:D62"/>
    <mergeCell ref="C68:D68"/>
    <mergeCell ref="C58:D58"/>
    <mergeCell ref="C40:D43"/>
    <mergeCell ref="C45:D45"/>
    <mergeCell ref="C67:D67"/>
    <mergeCell ref="C57:D57"/>
    <mergeCell ref="C66:D66"/>
    <mergeCell ref="C53:D53"/>
    <mergeCell ref="AJ2:AJ5"/>
    <mergeCell ref="E1:AH1"/>
    <mergeCell ref="C74:D74"/>
    <mergeCell ref="B2:B5"/>
    <mergeCell ref="C64:D64"/>
    <mergeCell ref="A1:D1"/>
    <mergeCell ref="A22:AJ22"/>
    <mergeCell ref="C60:D60"/>
    <mergeCell ref="C51:D51"/>
    <mergeCell ref="A2:A5"/>
    <mergeCell ref="C71:D71"/>
    <mergeCell ref="C2:C5"/>
    <mergeCell ref="C52:D52"/>
    <mergeCell ref="C70:D70"/>
    <mergeCell ref="C48:D48"/>
    <mergeCell ref="A31:AJ31"/>
    <mergeCell ref="B38:D38"/>
    <mergeCell ref="D2:D5"/>
    <mergeCell ref="C73:D73"/>
    <mergeCell ref="C47:D47"/>
    <mergeCell ref="C54:D54"/>
    <mergeCell ref="C65:D65"/>
    <mergeCell ref="C55:D55"/>
    <mergeCell ref="C50:D50"/>
    <mergeCell ref="C44:D44"/>
    <mergeCell ref="C56:D56"/>
    <mergeCell ref="C59:D59"/>
    <mergeCell ref="C49:D49"/>
    <mergeCell ref="C46:D46"/>
    <mergeCell ref="B40:B43"/>
    <mergeCell ref="C72:D72"/>
    <mergeCell ref="B39:D39"/>
    <mergeCell ref="C78:D78"/>
    <mergeCell ref="C69:D69"/>
    <mergeCell ref="A40:A43"/>
    <mergeCell ref="C79:D79"/>
    <mergeCell ref="C75:D75"/>
    <mergeCell ref="C77:D77"/>
    <mergeCell ref="C76:D7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K79"/>
  <sheetViews>
    <sheetView topLeftCell="A13" zoomScale="80" zoomScaleNormal="80" workbookViewId="0">
      <selection activeCell="AR78" sqref="AR78"/>
    </sheetView>
  </sheetViews>
  <sheetFormatPr defaultRowHeight="14.5"/>
  <cols>
    <col min="1" max="1" width="14" bestFit="1" customWidth="1"/>
    <col min="2" max="2" width="27" bestFit="1" customWidth="1"/>
    <col min="3" max="3" width="32" bestFit="1" customWidth="1"/>
    <col min="4" max="4" width="20" bestFit="1" customWidth="1"/>
    <col min="5" max="5" width="23" bestFit="1" customWidth="1"/>
    <col min="6" max="34" width="23" customWidth="1"/>
    <col min="35" max="35" width="18" bestFit="1" customWidth="1"/>
    <col min="36" max="36" width="14" customWidth="1"/>
    <col min="37" max="37" width="18" customWidth="1"/>
  </cols>
  <sheetData>
    <row r="1" spans="1:35" ht="17.25" customHeight="1">
      <c r="A1" s="573"/>
      <c r="B1" s="526"/>
      <c r="C1" s="526"/>
      <c r="D1" s="527"/>
      <c r="E1" s="601" t="s">
        <v>179</v>
      </c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A1" s="526"/>
      <c r="AB1" s="526"/>
      <c r="AC1" s="526"/>
      <c r="AD1" s="526"/>
      <c r="AE1" s="526"/>
      <c r="AF1" s="526"/>
      <c r="AG1" s="526"/>
      <c r="AH1" s="526"/>
      <c r="AI1" s="50"/>
    </row>
    <row r="2" spans="1:35">
      <c r="A2" s="510" t="s">
        <v>99</v>
      </c>
      <c r="B2" s="510" t="s">
        <v>100</v>
      </c>
      <c r="C2" s="580" t="s">
        <v>101</v>
      </c>
      <c r="D2" s="572" t="s">
        <v>102</v>
      </c>
      <c r="E2" s="51">
        <v>45748</v>
      </c>
      <c r="F2" s="51">
        <v>45749</v>
      </c>
      <c r="G2" s="51">
        <v>45750</v>
      </c>
      <c r="H2" s="51">
        <v>45751</v>
      </c>
      <c r="I2" s="51">
        <v>45752</v>
      </c>
      <c r="J2" s="51">
        <v>45753</v>
      </c>
      <c r="K2" s="51">
        <v>45754</v>
      </c>
      <c r="L2" s="51">
        <v>45755</v>
      </c>
      <c r="M2" s="51">
        <v>45756</v>
      </c>
      <c r="N2" s="51">
        <v>45757</v>
      </c>
      <c r="O2" s="51">
        <v>45758</v>
      </c>
      <c r="P2" s="51">
        <v>45759</v>
      </c>
      <c r="Q2" s="51">
        <v>45760</v>
      </c>
      <c r="R2" s="51">
        <v>45761</v>
      </c>
      <c r="S2" s="51">
        <v>45762</v>
      </c>
      <c r="T2" s="51">
        <v>45763</v>
      </c>
      <c r="U2" s="51">
        <v>45764</v>
      </c>
      <c r="V2" s="51">
        <v>45765</v>
      </c>
      <c r="W2" s="51">
        <v>45766</v>
      </c>
      <c r="X2" s="51">
        <v>45767</v>
      </c>
      <c r="Y2" s="51">
        <v>45768</v>
      </c>
      <c r="Z2" s="51">
        <v>45769</v>
      </c>
      <c r="AA2" s="51">
        <v>45770</v>
      </c>
      <c r="AB2" s="51">
        <v>45771</v>
      </c>
      <c r="AC2" s="51">
        <v>45772</v>
      </c>
      <c r="AD2" s="51">
        <v>45773</v>
      </c>
      <c r="AE2" s="51">
        <v>45774</v>
      </c>
      <c r="AF2" s="51">
        <v>45775</v>
      </c>
      <c r="AG2" s="51">
        <v>45776</v>
      </c>
      <c r="AH2" s="51">
        <v>45777</v>
      </c>
      <c r="AI2" s="514" t="s">
        <v>1</v>
      </c>
    </row>
    <row r="3" spans="1:35">
      <c r="A3" s="511"/>
      <c r="B3" s="511"/>
      <c r="C3" s="511"/>
      <c r="D3" s="511"/>
      <c r="E3" s="52" t="s">
        <v>169</v>
      </c>
      <c r="F3" s="52" t="s">
        <v>170</v>
      </c>
      <c r="G3" s="52" t="s">
        <v>171</v>
      </c>
      <c r="H3" s="52" t="s">
        <v>172</v>
      </c>
      <c r="I3" s="52" t="s">
        <v>173</v>
      </c>
      <c r="J3" s="52" t="s">
        <v>174</v>
      </c>
      <c r="K3" s="52" t="s">
        <v>175</v>
      </c>
      <c r="L3" s="52" t="s">
        <v>169</v>
      </c>
      <c r="M3" s="52" t="s">
        <v>170</v>
      </c>
      <c r="N3" s="52" t="s">
        <v>171</v>
      </c>
      <c r="O3" s="52" t="s">
        <v>172</v>
      </c>
      <c r="P3" s="52" t="s">
        <v>173</v>
      </c>
      <c r="Q3" s="52" t="s">
        <v>174</v>
      </c>
      <c r="R3" s="52" t="s">
        <v>175</v>
      </c>
      <c r="S3" s="52" t="s">
        <v>169</v>
      </c>
      <c r="T3" s="52" t="s">
        <v>170</v>
      </c>
      <c r="U3" s="52" t="s">
        <v>171</v>
      </c>
      <c r="V3" s="52" t="s">
        <v>172</v>
      </c>
      <c r="W3" s="52" t="s">
        <v>173</v>
      </c>
      <c r="X3" s="52" t="s">
        <v>174</v>
      </c>
      <c r="Y3" s="52" t="s">
        <v>175</v>
      </c>
      <c r="Z3" s="52" t="s">
        <v>169</v>
      </c>
      <c r="AA3" s="52" t="s">
        <v>170</v>
      </c>
      <c r="AB3" s="52" t="s">
        <v>171</v>
      </c>
      <c r="AC3" s="52" t="s">
        <v>172</v>
      </c>
      <c r="AD3" s="52" t="s">
        <v>173</v>
      </c>
      <c r="AE3" s="52" t="s">
        <v>174</v>
      </c>
      <c r="AF3" s="52" t="s">
        <v>175</v>
      </c>
      <c r="AG3" s="52" t="s">
        <v>169</v>
      </c>
      <c r="AH3" s="52" t="s">
        <v>170</v>
      </c>
      <c r="AI3" s="511"/>
    </row>
    <row r="4" spans="1:35">
      <c r="A4" s="511"/>
      <c r="B4" s="511"/>
      <c r="C4" s="511"/>
      <c r="D4" s="511"/>
      <c r="E4" s="52" t="s">
        <v>110</v>
      </c>
      <c r="F4" s="52" t="s">
        <v>110</v>
      </c>
      <c r="G4" s="52" t="s">
        <v>110</v>
      </c>
      <c r="H4" s="52" t="s">
        <v>110</v>
      </c>
      <c r="I4" s="52" t="s">
        <v>110</v>
      </c>
      <c r="J4" s="52" t="s">
        <v>110</v>
      </c>
      <c r="K4" s="52" t="s">
        <v>110</v>
      </c>
      <c r="L4" s="52" t="s">
        <v>110</v>
      </c>
      <c r="M4" s="52" t="s">
        <v>110</v>
      </c>
      <c r="N4" s="52" t="s">
        <v>110</v>
      </c>
      <c r="O4" s="52" t="s">
        <v>110</v>
      </c>
      <c r="P4" s="52" t="s">
        <v>110</v>
      </c>
      <c r="Q4" s="52" t="s">
        <v>110</v>
      </c>
      <c r="R4" s="52" t="s">
        <v>110</v>
      </c>
      <c r="S4" s="52" t="s">
        <v>110</v>
      </c>
      <c r="T4" s="52" t="s">
        <v>110</v>
      </c>
      <c r="U4" s="52" t="s">
        <v>110</v>
      </c>
      <c r="V4" s="52" t="s">
        <v>110</v>
      </c>
      <c r="W4" s="52" t="s">
        <v>110</v>
      </c>
      <c r="X4" s="52" t="s">
        <v>110</v>
      </c>
      <c r="Y4" s="52" t="s">
        <v>110</v>
      </c>
      <c r="Z4" s="52" t="s">
        <v>110</v>
      </c>
      <c r="AA4" s="52" t="s">
        <v>110</v>
      </c>
      <c r="AB4" s="52" t="s">
        <v>110</v>
      </c>
      <c r="AC4" s="52" t="s">
        <v>110</v>
      </c>
      <c r="AD4" s="52" t="s">
        <v>110</v>
      </c>
      <c r="AE4" s="52" t="s">
        <v>110</v>
      </c>
      <c r="AF4" s="52" t="s">
        <v>110</v>
      </c>
      <c r="AG4" s="52" t="s">
        <v>110</v>
      </c>
      <c r="AH4" s="52" t="s">
        <v>110</v>
      </c>
      <c r="AI4" s="511"/>
    </row>
    <row r="5" spans="1:35">
      <c r="A5" s="512"/>
      <c r="B5" s="512"/>
      <c r="C5" s="512"/>
      <c r="D5" s="512"/>
      <c r="E5" s="53">
        <v>0.33333333333333331</v>
      </c>
      <c r="F5" s="53">
        <v>0.33333333333333331</v>
      </c>
      <c r="G5" s="53">
        <v>0.33333333333333331</v>
      </c>
      <c r="H5" s="53">
        <v>0.33333333333333331</v>
      </c>
      <c r="I5" s="53">
        <v>0.33333333333333331</v>
      </c>
      <c r="J5" s="53">
        <v>0.33333333333333331</v>
      </c>
      <c r="K5" s="53">
        <v>0.33333333333333331</v>
      </c>
      <c r="L5" s="53">
        <v>0.33333333333333331</v>
      </c>
      <c r="M5" s="53">
        <v>0.33333333333333331</v>
      </c>
      <c r="N5" s="53">
        <v>0.33333333333333331</v>
      </c>
      <c r="O5" s="53">
        <v>0.33333333333333331</v>
      </c>
      <c r="P5" s="53">
        <v>0.33333333333333331</v>
      </c>
      <c r="Q5" s="53">
        <v>0.33333333333333331</v>
      </c>
      <c r="R5" s="53">
        <v>0.33333333333333331</v>
      </c>
      <c r="S5" s="53">
        <v>0.33333333333333331</v>
      </c>
      <c r="T5" s="53">
        <v>0.33333333333333331</v>
      </c>
      <c r="U5" s="53">
        <v>0.33333333333333331</v>
      </c>
      <c r="V5" s="53">
        <v>0.33333333333333331</v>
      </c>
      <c r="W5" s="53">
        <v>0.33333333333333331</v>
      </c>
      <c r="X5" s="53">
        <v>0.33333333333333331</v>
      </c>
      <c r="Y5" s="53">
        <v>0.33333333333333331</v>
      </c>
      <c r="Z5" s="53">
        <v>0.33333333333333331</v>
      </c>
      <c r="AA5" s="53">
        <v>0.33333333333333331</v>
      </c>
      <c r="AB5" s="53">
        <v>0.33333333333333331</v>
      </c>
      <c r="AC5" s="53">
        <v>0.33333333333333331</v>
      </c>
      <c r="AD5" s="53">
        <v>0.33333333333333331</v>
      </c>
      <c r="AE5" s="53">
        <v>0.33333333333333331</v>
      </c>
      <c r="AF5" s="53">
        <v>0.33333333333333331</v>
      </c>
      <c r="AG5" s="53">
        <v>0.33333333333333331</v>
      </c>
      <c r="AH5" s="53">
        <v>0.33333333333333331</v>
      </c>
      <c r="AI5" s="512"/>
    </row>
    <row r="6" spans="1:35">
      <c r="A6" s="48">
        <v>1</v>
      </c>
      <c r="B6" s="4" t="s">
        <v>129</v>
      </c>
      <c r="C6" s="139" t="s">
        <v>111</v>
      </c>
      <c r="D6" s="48">
        <v>99316</v>
      </c>
      <c r="E6" s="4">
        <v>99689</v>
      </c>
      <c r="F6" s="4">
        <v>99966</v>
      </c>
      <c r="G6" s="8">
        <v>100236</v>
      </c>
      <c r="H6" s="5">
        <v>100510</v>
      </c>
      <c r="I6" s="4">
        <v>100722</v>
      </c>
      <c r="J6" s="4">
        <v>100937</v>
      </c>
      <c r="K6" s="4">
        <v>101202</v>
      </c>
      <c r="L6" s="58">
        <v>101476</v>
      </c>
      <c r="M6" s="48">
        <v>101749</v>
      </c>
      <c r="N6" s="59">
        <v>102027</v>
      </c>
      <c r="O6" s="4">
        <v>102299</v>
      </c>
      <c r="P6" s="58">
        <v>102506</v>
      </c>
      <c r="Q6" s="48">
        <v>102709</v>
      </c>
      <c r="R6" s="59">
        <v>102975</v>
      </c>
      <c r="S6" s="4">
        <v>103249</v>
      </c>
      <c r="T6" s="4">
        <v>103510</v>
      </c>
      <c r="U6" s="4">
        <v>103733</v>
      </c>
      <c r="V6" s="125">
        <v>103977</v>
      </c>
      <c r="W6" s="4">
        <v>104182</v>
      </c>
      <c r="X6" s="4">
        <v>104379</v>
      </c>
      <c r="Y6" s="4">
        <v>104624</v>
      </c>
      <c r="Z6" s="4">
        <v>104883</v>
      </c>
      <c r="AA6" s="4">
        <v>105149</v>
      </c>
      <c r="AB6" s="4">
        <v>105315</v>
      </c>
      <c r="AC6" s="4">
        <v>105574</v>
      </c>
      <c r="AD6" s="4">
        <v>105773</v>
      </c>
      <c r="AE6" s="4">
        <v>105972</v>
      </c>
      <c r="AF6" s="4">
        <v>106231</v>
      </c>
      <c r="AG6" s="48">
        <v>106505</v>
      </c>
      <c r="AH6" s="48">
        <v>106913</v>
      </c>
      <c r="AI6" s="57">
        <f t="shared" ref="AI6:AI21" si="0">AH6-D6</f>
        <v>7597</v>
      </c>
    </row>
    <row r="7" spans="1:35">
      <c r="A7" s="8"/>
      <c r="B7" s="8"/>
      <c r="C7" s="140" t="s">
        <v>22</v>
      </c>
      <c r="D7" s="8">
        <v>3970</v>
      </c>
      <c r="E7" s="8">
        <v>3970</v>
      </c>
      <c r="F7" s="8">
        <v>3970</v>
      </c>
      <c r="G7" s="8">
        <v>3970</v>
      </c>
      <c r="H7" s="8">
        <v>3970</v>
      </c>
      <c r="I7" s="8">
        <v>3970</v>
      </c>
      <c r="J7" s="8">
        <v>3970</v>
      </c>
      <c r="K7" s="8">
        <v>3970</v>
      </c>
      <c r="L7" s="8">
        <v>3970</v>
      </c>
      <c r="M7" s="8">
        <v>3970</v>
      </c>
      <c r="N7" s="8">
        <v>3970</v>
      </c>
      <c r="O7" s="8">
        <v>3970</v>
      </c>
      <c r="P7" s="8">
        <v>3970</v>
      </c>
      <c r="Q7" s="8">
        <v>3970</v>
      </c>
      <c r="R7" s="8">
        <v>3970</v>
      </c>
      <c r="S7" s="8">
        <v>3970</v>
      </c>
      <c r="T7" s="8">
        <v>3970</v>
      </c>
      <c r="U7" s="8">
        <v>4012</v>
      </c>
      <c r="V7" s="8">
        <v>4012</v>
      </c>
      <c r="W7" s="8">
        <v>4012</v>
      </c>
      <c r="X7" s="8">
        <v>4012</v>
      </c>
      <c r="Y7" s="8">
        <v>4012</v>
      </c>
      <c r="Z7" s="8">
        <v>4012</v>
      </c>
      <c r="AA7" s="8">
        <v>4012</v>
      </c>
      <c r="AB7" s="8">
        <v>4113</v>
      </c>
      <c r="AC7" s="8">
        <v>4118</v>
      </c>
      <c r="AD7" s="8">
        <v>4118</v>
      </c>
      <c r="AE7" s="8">
        <v>4118</v>
      </c>
      <c r="AF7" s="8">
        <v>4118</v>
      </c>
      <c r="AG7" s="8">
        <v>4118</v>
      </c>
      <c r="AH7" s="8">
        <v>4118</v>
      </c>
      <c r="AI7" s="57">
        <f t="shared" si="0"/>
        <v>148</v>
      </c>
    </row>
    <row r="8" spans="1:35">
      <c r="A8" s="4">
        <v>2</v>
      </c>
      <c r="B8" s="4" t="s">
        <v>129</v>
      </c>
      <c r="C8" s="141" t="s">
        <v>112</v>
      </c>
      <c r="D8" s="4">
        <v>1956</v>
      </c>
      <c r="E8" s="4">
        <v>1956</v>
      </c>
      <c r="F8" s="4">
        <v>1956</v>
      </c>
      <c r="G8" s="4">
        <v>1956</v>
      </c>
      <c r="H8" s="4">
        <v>1956</v>
      </c>
      <c r="I8" s="4">
        <v>1956</v>
      </c>
      <c r="J8" s="4">
        <v>1956</v>
      </c>
      <c r="K8" s="4">
        <v>1956</v>
      </c>
      <c r="L8" s="4">
        <v>1956</v>
      </c>
      <c r="M8" s="4">
        <v>1956</v>
      </c>
      <c r="N8" s="4">
        <v>1956</v>
      </c>
      <c r="O8" s="4">
        <v>1956</v>
      </c>
      <c r="P8" s="4">
        <v>1956</v>
      </c>
      <c r="Q8" s="4">
        <v>1956</v>
      </c>
      <c r="R8" s="4">
        <v>1956</v>
      </c>
      <c r="S8" s="4">
        <v>1956</v>
      </c>
      <c r="T8" s="4">
        <v>1956</v>
      </c>
      <c r="U8" s="4">
        <v>1956</v>
      </c>
      <c r="V8" s="4">
        <v>1956</v>
      </c>
      <c r="W8" s="4">
        <v>1956</v>
      </c>
      <c r="X8" s="4">
        <v>1956</v>
      </c>
      <c r="Y8" s="4">
        <v>1956</v>
      </c>
      <c r="Z8" s="4">
        <v>1956</v>
      </c>
      <c r="AA8" s="4">
        <v>1956</v>
      </c>
      <c r="AB8" s="4">
        <v>1956</v>
      </c>
      <c r="AC8" s="4">
        <v>1956</v>
      </c>
      <c r="AD8" s="4">
        <v>1956</v>
      </c>
      <c r="AE8" s="4">
        <v>1956</v>
      </c>
      <c r="AF8" s="4">
        <v>1956</v>
      </c>
      <c r="AG8" s="4">
        <v>1956</v>
      </c>
      <c r="AH8" s="4">
        <v>1956</v>
      </c>
      <c r="AI8" s="57">
        <f t="shared" si="0"/>
        <v>0</v>
      </c>
    </row>
    <row r="9" spans="1:35">
      <c r="A9" s="4"/>
      <c r="B9" s="4"/>
      <c r="C9" s="140" t="s">
        <v>22</v>
      </c>
      <c r="D9" s="4">
        <v>28.6</v>
      </c>
      <c r="E9" s="4">
        <v>28.6</v>
      </c>
      <c r="F9" s="4">
        <v>28.6</v>
      </c>
      <c r="G9" s="4">
        <v>28.6</v>
      </c>
      <c r="H9" s="4">
        <v>28.6</v>
      </c>
      <c r="I9" s="4">
        <v>28.6</v>
      </c>
      <c r="J9" s="4">
        <v>28.6</v>
      </c>
      <c r="K9" s="4">
        <v>28.6</v>
      </c>
      <c r="L9" s="4">
        <v>28.6</v>
      </c>
      <c r="M9" s="4">
        <v>28.6</v>
      </c>
      <c r="N9" s="4">
        <v>28.6</v>
      </c>
      <c r="O9" s="4">
        <v>28.6</v>
      </c>
      <c r="P9" s="4">
        <v>28.6</v>
      </c>
      <c r="Q9" s="4">
        <v>28.6</v>
      </c>
      <c r="R9" s="4">
        <v>28.6</v>
      </c>
      <c r="S9" s="4">
        <v>28.6</v>
      </c>
      <c r="T9" s="4">
        <v>28.6</v>
      </c>
      <c r="U9" s="4">
        <v>28.6</v>
      </c>
      <c r="V9" s="4">
        <v>28.6</v>
      </c>
      <c r="W9" s="4">
        <v>28.6</v>
      </c>
      <c r="X9" s="4">
        <v>28.6</v>
      </c>
      <c r="Y9" s="4">
        <v>28.6</v>
      </c>
      <c r="Z9" s="4">
        <v>28.6</v>
      </c>
      <c r="AA9" s="4">
        <v>28.6</v>
      </c>
      <c r="AB9" s="4">
        <v>28.6</v>
      </c>
      <c r="AC9" s="4">
        <v>28.6</v>
      </c>
      <c r="AD9" s="4">
        <v>28.6</v>
      </c>
      <c r="AE9" s="4">
        <v>28.6</v>
      </c>
      <c r="AF9" s="4">
        <v>28.6</v>
      </c>
      <c r="AG9" s="4">
        <v>28.6</v>
      </c>
      <c r="AH9" s="4">
        <v>28.6</v>
      </c>
      <c r="AI9" s="57">
        <f t="shared" si="0"/>
        <v>0</v>
      </c>
    </row>
    <row r="10" spans="1:35">
      <c r="A10" s="4">
        <v>3</v>
      </c>
      <c r="B10" s="4" t="s">
        <v>129</v>
      </c>
      <c r="C10" s="141" t="s">
        <v>113</v>
      </c>
      <c r="D10" s="8">
        <v>145395</v>
      </c>
      <c r="E10" s="4">
        <v>145930</v>
      </c>
      <c r="F10" s="4">
        <v>146340</v>
      </c>
      <c r="G10" s="4">
        <v>146716</v>
      </c>
      <c r="H10" s="4">
        <v>147148</v>
      </c>
      <c r="I10" s="4">
        <v>147438</v>
      </c>
      <c r="J10" s="4">
        <v>147726</v>
      </c>
      <c r="K10" s="4">
        <v>148112</v>
      </c>
      <c r="L10" s="4">
        <v>148516</v>
      </c>
      <c r="M10" s="4">
        <v>148923</v>
      </c>
      <c r="N10" s="4">
        <v>149411</v>
      </c>
      <c r="O10" s="4">
        <v>149823</v>
      </c>
      <c r="P10" s="4">
        <v>150102</v>
      </c>
      <c r="Q10" s="4">
        <v>150370</v>
      </c>
      <c r="R10" s="4">
        <v>150765</v>
      </c>
      <c r="S10" s="4">
        <v>151167</v>
      </c>
      <c r="T10" s="4">
        <v>151555</v>
      </c>
      <c r="U10" s="4">
        <v>151880</v>
      </c>
      <c r="V10" s="4">
        <v>152224</v>
      </c>
      <c r="W10" s="4">
        <v>152448</v>
      </c>
      <c r="X10" s="4">
        <v>152755</v>
      </c>
      <c r="Y10" s="4">
        <v>153103</v>
      </c>
      <c r="Z10" s="4">
        <v>153477</v>
      </c>
      <c r="AA10" s="8">
        <v>153872</v>
      </c>
      <c r="AB10" s="8">
        <v>154110</v>
      </c>
      <c r="AC10" s="4">
        <v>154483</v>
      </c>
      <c r="AD10" s="4">
        <v>154748</v>
      </c>
      <c r="AE10" s="8">
        <v>155011</v>
      </c>
      <c r="AF10" s="8">
        <v>155393</v>
      </c>
      <c r="AG10" s="8">
        <v>155794</v>
      </c>
      <c r="AH10" s="8">
        <v>156211</v>
      </c>
      <c r="AI10" s="57">
        <f t="shared" si="0"/>
        <v>10816</v>
      </c>
    </row>
    <row r="11" spans="1:35">
      <c r="A11" s="4"/>
      <c r="B11" s="4"/>
      <c r="C11" s="140" t="s">
        <v>22</v>
      </c>
      <c r="D11" s="4">
        <v>5938</v>
      </c>
      <c r="E11" s="4">
        <v>5938</v>
      </c>
      <c r="F11" s="4">
        <v>5938</v>
      </c>
      <c r="G11" s="4">
        <v>5938</v>
      </c>
      <c r="H11" s="4">
        <v>5938</v>
      </c>
      <c r="I11" s="4">
        <v>5938</v>
      </c>
      <c r="J11" s="4">
        <v>5938</v>
      </c>
      <c r="K11" s="4">
        <v>5938</v>
      </c>
      <c r="L11" s="4">
        <v>5938</v>
      </c>
      <c r="M11" s="4">
        <v>5938</v>
      </c>
      <c r="N11" s="4">
        <v>5938</v>
      </c>
      <c r="O11" s="4">
        <v>5938</v>
      </c>
      <c r="P11" s="4">
        <v>5938</v>
      </c>
      <c r="Q11" s="4">
        <v>5938</v>
      </c>
      <c r="R11" s="4">
        <v>5938</v>
      </c>
      <c r="S11" s="4">
        <v>5938</v>
      </c>
      <c r="T11" s="4">
        <v>5938</v>
      </c>
      <c r="U11" s="4">
        <v>6002</v>
      </c>
      <c r="V11" s="4">
        <v>6002</v>
      </c>
      <c r="W11" s="4">
        <v>6002</v>
      </c>
      <c r="X11" s="4">
        <v>6002</v>
      </c>
      <c r="Y11" s="4">
        <v>6002</v>
      </c>
      <c r="Z11" s="4">
        <v>6002</v>
      </c>
      <c r="AA11" s="4">
        <v>6002</v>
      </c>
      <c r="AB11" s="4">
        <v>6157</v>
      </c>
      <c r="AC11" s="4">
        <v>6164</v>
      </c>
      <c r="AD11" s="4">
        <v>6164</v>
      </c>
      <c r="AE11" s="4">
        <v>6164</v>
      </c>
      <c r="AF11" s="4">
        <v>6164</v>
      </c>
      <c r="AG11" s="4">
        <v>6164</v>
      </c>
      <c r="AH11" s="4">
        <v>6164</v>
      </c>
      <c r="AI11" s="57">
        <f t="shared" si="0"/>
        <v>226</v>
      </c>
    </row>
    <row r="12" spans="1:35">
      <c r="A12" s="4">
        <v>4</v>
      </c>
      <c r="B12" s="4" t="s">
        <v>129</v>
      </c>
      <c r="C12" s="141" t="s">
        <v>114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57">
        <f t="shared" si="0"/>
        <v>0</v>
      </c>
    </row>
    <row r="13" spans="1:35">
      <c r="A13" s="4"/>
      <c r="B13" s="4"/>
      <c r="C13" s="140" t="s">
        <v>22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57">
        <f t="shared" si="0"/>
        <v>0</v>
      </c>
    </row>
    <row r="14" spans="1:35">
      <c r="A14" s="4">
        <v>5</v>
      </c>
      <c r="B14" s="4" t="s">
        <v>129</v>
      </c>
      <c r="C14" s="141" t="s">
        <v>115</v>
      </c>
      <c r="D14" s="8">
        <v>68389</v>
      </c>
      <c r="E14" s="4">
        <v>68656</v>
      </c>
      <c r="F14" s="4">
        <v>68868</v>
      </c>
      <c r="G14" s="4">
        <v>69063</v>
      </c>
      <c r="H14" s="4">
        <v>69256</v>
      </c>
      <c r="I14" s="4">
        <v>69339</v>
      </c>
      <c r="J14" s="4">
        <v>69428</v>
      </c>
      <c r="K14" s="4">
        <v>69626</v>
      </c>
      <c r="L14" s="4">
        <v>69848</v>
      </c>
      <c r="M14" s="4">
        <v>70069</v>
      </c>
      <c r="N14" s="4">
        <v>70290</v>
      </c>
      <c r="O14" s="4">
        <v>70501</v>
      </c>
      <c r="P14" s="4">
        <v>70611</v>
      </c>
      <c r="Q14" s="4">
        <v>70723</v>
      </c>
      <c r="R14" s="4">
        <v>70929</v>
      </c>
      <c r="S14" s="4">
        <v>71147</v>
      </c>
      <c r="T14" s="4">
        <v>71362</v>
      </c>
      <c r="U14" s="33">
        <v>71536</v>
      </c>
      <c r="V14" s="4">
        <v>71719</v>
      </c>
      <c r="W14" s="4">
        <v>71833</v>
      </c>
      <c r="X14" s="4">
        <v>71951</v>
      </c>
      <c r="Y14" s="4">
        <v>72153</v>
      </c>
      <c r="Z14" s="4">
        <v>72359</v>
      </c>
      <c r="AA14" s="8">
        <v>72583</v>
      </c>
      <c r="AB14" s="8">
        <v>72713</v>
      </c>
      <c r="AC14" s="4">
        <v>72912</v>
      </c>
      <c r="AD14" s="4">
        <v>73013</v>
      </c>
      <c r="AE14" s="8">
        <v>73102</v>
      </c>
      <c r="AF14" s="8">
        <v>73309</v>
      </c>
      <c r="AG14" s="8">
        <v>73521</v>
      </c>
      <c r="AH14" s="8">
        <v>73751</v>
      </c>
      <c r="AI14" s="57">
        <f t="shared" si="0"/>
        <v>5362</v>
      </c>
    </row>
    <row r="15" spans="1:35">
      <c r="A15" s="4"/>
      <c r="B15" s="4"/>
      <c r="C15" s="140" t="s">
        <v>22</v>
      </c>
      <c r="D15" s="4">
        <v>3018</v>
      </c>
      <c r="E15" s="4">
        <v>3018</v>
      </c>
      <c r="F15" s="4">
        <v>3018</v>
      </c>
      <c r="G15" s="4">
        <v>3018</v>
      </c>
      <c r="H15" s="4">
        <v>3018</v>
      </c>
      <c r="I15" s="4">
        <v>3018</v>
      </c>
      <c r="J15" s="4">
        <v>3018</v>
      </c>
      <c r="K15" s="4">
        <v>3018</v>
      </c>
      <c r="L15" s="4">
        <v>3018</v>
      </c>
      <c r="M15" s="4">
        <v>3018</v>
      </c>
      <c r="N15" s="4">
        <v>3018</v>
      </c>
      <c r="O15" s="4">
        <v>3018</v>
      </c>
      <c r="P15" s="4">
        <v>3018</v>
      </c>
      <c r="Q15" s="4">
        <v>3018</v>
      </c>
      <c r="R15" s="60">
        <v>3018</v>
      </c>
      <c r="S15" s="60">
        <v>3018</v>
      </c>
      <c r="T15" s="60">
        <v>3018</v>
      </c>
      <c r="U15" s="60">
        <v>3054</v>
      </c>
      <c r="V15" s="60">
        <v>3054</v>
      </c>
      <c r="W15" s="60">
        <v>3054</v>
      </c>
      <c r="X15" s="60">
        <v>3054</v>
      </c>
      <c r="Y15" s="60">
        <v>3054</v>
      </c>
      <c r="Z15" s="60">
        <v>3054</v>
      </c>
      <c r="AA15" s="60">
        <v>3054</v>
      </c>
      <c r="AB15" s="4">
        <v>3145</v>
      </c>
      <c r="AC15" s="4">
        <v>3149</v>
      </c>
      <c r="AD15" s="4">
        <v>3149</v>
      </c>
      <c r="AE15" s="4">
        <v>3149</v>
      </c>
      <c r="AF15" s="4">
        <v>3149</v>
      </c>
      <c r="AG15" s="4">
        <v>3149</v>
      </c>
      <c r="AH15" s="4">
        <v>3149</v>
      </c>
      <c r="AI15" s="57">
        <f t="shared" si="0"/>
        <v>131</v>
      </c>
    </row>
    <row r="16" spans="1:35">
      <c r="A16" s="4">
        <v>6</v>
      </c>
      <c r="B16" s="4" t="s">
        <v>129</v>
      </c>
      <c r="C16" s="141" t="s">
        <v>142</v>
      </c>
      <c r="D16" s="8">
        <v>82927</v>
      </c>
      <c r="E16" s="131">
        <v>83233</v>
      </c>
      <c r="F16" s="4">
        <v>83508</v>
      </c>
      <c r="G16" s="4">
        <v>83782</v>
      </c>
      <c r="H16" s="4">
        <v>84070</v>
      </c>
      <c r="I16" s="4">
        <v>84170</v>
      </c>
      <c r="J16" s="4">
        <v>84306</v>
      </c>
      <c r="K16" s="58">
        <v>84574</v>
      </c>
      <c r="L16" s="127">
        <v>84869</v>
      </c>
      <c r="M16" s="132">
        <v>85133</v>
      </c>
      <c r="N16" s="132">
        <v>85433</v>
      </c>
      <c r="O16" s="132">
        <v>85714</v>
      </c>
      <c r="P16" s="132">
        <v>85839</v>
      </c>
      <c r="Q16" s="133">
        <v>85938</v>
      </c>
      <c r="R16" s="132">
        <v>86224</v>
      </c>
      <c r="S16" s="59">
        <v>86480</v>
      </c>
      <c r="T16" s="4">
        <v>86776</v>
      </c>
      <c r="U16" s="4">
        <v>86992</v>
      </c>
      <c r="V16" s="4">
        <v>87256</v>
      </c>
      <c r="W16" s="4">
        <v>87379</v>
      </c>
      <c r="X16" s="4">
        <v>87492</v>
      </c>
      <c r="Y16" s="4">
        <v>87766</v>
      </c>
      <c r="Z16" s="4">
        <v>88049</v>
      </c>
      <c r="AA16" s="4">
        <v>88327</v>
      </c>
      <c r="AB16" s="8">
        <v>88490</v>
      </c>
      <c r="AC16" s="4">
        <v>88752</v>
      </c>
      <c r="AD16" s="4">
        <v>88854</v>
      </c>
      <c r="AE16" s="8">
        <v>88954</v>
      </c>
      <c r="AF16" s="8">
        <v>89219</v>
      </c>
      <c r="AG16" s="4">
        <v>89471</v>
      </c>
      <c r="AH16" s="8">
        <v>89738</v>
      </c>
      <c r="AI16" s="57">
        <f t="shared" si="0"/>
        <v>6811</v>
      </c>
    </row>
    <row r="17" spans="1:35">
      <c r="A17" s="4"/>
      <c r="B17" s="4"/>
      <c r="C17" s="140" t="s">
        <v>22</v>
      </c>
      <c r="D17" s="4">
        <v>3935</v>
      </c>
      <c r="E17" s="4">
        <v>3935</v>
      </c>
      <c r="F17" s="4">
        <v>3935</v>
      </c>
      <c r="G17" s="4">
        <v>3935</v>
      </c>
      <c r="H17" s="4">
        <v>3935</v>
      </c>
      <c r="I17" s="4">
        <v>3935</v>
      </c>
      <c r="J17" s="4">
        <v>3935</v>
      </c>
      <c r="K17" s="4">
        <v>3935</v>
      </c>
      <c r="L17" s="4">
        <v>3935</v>
      </c>
      <c r="M17" s="4">
        <v>3935</v>
      </c>
      <c r="N17" s="4">
        <v>3935</v>
      </c>
      <c r="O17" s="4">
        <v>3935</v>
      </c>
      <c r="P17" s="4">
        <v>3935</v>
      </c>
      <c r="Q17" s="4">
        <v>3935</v>
      </c>
      <c r="R17" s="8">
        <v>3935</v>
      </c>
      <c r="S17" s="129">
        <v>3935</v>
      </c>
      <c r="T17" s="129">
        <v>3935</v>
      </c>
      <c r="U17" s="129">
        <v>3984</v>
      </c>
      <c r="V17" s="129">
        <v>3984</v>
      </c>
      <c r="W17" s="129">
        <v>3984</v>
      </c>
      <c r="X17" s="129">
        <v>3984</v>
      </c>
      <c r="Y17" s="129">
        <v>3984</v>
      </c>
      <c r="Z17" s="129">
        <v>3984</v>
      </c>
      <c r="AA17" s="129">
        <v>3984</v>
      </c>
      <c r="AB17" s="4">
        <v>4111</v>
      </c>
      <c r="AC17" s="4">
        <v>4115</v>
      </c>
      <c r="AD17" s="4">
        <v>4115</v>
      </c>
      <c r="AE17" s="4">
        <v>4115</v>
      </c>
      <c r="AF17" s="4">
        <v>4115</v>
      </c>
      <c r="AG17" s="4">
        <v>4115</v>
      </c>
      <c r="AH17" s="4">
        <v>4115</v>
      </c>
      <c r="AI17" s="57">
        <f t="shared" si="0"/>
        <v>180</v>
      </c>
    </row>
    <row r="18" spans="1:35">
      <c r="A18" s="4">
        <v>7</v>
      </c>
      <c r="B18" s="4" t="s">
        <v>129</v>
      </c>
      <c r="C18" s="141" t="s">
        <v>117</v>
      </c>
      <c r="D18" s="8">
        <v>275737</v>
      </c>
      <c r="E18" s="4">
        <v>276527</v>
      </c>
      <c r="F18" s="4">
        <v>277268</v>
      </c>
      <c r="G18" s="4">
        <v>277968</v>
      </c>
      <c r="H18" s="4">
        <v>278677</v>
      </c>
      <c r="I18" s="4">
        <v>279138</v>
      </c>
      <c r="J18" s="4">
        <v>279576</v>
      </c>
      <c r="K18" s="4">
        <v>280282</v>
      </c>
      <c r="L18" s="4">
        <v>280995</v>
      </c>
      <c r="M18" s="4">
        <v>281742</v>
      </c>
      <c r="N18" s="5">
        <v>282497</v>
      </c>
      <c r="O18" s="4">
        <v>283238</v>
      </c>
      <c r="P18" s="4">
        <v>283826</v>
      </c>
      <c r="Q18" s="4">
        <v>284315</v>
      </c>
      <c r="R18" s="8">
        <v>285041</v>
      </c>
      <c r="S18" s="5">
        <v>285798</v>
      </c>
      <c r="T18" s="4">
        <v>286511</v>
      </c>
      <c r="U18" s="4">
        <v>287147</v>
      </c>
      <c r="V18" s="4">
        <v>287882</v>
      </c>
      <c r="W18" s="4">
        <v>288470</v>
      </c>
      <c r="X18" s="33">
        <v>288976</v>
      </c>
      <c r="Y18" s="4">
        <v>289662</v>
      </c>
      <c r="Z18" s="4">
        <v>290311</v>
      </c>
      <c r="AA18" s="8">
        <v>291081</v>
      </c>
      <c r="AB18" s="8">
        <v>291523</v>
      </c>
      <c r="AC18" s="4">
        <v>292273</v>
      </c>
      <c r="AD18" s="4">
        <v>292832</v>
      </c>
      <c r="AE18" s="8">
        <v>293259</v>
      </c>
      <c r="AF18" s="8">
        <v>294017</v>
      </c>
      <c r="AG18" s="8">
        <v>294785</v>
      </c>
      <c r="AH18" s="8">
        <v>295586</v>
      </c>
      <c r="AI18" s="57">
        <f t="shared" si="0"/>
        <v>19849</v>
      </c>
    </row>
    <row r="19" spans="1:35">
      <c r="A19" s="4"/>
      <c r="B19" s="4"/>
      <c r="C19" s="140" t="s">
        <v>22</v>
      </c>
      <c r="D19" s="4">
        <v>10746</v>
      </c>
      <c r="E19" s="4">
        <v>10746</v>
      </c>
      <c r="F19" s="4">
        <v>10746</v>
      </c>
      <c r="G19" s="4">
        <v>10746</v>
      </c>
      <c r="H19" s="4">
        <v>10746</v>
      </c>
      <c r="I19" s="4">
        <v>10746</v>
      </c>
      <c r="J19" s="4">
        <v>10746</v>
      </c>
      <c r="K19" s="4">
        <v>10746</v>
      </c>
      <c r="L19" s="4">
        <v>10746</v>
      </c>
      <c r="M19" s="4">
        <v>10746</v>
      </c>
      <c r="N19" s="4">
        <v>10746</v>
      </c>
      <c r="O19" s="4">
        <v>10746</v>
      </c>
      <c r="P19" s="4">
        <v>10746</v>
      </c>
      <c r="Q19" s="4">
        <v>10746</v>
      </c>
      <c r="R19" s="4">
        <v>10746</v>
      </c>
      <c r="S19" s="4">
        <v>10746</v>
      </c>
      <c r="T19" s="4">
        <v>10746</v>
      </c>
      <c r="U19" s="4">
        <v>10874</v>
      </c>
      <c r="V19" s="4">
        <v>10874</v>
      </c>
      <c r="W19" s="4">
        <v>10874</v>
      </c>
      <c r="X19" s="4">
        <v>10874</v>
      </c>
      <c r="Y19" s="4">
        <v>10874</v>
      </c>
      <c r="Z19" s="4">
        <v>10874</v>
      </c>
      <c r="AA19" s="4">
        <v>10874</v>
      </c>
      <c r="AB19" s="4">
        <v>11171</v>
      </c>
      <c r="AC19" s="4">
        <v>11189</v>
      </c>
      <c r="AD19" s="4">
        <v>11189</v>
      </c>
      <c r="AE19" s="4">
        <v>11189</v>
      </c>
      <c r="AF19" s="4">
        <v>11189</v>
      </c>
      <c r="AG19" s="4">
        <v>11189</v>
      </c>
      <c r="AH19" s="4">
        <v>11189</v>
      </c>
      <c r="AI19" s="57">
        <f t="shared" si="0"/>
        <v>443</v>
      </c>
    </row>
    <row r="20" spans="1:35">
      <c r="A20" s="4">
        <v>8</v>
      </c>
      <c r="B20" s="4" t="s">
        <v>129</v>
      </c>
      <c r="C20" s="141" t="s">
        <v>118</v>
      </c>
      <c r="D20" s="8">
        <v>55458</v>
      </c>
      <c r="E20" s="4">
        <v>55635</v>
      </c>
      <c r="F20" s="4">
        <v>55753</v>
      </c>
      <c r="G20" s="4">
        <v>55881</v>
      </c>
      <c r="H20" s="4">
        <v>55997</v>
      </c>
      <c r="I20" s="4">
        <v>56103</v>
      </c>
      <c r="J20" s="4">
        <v>56222</v>
      </c>
      <c r="K20" s="4">
        <v>56397</v>
      </c>
      <c r="L20" s="4">
        <v>56538</v>
      </c>
      <c r="M20" s="4">
        <v>56724</v>
      </c>
      <c r="N20" s="4">
        <v>56869</v>
      </c>
      <c r="O20" s="4">
        <v>57020</v>
      </c>
      <c r="P20" s="4">
        <v>57135</v>
      </c>
      <c r="Q20" s="4">
        <v>57284</v>
      </c>
      <c r="R20" s="4">
        <v>57421</v>
      </c>
      <c r="S20" s="4">
        <v>57593</v>
      </c>
      <c r="T20" s="4">
        <v>57724</v>
      </c>
      <c r="U20" s="4">
        <v>57885</v>
      </c>
      <c r="V20" s="4">
        <v>58022</v>
      </c>
      <c r="W20" s="4">
        <v>58180</v>
      </c>
      <c r="X20" s="4">
        <v>58301</v>
      </c>
      <c r="Y20" s="4">
        <v>58480</v>
      </c>
      <c r="Z20" s="4">
        <v>58507</v>
      </c>
      <c r="AA20" s="8">
        <v>58729</v>
      </c>
      <c r="AB20" s="8">
        <v>58786</v>
      </c>
      <c r="AC20" s="4">
        <v>58915</v>
      </c>
      <c r="AD20" s="4">
        <v>59026</v>
      </c>
      <c r="AE20" s="8">
        <v>59159</v>
      </c>
      <c r="AF20" s="8">
        <v>59293</v>
      </c>
      <c r="AG20" s="8">
        <v>59455</v>
      </c>
      <c r="AH20" s="8">
        <v>59619</v>
      </c>
      <c r="AI20" s="57">
        <f t="shared" si="0"/>
        <v>4161</v>
      </c>
    </row>
    <row r="21" spans="1:35">
      <c r="A21" s="4"/>
      <c r="B21" s="4"/>
      <c r="C21" s="140" t="s">
        <v>22</v>
      </c>
      <c r="D21" s="4">
        <v>2048</v>
      </c>
      <c r="E21" s="4">
        <v>2048</v>
      </c>
      <c r="F21" s="4">
        <v>2048</v>
      </c>
      <c r="G21" s="4">
        <v>2048</v>
      </c>
      <c r="H21" s="4">
        <v>2048</v>
      </c>
      <c r="I21" s="4">
        <v>2048</v>
      </c>
      <c r="J21" s="4">
        <v>2048</v>
      </c>
      <c r="K21" s="4">
        <v>2048</v>
      </c>
      <c r="L21" s="4">
        <v>2048</v>
      </c>
      <c r="M21" s="4">
        <v>2048</v>
      </c>
      <c r="N21" s="4">
        <v>2048</v>
      </c>
      <c r="O21" s="4">
        <v>2048</v>
      </c>
      <c r="P21" s="4">
        <v>2048</v>
      </c>
      <c r="Q21" s="4">
        <v>2048</v>
      </c>
      <c r="R21" s="4">
        <v>2048</v>
      </c>
      <c r="S21" s="4">
        <v>2048</v>
      </c>
      <c r="T21" s="4">
        <v>2048</v>
      </c>
      <c r="U21" s="4">
        <v>2066</v>
      </c>
      <c r="V21" s="4">
        <v>2066</v>
      </c>
      <c r="W21" s="4">
        <v>2066</v>
      </c>
      <c r="X21" s="4">
        <v>2066</v>
      </c>
      <c r="Y21" s="4">
        <v>2066</v>
      </c>
      <c r="Z21" s="4">
        <v>2066</v>
      </c>
      <c r="AA21" s="4">
        <v>2066</v>
      </c>
      <c r="AB21" s="4">
        <v>2126</v>
      </c>
      <c r="AC21" s="4">
        <v>2128</v>
      </c>
      <c r="AD21" s="4">
        <v>2128</v>
      </c>
      <c r="AE21" s="4">
        <v>2128</v>
      </c>
      <c r="AF21" s="4">
        <v>2128</v>
      </c>
      <c r="AG21" s="4">
        <v>2128</v>
      </c>
      <c r="AH21" s="4">
        <v>2128</v>
      </c>
      <c r="AI21" s="57">
        <f t="shared" si="0"/>
        <v>80</v>
      </c>
    </row>
    <row r="22" spans="1:35">
      <c r="A22" s="503"/>
      <c r="B22" s="504"/>
      <c r="C22" s="504"/>
      <c r="D22" s="504"/>
      <c r="E22" s="504"/>
      <c r="F22" s="504"/>
      <c r="G22" s="504"/>
      <c r="H22" s="504"/>
      <c r="I22" s="504"/>
      <c r="J22" s="504"/>
      <c r="K22" s="504"/>
      <c r="L22" s="504"/>
      <c r="M22" s="504"/>
      <c r="N22" s="504"/>
      <c r="O22" s="504"/>
      <c r="P22" s="504"/>
      <c r="Q22" s="504"/>
      <c r="R22" s="504"/>
      <c r="S22" s="504"/>
      <c r="T22" s="504"/>
      <c r="U22" s="504"/>
      <c r="V22" s="504"/>
      <c r="W22" s="504"/>
      <c r="X22" s="504"/>
      <c r="Y22" s="504"/>
      <c r="Z22" s="504"/>
      <c r="AA22" s="504"/>
      <c r="AB22" s="504"/>
      <c r="AC22" s="504"/>
      <c r="AD22" s="504"/>
      <c r="AE22" s="504"/>
      <c r="AF22" s="504"/>
      <c r="AG22" s="504"/>
      <c r="AH22" s="504"/>
      <c r="AI22" s="501"/>
    </row>
    <row r="23" spans="1:35">
      <c r="A23" s="4">
        <v>1</v>
      </c>
      <c r="B23" s="4" t="s">
        <v>129</v>
      </c>
      <c r="C23" s="141" t="s">
        <v>119</v>
      </c>
      <c r="D23" s="8">
        <v>25188</v>
      </c>
      <c r="E23" s="4">
        <v>25249</v>
      </c>
      <c r="F23" s="4">
        <v>25291</v>
      </c>
      <c r="G23" s="4">
        <v>25335</v>
      </c>
      <c r="H23" s="4">
        <v>25376</v>
      </c>
      <c r="I23" s="4">
        <v>25406</v>
      </c>
      <c r="J23" s="4">
        <v>25406</v>
      </c>
      <c r="K23" s="4">
        <v>25490</v>
      </c>
      <c r="L23" s="4">
        <v>25540</v>
      </c>
      <c r="M23" s="4">
        <v>25580</v>
      </c>
      <c r="N23" s="4">
        <v>25630</v>
      </c>
      <c r="O23" s="4">
        <v>25675</v>
      </c>
      <c r="P23" s="4">
        <v>25697</v>
      </c>
      <c r="Q23" s="4">
        <v>25697</v>
      </c>
      <c r="R23" s="4">
        <v>25767</v>
      </c>
      <c r="S23" s="4">
        <v>25816</v>
      </c>
      <c r="T23" s="4">
        <v>25853</v>
      </c>
      <c r="U23" s="4">
        <v>25878</v>
      </c>
      <c r="V23" s="4">
        <v>25914</v>
      </c>
      <c r="W23" s="4">
        <v>25933</v>
      </c>
      <c r="X23" s="4">
        <v>25933</v>
      </c>
      <c r="Y23" s="4">
        <v>26010</v>
      </c>
      <c r="Z23" s="4">
        <v>26047</v>
      </c>
      <c r="AA23" s="4">
        <v>26081</v>
      </c>
      <c r="AB23" s="4">
        <v>26109</v>
      </c>
      <c r="AC23" s="4">
        <v>26142</v>
      </c>
      <c r="AD23" s="4">
        <v>26160</v>
      </c>
      <c r="AE23" s="4">
        <v>26160</v>
      </c>
      <c r="AF23" s="4">
        <v>26209</v>
      </c>
      <c r="AG23" s="4">
        <v>26273</v>
      </c>
      <c r="AH23" s="8">
        <v>26337</v>
      </c>
      <c r="AI23" s="7">
        <f t="shared" ref="AI23:AI30" si="1">AH23-D23</f>
        <v>1149</v>
      </c>
    </row>
    <row r="24" spans="1:35">
      <c r="A24" s="4"/>
      <c r="B24" s="4"/>
      <c r="C24" s="142" t="s">
        <v>22</v>
      </c>
      <c r="D24" s="4">
        <v>1832</v>
      </c>
      <c r="E24" s="4">
        <v>1832</v>
      </c>
      <c r="F24" s="4">
        <v>1832</v>
      </c>
      <c r="G24" s="4">
        <v>1832</v>
      </c>
      <c r="H24" s="4">
        <v>1832</v>
      </c>
      <c r="I24" s="4">
        <v>1832</v>
      </c>
      <c r="J24" s="4">
        <v>1832</v>
      </c>
      <c r="K24" s="4">
        <v>1832</v>
      </c>
      <c r="L24" s="4">
        <v>1832</v>
      </c>
      <c r="M24" s="4">
        <v>1832</v>
      </c>
      <c r="N24" s="4">
        <v>1832</v>
      </c>
      <c r="O24" s="4">
        <v>1832</v>
      </c>
      <c r="P24" s="4">
        <v>1832</v>
      </c>
      <c r="Q24" s="4">
        <v>1832</v>
      </c>
      <c r="R24" s="4">
        <v>1832</v>
      </c>
      <c r="S24" s="4">
        <v>1832</v>
      </c>
      <c r="T24" s="4">
        <v>1832</v>
      </c>
      <c r="U24" s="4">
        <v>1842</v>
      </c>
      <c r="V24" s="4">
        <v>1842</v>
      </c>
      <c r="W24" s="4">
        <v>1842</v>
      </c>
      <c r="X24" s="4">
        <v>1842</v>
      </c>
      <c r="Y24" s="4">
        <v>1842</v>
      </c>
      <c r="Z24" s="4">
        <v>1842</v>
      </c>
      <c r="AA24" s="4">
        <v>1842</v>
      </c>
      <c r="AB24" s="4">
        <v>1876</v>
      </c>
      <c r="AC24" s="4">
        <v>1876</v>
      </c>
      <c r="AD24" s="4">
        <v>1876</v>
      </c>
      <c r="AE24" s="4">
        <v>1876</v>
      </c>
      <c r="AF24" s="4">
        <v>1876</v>
      </c>
      <c r="AG24" s="4">
        <v>1876</v>
      </c>
      <c r="AH24" s="4">
        <v>1876</v>
      </c>
      <c r="AI24" s="7">
        <f t="shared" si="1"/>
        <v>44</v>
      </c>
    </row>
    <row r="25" spans="1:35">
      <c r="A25" s="4">
        <v>2</v>
      </c>
      <c r="B25" s="4" t="s">
        <v>129</v>
      </c>
      <c r="C25" s="141" t="s">
        <v>120</v>
      </c>
      <c r="D25" s="8">
        <v>25865</v>
      </c>
      <c r="E25" s="4">
        <v>25918</v>
      </c>
      <c r="F25" s="4">
        <v>25966</v>
      </c>
      <c r="G25" s="4">
        <v>26014</v>
      </c>
      <c r="H25" s="4">
        <v>26060</v>
      </c>
      <c r="I25" s="4">
        <v>26093</v>
      </c>
      <c r="J25" s="4">
        <v>26093</v>
      </c>
      <c r="K25" s="4">
        <v>26178</v>
      </c>
      <c r="L25" s="4">
        <v>26247</v>
      </c>
      <c r="M25" s="4">
        <v>26295</v>
      </c>
      <c r="N25" s="4">
        <v>26340</v>
      </c>
      <c r="O25" s="4">
        <v>26445</v>
      </c>
      <c r="P25" s="4">
        <v>26496</v>
      </c>
      <c r="Q25" s="4">
        <v>26496</v>
      </c>
      <c r="R25" s="4">
        <v>26583</v>
      </c>
      <c r="S25" s="4">
        <v>26733</v>
      </c>
      <c r="T25" s="4">
        <v>26851</v>
      </c>
      <c r="U25" s="4">
        <v>26908</v>
      </c>
      <c r="V25" s="4">
        <v>26974</v>
      </c>
      <c r="W25" s="4">
        <v>27011</v>
      </c>
      <c r="X25" s="4">
        <v>27011</v>
      </c>
      <c r="Y25" s="4">
        <v>27104</v>
      </c>
      <c r="Z25" s="4">
        <v>27173</v>
      </c>
      <c r="AA25" s="4">
        <v>27244</v>
      </c>
      <c r="AB25" s="4">
        <v>27272</v>
      </c>
      <c r="AC25" s="4">
        <v>27324</v>
      </c>
      <c r="AD25" s="4">
        <v>27350</v>
      </c>
      <c r="AE25" s="4">
        <v>27350</v>
      </c>
      <c r="AF25" s="4">
        <v>27420</v>
      </c>
      <c r="AG25" s="4">
        <v>27524</v>
      </c>
      <c r="AH25" s="8">
        <v>27621</v>
      </c>
      <c r="AI25" s="7">
        <f t="shared" si="1"/>
        <v>1756</v>
      </c>
    </row>
    <row r="26" spans="1:35">
      <c r="A26" s="4"/>
      <c r="B26" s="4"/>
      <c r="C26" s="142" t="s">
        <v>22</v>
      </c>
      <c r="D26" s="4">
        <v>1797</v>
      </c>
      <c r="E26" s="4">
        <v>1797</v>
      </c>
      <c r="F26" s="4">
        <v>1797</v>
      </c>
      <c r="G26" s="4">
        <v>1797</v>
      </c>
      <c r="H26" s="4">
        <v>1797</v>
      </c>
      <c r="I26" s="4">
        <v>1797</v>
      </c>
      <c r="J26" s="4">
        <v>1797</v>
      </c>
      <c r="K26" s="4">
        <v>1797</v>
      </c>
      <c r="L26" s="4">
        <v>1797</v>
      </c>
      <c r="M26" s="4">
        <v>1797</v>
      </c>
      <c r="N26" s="4">
        <v>1797</v>
      </c>
      <c r="O26" s="4">
        <v>1797</v>
      </c>
      <c r="P26" s="4">
        <v>1797</v>
      </c>
      <c r="Q26" s="4">
        <v>1797</v>
      </c>
      <c r="R26" s="4">
        <v>1797</v>
      </c>
      <c r="S26" s="4">
        <v>1797</v>
      </c>
      <c r="T26" s="4">
        <v>1797</v>
      </c>
      <c r="U26" s="4">
        <v>1816</v>
      </c>
      <c r="V26" s="4">
        <v>1816</v>
      </c>
      <c r="W26" s="4">
        <v>1816</v>
      </c>
      <c r="X26" s="4">
        <v>1816</v>
      </c>
      <c r="Y26" s="4">
        <v>1816</v>
      </c>
      <c r="Z26" s="4">
        <v>1816</v>
      </c>
      <c r="AA26" s="4">
        <v>1816</v>
      </c>
      <c r="AB26" s="4">
        <v>1853</v>
      </c>
      <c r="AC26" s="4">
        <v>1855</v>
      </c>
      <c r="AD26" s="4">
        <v>1855</v>
      </c>
      <c r="AE26" s="4">
        <v>1855</v>
      </c>
      <c r="AF26" s="4">
        <v>1855</v>
      </c>
      <c r="AG26" s="4">
        <v>1855</v>
      </c>
      <c r="AH26" s="4">
        <v>1855</v>
      </c>
      <c r="AI26" s="7">
        <f t="shared" si="1"/>
        <v>58</v>
      </c>
    </row>
    <row r="27" spans="1:35">
      <c r="A27" s="4">
        <v>3</v>
      </c>
      <c r="B27" s="4" t="s">
        <v>129</v>
      </c>
      <c r="C27" s="141" t="s">
        <v>121</v>
      </c>
      <c r="D27" s="4">
        <v>27082</v>
      </c>
      <c r="E27" s="4">
        <v>27156</v>
      </c>
      <c r="F27" s="4">
        <v>27205</v>
      </c>
      <c r="G27" s="4">
        <v>27254</v>
      </c>
      <c r="H27" s="4">
        <v>27299</v>
      </c>
      <c r="I27" s="4">
        <v>27337</v>
      </c>
      <c r="J27" s="4">
        <v>27338</v>
      </c>
      <c r="K27" s="4">
        <v>27435</v>
      </c>
      <c r="L27" s="4">
        <v>27514</v>
      </c>
      <c r="M27" s="4">
        <v>27560</v>
      </c>
      <c r="N27" s="4">
        <v>27599</v>
      </c>
      <c r="O27" s="4">
        <v>27711</v>
      </c>
      <c r="P27" s="4">
        <v>27760</v>
      </c>
      <c r="Q27" s="4">
        <v>27760</v>
      </c>
      <c r="R27" s="4">
        <v>27823</v>
      </c>
      <c r="S27" s="4">
        <v>27964</v>
      </c>
      <c r="T27" s="4">
        <v>28095</v>
      </c>
      <c r="U27" s="4">
        <v>28180</v>
      </c>
      <c r="V27" s="4">
        <v>28296</v>
      </c>
      <c r="W27" s="4">
        <v>28357</v>
      </c>
      <c r="X27" s="4">
        <v>28357</v>
      </c>
      <c r="Y27" s="4">
        <v>28465</v>
      </c>
      <c r="Z27" s="4">
        <v>28520</v>
      </c>
      <c r="AA27" s="4">
        <v>28635</v>
      </c>
      <c r="AB27" s="4">
        <v>28688</v>
      </c>
      <c r="AC27" s="4">
        <v>28763</v>
      </c>
      <c r="AD27" s="4">
        <v>28791</v>
      </c>
      <c r="AE27" s="4">
        <v>28791</v>
      </c>
      <c r="AF27" s="4">
        <v>28904</v>
      </c>
      <c r="AG27" s="4">
        <v>29027</v>
      </c>
      <c r="AH27" s="4">
        <v>29154</v>
      </c>
      <c r="AI27" s="7">
        <f t="shared" si="1"/>
        <v>2072</v>
      </c>
    </row>
    <row r="28" spans="1:35">
      <c r="A28" s="4"/>
      <c r="B28" s="4"/>
      <c r="C28" s="142" t="s">
        <v>22</v>
      </c>
      <c r="D28" s="4">
        <v>1903</v>
      </c>
      <c r="E28" s="4">
        <v>1903</v>
      </c>
      <c r="F28" s="4">
        <v>1903</v>
      </c>
      <c r="G28" s="4">
        <v>1903</v>
      </c>
      <c r="H28" s="4">
        <v>1903</v>
      </c>
      <c r="I28" s="4">
        <v>1903</v>
      </c>
      <c r="J28" s="4">
        <v>1903</v>
      </c>
      <c r="K28" s="4">
        <v>1903</v>
      </c>
      <c r="L28" s="4">
        <v>1903</v>
      </c>
      <c r="M28" s="4">
        <v>1903</v>
      </c>
      <c r="N28" s="4">
        <v>1903</v>
      </c>
      <c r="O28" s="4">
        <v>1903</v>
      </c>
      <c r="P28" s="4">
        <v>1903</v>
      </c>
      <c r="Q28" s="4">
        <v>1903</v>
      </c>
      <c r="R28" s="4">
        <v>1903</v>
      </c>
      <c r="S28" s="4">
        <v>1903</v>
      </c>
      <c r="T28" s="4">
        <v>1903</v>
      </c>
      <c r="U28" s="4">
        <v>1938</v>
      </c>
      <c r="V28" s="4">
        <v>1938</v>
      </c>
      <c r="W28" s="4">
        <v>1938</v>
      </c>
      <c r="X28" s="4">
        <v>1938</v>
      </c>
      <c r="Y28" s="4">
        <v>1938</v>
      </c>
      <c r="Z28" s="4">
        <v>1938</v>
      </c>
      <c r="AA28" s="4">
        <v>1938</v>
      </c>
      <c r="AB28" s="4">
        <v>2002</v>
      </c>
      <c r="AC28" s="4">
        <v>2002</v>
      </c>
      <c r="AD28" s="4">
        <v>2002</v>
      </c>
      <c r="AE28" s="4">
        <v>2002</v>
      </c>
      <c r="AF28" s="4">
        <v>2002</v>
      </c>
      <c r="AG28" s="4">
        <v>2002</v>
      </c>
      <c r="AH28" s="4">
        <v>2002</v>
      </c>
      <c r="AI28" s="7">
        <f t="shared" si="1"/>
        <v>99</v>
      </c>
    </row>
    <row r="29" spans="1:35">
      <c r="A29" s="4">
        <v>4</v>
      </c>
      <c r="B29" s="4" t="s">
        <v>129</v>
      </c>
      <c r="C29" s="141" t="s">
        <v>122</v>
      </c>
      <c r="D29" s="8">
        <v>23227</v>
      </c>
      <c r="E29" s="4">
        <v>23276</v>
      </c>
      <c r="F29" s="4">
        <v>23329</v>
      </c>
      <c r="G29" s="4">
        <v>23385</v>
      </c>
      <c r="H29" s="4">
        <v>23434</v>
      </c>
      <c r="I29" s="4">
        <v>23473</v>
      </c>
      <c r="J29" s="4">
        <v>23473</v>
      </c>
      <c r="K29" s="4">
        <v>23545</v>
      </c>
      <c r="L29" s="4">
        <v>23598</v>
      </c>
      <c r="M29" s="4">
        <v>23647</v>
      </c>
      <c r="N29" s="4">
        <v>23700</v>
      </c>
      <c r="O29" s="4">
        <v>23749</v>
      </c>
      <c r="P29" s="4">
        <v>23801</v>
      </c>
      <c r="Q29" s="4">
        <v>23801</v>
      </c>
      <c r="R29" s="4">
        <v>23862</v>
      </c>
      <c r="S29" s="4">
        <v>23920</v>
      </c>
      <c r="T29" s="4">
        <v>23976</v>
      </c>
      <c r="U29" s="4">
        <v>24009</v>
      </c>
      <c r="V29" s="4">
        <v>24072</v>
      </c>
      <c r="W29" s="4">
        <v>24099</v>
      </c>
      <c r="X29" s="4">
        <v>24099</v>
      </c>
      <c r="Y29" s="4">
        <v>24188</v>
      </c>
      <c r="Z29" s="4">
        <v>24235</v>
      </c>
      <c r="AA29" s="4">
        <v>24284</v>
      </c>
      <c r="AB29" s="4">
        <v>24313</v>
      </c>
      <c r="AC29" s="4">
        <v>24358</v>
      </c>
      <c r="AD29" s="4">
        <v>24392</v>
      </c>
      <c r="AE29" s="4">
        <v>24392</v>
      </c>
      <c r="AF29" s="4">
        <v>24451</v>
      </c>
      <c r="AG29" s="4">
        <v>24550</v>
      </c>
      <c r="AH29" s="8">
        <v>24643</v>
      </c>
      <c r="AI29" s="7">
        <f t="shared" si="1"/>
        <v>1416</v>
      </c>
    </row>
    <row r="30" spans="1:35">
      <c r="A30" s="4"/>
      <c r="B30" s="4"/>
      <c r="C30" s="142" t="s">
        <v>22</v>
      </c>
      <c r="D30" s="4">
        <v>1686</v>
      </c>
      <c r="E30" s="4">
        <v>1686</v>
      </c>
      <c r="F30" s="4">
        <v>1686</v>
      </c>
      <c r="G30" s="4">
        <v>1686</v>
      </c>
      <c r="H30" s="4">
        <v>1686</v>
      </c>
      <c r="I30" s="4">
        <v>1686</v>
      </c>
      <c r="J30" s="4">
        <v>1686</v>
      </c>
      <c r="K30" s="4">
        <v>1686</v>
      </c>
      <c r="L30" s="4">
        <v>1686</v>
      </c>
      <c r="M30" s="4">
        <v>1686</v>
      </c>
      <c r="N30" s="4">
        <v>1686</v>
      </c>
      <c r="O30" s="4">
        <v>1686</v>
      </c>
      <c r="P30" s="4">
        <v>1686</v>
      </c>
      <c r="Q30" s="4">
        <v>1686</v>
      </c>
      <c r="R30" s="4">
        <v>1686</v>
      </c>
      <c r="S30" s="4">
        <v>1686</v>
      </c>
      <c r="T30" s="4">
        <v>1686</v>
      </c>
      <c r="U30" s="4">
        <v>1700</v>
      </c>
      <c r="V30" s="4">
        <v>1700</v>
      </c>
      <c r="W30" s="4">
        <v>1700</v>
      </c>
      <c r="X30" s="4">
        <v>1700</v>
      </c>
      <c r="Y30" s="4">
        <v>1700</v>
      </c>
      <c r="Z30" s="4">
        <v>1700</v>
      </c>
      <c r="AA30" s="4">
        <v>1700</v>
      </c>
      <c r="AB30" s="4">
        <v>1736</v>
      </c>
      <c r="AC30" s="4">
        <v>1736</v>
      </c>
      <c r="AD30" s="4">
        <v>1736</v>
      </c>
      <c r="AE30" s="4">
        <v>1736</v>
      </c>
      <c r="AF30" s="4">
        <v>1736</v>
      </c>
      <c r="AG30" s="4">
        <v>1736</v>
      </c>
      <c r="AH30" s="4">
        <v>1736</v>
      </c>
      <c r="AI30" s="7">
        <f t="shared" si="1"/>
        <v>50</v>
      </c>
    </row>
    <row r="31" spans="1:35">
      <c r="A31" s="564"/>
      <c r="B31" s="504"/>
      <c r="C31" s="504"/>
      <c r="D31" s="504"/>
      <c r="E31" s="504"/>
      <c r="F31" s="504"/>
      <c r="G31" s="504"/>
      <c r="H31" s="504"/>
      <c r="I31" s="504"/>
      <c r="J31" s="504"/>
      <c r="K31" s="504"/>
      <c r="L31" s="504"/>
      <c r="M31" s="504"/>
      <c r="N31" s="504"/>
      <c r="O31" s="504"/>
      <c r="P31" s="504"/>
      <c r="Q31" s="504"/>
      <c r="R31" s="504"/>
      <c r="S31" s="504"/>
      <c r="T31" s="504"/>
      <c r="U31" s="504"/>
      <c r="V31" s="504"/>
      <c r="W31" s="504"/>
      <c r="X31" s="504"/>
      <c r="Y31" s="504"/>
      <c r="Z31" s="504"/>
      <c r="AA31" s="504"/>
      <c r="AB31" s="504"/>
      <c r="AC31" s="504"/>
      <c r="AD31" s="504"/>
      <c r="AE31" s="504"/>
      <c r="AF31" s="504"/>
      <c r="AG31" s="504"/>
      <c r="AH31" s="504"/>
      <c r="AI31" s="501"/>
    </row>
    <row r="32" spans="1:35">
      <c r="A32" s="4">
        <v>1</v>
      </c>
      <c r="B32" s="4" t="s">
        <v>129</v>
      </c>
      <c r="C32" s="141" t="s">
        <v>123</v>
      </c>
      <c r="D32" s="9">
        <v>220563</v>
      </c>
      <c r="E32" s="44">
        <v>221384</v>
      </c>
      <c r="F32" s="150">
        <v>222088</v>
      </c>
      <c r="G32" s="150">
        <v>222781</v>
      </c>
      <c r="H32" s="150">
        <v>223443</v>
      </c>
      <c r="I32" s="44">
        <v>223703</v>
      </c>
      <c r="J32" s="150">
        <v>223703</v>
      </c>
      <c r="K32" s="150">
        <v>224701</v>
      </c>
      <c r="L32" s="150">
        <v>225577</v>
      </c>
      <c r="M32" s="44">
        <v>226449</v>
      </c>
      <c r="N32" s="150">
        <v>227369</v>
      </c>
      <c r="O32" s="150">
        <v>228116</v>
      </c>
      <c r="P32" s="150">
        <v>228440</v>
      </c>
      <c r="Q32" s="44">
        <v>228440</v>
      </c>
      <c r="R32" s="150">
        <v>229544</v>
      </c>
      <c r="S32" s="150">
        <v>230532</v>
      </c>
      <c r="T32" s="150">
        <v>231469</v>
      </c>
      <c r="U32" s="44">
        <v>232358</v>
      </c>
      <c r="V32" s="150">
        <v>233156</v>
      </c>
      <c r="W32" s="150">
        <v>233534</v>
      </c>
      <c r="X32" s="150">
        <v>233534</v>
      </c>
      <c r="Y32" s="44">
        <v>234608</v>
      </c>
      <c r="Z32" s="150">
        <v>235453</v>
      </c>
      <c r="AA32" s="150">
        <v>236264</v>
      </c>
      <c r="AB32" s="150">
        <v>237119</v>
      </c>
      <c r="AC32" s="44">
        <v>237853</v>
      </c>
      <c r="AD32" s="150">
        <v>238104</v>
      </c>
      <c r="AE32" s="150">
        <v>238104</v>
      </c>
      <c r="AF32" s="150">
        <v>239049</v>
      </c>
      <c r="AG32" s="44">
        <v>240029</v>
      </c>
      <c r="AH32" s="150">
        <v>241097</v>
      </c>
      <c r="AI32" s="7">
        <f>AH32-D32</f>
        <v>20534</v>
      </c>
    </row>
    <row r="33" spans="1:35">
      <c r="A33" s="4">
        <v>2</v>
      </c>
      <c r="B33" s="4" t="s">
        <v>129</v>
      </c>
      <c r="C33" s="141" t="s">
        <v>124</v>
      </c>
      <c r="D33" s="9">
        <v>224872</v>
      </c>
      <c r="E33" s="150">
        <v>225476</v>
      </c>
      <c r="F33" s="150">
        <v>226061</v>
      </c>
      <c r="G33" s="150">
        <v>226649</v>
      </c>
      <c r="H33" s="150">
        <v>227224</v>
      </c>
      <c r="I33" s="150">
        <v>227434</v>
      </c>
      <c r="J33" s="150">
        <v>227439</v>
      </c>
      <c r="K33" s="150">
        <v>228254</v>
      </c>
      <c r="L33" s="150">
        <v>228974</v>
      </c>
      <c r="M33" s="150">
        <v>229643</v>
      </c>
      <c r="N33" s="150">
        <v>230424</v>
      </c>
      <c r="O33" s="150">
        <v>231110</v>
      </c>
      <c r="P33" s="150">
        <v>231282</v>
      </c>
      <c r="Q33" s="150">
        <v>231282</v>
      </c>
      <c r="R33" s="150">
        <v>232115</v>
      </c>
      <c r="S33" s="150">
        <v>232788</v>
      </c>
      <c r="T33" s="150">
        <v>233480</v>
      </c>
      <c r="U33" s="150">
        <v>234148</v>
      </c>
      <c r="V33" s="150">
        <v>234703</v>
      </c>
      <c r="W33" s="150">
        <v>234995</v>
      </c>
      <c r="X33" s="150">
        <v>234995</v>
      </c>
      <c r="Y33" s="150">
        <v>235872</v>
      </c>
      <c r="Z33" s="150">
        <v>236651</v>
      </c>
      <c r="AA33" s="150">
        <v>237330</v>
      </c>
      <c r="AB33" s="150">
        <v>237937</v>
      </c>
      <c r="AC33" s="150">
        <v>238498</v>
      </c>
      <c r="AD33" s="150">
        <v>238799</v>
      </c>
      <c r="AE33" s="150">
        <v>238799</v>
      </c>
      <c r="AF33" s="150">
        <v>239743</v>
      </c>
      <c r="AG33" s="150">
        <v>240585</v>
      </c>
      <c r="AH33" s="150">
        <v>241385</v>
      </c>
      <c r="AI33" s="7">
        <f>AH33-D33</f>
        <v>16513</v>
      </c>
    </row>
    <row r="34" spans="1:35">
      <c r="A34" s="4">
        <v>3</v>
      </c>
      <c r="B34" s="4" t="s">
        <v>129</v>
      </c>
      <c r="C34" s="141" t="s">
        <v>125</v>
      </c>
      <c r="D34" s="9">
        <v>220395</v>
      </c>
      <c r="E34" s="150">
        <v>221076</v>
      </c>
      <c r="F34" s="150">
        <v>221682</v>
      </c>
      <c r="G34" s="150">
        <v>222319</v>
      </c>
      <c r="H34" s="150">
        <v>222994</v>
      </c>
      <c r="I34" s="150">
        <v>223139</v>
      </c>
      <c r="J34" s="150">
        <v>223139</v>
      </c>
      <c r="K34" s="150">
        <v>223840</v>
      </c>
      <c r="L34" s="150">
        <v>224485</v>
      </c>
      <c r="M34" s="150">
        <v>225212</v>
      </c>
      <c r="N34" s="150">
        <v>226072</v>
      </c>
      <c r="O34" s="150">
        <v>226925</v>
      </c>
      <c r="P34" s="150">
        <v>227336</v>
      </c>
      <c r="Q34" s="150">
        <v>227336</v>
      </c>
      <c r="R34" s="150">
        <v>228185</v>
      </c>
      <c r="S34" s="150">
        <v>228973</v>
      </c>
      <c r="T34" s="150">
        <v>229563</v>
      </c>
      <c r="U34" s="150">
        <v>230155</v>
      </c>
      <c r="V34" s="150">
        <v>230835</v>
      </c>
      <c r="W34" s="150">
        <v>231011</v>
      </c>
      <c r="X34" s="150">
        <v>231011</v>
      </c>
      <c r="Y34" s="150">
        <v>231966</v>
      </c>
      <c r="Z34" s="150">
        <v>232644</v>
      </c>
      <c r="AA34" s="150">
        <v>233345</v>
      </c>
      <c r="AB34" s="150">
        <v>233934</v>
      </c>
      <c r="AC34" s="150">
        <v>234482</v>
      </c>
      <c r="AD34" s="150">
        <v>234775</v>
      </c>
      <c r="AE34" s="150">
        <v>234775</v>
      </c>
      <c r="AF34" s="150">
        <v>235729</v>
      </c>
      <c r="AG34" s="150">
        <v>236512</v>
      </c>
      <c r="AH34" s="150">
        <v>237325</v>
      </c>
      <c r="AI34" s="7">
        <f>AH34-D34</f>
        <v>16930</v>
      </c>
    </row>
    <row r="35" spans="1:35">
      <c r="A35" s="4">
        <v>4</v>
      </c>
      <c r="B35" s="4" t="s">
        <v>129</v>
      </c>
      <c r="C35" s="141" t="s">
        <v>126</v>
      </c>
      <c r="D35" s="9">
        <v>244029</v>
      </c>
      <c r="E35" s="150">
        <v>244714</v>
      </c>
      <c r="F35" s="150">
        <v>245366</v>
      </c>
      <c r="G35" s="150">
        <v>246018</v>
      </c>
      <c r="H35" s="150">
        <v>246641</v>
      </c>
      <c r="I35" s="150">
        <v>246885</v>
      </c>
      <c r="J35" s="150">
        <v>246885</v>
      </c>
      <c r="K35" s="150">
        <v>247758</v>
      </c>
      <c r="L35" s="150">
        <v>248517</v>
      </c>
      <c r="M35" s="150">
        <v>249284</v>
      </c>
      <c r="N35" s="150">
        <v>250075</v>
      </c>
      <c r="O35" s="150">
        <v>250830</v>
      </c>
      <c r="P35" s="150">
        <v>251131</v>
      </c>
      <c r="Q35" s="150">
        <v>251131</v>
      </c>
      <c r="R35" s="150">
        <v>251983</v>
      </c>
      <c r="S35" s="150">
        <v>252798</v>
      </c>
      <c r="T35" s="150">
        <v>253588</v>
      </c>
      <c r="U35" s="150">
        <v>254370</v>
      </c>
      <c r="V35" s="150">
        <v>255064</v>
      </c>
      <c r="W35" s="150">
        <v>255390</v>
      </c>
      <c r="X35" s="150">
        <v>255390</v>
      </c>
      <c r="Y35" s="150">
        <v>256333</v>
      </c>
      <c r="Z35" s="150">
        <v>257134</v>
      </c>
      <c r="AA35" s="150">
        <v>257893</v>
      </c>
      <c r="AB35" s="150">
        <v>258731</v>
      </c>
      <c r="AC35" s="150">
        <v>259408</v>
      </c>
      <c r="AD35" s="150">
        <v>259663</v>
      </c>
      <c r="AE35" s="150">
        <v>259663</v>
      </c>
      <c r="AF35" s="150">
        <v>260528</v>
      </c>
      <c r="AG35" s="150">
        <v>261522</v>
      </c>
      <c r="AH35" s="150">
        <v>262507</v>
      </c>
      <c r="AI35" s="7">
        <f>AH35-D35</f>
        <v>18478</v>
      </c>
    </row>
    <row r="36" spans="1:35">
      <c r="A36" s="134"/>
      <c r="B36" s="134"/>
      <c r="C36" s="143"/>
      <c r="D36" s="134"/>
      <c r="E36" s="13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/>
      <c r="AA36" s="134"/>
      <c r="AB36" s="134"/>
      <c r="AC36" s="6"/>
      <c r="AD36" s="134"/>
      <c r="AE36" s="134"/>
      <c r="AF36" s="134"/>
      <c r="AG36" s="134"/>
      <c r="AH36" s="134"/>
      <c r="AI36" s="136"/>
    </row>
    <row r="37" spans="1:35">
      <c r="A37" s="14"/>
      <c r="B37" s="137"/>
      <c r="C37" s="144"/>
      <c r="D37" s="138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</row>
    <row r="38" spans="1:35">
      <c r="A38" s="93"/>
      <c r="B38" s="534" t="s">
        <v>127</v>
      </c>
      <c r="C38" s="504"/>
      <c r="D38" s="501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</row>
    <row r="39" spans="1:35">
      <c r="A39" s="94"/>
      <c r="B39" s="538" t="s">
        <v>128</v>
      </c>
      <c r="C39" s="504"/>
      <c r="D39" s="501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E39" s="94"/>
      <c r="AF39" s="94"/>
      <c r="AG39" s="94"/>
      <c r="AH39" s="94"/>
      <c r="AI39" s="94"/>
    </row>
    <row r="40" spans="1:35">
      <c r="A40" s="529" t="s">
        <v>99</v>
      </c>
      <c r="B40" s="529" t="s">
        <v>100</v>
      </c>
      <c r="C40" s="529" t="s">
        <v>101</v>
      </c>
      <c r="D40" s="517"/>
      <c r="E40" s="95">
        <f t="shared" ref="E40:AH40" si="2">E2</f>
        <v>45748</v>
      </c>
      <c r="F40" s="95">
        <f t="shared" si="2"/>
        <v>45749</v>
      </c>
      <c r="G40" s="95">
        <f t="shared" si="2"/>
        <v>45750</v>
      </c>
      <c r="H40" s="95">
        <f t="shared" si="2"/>
        <v>45751</v>
      </c>
      <c r="I40" s="95">
        <f t="shared" si="2"/>
        <v>45752</v>
      </c>
      <c r="J40" s="95">
        <f t="shared" si="2"/>
        <v>45753</v>
      </c>
      <c r="K40" s="95">
        <f t="shared" si="2"/>
        <v>45754</v>
      </c>
      <c r="L40" s="95">
        <f t="shared" si="2"/>
        <v>45755</v>
      </c>
      <c r="M40" s="95">
        <f t="shared" si="2"/>
        <v>45756</v>
      </c>
      <c r="N40" s="95">
        <f t="shared" si="2"/>
        <v>45757</v>
      </c>
      <c r="O40" s="95">
        <f t="shared" si="2"/>
        <v>45758</v>
      </c>
      <c r="P40" s="95">
        <f t="shared" si="2"/>
        <v>45759</v>
      </c>
      <c r="Q40" s="95">
        <f t="shared" si="2"/>
        <v>45760</v>
      </c>
      <c r="R40" s="95">
        <f t="shared" si="2"/>
        <v>45761</v>
      </c>
      <c r="S40" s="95">
        <f t="shared" si="2"/>
        <v>45762</v>
      </c>
      <c r="T40" s="95">
        <f t="shared" si="2"/>
        <v>45763</v>
      </c>
      <c r="U40" s="95">
        <f t="shared" si="2"/>
        <v>45764</v>
      </c>
      <c r="V40" s="95">
        <f t="shared" si="2"/>
        <v>45765</v>
      </c>
      <c r="W40" s="95">
        <f t="shared" si="2"/>
        <v>45766</v>
      </c>
      <c r="X40" s="95">
        <f t="shared" si="2"/>
        <v>45767</v>
      </c>
      <c r="Y40" s="95">
        <f t="shared" si="2"/>
        <v>45768</v>
      </c>
      <c r="Z40" s="95">
        <f t="shared" si="2"/>
        <v>45769</v>
      </c>
      <c r="AA40" s="95">
        <f t="shared" si="2"/>
        <v>45770</v>
      </c>
      <c r="AB40" s="95">
        <f t="shared" si="2"/>
        <v>45771</v>
      </c>
      <c r="AC40" s="95">
        <f t="shared" si="2"/>
        <v>45772</v>
      </c>
      <c r="AD40" s="95">
        <f t="shared" si="2"/>
        <v>45773</v>
      </c>
      <c r="AE40" s="95">
        <f t="shared" si="2"/>
        <v>45774</v>
      </c>
      <c r="AF40" s="95">
        <f t="shared" si="2"/>
        <v>45775</v>
      </c>
      <c r="AG40" s="95">
        <f t="shared" si="2"/>
        <v>45776</v>
      </c>
      <c r="AH40" s="95">
        <f t="shared" si="2"/>
        <v>45777</v>
      </c>
      <c r="AI40" s="529" t="s">
        <v>1</v>
      </c>
    </row>
    <row r="41" spans="1:35">
      <c r="A41" s="508"/>
      <c r="B41" s="508"/>
      <c r="C41" s="518"/>
      <c r="D41" s="519"/>
      <c r="E41" s="96" t="str">
        <f t="shared" ref="E41:AH41" si="3">E3</f>
        <v>TUE</v>
      </c>
      <c r="F41" s="96" t="str">
        <f t="shared" si="3"/>
        <v>WED</v>
      </c>
      <c r="G41" s="96" t="str">
        <f t="shared" si="3"/>
        <v>THU</v>
      </c>
      <c r="H41" s="96" t="str">
        <f t="shared" si="3"/>
        <v>FRI</v>
      </c>
      <c r="I41" s="96" t="str">
        <f t="shared" si="3"/>
        <v>SAT</v>
      </c>
      <c r="J41" s="96" t="str">
        <f t="shared" si="3"/>
        <v>SUN</v>
      </c>
      <c r="K41" s="96" t="str">
        <f t="shared" si="3"/>
        <v>MON</v>
      </c>
      <c r="L41" s="96" t="str">
        <f t="shared" si="3"/>
        <v>TUE</v>
      </c>
      <c r="M41" s="96" t="str">
        <f t="shared" si="3"/>
        <v>WED</v>
      </c>
      <c r="N41" s="96" t="str">
        <f t="shared" si="3"/>
        <v>THU</v>
      </c>
      <c r="O41" s="96" t="str">
        <f t="shared" si="3"/>
        <v>FRI</v>
      </c>
      <c r="P41" s="96" t="str">
        <f t="shared" si="3"/>
        <v>SAT</v>
      </c>
      <c r="Q41" s="96" t="str">
        <f t="shared" si="3"/>
        <v>SUN</v>
      </c>
      <c r="R41" s="96" t="str">
        <f t="shared" si="3"/>
        <v>MON</v>
      </c>
      <c r="S41" s="96" t="str">
        <f t="shared" si="3"/>
        <v>TUE</v>
      </c>
      <c r="T41" s="96" t="str">
        <f t="shared" si="3"/>
        <v>WED</v>
      </c>
      <c r="U41" s="96" t="str">
        <f t="shared" si="3"/>
        <v>THU</v>
      </c>
      <c r="V41" s="96" t="str">
        <f t="shared" si="3"/>
        <v>FRI</v>
      </c>
      <c r="W41" s="96" t="str">
        <f t="shared" si="3"/>
        <v>SAT</v>
      </c>
      <c r="X41" s="96" t="str">
        <f t="shared" si="3"/>
        <v>SUN</v>
      </c>
      <c r="Y41" s="96" t="str">
        <f t="shared" si="3"/>
        <v>MON</v>
      </c>
      <c r="Z41" s="96" t="str">
        <f t="shared" si="3"/>
        <v>TUE</v>
      </c>
      <c r="AA41" s="96" t="str">
        <f t="shared" si="3"/>
        <v>WED</v>
      </c>
      <c r="AB41" s="96" t="str">
        <f t="shared" si="3"/>
        <v>THU</v>
      </c>
      <c r="AC41" s="96" t="str">
        <f t="shared" si="3"/>
        <v>FRI</v>
      </c>
      <c r="AD41" s="96" t="str">
        <f t="shared" si="3"/>
        <v>SAT</v>
      </c>
      <c r="AE41" s="96" t="str">
        <f t="shared" si="3"/>
        <v>SUN</v>
      </c>
      <c r="AF41" s="96" t="str">
        <f t="shared" si="3"/>
        <v>MON</v>
      </c>
      <c r="AG41" s="96" t="str">
        <f t="shared" si="3"/>
        <v>TUE</v>
      </c>
      <c r="AH41" s="96" t="str">
        <f t="shared" si="3"/>
        <v>WED</v>
      </c>
      <c r="AI41" s="508"/>
    </row>
    <row r="42" spans="1:35">
      <c r="A42" s="508"/>
      <c r="B42" s="508"/>
      <c r="C42" s="518"/>
      <c r="D42" s="519"/>
      <c r="E42" s="97" t="s">
        <v>110</v>
      </c>
      <c r="F42" s="97" t="s">
        <v>110</v>
      </c>
      <c r="G42" s="97" t="s">
        <v>110</v>
      </c>
      <c r="H42" s="97" t="s">
        <v>110</v>
      </c>
      <c r="I42" s="97" t="s">
        <v>110</v>
      </c>
      <c r="J42" s="97" t="s">
        <v>110</v>
      </c>
      <c r="K42" s="97" t="s">
        <v>110</v>
      </c>
      <c r="L42" s="97" t="s">
        <v>110</v>
      </c>
      <c r="M42" s="97" t="s">
        <v>110</v>
      </c>
      <c r="N42" s="97" t="s">
        <v>110</v>
      </c>
      <c r="O42" s="97" t="s">
        <v>110</v>
      </c>
      <c r="P42" s="97" t="s">
        <v>110</v>
      </c>
      <c r="Q42" s="97" t="s">
        <v>110</v>
      </c>
      <c r="R42" s="97" t="s">
        <v>110</v>
      </c>
      <c r="S42" s="97" t="s">
        <v>110</v>
      </c>
      <c r="T42" s="97" t="s">
        <v>110</v>
      </c>
      <c r="U42" s="97" t="s">
        <v>110</v>
      </c>
      <c r="V42" s="97" t="s">
        <v>110</v>
      </c>
      <c r="W42" s="97" t="s">
        <v>110</v>
      </c>
      <c r="X42" s="97" t="s">
        <v>110</v>
      </c>
      <c r="Y42" s="97" t="s">
        <v>110</v>
      </c>
      <c r="Z42" s="97" t="s">
        <v>110</v>
      </c>
      <c r="AA42" s="97" t="s">
        <v>110</v>
      </c>
      <c r="AB42" s="97" t="s">
        <v>110</v>
      </c>
      <c r="AC42" s="97" t="s">
        <v>110</v>
      </c>
      <c r="AD42" s="97" t="s">
        <v>110</v>
      </c>
      <c r="AE42" s="97" t="s">
        <v>110</v>
      </c>
      <c r="AF42" s="97" t="s">
        <v>110</v>
      </c>
      <c r="AG42" s="97" t="s">
        <v>110</v>
      </c>
      <c r="AH42" s="95" t="str">
        <f>AH4</f>
        <v>Time</v>
      </c>
      <c r="AI42" s="508"/>
    </row>
    <row r="43" spans="1:35">
      <c r="A43" s="509"/>
      <c r="B43" s="509"/>
      <c r="C43" s="520"/>
      <c r="D43" s="521"/>
      <c r="E43" s="98">
        <v>0.33333333333333331</v>
      </c>
      <c r="F43" s="98">
        <v>0.33333333333333331</v>
      </c>
      <c r="G43" s="98">
        <v>0.33333333333333331</v>
      </c>
      <c r="H43" s="98">
        <v>0.33333333333333331</v>
      </c>
      <c r="I43" s="98">
        <v>0.33333333333333331</v>
      </c>
      <c r="J43" s="98">
        <v>0.33333333333333331</v>
      </c>
      <c r="K43" s="98">
        <v>0.33333333333333331</v>
      </c>
      <c r="L43" s="98">
        <v>0.33333333333333331</v>
      </c>
      <c r="M43" s="98">
        <v>0.33333333333333331</v>
      </c>
      <c r="N43" s="98">
        <v>0.33333333333333331</v>
      </c>
      <c r="O43" s="98">
        <v>0.33333333333333331</v>
      </c>
      <c r="P43" s="98">
        <v>0.33333333333333331</v>
      </c>
      <c r="Q43" s="98">
        <v>0.33333333333333331</v>
      </c>
      <c r="R43" s="98">
        <v>0.33333333333333331</v>
      </c>
      <c r="S43" s="98">
        <v>0.33333333333333331</v>
      </c>
      <c r="T43" s="98">
        <v>0.33333333333333331</v>
      </c>
      <c r="U43" s="98">
        <v>0.33333333333333331</v>
      </c>
      <c r="V43" s="98">
        <v>0.33333333333333331</v>
      </c>
      <c r="W43" s="98">
        <v>0.33333333333333331</v>
      </c>
      <c r="X43" s="98">
        <v>0.33333333333333331</v>
      </c>
      <c r="Y43" s="98">
        <v>0.33333333333333331</v>
      </c>
      <c r="Z43" s="98">
        <v>0.33333333333333331</v>
      </c>
      <c r="AA43" s="98">
        <v>0.33333333333333331</v>
      </c>
      <c r="AB43" s="98">
        <v>0.33333333333333331</v>
      </c>
      <c r="AC43" s="98">
        <v>0.33333333333333331</v>
      </c>
      <c r="AD43" s="98">
        <v>0.33333333333333331</v>
      </c>
      <c r="AE43" s="98">
        <v>0.33333333333333331</v>
      </c>
      <c r="AF43" s="98">
        <v>0.33333333333333331</v>
      </c>
      <c r="AG43" s="98">
        <v>0.33333333333333331</v>
      </c>
      <c r="AH43" s="98">
        <v>0.33333333333333331</v>
      </c>
      <c r="AI43" s="509"/>
    </row>
    <row r="44" spans="1:35" ht="15" customHeight="1">
      <c r="A44" s="2">
        <v>1</v>
      </c>
      <c r="B44" s="2" t="s">
        <v>129</v>
      </c>
      <c r="C44" s="503" t="s">
        <v>111</v>
      </c>
      <c r="D44" s="501"/>
      <c r="E44" s="20">
        <f t="shared" ref="E44:AH44" si="4">E6-D6</f>
        <v>373</v>
      </c>
      <c r="F44" s="20">
        <f t="shared" si="4"/>
        <v>277</v>
      </c>
      <c r="G44" s="20">
        <f t="shared" si="4"/>
        <v>270</v>
      </c>
      <c r="H44" s="20">
        <f t="shared" si="4"/>
        <v>274</v>
      </c>
      <c r="I44" s="20">
        <f t="shared" si="4"/>
        <v>212</v>
      </c>
      <c r="J44" s="20">
        <f t="shared" si="4"/>
        <v>215</v>
      </c>
      <c r="K44" s="20">
        <f t="shared" si="4"/>
        <v>265</v>
      </c>
      <c r="L44" s="20">
        <f t="shared" si="4"/>
        <v>274</v>
      </c>
      <c r="M44" s="20">
        <f t="shared" si="4"/>
        <v>273</v>
      </c>
      <c r="N44" s="20">
        <f t="shared" si="4"/>
        <v>278</v>
      </c>
      <c r="O44" s="20">
        <f t="shared" si="4"/>
        <v>272</v>
      </c>
      <c r="P44" s="20">
        <f t="shared" si="4"/>
        <v>207</v>
      </c>
      <c r="Q44" s="20">
        <f t="shared" si="4"/>
        <v>203</v>
      </c>
      <c r="R44" s="20">
        <f t="shared" si="4"/>
        <v>266</v>
      </c>
      <c r="S44" s="20">
        <f t="shared" si="4"/>
        <v>274</v>
      </c>
      <c r="T44" s="20">
        <f t="shared" si="4"/>
        <v>261</v>
      </c>
      <c r="U44" s="20">
        <f t="shared" si="4"/>
        <v>223</v>
      </c>
      <c r="V44" s="20">
        <f t="shared" si="4"/>
        <v>244</v>
      </c>
      <c r="W44" s="20">
        <f t="shared" si="4"/>
        <v>205</v>
      </c>
      <c r="X44" s="20">
        <f t="shared" si="4"/>
        <v>197</v>
      </c>
      <c r="Y44" s="20">
        <f t="shared" si="4"/>
        <v>245</v>
      </c>
      <c r="Z44" s="20">
        <f t="shared" si="4"/>
        <v>259</v>
      </c>
      <c r="AA44" s="20">
        <f t="shared" si="4"/>
        <v>266</v>
      </c>
      <c r="AB44" s="20">
        <f t="shared" si="4"/>
        <v>166</v>
      </c>
      <c r="AC44" s="20">
        <f t="shared" si="4"/>
        <v>259</v>
      </c>
      <c r="AD44" s="20">
        <f t="shared" si="4"/>
        <v>199</v>
      </c>
      <c r="AE44" s="20">
        <f t="shared" si="4"/>
        <v>199</v>
      </c>
      <c r="AF44" s="20">
        <f t="shared" si="4"/>
        <v>259</v>
      </c>
      <c r="AG44" s="20">
        <f t="shared" si="4"/>
        <v>274</v>
      </c>
      <c r="AH44" s="20">
        <f t="shared" si="4"/>
        <v>408</v>
      </c>
      <c r="AI44" s="21">
        <f t="shared" ref="AI44:AI61" si="5">SUM(E44:AH44)</f>
        <v>7597</v>
      </c>
    </row>
    <row r="45" spans="1:35" ht="15" customHeight="1">
      <c r="A45" s="2"/>
      <c r="B45" s="2"/>
      <c r="C45" s="531" t="s">
        <v>22</v>
      </c>
      <c r="D45" s="501"/>
      <c r="E45" s="20">
        <f t="shared" ref="E45:AH45" si="6">E7-D7</f>
        <v>0</v>
      </c>
      <c r="F45" s="20">
        <f t="shared" si="6"/>
        <v>0</v>
      </c>
      <c r="G45" s="20">
        <f t="shared" si="6"/>
        <v>0</v>
      </c>
      <c r="H45" s="20">
        <f t="shared" si="6"/>
        <v>0</v>
      </c>
      <c r="I45" s="20">
        <f t="shared" si="6"/>
        <v>0</v>
      </c>
      <c r="J45" s="20">
        <f t="shared" si="6"/>
        <v>0</v>
      </c>
      <c r="K45" s="20">
        <f t="shared" si="6"/>
        <v>0</v>
      </c>
      <c r="L45" s="20">
        <f t="shared" si="6"/>
        <v>0</v>
      </c>
      <c r="M45" s="20">
        <f t="shared" si="6"/>
        <v>0</v>
      </c>
      <c r="N45" s="20">
        <f t="shared" si="6"/>
        <v>0</v>
      </c>
      <c r="O45" s="20">
        <f t="shared" si="6"/>
        <v>0</v>
      </c>
      <c r="P45" s="20">
        <f t="shared" si="6"/>
        <v>0</v>
      </c>
      <c r="Q45" s="20">
        <f t="shared" si="6"/>
        <v>0</v>
      </c>
      <c r="R45" s="20">
        <f t="shared" si="6"/>
        <v>0</v>
      </c>
      <c r="S45" s="20">
        <f t="shared" si="6"/>
        <v>0</v>
      </c>
      <c r="T45" s="20">
        <f t="shared" si="6"/>
        <v>0</v>
      </c>
      <c r="U45" s="20">
        <f t="shared" si="6"/>
        <v>42</v>
      </c>
      <c r="V45" s="20">
        <f t="shared" si="6"/>
        <v>0</v>
      </c>
      <c r="W45" s="20">
        <f t="shared" si="6"/>
        <v>0</v>
      </c>
      <c r="X45" s="20">
        <f t="shared" si="6"/>
        <v>0</v>
      </c>
      <c r="Y45" s="20">
        <f t="shared" si="6"/>
        <v>0</v>
      </c>
      <c r="Z45" s="20">
        <f t="shared" si="6"/>
        <v>0</v>
      </c>
      <c r="AA45" s="20">
        <f t="shared" si="6"/>
        <v>0</v>
      </c>
      <c r="AB45" s="20">
        <f t="shared" si="6"/>
        <v>101</v>
      </c>
      <c r="AC45" s="20">
        <f t="shared" si="6"/>
        <v>5</v>
      </c>
      <c r="AD45" s="20">
        <f t="shared" si="6"/>
        <v>0</v>
      </c>
      <c r="AE45" s="20">
        <f t="shared" si="6"/>
        <v>0</v>
      </c>
      <c r="AF45" s="20">
        <f t="shared" si="6"/>
        <v>0</v>
      </c>
      <c r="AG45" s="20">
        <f t="shared" si="6"/>
        <v>0</v>
      </c>
      <c r="AH45" s="20">
        <f t="shared" si="6"/>
        <v>0</v>
      </c>
      <c r="AI45" s="21">
        <f t="shared" si="5"/>
        <v>148</v>
      </c>
    </row>
    <row r="46" spans="1:35" ht="15" customHeight="1">
      <c r="A46" s="2">
        <v>2</v>
      </c>
      <c r="B46" s="2" t="s">
        <v>129</v>
      </c>
      <c r="C46" s="503" t="s">
        <v>112</v>
      </c>
      <c r="D46" s="501"/>
      <c r="E46" s="20">
        <f t="shared" ref="E46:I59" si="7">E8-D8</f>
        <v>0</v>
      </c>
      <c r="F46" s="20">
        <f t="shared" si="7"/>
        <v>0</v>
      </c>
      <c r="G46" s="20">
        <f t="shared" si="7"/>
        <v>0</v>
      </c>
      <c r="H46" s="20">
        <f t="shared" si="7"/>
        <v>0</v>
      </c>
      <c r="I46" s="20">
        <f t="shared" si="7"/>
        <v>0</v>
      </c>
      <c r="J46" s="20">
        <f>P8-I8</f>
        <v>0</v>
      </c>
      <c r="K46" s="20">
        <f>K8-P8</f>
        <v>0</v>
      </c>
      <c r="L46" s="20">
        <f t="shared" ref="L46:O59" si="8">L8-K8</f>
        <v>0</v>
      </c>
      <c r="M46" s="20">
        <f t="shared" si="8"/>
        <v>0</v>
      </c>
      <c r="N46" s="20">
        <f t="shared" si="8"/>
        <v>0</v>
      </c>
      <c r="O46" s="20">
        <f t="shared" si="8"/>
        <v>0</v>
      </c>
      <c r="P46" s="20">
        <v>0</v>
      </c>
      <c r="Q46" s="20">
        <v>0</v>
      </c>
      <c r="R46" s="20">
        <f t="shared" ref="R46:AH46" si="9">R8-Q8</f>
        <v>0</v>
      </c>
      <c r="S46" s="20">
        <f t="shared" si="9"/>
        <v>0</v>
      </c>
      <c r="T46" s="20">
        <f t="shared" si="9"/>
        <v>0</v>
      </c>
      <c r="U46" s="20">
        <f t="shared" si="9"/>
        <v>0</v>
      </c>
      <c r="V46" s="20">
        <f t="shared" si="9"/>
        <v>0</v>
      </c>
      <c r="W46" s="20">
        <f t="shared" si="9"/>
        <v>0</v>
      </c>
      <c r="X46" s="20">
        <f t="shared" si="9"/>
        <v>0</v>
      </c>
      <c r="Y46" s="20">
        <f t="shared" si="9"/>
        <v>0</v>
      </c>
      <c r="Z46" s="20">
        <f t="shared" si="9"/>
        <v>0</v>
      </c>
      <c r="AA46" s="20">
        <f t="shared" si="9"/>
        <v>0</v>
      </c>
      <c r="AB46" s="20">
        <f t="shared" si="9"/>
        <v>0</v>
      </c>
      <c r="AC46" s="20">
        <f t="shared" si="9"/>
        <v>0</v>
      </c>
      <c r="AD46" s="20">
        <f t="shared" si="9"/>
        <v>0</v>
      </c>
      <c r="AE46" s="20">
        <f t="shared" si="9"/>
        <v>0</v>
      </c>
      <c r="AF46" s="20">
        <f t="shared" si="9"/>
        <v>0</v>
      </c>
      <c r="AG46" s="20">
        <f t="shared" si="9"/>
        <v>0</v>
      </c>
      <c r="AH46" s="20">
        <f t="shared" si="9"/>
        <v>0</v>
      </c>
      <c r="AI46" s="21">
        <f t="shared" si="5"/>
        <v>0</v>
      </c>
    </row>
    <row r="47" spans="1:35" ht="15" customHeight="1">
      <c r="A47" s="2"/>
      <c r="B47" s="2"/>
      <c r="C47" s="531" t="s">
        <v>22</v>
      </c>
      <c r="D47" s="501"/>
      <c r="E47" s="20">
        <f t="shared" si="7"/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ref="J47:K59" si="10">J9-I9</f>
        <v>0</v>
      </c>
      <c r="K47" s="20">
        <f t="shared" si="10"/>
        <v>0</v>
      </c>
      <c r="L47" s="20">
        <f t="shared" si="8"/>
        <v>0</v>
      </c>
      <c r="M47" s="20">
        <f t="shared" si="8"/>
        <v>0</v>
      </c>
      <c r="N47" s="20">
        <f t="shared" si="8"/>
        <v>0</v>
      </c>
      <c r="O47" s="20">
        <f t="shared" si="8"/>
        <v>0</v>
      </c>
      <c r="P47" s="20">
        <f t="shared" ref="P47:Q59" si="11">P9-O9</f>
        <v>0</v>
      </c>
      <c r="Q47" s="20">
        <f t="shared" si="11"/>
        <v>0</v>
      </c>
      <c r="R47" s="20">
        <f t="shared" ref="R47:AH47" si="12">R9-Q9</f>
        <v>0</v>
      </c>
      <c r="S47" s="20">
        <f t="shared" si="12"/>
        <v>0</v>
      </c>
      <c r="T47" s="20">
        <f t="shared" si="12"/>
        <v>0</v>
      </c>
      <c r="U47" s="20">
        <f t="shared" si="12"/>
        <v>0</v>
      </c>
      <c r="V47" s="20">
        <f t="shared" si="12"/>
        <v>0</v>
      </c>
      <c r="W47" s="20">
        <f t="shared" si="12"/>
        <v>0</v>
      </c>
      <c r="X47" s="20">
        <f t="shared" si="12"/>
        <v>0</v>
      </c>
      <c r="Y47" s="20">
        <f t="shared" si="12"/>
        <v>0</v>
      </c>
      <c r="Z47" s="20">
        <f t="shared" si="12"/>
        <v>0</v>
      </c>
      <c r="AA47" s="20">
        <f t="shared" si="12"/>
        <v>0</v>
      </c>
      <c r="AB47" s="20">
        <f t="shared" si="12"/>
        <v>0</v>
      </c>
      <c r="AC47" s="20">
        <f t="shared" si="12"/>
        <v>0</v>
      </c>
      <c r="AD47" s="20">
        <f t="shared" si="12"/>
        <v>0</v>
      </c>
      <c r="AE47" s="20">
        <f t="shared" si="12"/>
        <v>0</v>
      </c>
      <c r="AF47" s="20">
        <f t="shared" si="12"/>
        <v>0</v>
      </c>
      <c r="AG47" s="20">
        <f t="shared" si="12"/>
        <v>0</v>
      </c>
      <c r="AH47" s="20">
        <f t="shared" si="12"/>
        <v>0</v>
      </c>
      <c r="AI47" s="21">
        <f t="shared" si="5"/>
        <v>0</v>
      </c>
    </row>
    <row r="48" spans="1:35" ht="15" customHeight="1">
      <c r="A48" s="2">
        <v>3</v>
      </c>
      <c r="B48" s="2" t="s">
        <v>129</v>
      </c>
      <c r="C48" s="503" t="s">
        <v>113</v>
      </c>
      <c r="D48" s="501"/>
      <c r="E48" s="20">
        <f t="shared" si="7"/>
        <v>535</v>
      </c>
      <c r="F48" s="20">
        <f t="shared" si="7"/>
        <v>410</v>
      </c>
      <c r="G48" s="20">
        <f t="shared" si="7"/>
        <v>376</v>
      </c>
      <c r="H48" s="20">
        <f t="shared" si="7"/>
        <v>432</v>
      </c>
      <c r="I48" s="20">
        <f t="shared" si="7"/>
        <v>290</v>
      </c>
      <c r="J48" s="20">
        <f t="shared" si="10"/>
        <v>288</v>
      </c>
      <c r="K48" s="20">
        <f t="shared" si="10"/>
        <v>386</v>
      </c>
      <c r="L48" s="20">
        <f t="shared" si="8"/>
        <v>404</v>
      </c>
      <c r="M48" s="20">
        <f t="shared" si="8"/>
        <v>407</v>
      </c>
      <c r="N48" s="20">
        <f t="shared" si="8"/>
        <v>488</v>
      </c>
      <c r="O48" s="20">
        <f t="shared" si="8"/>
        <v>412</v>
      </c>
      <c r="P48" s="20">
        <f t="shared" si="11"/>
        <v>279</v>
      </c>
      <c r="Q48" s="20">
        <f t="shared" si="11"/>
        <v>268</v>
      </c>
      <c r="R48" s="20">
        <f t="shared" ref="R48:AH48" si="13">R10-Q10</f>
        <v>395</v>
      </c>
      <c r="S48" s="20">
        <f t="shared" si="13"/>
        <v>402</v>
      </c>
      <c r="T48" s="20">
        <f t="shared" si="13"/>
        <v>388</v>
      </c>
      <c r="U48" s="20">
        <f t="shared" si="13"/>
        <v>325</v>
      </c>
      <c r="V48" s="20">
        <f t="shared" si="13"/>
        <v>344</v>
      </c>
      <c r="W48" s="20">
        <f t="shared" si="13"/>
        <v>224</v>
      </c>
      <c r="X48" s="20">
        <f t="shared" si="13"/>
        <v>307</v>
      </c>
      <c r="Y48" s="20">
        <f t="shared" si="13"/>
        <v>348</v>
      </c>
      <c r="Z48" s="20">
        <f t="shared" si="13"/>
        <v>374</v>
      </c>
      <c r="AA48" s="20">
        <f t="shared" si="13"/>
        <v>395</v>
      </c>
      <c r="AB48" s="20">
        <f t="shared" si="13"/>
        <v>238</v>
      </c>
      <c r="AC48" s="20">
        <f t="shared" si="13"/>
        <v>373</v>
      </c>
      <c r="AD48" s="20">
        <f t="shared" si="13"/>
        <v>265</v>
      </c>
      <c r="AE48" s="20">
        <f t="shared" si="13"/>
        <v>263</v>
      </c>
      <c r="AF48" s="20">
        <f t="shared" si="13"/>
        <v>382</v>
      </c>
      <c r="AG48" s="20">
        <f t="shared" si="13"/>
        <v>401</v>
      </c>
      <c r="AH48" s="20">
        <f t="shared" si="13"/>
        <v>417</v>
      </c>
      <c r="AI48" s="21">
        <f t="shared" si="5"/>
        <v>10816</v>
      </c>
    </row>
    <row r="49" spans="1:37" ht="15" customHeight="1">
      <c r="A49" s="2"/>
      <c r="B49" s="2"/>
      <c r="C49" s="531" t="s">
        <v>22</v>
      </c>
      <c r="D49" s="501"/>
      <c r="E49" s="20">
        <f t="shared" si="7"/>
        <v>0</v>
      </c>
      <c r="F49" s="20">
        <f t="shared" si="7"/>
        <v>0</v>
      </c>
      <c r="G49" s="20">
        <f t="shared" si="7"/>
        <v>0</v>
      </c>
      <c r="H49" s="20">
        <f t="shared" si="7"/>
        <v>0</v>
      </c>
      <c r="I49" s="20">
        <f t="shared" si="7"/>
        <v>0</v>
      </c>
      <c r="J49" s="20">
        <f t="shared" si="10"/>
        <v>0</v>
      </c>
      <c r="K49" s="20">
        <f t="shared" si="10"/>
        <v>0</v>
      </c>
      <c r="L49" s="20">
        <f t="shared" si="8"/>
        <v>0</v>
      </c>
      <c r="M49" s="20">
        <f t="shared" si="8"/>
        <v>0</v>
      </c>
      <c r="N49" s="20">
        <f t="shared" si="8"/>
        <v>0</v>
      </c>
      <c r="O49" s="20">
        <f t="shared" si="8"/>
        <v>0</v>
      </c>
      <c r="P49" s="20">
        <f t="shared" si="11"/>
        <v>0</v>
      </c>
      <c r="Q49" s="20">
        <f t="shared" si="11"/>
        <v>0</v>
      </c>
      <c r="R49" s="20">
        <f t="shared" ref="R49:AH49" si="14">R11-Q11</f>
        <v>0</v>
      </c>
      <c r="S49" s="20">
        <f t="shared" si="14"/>
        <v>0</v>
      </c>
      <c r="T49" s="20">
        <f t="shared" si="14"/>
        <v>0</v>
      </c>
      <c r="U49" s="20">
        <f t="shared" si="14"/>
        <v>64</v>
      </c>
      <c r="V49" s="20">
        <f t="shared" si="14"/>
        <v>0</v>
      </c>
      <c r="W49" s="20">
        <f t="shared" si="14"/>
        <v>0</v>
      </c>
      <c r="X49" s="20">
        <f t="shared" si="14"/>
        <v>0</v>
      </c>
      <c r="Y49" s="20">
        <f t="shared" si="14"/>
        <v>0</v>
      </c>
      <c r="Z49" s="20">
        <f t="shared" si="14"/>
        <v>0</v>
      </c>
      <c r="AA49" s="20">
        <f t="shared" si="14"/>
        <v>0</v>
      </c>
      <c r="AB49" s="20">
        <f t="shared" si="14"/>
        <v>155</v>
      </c>
      <c r="AC49" s="20">
        <f t="shared" si="14"/>
        <v>7</v>
      </c>
      <c r="AD49" s="20">
        <f t="shared" si="14"/>
        <v>0</v>
      </c>
      <c r="AE49" s="20">
        <f t="shared" si="14"/>
        <v>0</v>
      </c>
      <c r="AF49" s="20">
        <f t="shared" si="14"/>
        <v>0</v>
      </c>
      <c r="AG49" s="20">
        <f t="shared" si="14"/>
        <v>0</v>
      </c>
      <c r="AH49" s="20">
        <f t="shared" si="14"/>
        <v>0</v>
      </c>
      <c r="AI49" s="21">
        <f t="shared" si="5"/>
        <v>226</v>
      </c>
    </row>
    <row r="50" spans="1:37" ht="15" customHeight="1">
      <c r="A50" s="2">
        <v>4</v>
      </c>
      <c r="B50" s="2" t="s">
        <v>129</v>
      </c>
      <c r="C50" s="503" t="s">
        <v>114</v>
      </c>
      <c r="D50" s="501"/>
      <c r="E50" s="20">
        <f t="shared" si="7"/>
        <v>0</v>
      </c>
      <c r="F50" s="20">
        <f t="shared" si="7"/>
        <v>0</v>
      </c>
      <c r="G50" s="20">
        <f t="shared" si="7"/>
        <v>0</v>
      </c>
      <c r="H50" s="20">
        <f t="shared" si="7"/>
        <v>0</v>
      </c>
      <c r="I50" s="20">
        <f t="shared" si="7"/>
        <v>0</v>
      </c>
      <c r="J50" s="20">
        <f t="shared" si="10"/>
        <v>0</v>
      </c>
      <c r="K50" s="20">
        <f t="shared" si="10"/>
        <v>0</v>
      </c>
      <c r="L50" s="20">
        <f t="shared" si="8"/>
        <v>0</v>
      </c>
      <c r="M50" s="20">
        <f t="shared" si="8"/>
        <v>0</v>
      </c>
      <c r="N50" s="20">
        <f t="shared" si="8"/>
        <v>0</v>
      </c>
      <c r="O50" s="20">
        <f t="shared" si="8"/>
        <v>0</v>
      </c>
      <c r="P50" s="20">
        <f t="shared" si="11"/>
        <v>0</v>
      </c>
      <c r="Q50" s="20">
        <f t="shared" si="11"/>
        <v>0</v>
      </c>
      <c r="R50" s="20">
        <f t="shared" ref="R50:AH50" si="15">R12-Q12</f>
        <v>0</v>
      </c>
      <c r="S50" s="20">
        <f t="shared" si="15"/>
        <v>0</v>
      </c>
      <c r="T50" s="20">
        <f t="shared" si="15"/>
        <v>0</v>
      </c>
      <c r="U50" s="20">
        <f t="shared" si="15"/>
        <v>0</v>
      </c>
      <c r="V50" s="20">
        <f t="shared" si="15"/>
        <v>0</v>
      </c>
      <c r="W50" s="20">
        <f t="shared" si="15"/>
        <v>0</v>
      </c>
      <c r="X50" s="20">
        <f t="shared" si="15"/>
        <v>0</v>
      </c>
      <c r="Y50" s="20">
        <f t="shared" si="15"/>
        <v>0</v>
      </c>
      <c r="Z50" s="20">
        <f t="shared" si="15"/>
        <v>0</v>
      </c>
      <c r="AA50" s="20">
        <f t="shared" si="15"/>
        <v>0</v>
      </c>
      <c r="AB50" s="20">
        <f t="shared" si="15"/>
        <v>0</v>
      </c>
      <c r="AC50" s="20">
        <f t="shared" si="15"/>
        <v>0</v>
      </c>
      <c r="AD50" s="20">
        <f t="shared" si="15"/>
        <v>0</v>
      </c>
      <c r="AE50" s="20">
        <f t="shared" si="15"/>
        <v>0</v>
      </c>
      <c r="AF50" s="20">
        <f t="shared" si="15"/>
        <v>0</v>
      </c>
      <c r="AG50" s="20">
        <f t="shared" si="15"/>
        <v>0</v>
      </c>
      <c r="AH50" s="20">
        <f t="shared" si="15"/>
        <v>0</v>
      </c>
      <c r="AI50" s="21">
        <f t="shared" si="5"/>
        <v>0</v>
      </c>
      <c r="AJ50" s="115" t="s">
        <v>20</v>
      </c>
      <c r="AK50" s="116">
        <f>SUM(AI44,AI46,AI48,AI50,AI52,AI54,AI56,AI58)</f>
        <v>54596</v>
      </c>
    </row>
    <row r="51" spans="1:37" ht="15" customHeight="1">
      <c r="A51" s="2"/>
      <c r="B51" s="2"/>
      <c r="C51" s="531" t="s">
        <v>22</v>
      </c>
      <c r="D51" s="501"/>
      <c r="E51" s="20">
        <f t="shared" si="7"/>
        <v>0</v>
      </c>
      <c r="F51" s="20">
        <f t="shared" si="7"/>
        <v>0</v>
      </c>
      <c r="G51" s="20">
        <f t="shared" si="7"/>
        <v>0</v>
      </c>
      <c r="H51" s="20">
        <f t="shared" si="7"/>
        <v>0</v>
      </c>
      <c r="I51" s="20">
        <f t="shared" si="7"/>
        <v>0</v>
      </c>
      <c r="J51" s="20">
        <f t="shared" si="10"/>
        <v>0</v>
      </c>
      <c r="K51" s="20">
        <f t="shared" si="10"/>
        <v>0</v>
      </c>
      <c r="L51" s="20">
        <f t="shared" si="8"/>
        <v>0</v>
      </c>
      <c r="M51" s="20">
        <f t="shared" si="8"/>
        <v>0</v>
      </c>
      <c r="N51" s="20">
        <f t="shared" si="8"/>
        <v>0</v>
      </c>
      <c r="O51" s="20">
        <f t="shared" si="8"/>
        <v>0</v>
      </c>
      <c r="P51" s="20">
        <f t="shared" si="11"/>
        <v>0</v>
      </c>
      <c r="Q51" s="20">
        <f t="shared" si="11"/>
        <v>0</v>
      </c>
      <c r="R51" s="20">
        <f t="shared" ref="R51:AH51" si="16">R13-Q13</f>
        <v>0</v>
      </c>
      <c r="S51" s="20">
        <f t="shared" si="16"/>
        <v>0</v>
      </c>
      <c r="T51" s="20">
        <f t="shared" si="16"/>
        <v>0</v>
      </c>
      <c r="U51" s="20">
        <f t="shared" si="16"/>
        <v>0</v>
      </c>
      <c r="V51" s="20">
        <f t="shared" si="16"/>
        <v>0</v>
      </c>
      <c r="W51" s="20">
        <f t="shared" si="16"/>
        <v>0</v>
      </c>
      <c r="X51" s="20">
        <f t="shared" si="16"/>
        <v>0</v>
      </c>
      <c r="Y51" s="20">
        <f t="shared" si="16"/>
        <v>0</v>
      </c>
      <c r="Z51" s="20">
        <f t="shared" si="16"/>
        <v>0</v>
      </c>
      <c r="AA51" s="20">
        <f t="shared" si="16"/>
        <v>0</v>
      </c>
      <c r="AB51" s="20">
        <f t="shared" si="16"/>
        <v>0</v>
      </c>
      <c r="AC51" s="20">
        <f t="shared" si="16"/>
        <v>0</v>
      </c>
      <c r="AD51" s="20">
        <f t="shared" si="16"/>
        <v>0</v>
      </c>
      <c r="AE51" s="20">
        <f t="shared" si="16"/>
        <v>0</v>
      </c>
      <c r="AF51" s="20">
        <f t="shared" si="16"/>
        <v>0</v>
      </c>
      <c r="AG51" s="20">
        <f t="shared" si="16"/>
        <v>0</v>
      </c>
      <c r="AH51" s="20">
        <f t="shared" si="16"/>
        <v>0</v>
      </c>
      <c r="AI51" s="147">
        <f t="shared" si="5"/>
        <v>0</v>
      </c>
      <c r="AJ51" s="115" t="s">
        <v>21</v>
      </c>
      <c r="AK51" s="116">
        <f>SUM(AI65,AI67,AI69,AI71)</f>
        <v>6393</v>
      </c>
    </row>
    <row r="52" spans="1:37" ht="15" customHeight="1">
      <c r="A52" s="2">
        <v>5</v>
      </c>
      <c r="B52" s="2" t="s">
        <v>129</v>
      </c>
      <c r="C52" s="503" t="s">
        <v>115</v>
      </c>
      <c r="D52" s="501"/>
      <c r="E52" s="20">
        <f t="shared" si="7"/>
        <v>267</v>
      </c>
      <c r="F52" s="20">
        <f t="shared" si="7"/>
        <v>212</v>
      </c>
      <c r="G52" s="20">
        <f t="shared" si="7"/>
        <v>195</v>
      </c>
      <c r="H52" s="20">
        <f t="shared" si="7"/>
        <v>193</v>
      </c>
      <c r="I52" s="20">
        <f t="shared" si="7"/>
        <v>83</v>
      </c>
      <c r="J52" s="20">
        <f t="shared" si="10"/>
        <v>89</v>
      </c>
      <c r="K52" s="20">
        <f t="shared" si="10"/>
        <v>198</v>
      </c>
      <c r="L52" s="20">
        <f t="shared" si="8"/>
        <v>222</v>
      </c>
      <c r="M52" s="20">
        <f t="shared" si="8"/>
        <v>221</v>
      </c>
      <c r="N52" s="20">
        <f t="shared" si="8"/>
        <v>221</v>
      </c>
      <c r="O52" s="20">
        <f t="shared" si="8"/>
        <v>211</v>
      </c>
      <c r="P52" s="20">
        <f t="shared" si="11"/>
        <v>110</v>
      </c>
      <c r="Q52" s="20">
        <f t="shared" si="11"/>
        <v>112</v>
      </c>
      <c r="R52" s="20">
        <f t="shared" ref="R52:AH52" si="17">R14-Q14</f>
        <v>206</v>
      </c>
      <c r="S52" s="20">
        <f t="shared" si="17"/>
        <v>218</v>
      </c>
      <c r="T52" s="20">
        <f t="shared" si="17"/>
        <v>215</v>
      </c>
      <c r="U52" s="20">
        <f t="shared" si="17"/>
        <v>174</v>
      </c>
      <c r="V52" s="20">
        <f t="shared" si="17"/>
        <v>183</v>
      </c>
      <c r="W52" s="20">
        <f t="shared" si="17"/>
        <v>114</v>
      </c>
      <c r="X52" s="20">
        <f t="shared" si="17"/>
        <v>118</v>
      </c>
      <c r="Y52" s="20">
        <f t="shared" si="17"/>
        <v>202</v>
      </c>
      <c r="Z52" s="20">
        <f t="shared" si="17"/>
        <v>206</v>
      </c>
      <c r="AA52" s="20">
        <f t="shared" si="17"/>
        <v>224</v>
      </c>
      <c r="AB52" s="20">
        <f t="shared" si="17"/>
        <v>130</v>
      </c>
      <c r="AC52" s="20">
        <f t="shared" si="17"/>
        <v>199</v>
      </c>
      <c r="AD52" s="20">
        <f t="shared" si="17"/>
        <v>101</v>
      </c>
      <c r="AE52" s="20">
        <f t="shared" si="17"/>
        <v>89</v>
      </c>
      <c r="AF52" s="20">
        <f t="shared" si="17"/>
        <v>207</v>
      </c>
      <c r="AG52" s="20">
        <f t="shared" si="17"/>
        <v>212</v>
      </c>
      <c r="AH52" s="20">
        <f t="shared" si="17"/>
        <v>230</v>
      </c>
      <c r="AI52" s="149">
        <f t="shared" si="5"/>
        <v>5362</v>
      </c>
      <c r="AJ52" s="115" t="s">
        <v>23</v>
      </c>
      <c r="AK52" s="116">
        <f>AI79*40%</f>
        <v>28982</v>
      </c>
    </row>
    <row r="53" spans="1:37" ht="15" customHeight="1">
      <c r="A53" s="2"/>
      <c r="B53" s="2"/>
      <c r="C53" s="531" t="s">
        <v>22</v>
      </c>
      <c r="D53" s="501"/>
      <c r="E53" s="20">
        <f t="shared" si="7"/>
        <v>0</v>
      </c>
      <c r="F53" s="20">
        <f t="shared" si="7"/>
        <v>0</v>
      </c>
      <c r="G53" s="20">
        <f t="shared" si="7"/>
        <v>0</v>
      </c>
      <c r="H53" s="20">
        <f t="shared" si="7"/>
        <v>0</v>
      </c>
      <c r="I53" s="20">
        <f t="shared" si="7"/>
        <v>0</v>
      </c>
      <c r="J53" s="20">
        <f t="shared" si="10"/>
        <v>0</v>
      </c>
      <c r="K53" s="20">
        <f t="shared" si="10"/>
        <v>0</v>
      </c>
      <c r="L53" s="20">
        <f t="shared" si="8"/>
        <v>0</v>
      </c>
      <c r="M53" s="20">
        <f t="shared" si="8"/>
        <v>0</v>
      </c>
      <c r="N53" s="20">
        <f t="shared" si="8"/>
        <v>0</v>
      </c>
      <c r="O53" s="20">
        <f t="shared" si="8"/>
        <v>0</v>
      </c>
      <c r="P53" s="20">
        <f t="shared" si="11"/>
        <v>0</v>
      </c>
      <c r="Q53" s="20">
        <f t="shared" si="11"/>
        <v>0</v>
      </c>
      <c r="R53" s="20">
        <f t="shared" ref="R53:AH53" si="18">R15-Q15</f>
        <v>0</v>
      </c>
      <c r="S53" s="20">
        <f t="shared" si="18"/>
        <v>0</v>
      </c>
      <c r="T53" s="20">
        <f t="shared" si="18"/>
        <v>0</v>
      </c>
      <c r="U53" s="20">
        <f t="shared" si="18"/>
        <v>36</v>
      </c>
      <c r="V53" s="20">
        <f t="shared" si="18"/>
        <v>0</v>
      </c>
      <c r="W53" s="20">
        <f t="shared" si="18"/>
        <v>0</v>
      </c>
      <c r="X53" s="20">
        <f t="shared" si="18"/>
        <v>0</v>
      </c>
      <c r="Y53" s="20">
        <f t="shared" si="18"/>
        <v>0</v>
      </c>
      <c r="Z53" s="20">
        <f t="shared" si="18"/>
        <v>0</v>
      </c>
      <c r="AA53" s="20">
        <f t="shared" si="18"/>
        <v>0</v>
      </c>
      <c r="AB53" s="20">
        <f t="shared" si="18"/>
        <v>91</v>
      </c>
      <c r="AC53" s="20">
        <f t="shared" si="18"/>
        <v>4</v>
      </c>
      <c r="AD53" s="20">
        <f t="shared" si="18"/>
        <v>0</v>
      </c>
      <c r="AE53" s="20">
        <f t="shared" si="18"/>
        <v>0</v>
      </c>
      <c r="AF53" s="20">
        <f t="shared" si="18"/>
        <v>0</v>
      </c>
      <c r="AG53" s="20">
        <f t="shared" si="18"/>
        <v>0</v>
      </c>
      <c r="AH53" s="20">
        <f t="shared" si="18"/>
        <v>0</v>
      </c>
      <c r="AI53" s="149">
        <f t="shared" si="5"/>
        <v>131</v>
      </c>
      <c r="AJ53" s="117" t="s">
        <v>22</v>
      </c>
      <c r="AK53" s="118">
        <f>SUM(AI61,AI74)</f>
        <v>1459</v>
      </c>
    </row>
    <row r="54" spans="1:37" ht="15" customHeight="1">
      <c r="A54" s="2">
        <v>6</v>
      </c>
      <c r="B54" s="2" t="s">
        <v>129</v>
      </c>
      <c r="C54" s="503" t="s">
        <v>116</v>
      </c>
      <c r="D54" s="501"/>
      <c r="E54" s="20">
        <f t="shared" si="7"/>
        <v>306</v>
      </c>
      <c r="F54" s="20">
        <f t="shared" si="7"/>
        <v>275</v>
      </c>
      <c r="G54" s="20">
        <f t="shared" si="7"/>
        <v>274</v>
      </c>
      <c r="H54" s="20">
        <f t="shared" si="7"/>
        <v>288</v>
      </c>
      <c r="I54" s="20">
        <f t="shared" si="7"/>
        <v>100</v>
      </c>
      <c r="J54" s="20">
        <f t="shared" si="10"/>
        <v>136</v>
      </c>
      <c r="K54" s="20">
        <f t="shared" si="10"/>
        <v>268</v>
      </c>
      <c r="L54" s="20">
        <f t="shared" si="8"/>
        <v>295</v>
      </c>
      <c r="M54" s="20">
        <f t="shared" si="8"/>
        <v>264</v>
      </c>
      <c r="N54" s="20">
        <f t="shared" si="8"/>
        <v>300</v>
      </c>
      <c r="O54" s="20">
        <f t="shared" si="8"/>
        <v>281</v>
      </c>
      <c r="P54" s="20">
        <f t="shared" si="11"/>
        <v>125</v>
      </c>
      <c r="Q54" s="20">
        <f t="shared" si="11"/>
        <v>99</v>
      </c>
      <c r="R54" s="20">
        <f t="shared" ref="R54:AH54" si="19">R16-Q16</f>
        <v>286</v>
      </c>
      <c r="S54" s="20">
        <f t="shared" si="19"/>
        <v>256</v>
      </c>
      <c r="T54" s="20">
        <f t="shared" si="19"/>
        <v>296</v>
      </c>
      <c r="U54" s="20">
        <f t="shared" si="19"/>
        <v>216</v>
      </c>
      <c r="V54" s="20">
        <f t="shared" si="19"/>
        <v>264</v>
      </c>
      <c r="W54" s="20">
        <f t="shared" si="19"/>
        <v>123</v>
      </c>
      <c r="X54" s="20">
        <f t="shared" si="19"/>
        <v>113</v>
      </c>
      <c r="Y54" s="20">
        <f t="shared" si="19"/>
        <v>274</v>
      </c>
      <c r="Z54" s="20">
        <f t="shared" si="19"/>
        <v>283</v>
      </c>
      <c r="AA54" s="20">
        <f t="shared" si="19"/>
        <v>278</v>
      </c>
      <c r="AB54" s="20">
        <f t="shared" si="19"/>
        <v>163</v>
      </c>
      <c r="AC54" s="20">
        <f t="shared" si="19"/>
        <v>262</v>
      </c>
      <c r="AD54" s="20">
        <f t="shared" si="19"/>
        <v>102</v>
      </c>
      <c r="AE54" s="20">
        <f t="shared" si="19"/>
        <v>100</v>
      </c>
      <c r="AF54" s="20">
        <f t="shared" si="19"/>
        <v>265</v>
      </c>
      <c r="AG54" s="20">
        <f t="shared" si="19"/>
        <v>252</v>
      </c>
      <c r="AH54" s="20">
        <f t="shared" si="19"/>
        <v>267</v>
      </c>
      <c r="AI54" s="149">
        <f t="shared" si="5"/>
        <v>6811</v>
      </c>
    </row>
    <row r="55" spans="1:37" ht="15" customHeight="1">
      <c r="A55" s="2"/>
      <c r="B55" s="2"/>
      <c r="C55" s="531" t="s">
        <v>22</v>
      </c>
      <c r="D55" s="501"/>
      <c r="E55" s="20">
        <f t="shared" si="7"/>
        <v>0</v>
      </c>
      <c r="F55" s="20">
        <f t="shared" si="7"/>
        <v>0</v>
      </c>
      <c r="G55" s="20">
        <f t="shared" si="7"/>
        <v>0</v>
      </c>
      <c r="H55" s="20">
        <f t="shared" si="7"/>
        <v>0</v>
      </c>
      <c r="I55" s="20">
        <f t="shared" si="7"/>
        <v>0</v>
      </c>
      <c r="J55" s="20">
        <f t="shared" si="10"/>
        <v>0</v>
      </c>
      <c r="K55" s="20">
        <f t="shared" si="10"/>
        <v>0</v>
      </c>
      <c r="L55" s="20">
        <f t="shared" si="8"/>
        <v>0</v>
      </c>
      <c r="M55" s="20">
        <f t="shared" si="8"/>
        <v>0</v>
      </c>
      <c r="N55" s="20">
        <f t="shared" si="8"/>
        <v>0</v>
      </c>
      <c r="O55" s="20">
        <f t="shared" si="8"/>
        <v>0</v>
      </c>
      <c r="P55" s="20">
        <f t="shared" si="11"/>
        <v>0</v>
      </c>
      <c r="Q55" s="20">
        <f t="shared" si="11"/>
        <v>0</v>
      </c>
      <c r="R55" s="20">
        <f t="shared" ref="R55:AH55" si="20">R17-Q17</f>
        <v>0</v>
      </c>
      <c r="S55" s="20">
        <f t="shared" si="20"/>
        <v>0</v>
      </c>
      <c r="T55" s="20">
        <f t="shared" si="20"/>
        <v>0</v>
      </c>
      <c r="U55" s="20">
        <f t="shared" si="20"/>
        <v>49</v>
      </c>
      <c r="V55" s="20">
        <f t="shared" si="20"/>
        <v>0</v>
      </c>
      <c r="W55" s="20">
        <f t="shared" si="20"/>
        <v>0</v>
      </c>
      <c r="X55" s="20">
        <f t="shared" si="20"/>
        <v>0</v>
      </c>
      <c r="Y55" s="20">
        <f t="shared" si="20"/>
        <v>0</v>
      </c>
      <c r="Z55" s="20">
        <f t="shared" si="20"/>
        <v>0</v>
      </c>
      <c r="AA55" s="20">
        <f t="shared" si="20"/>
        <v>0</v>
      </c>
      <c r="AB55" s="20">
        <f t="shared" si="20"/>
        <v>127</v>
      </c>
      <c r="AC55" s="20">
        <f t="shared" si="20"/>
        <v>4</v>
      </c>
      <c r="AD55" s="20">
        <f t="shared" si="20"/>
        <v>0</v>
      </c>
      <c r="AE55" s="20">
        <f t="shared" si="20"/>
        <v>0</v>
      </c>
      <c r="AF55" s="20">
        <f t="shared" si="20"/>
        <v>0</v>
      </c>
      <c r="AG55" s="20">
        <f t="shared" si="20"/>
        <v>0</v>
      </c>
      <c r="AH55" s="20">
        <f t="shared" si="20"/>
        <v>0</v>
      </c>
      <c r="AI55" s="149">
        <f t="shared" si="5"/>
        <v>180</v>
      </c>
    </row>
    <row r="56" spans="1:37" ht="15" customHeight="1">
      <c r="A56" s="2">
        <v>7</v>
      </c>
      <c r="B56" s="2" t="s">
        <v>129</v>
      </c>
      <c r="C56" s="503" t="s">
        <v>117</v>
      </c>
      <c r="D56" s="501"/>
      <c r="E56" s="20">
        <f t="shared" si="7"/>
        <v>790</v>
      </c>
      <c r="F56" s="20">
        <f t="shared" si="7"/>
        <v>741</v>
      </c>
      <c r="G56" s="20">
        <f t="shared" si="7"/>
        <v>700</v>
      </c>
      <c r="H56" s="20">
        <f t="shared" si="7"/>
        <v>709</v>
      </c>
      <c r="I56" s="20">
        <f t="shared" si="7"/>
        <v>461</v>
      </c>
      <c r="J56" s="20">
        <f t="shared" si="10"/>
        <v>438</v>
      </c>
      <c r="K56" s="20">
        <f t="shared" si="10"/>
        <v>706</v>
      </c>
      <c r="L56" s="20">
        <f t="shared" si="8"/>
        <v>713</v>
      </c>
      <c r="M56" s="20">
        <f t="shared" si="8"/>
        <v>747</v>
      </c>
      <c r="N56" s="20">
        <f t="shared" si="8"/>
        <v>755</v>
      </c>
      <c r="O56" s="20">
        <f t="shared" si="8"/>
        <v>741</v>
      </c>
      <c r="P56" s="20">
        <f t="shared" si="11"/>
        <v>588</v>
      </c>
      <c r="Q56" s="20">
        <f t="shared" si="11"/>
        <v>489</v>
      </c>
      <c r="R56" s="20">
        <f t="shared" ref="R56:AH56" si="21">R18-Q18</f>
        <v>726</v>
      </c>
      <c r="S56" s="20">
        <f t="shared" si="21"/>
        <v>757</v>
      </c>
      <c r="T56" s="20">
        <f t="shared" si="21"/>
        <v>713</v>
      </c>
      <c r="U56" s="20">
        <f t="shared" si="21"/>
        <v>636</v>
      </c>
      <c r="V56" s="20">
        <f t="shared" si="21"/>
        <v>735</v>
      </c>
      <c r="W56" s="20">
        <f t="shared" si="21"/>
        <v>588</v>
      </c>
      <c r="X56" s="20">
        <f t="shared" si="21"/>
        <v>506</v>
      </c>
      <c r="Y56" s="20">
        <f t="shared" si="21"/>
        <v>686</v>
      </c>
      <c r="Z56" s="20">
        <f t="shared" si="21"/>
        <v>649</v>
      </c>
      <c r="AA56" s="20">
        <f t="shared" si="21"/>
        <v>770</v>
      </c>
      <c r="AB56" s="20">
        <f t="shared" si="21"/>
        <v>442</v>
      </c>
      <c r="AC56" s="20">
        <f t="shared" si="21"/>
        <v>750</v>
      </c>
      <c r="AD56" s="20">
        <f t="shared" si="21"/>
        <v>559</v>
      </c>
      <c r="AE56" s="20">
        <f t="shared" si="21"/>
        <v>427</v>
      </c>
      <c r="AF56" s="20">
        <f t="shared" si="21"/>
        <v>758</v>
      </c>
      <c r="AG56" s="20">
        <f t="shared" si="21"/>
        <v>768</v>
      </c>
      <c r="AH56" s="20">
        <f t="shared" si="21"/>
        <v>801</v>
      </c>
      <c r="AI56" s="149">
        <f t="shared" si="5"/>
        <v>19849</v>
      </c>
    </row>
    <row r="57" spans="1:37" ht="15" customHeight="1">
      <c r="A57" s="2"/>
      <c r="B57" s="2"/>
      <c r="C57" s="531" t="s">
        <v>22</v>
      </c>
      <c r="D57" s="501"/>
      <c r="E57" s="20">
        <f t="shared" si="7"/>
        <v>0</v>
      </c>
      <c r="F57" s="20">
        <f t="shared" si="7"/>
        <v>0</v>
      </c>
      <c r="G57" s="20">
        <f t="shared" si="7"/>
        <v>0</v>
      </c>
      <c r="H57" s="20">
        <f t="shared" si="7"/>
        <v>0</v>
      </c>
      <c r="I57" s="20">
        <f t="shared" si="7"/>
        <v>0</v>
      </c>
      <c r="J57" s="20">
        <f t="shared" si="10"/>
        <v>0</v>
      </c>
      <c r="K57" s="20">
        <f t="shared" si="10"/>
        <v>0</v>
      </c>
      <c r="L57" s="20">
        <f t="shared" si="8"/>
        <v>0</v>
      </c>
      <c r="M57" s="20">
        <f t="shared" si="8"/>
        <v>0</v>
      </c>
      <c r="N57" s="20">
        <f t="shared" si="8"/>
        <v>0</v>
      </c>
      <c r="O57" s="20">
        <f t="shared" si="8"/>
        <v>0</v>
      </c>
      <c r="P57" s="20">
        <f t="shared" si="11"/>
        <v>0</v>
      </c>
      <c r="Q57" s="20">
        <f t="shared" si="11"/>
        <v>0</v>
      </c>
      <c r="R57" s="20">
        <f t="shared" ref="R57:AH57" si="22">R19-Q19</f>
        <v>0</v>
      </c>
      <c r="S57" s="20">
        <f t="shared" si="22"/>
        <v>0</v>
      </c>
      <c r="T57" s="20">
        <f t="shared" si="22"/>
        <v>0</v>
      </c>
      <c r="U57" s="20">
        <f t="shared" si="22"/>
        <v>128</v>
      </c>
      <c r="V57" s="20">
        <f t="shared" si="22"/>
        <v>0</v>
      </c>
      <c r="W57" s="20">
        <f t="shared" si="22"/>
        <v>0</v>
      </c>
      <c r="X57" s="20">
        <f t="shared" si="22"/>
        <v>0</v>
      </c>
      <c r="Y57" s="20">
        <f t="shared" si="22"/>
        <v>0</v>
      </c>
      <c r="Z57" s="20">
        <f t="shared" si="22"/>
        <v>0</v>
      </c>
      <c r="AA57" s="20">
        <f t="shared" si="22"/>
        <v>0</v>
      </c>
      <c r="AB57" s="20">
        <f t="shared" si="22"/>
        <v>297</v>
      </c>
      <c r="AC57" s="20">
        <f t="shared" si="22"/>
        <v>18</v>
      </c>
      <c r="AD57" s="20">
        <f t="shared" si="22"/>
        <v>0</v>
      </c>
      <c r="AE57" s="20">
        <f t="shared" si="22"/>
        <v>0</v>
      </c>
      <c r="AF57" s="20">
        <f t="shared" si="22"/>
        <v>0</v>
      </c>
      <c r="AG57" s="20">
        <f t="shared" si="22"/>
        <v>0</v>
      </c>
      <c r="AH57" s="20">
        <f t="shared" si="22"/>
        <v>0</v>
      </c>
      <c r="AI57" s="149">
        <f t="shared" si="5"/>
        <v>443</v>
      </c>
    </row>
    <row r="58" spans="1:37" ht="15" customHeight="1">
      <c r="A58" s="2">
        <v>8</v>
      </c>
      <c r="B58" s="2" t="s">
        <v>129</v>
      </c>
      <c r="C58" s="503" t="s">
        <v>118</v>
      </c>
      <c r="D58" s="501"/>
      <c r="E58" s="20">
        <f t="shared" si="7"/>
        <v>177</v>
      </c>
      <c r="F58" s="20">
        <f t="shared" si="7"/>
        <v>118</v>
      </c>
      <c r="G58" s="20">
        <f t="shared" si="7"/>
        <v>128</v>
      </c>
      <c r="H58" s="20">
        <f t="shared" si="7"/>
        <v>116</v>
      </c>
      <c r="I58" s="20">
        <f t="shared" si="7"/>
        <v>106</v>
      </c>
      <c r="J58" s="20">
        <f t="shared" si="10"/>
        <v>119</v>
      </c>
      <c r="K58" s="20">
        <f t="shared" si="10"/>
        <v>175</v>
      </c>
      <c r="L58" s="20">
        <f t="shared" si="8"/>
        <v>141</v>
      </c>
      <c r="M58" s="20">
        <f t="shared" si="8"/>
        <v>186</v>
      </c>
      <c r="N58" s="20">
        <f t="shared" si="8"/>
        <v>145</v>
      </c>
      <c r="O58" s="20">
        <f t="shared" si="8"/>
        <v>151</v>
      </c>
      <c r="P58" s="20">
        <f t="shared" si="11"/>
        <v>115</v>
      </c>
      <c r="Q58" s="20">
        <f t="shared" si="11"/>
        <v>149</v>
      </c>
      <c r="R58" s="20">
        <f t="shared" ref="R58:AH58" si="23">R20-Q20</f>
        <v>137</v>
      </c>
      <c r="S58" s="20">
        <f t="shared" si="23"/>
        <v>172</v>
      </c>
      <c r="T58" s="20">
        <f t="shared" si="23"/>
        <v>131</v>
      </c>
      <c r="U58" s="20">
        <f t="shared" si="23"/>
        <v>161</v>
      </c>
      <c r="V58" s="20">
        <f t="shared" si="23"/>
        <v>137</v>
      </c>
      <c r="W58" s="20">
        <f t="shared" si="23"/>
        <v>158</v>
      </c>
      <c r="X58" s="20">
        <f t="shared" si="23"/>
        <v>121</v>
      </c>
      <c r="Y58" s="20">
        <f t="shared" si="23"/>
        <v>179</v>
      </c>
      <c r="Z58" s="20">
        <f t="shared" si="23"/>
        <v>27</v>
      </c>
      <c r="AA58" s="20">
        <f t="shared" si="23"/>
        <v>222</v>
      </c>
      <c r="AB58" s="20">
        <f t="shared" si="23"/>
        <v>57</v>
      </c>
      <c r="AC58" s="20">
        <f t="shared" si="23"/>
        <v>129</v>
      </c>
      <c r="AD58" s="20">
        <f t="shared" si="23"/>
        <v>111</v>
      </c>
      <c r="AE58" s="20">
        <f t="shared" si="23"/>
        <v>133</v>
      </c>
      <c r="AF58" s="20">
        <f t="shared" si="23"/>
        <v>134</v>
      </c>
      <c r="AG58" s="20">
        <f t="shared" si="23"/>
        <v>162</v>
      </c>
      <c r="AH58" s="20">
        <f t="shared" si="23"/>
        <v>164</v>
      </c>
      <c r="AI58" s="148">
        <f t="shared" si="5"/>
        <v>4161</v>
      </c>
    </row>
    <row r="59" spans="1:37" ht="15" customHeight="1">
      <c r="A59" s="2"/>
      <c r="B59" s="2"/>
      <c r="C59" s="531" t="s">
        <v>22</v>
      </c>
      <c r="D59" s="501"/>
      <c r="E59" s="20">
        <f t="shared" si="7"/>
        <v>0</v>
      </c>
      <c r="F59" s="20">
        <f t="shared" si="7"/>
        <v>0</v>
      </c>
      <c r="G59" s="20">
        <f t="shared" si="7"/>
        <v>0</v>
      </c>
      <c r="H59" s="20">
        <f t="shared" si="7"/>
        <v>0</v>
      </c>
      <c r="I59" s="20">
        <f t="shared" si="7"/>
        <v>0</v>
      </c>
      <c r="J59" s="20">
        <f t="shared" si="10"/>
        <v>0</v>
      </c>
      <c r="K59" s="20">
        <f t="shared" si="10"/>
        <v>0</v>
      </c>
      <c r="L59" s="20">
        <f t="shared" si="8"/>
        <v>0</v>
      </c>
      <c r="M59" s="20">
        <f t="shared" si="8"/>
        <v>0</v>
      </c>
      <c r="N59" s="20">
        <f t="shared" si="8"/>
        <v>0</v>
      </c>
      <c r="O59" s="20">
        <f t="shared" si="8"/>
        <v>0</v>
      </c>
      <c r="P59" s="20">
        <f t="shared" si="11"/>
        <v>0</v>
      </c>
      <c r="Q59" s="20">
        <f t="shared" si="11"/>
        <v>0</v>
      </c>
      <c r="R59" s="20">
        <f t="shared" ref="R59:AH59" si="24">R21-Q21</f>
        <v>0</v>
      </c>
      <c r="S59" s="20">
        <f t="shared" si="24"/>
        <v>0</v>
      </c>
      <c r="T59" s="20">
        <f t="shared" si="24"/>
        <v>0</v>
      </c>
      <c r="U59" s="20">
        <f t="shared" si="24"/>
        <v>18</v>
      </c>
      <c r="V59" s="20">
        <f t="shared" si="24"/>
        <v>0</v>
      </c>
      <c r="W59" s="20">
        <f t="shared" si="24"/>
        <v>0</v>
      </c>
      <c r="X59" s="20">
        <f t="shared" si="24"/>
        <v>0</v>
      </c>
      <c r="Y59" s="20">
        <f t="shared" si="24"/>
        <v>0</v>
      </c>
      <c r="Z59" s="20">
        <f t="shared" si="24"/>
        <v>0</v>
      </c>
      <c r="AA59" s="20">
        <f t="shared" si="24"/>
        <v>0</v>
      </c>
      <c r="AB59" s="20">
        <f t="shared" si="24"/>
        <v>60</v>
      </c>
      <c r="AC59" s="20">
        <f t="shared" si="24"/>
        <v>2</v>
      </c>
      <c r="AD59" s="20">
        <f t="shared" si="24"/>
        <v>0</v>
      </c>
      <c r="AE59" s="20">
        <f t="shared" si="24"/>
        <v>0</v>
      </c>
      <c r="AF59" s="20">
        <f t="shared" si="24"/>
        <v>0</v>
      </c>
      <c r="AG59" s="20">
        <f t="shared" si="24"/>
        <v>0</v>
      </c>
      <c r="AH59" s="20">
        <f t="shared" si="24"/>
        <v>0</v>
      </c>
      <c r="AI59" s="21">
        <f t="shared" si="5"/>
        <v>80</v>
      </c>
    </row>
    <row r="60" spans="1:37" ht="15" customHeight="1">
      <c r="A60" s="99"/>
      <c r="B60" s="99"/>
      <c r="C60" s="500" t="s">
        <v>130</v>
      </c>
      <c r="D60" s="501"/>
      <c r="E60" s="23">
        <f t="shared" ref="E60:AH60" si="25">SUM(E58,E56,E54,E52,E50,E48,E46,E44)</f>
        <v>2448</v>
      </c>
      <c r="F60" s="23">
        <f t="shared" si="25"/>
        <v>2033</v>
      </c>
      <c r="G60" s="23">
        <f t="shared" si="25"/>
        <v>1943</v>
      </c>
      <c r="H60" s="23">
        <f t="shared" si="25"/>
        <v>2012</v>
      </c>
      <c r="I60" s="23">
        <f t="shared" si="25"/>
        <v>1252</v>
      </c>
      <c r="J60" s="23">
        <f t="shared" si="25"/>
        <v>1285</v>
      </c>
      <c r="K60" s="23">
        <f t="shared" si="25"/>
        <v>1998</v>
      </c>
      <c r="L60" s="23">
        <f t="shared" si="25"/>
        <v>2049</v>
      </c>
      <c r="M60" s="23">
        <f t="shared" si="25"/>
        <v>2098</v>
      </c>
      <c r="N60" s="23">
        <f t="shared" si="25"/>
        <v>2187</v>
      </c>
      <c r="O60" s="23">
        <f t="shared" si="25"/>
        <v>2068</v>
      </c>
      <c r="P60" s="23">
        <f t="shared" si="25"/>
        <v>1424</v>
      </c>
      <c r="Q60" s="23">
        <f t="shared" si="25"/>
        <v>1320</v>
      </c>
      <c r="R60" s="23">
        <f t="shared" si="25"/>
        <v>2016</v>
      </c>
      <c r="S60" s="23">
        <f t="shared" si="25"/>
        <v>2079</v>
      </c>
      <c r="T60" s="23">
        <f t="shared" si="25"/>
        <v>2004</v>
      </c>
      <c r="U60" s="23">
        <f t="shared" si="25"/>
        <v>1735</v>
      </c>
      <c r="V60" s="23">
        <f t="shared" si="25"/>
        <v>1907</v>
      </c>
      <c r="W60" s="23">
        <f t="shared" si="25"/>
        <v>1412</v>
      </c>
      <c r="X60" s="23">
        <f t="shared" si="25"/>
        <v>1362</v>
      </c>
      <c r="Y60" s="23">
        <f t="shared" si="25"/>
        <v>1934</v>
      </c>
      <c r="Z60" s="23">
        <f t="shared" si="25"/>
        <v>1798</v>
      </c>
      <c r="AA60" s="23">
        <f t="shared" si="25"/>
        <v>2155</v>
      </c>
      <c r="AB60" s="23">
        <f t="shared" si="25"/>
        <v>1196</v>
      </c>
      <c r="AC60" s="23">
        <f t="shared" si="25"/>
        <v>1972</v>
      </c>
      <c r="AD60" s="23">
        <f t="shared" si="25"/>
        <v>1337</v>
      </c>
      <c r="AE60" s="23">
        <f t="shared" si="25"/>
        <v>1211</v>
      </c>
      <c r="AF60" s="23">
        <f t="shared" si="25"/>
        <v>2005</v>
      </c>
      <c r="AG60" s="23">
        <f t="shared" si="25"/>
        <v>2069</v>
      </c>
      <c r="AH60" s="23">
        <f t="shared" si="25"/>
        <v>2287</v>
      </c>
      <c r="AI60" s="24">
        <f t="shared" si="5"/>
        <v>54596</v>
      </c>
    </row>
    <row r="61" spans="1:37" ht="15" customHeight="1">
      <c r="A61" s="99"/>
      <c r="B61" s="99"/>
      <c r="C61" s="145" t="s">
        <v>131</v>
      </c>
      <c r="D61" s="108"/>
      <c r="E61" s="23">
        <f t="shared" ref="E61:AH61" si="26">SUM(E45,E47,E49,E51,E53,E55,E57,E59)</f>
        <v>0</v>
      </c>
      <c r="F61" s="23">
        <f t="shared" si="26"/>
        <v>0</v>
      </c>
      <c r="G61" s="23">
        <f t="shared" si="26"/>
        <v>0</v>
      </c>
      <c r="H61" s="23">
        <f t="shared" si="26"/>
        <v>0</v>
      </c>
      <c r="I61" s="23">
        <f t="shared" si="26"/>
        <v>0</v>
      </c>
      <c r="J61" s="23">
        <f t="shared" si="26"/>
        <v>0</v>
      </c>
      <c r="K61" s="23">
        <f t="shared" si="26"/>
        <v>0</v>
      </c>
      <c r="L61" s="23">
        <f t="shared" si="26"/>
        <v>0</v>
      </c>
      <c r="M61" s="23">
        <f t="shared" si="26"/>
        <v>0</v>
      </c>
      <c r="N61" s="23">
        <f t="shared" si="26"/>
        <v>0</v>
      </c>
      <c r="O61" s="23">
        <f t="shared" si="26"/>
        <v>0</v>
      </c>
      <c r="P61" s="23">
        <f t="shared" si="26"/>
        <v>0</v>
      </c>
      <c r="Q61" s="23">
        <f t="shared" si="26"/>
        <v>0</v>
      </c>
      <c r="R61" s="23">
        <f t="shared" si="26"/>
        <v>0</v>
      </c>
      <c r="S61" s="23">
        <f t="shared" si="26"/>
        <v>0</v>
      </c>
      <c r="T61" s="23">
        <f t="shared" si="26"/>
        <v>0</v>
      </c>
      <c r="U61" s="23">
        <f t="shared" si="26"/>
        <v>337</v>
      </c>
      <c r="V61" s="23">
        <f t="shared" si="26"/>
        <v>0</v>
      </c>
      <c r="W61" s="23">
        <f t="shared" si="26"/>
        <v>0</v>
      </c>
      <c r="X61" s="23">
        <f t="shared" si="26"/>
        <v>0</v>
      </c>
      <c r="Y61" s="23">
        <f t="shared" si="26"/>
        <v>0</v>
      </c>
      <c r="Z61" s="23">
        <f t="shared" si="26"/>
        <v>0</v>
      </c>
      <c r="AA61" s="23">
        <f t="shared" si="26"/>
        <v>0</v>
      </c>
      <c r="AB61" s="23">
        <f t="shared" si="26"/>
        <v>831</v>
      </c>
      <c r="AC61" s="23">
        <f t="shared" si="26"/>
        <v>40</v>
      </c>
      <c r="AD61" s="23">
        <f t="shared" si="26"/>
        <v>0</v>
      </c>
      <c r="AE61" s="23">
        <f t="shared" si="26"/>
        <v>0</v>
      </c>
      <c r="AF61" s="23">
        <f t="shared" si="26"/>
        <v>0</v>
      </c>
      <c r="AG61" s="23">
        <f t="shared" si="26"/>
        <v>0</v>
      </c>
      <c r="AH61" s="23">
        <f t="shared" si="26"/>
        <v>0</v>
      </c>
      <c r="AI61" s="24">
        <f t="shared" si="5"/>
        <v>1208</v>
      </c>
    </row>
    <row r="62" spans="1:37">
      <c r="A62" s="101"/>
      <c r="B62" s="101"/>
      <c r="C62" s="539" t="s">
        <v>132</v>
      </c>
      <c r="D62" s="501"/>
      <c r="E62" s="102">
        <f t="shared" ref="E62:AI62" si="27">E60</f>
        <v>2448</v>
      </c>
      <c r="F62" s="102">
        <f t="shared" si="27"/>
        <v>2033</v>
      </c>
      <c r="G62" s="102">
        <f t="shared" si="27"/>
        <v>1943</v>
      </c>
      <c r="H62" s="102">
        <f t="shared" si="27"/>
        <v>2012</v>
      </c>
      <c r="I62" s="102">
        <f t="shared" si="27"/>
        <v>1252</v>
      </c>
      <c r="J62" s="102">
        <f t="shared" si="27"/>
        <v>1285</v>
      </c>
      <c r="K62" s="102">
        <f t="shared" si="27"/>
        <v>1998</v>
      </c>
      <c r="L62" s="102">
        <f t="shared" si="27"/>
        <v>2049</v>
      </c>
      <c r="M62" s="102">
        <f t="shared" si="27"/>
        <v>2098</v>
      </c>
      <c r="N62" s="102">
        <f t="shared" si="27"/>
        <v>2187</v>
      </c>
      <c r="O62" s="102">
        <f t="shared" si="27"/>
        <v>2068</v>
      </c>
      <c r="P62" s="102">
        <f t="shared" si="27"/>
        <v>1424</v>
      </c>
      <c r="Q62" s="102">
        <f t="shared" si="27"/>
        <v>1320</v>
      </c>
      <c r="R62" s="102">
        <f t="shared" si="27"/>
        <v>2016</v>
      </c>
      <c r="S62" s="102">
        <f t="shared" si="27"/>
        <v>2079</v>
      </c>
      <c r="T62" s="102">
        <f t="shared" si="27"/>
        <v>2004</v>
      </c>
      <c r="U62" s="102">
        <f t="shared" si="27"/>
        <v>1735</v>
      </c>
      <c r="V62" s="102">
        <f t="shared" si="27"/>
        <v>1907</v>
      </c>
      <c r="W62" s="102">
        <f t="shared" si="27"/>
        <v>1412</v>
      </c>
      <c r="X62" s="102">
        <f t="shared" si="27"/>
        <v>1362</v>
      </c>
      <c r="Y62" s="102">
        <f t="shared" si="27"/>
        <v>1934</v>
      </c>
      <c r="Z62" s="102">
        <f t="shared" si="27"/>
        <v>1798</v>
      </c>
      <c r="AA62" s="102">
        <f t="shared" si="27"/>
        <v>2155</v>
      </c>
      <c r="AB62" s="102">
        <f t="shared" si="27"/>
        <v>1196</v>
      </c>
      <c r="AC62" s="102">
        <f t="shared" si="27"/>
        <v>1972</v>
      </c>
      <c r="AD62" s="102">
        <f t="shared" si="27"/>
        <v>1337</v>
      </c>
      <c r="AE62" s="102">
        <f t="shared" si="27"/>
        <v>1211</v>
      </c>
      <c r="AF62" s="102">
        <f t="shared" si="27"/>
        <v>2005</v>
      </c>
      <c r="AG62" s="102">
        <f t="shared" si="27"/>
        <v>2069</v>
      </c>
      <c r="AH62" s="102">
        <f t="shared" si="27"/>
        <v>2287</v>
      </c>
      <c r="AI62" s="102">
        <f t="shared" si="27"/>
        <v>54596</v>
      </c>
    </row>
    <row r="63" spans="1:37">
      <c r="A63" s="94"/>
      <c r="B63" s="27"/>
      <c r="C63" s="146"/>
      <c r="D63" s="10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</row>
    <row r="64" spans="1:37">
      <c r="A64" s="28" t="s">
        <v>133</v>
      </c>
      <c r="B64" s="28" t="s">
        <v>100</v>
      </c>
      <c r="C64" s="523" t="s">
        <v>101</v>
      </c>
      <c r="D64" s="501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103"/>
    </row>
    <row r="65" spans="1:35">
      <c r="A65" s="2">
        <v>1</v>
      </c>
      <c r="B65" s="2" t="s">
        <v>129</v>
      </c>
      <c r="C65" s="506" t="s">
        <v>119</v>
      </c>
      <c r="D65" s="501"/>
      <c r="E65" s="102">
        <f t="shared" ref="E65:AH65" si="28">E23-D23</f>
        <v>61</v>
      </c>
      <c r="F65" s="102">
        <f t="shared" si="28"/>
        <v>42</v>
      </c>
      <c r="G65" s="102">
        <f t="shared" si="28"/>
        <v>44</v>
      </c>
      <c r="H65" s="102">
        <f t="shared" si="28"/>
        <v>41</v>
      </c>
      <c r="I65" s="102">
        <f t="shared" si="28"/>
        <v>30</v>
      </c>
      <c r="J65" s="102">
        <f t="shared" si="28"/>
        <v>0</v>
      </c>
      <c r="K65" s="102">
        <f t="shared" si="28"/>
        <v>84</v>
      </c>
      <c r="L65" s="102">
        <f t="shared" si="28"/>
        <v>50</v>
      </c>
      <c r="M65" s="102">
        <f t="shared" si="28"/>
        <v>40</v>
      </c>
      <c r="N65" s="102">
        <f t="shared" si="28"/>
        <v>50</v>
      </c>
      <c r="O65" s="102">
        <f t="shared" si="28"/>
        <v>45</v>
      </c>
      <c r="P65" s="102">
        <f t="shared" si="28"/>
        <v>22</v>
      </c>
      <c r="Q65" s="102">
        <f t="shared" si="28"/>
        <v>0</v>
      </c>
      <c r="R65" s="102">
        <f t="shared" si="28"/>
        <v>70</v>
      </c>
      <c r="S65" s="102">
        <f t="shared" si="28"/>
        <v>49</v>
      </c>
      <c r="T65" s="102">
        <f t="shared" si="28"/>
        <v>37</v>
      </c>
      <c r="U65" s="102">
        <f t="shared" si="28"/>
        <v>25</v>
      </c>
      <c r="V65" s="102">
        <f t="shared" si="28"/>
        <v>36</v>
      </c>
      <c r="W65" s="102">
        <f t="shared" si="28"/>
        <v>19</v>
      </c>
      <c r="X65" s="102">
        <f t="shared" si="28"/>
        <v>0</v>
      </c>
      <c r="Y65" s="102">
        <f t="shared" si="28"/>
        <v>77</v>
      </c>
      <c r="Z65" s="102">
        <f t="shared" si="28"/>
        <v>37</v>
      </c>
      <c r="AA65" s="102">
        <f t="shared" si="28"/>
        <v>34</v>
      </c>
      <c r="AB65" s="102">
        <f t="shared" si="28"/>
        <v>28</v>
      </c>
      <c r="AC65" s="102">
        <f t="shared" si="28"/>
        <v>33</v>
      </c>
      <c r="AD65" s="102">
        <f t="shared" si="28"/>
        <v>18</v>
      </c>
      <c r="AE65" s="102">
        <f t="shared" si="28"/>
        <v>0</v>
      </c>
      <c r="AF65" s="102">
        <f t="shared" si="28"/>
        <v>49</v>
      </c>
      <c r="AG65" s="102">
        <f t="shared" si="28"/>
        <v>64</v>
      </c>
      <c r="AH65" s="102">
        <f t="shared" si="28"/>
        <v>64</v>
      </c>
      <c r="AI65" s="102">
        <f t="shared" ref="AI65:AI78" si="29">SUM(E65:AH65)</f>
        <v>1149</v>
      </c>
    </row>
    <row r="66" spans="1:35">
      <c r="A66" s="2"/>
      <c r="B66" s="2"/>
      <c r="C66" s="532" t="s">
        <v>22</v>
      </c>
      <c r="D66" s="501"/>
      <c r="E66" s="102">
        <f t="shared" ref="E66:AH66" si="30">E24-D24</f>
        <v>0</v>
      </c>
      <c r="F66" s="102">
        <f t="shared" si="30"/>
        <v>0</v>
      </c>
      <c r="G66" s="102">
        <f t="shared" si="30"/>
        <v>0</v>
      </c>
      <c r="H66" s="102">
        <f t="shared" si="30"/>
        <v>0</v>
      </c>
      <c r="I66" s="102">
        <f t="shared" si="30"/>
        <v>0</v>
      </c>
      <c r="J66" s="102">
        <f t="shared" si="30"/>
        <v>0</v>
      </c>
      <c r="K66" s="102">
        <f t="shared" si="30"/>
        <v>0</v>
      </c>
      <c r="L66" s="102">
        <f t="shared" si="30"/>
        <v>0</v>
      </c>
      <c r="M66" s="102">
        <f t="shared" si="30"/>
        <v>0</v>
      </c>
      <c r="N66" s="102">
        <f t="shared" si="30"/>
        <v>0</v>
      </c>
      <c r="O66" s="102">
        <f t="shared" si="30"/>
        <v>0</v>
      </c>
      <c r="P66" s="102">
        <f t="shared" si="30"/>
        <v>0</v>
      </c>
      <c r="Q66" s="102">
        <f t="shared" si="30"/>
        <v>0</v>
      </c>
      <c r="R66" s="102">
        <f t="shared" si="30"/>
        <v>0</v>
      </c>
      <c r="S66" s="102">
        <f t="shared" si="30"/>
        <v>0</v>
      </c>
      <c r="T66" s="102">
        <f t="shared" si="30"/>
        <v>0</v>
      </c>
      <c r="U66" s="102">
        <f t="shared" si="30"/>
        <v>10</v>
      </c>
      <c r="V66" s="102">
        <f t="shared" si="30"/>
        <v>0</v>
      </c>
      <c r="W66" s="102">
        <f t="shared" si="30"/>
        <v>0</v>
      </c>
      <c r="X66" s="102">
        <f t="shared" si="30"/>
        <v>0</v>
      </c>
      <c r="Y66" s="102">
        <f t="shared" si="30"/>
        <v>0</v>
      </c>
      <c r="Z66" s="102">
        <f t="shared" si="30"/>
        <v>0</v>
      </c>
      <c r="AA66" s="102">
        <f t="shared" si="30"/>
        <v>0</v>
      </c>
      <c r="AB66" s="102">
        <f t="shared" si="30"/>
        <v>34</v>
      </c>
      <c r="AC66" s="102">
        <f t="shared" si="30"/>
        <v>0</v>
      </c>
      <c r="AD66" s="102">
        <f t="shared" si="30"/>
        <v>0</v>
      </c>
      <c r="AE66" s="102">
        <f t="shared" si="30"/>
        <v>0</v>
      </c>
      <c r="AF66" s="102">
        <f t="shared" si="30"/>
        <v>0</v>
      </c>
      <c r="AG66" s="102">
        <f t="shared" si="30"/>
        <v>0</v>
      </c>
      <c r="AH66" s="102">
        <f t="shared" si="30"/>
        <v>0</v>
      </c>
      <c r="AI66" s="102">
        <f t="shared" si="29"/>
        <v>44</v>
      </c>
    </row>
    <row r="67" spans="1:35">
      <c r="A67" s="2">
        <v>2</v>
      </c>
      <c r="B67" s="2" t="s">
        <v>129</v>
      </c>
      <c r="C67" s="506" t="s">
        <v>120</v>
      </c>
      <c r="D67" s="501"/>
      <c r="E67" s="102">
        <f t="shared" ref="E67:AH67" si="31">E25-D25</f>
        <v>53</v>
      </c>
      <c r="F67" s="102">
        <f t="shared" si="31"/>
        <v>48</v>
      </c>
      <c r="G67" s="102">
        <f t="shared" si="31"/>
        <v>48</v>
      </c>
      <c r="H67" s="102">
        <f t="shared" si="31"/>
        <v>46</v>
      </c>
      <c r="I67" s="102">
        <f t="shared" si="31"/>
        <v>33</v>
      </c>
      <c r="J67" s="102">
        <f t="shared" si="31"/>
        <v>0</v>
      </c>
      <c r="K67" s="102">
        <f t="shared" si="31"/>
        <v>85</v>
      </c>
      <c r="L67" s="102">
        <f t="shared" si="31"/>
        <v>69</v>
      </c>
      <c r="M67" s="102">
        <f t="shared" si="31"/>
        <v>48</v>
      </c>
      <c r="N67" s="102">
        <f t="shared" si="31"/>
        <v>45</v>
      </c>
      <c r="O67" s="102">
        <f t="shared" si="31"/>
        <v>105</v>
      </c>
      <c r="P67" s="102">
        <f t="shared" si="31"/>
        <v>51</v>
      </c>
      <c r="Q67" s="102">
        <f t="shared" si="31"/>
        <v>0</v>
      </c>
      <c r="R67" s="102">
        <f t="shared" si="31"/>
        <v>87</v>
      </c>
      <c r="S67" s="102">
        <f t="shared" si="31"/>
        <v>150</v>
      </c>
      <c r="T67" s="102">
        <f t="shared" si="31"/>
        <v>118</v>
      </c>
      <c r="U67" s="102">
        <f t="shared" si="31"/>
        <v>57</v>
      </c>
      <c r="V67" s="102">
        <f t="shared" si="31"/>
        <v>66</v>
      </c>
      <c r="W67" s="102">
        <f t="shared" si="31"/>
        <v>37</v>
      </c>
      <c r="X67" s="102">
        <f t="shared" si="31"/>
        <v>0</v>
      </c>
      <c r="Y67" s="102">
        <f t="shared" si="31"/>
        <v>93</v>
      </c>
      <c r="Z67" s="102">
        <f t="shared" si="31"/>
        <v>69</v>
      </c>
      <c r="AA67" s="102">
        <f t="shared" si="31"/>
        <v>71</v>
      </c>
      <c r="AB67" s="102">
        <f t="shared" si="31"/>
        <v>28</v>
      </c>
      <c r="AC67" s="102">
        <f t="shared" si="31"/>
        <v>52</v>
      </c>
      <c r="AD67" s="102">
        <f t="shared" si="31"/>
        <v>26</v>
      </c>
      <c r="AE67" s="102">
        <f t="shared" si="31"/>
        <v>0</v>
      </c>
      <c r="AF67" s="102">
        <f t="shared" si="31"/>
        <v>70</v>
      </c>
      <c r="AG67" s="102">
        <f t="shared" si="31"/>
        <v>104</v>
      </c>
      <c r="AH67" s="102">
        <f t="shared" si="31"/>
        <v>97</v>
      </c>
      <c r="AI67" s="102">
        <f t="shared" si="29"/>
        <v>1756</v>
      </c>
    </row>
    <row r="68" spans="1:35">
      <c r="A68" s="2"/>
      <c r="B68" s="2"/>
      <c r="C68" s="532" t="s">
        <v>22</v>
      </c>
      <c r="D68" s="501"/>
      <c r="E68" s="102">
        <f t="shared" ref="E68:AH68" si="32">E26-D26</f>
        <v>0</v>
      </c>
      <c r="F68" s="102">
        <f t="shared" si="32"/>
        <v>0</v>
      </c>
      <c r="G68" s="102">
        <f t="shared" si="32"/>
        <v>0</v>
      </c>
      <c r="H68" s="102">
        <f t="shared" si="32"/>
        <v>0</v>
      </c>
      <c r="I68" s="102">
        <f t="shared" si="32"/>
        <v>0</v>
      </c>
      <c r="J68" s="102">
        <f t="shared" si="32"/>
        <v>0</v>
      </c>
      <c r="K68" s="102">
        <f t="shared" si="32"/>
        <v>0</v>
      </c>
      <c r="L68" s="102">
        <f t="shared" si="32"/>
        <v>0</v>
      </c>
      <c r="M68" s="102">
        <f t="shared" si="32"/>
        <v>0</v>
      </c>
      <c r="N68" s="102">
        <f t="shared" si="32"/>
        <v>0</v>
      </c>
      <c r="O68" s="102">
        <f t="shared" si="32"/>
        <v>0</v>
      </c>
      <c r="P68" s="102">
        <f t="shared" si="32"/>
        <v>0</v>
      </c>
      <c r="Q68" s="102">
        <f t="shared" si="32"/>
        <v>0</v>
      </c>
      <c r="R68" s="102">
        <f t="shared" si="32"/>
        <v>0</v>
      </c>
      <c r="S68" s="102">
        <f t="shared" si="32"/>
        <v>0</v>
      </c>
      <c r="T68" s="102">
        <f t="shared" si="32"/>
        <v>0</v>
      </c>
      <c r="U68" s="102">
        <f t="shared" si="32"/>
        <v>19</v>
      </c>
      <c r="V68" s="102">
        <f t="shared" si="32"/>
        <v>0</v>
      </c>
      <c r="W68" s="102">
        <f t="shared" si="32"/>
        <v>0</v>
      </c>
      <c r="X68" s="102">
        <f t="shared" si="32"/>
        <v>0</v>
      </c>
      <c r="Y68" s="102">
        <f t="shared" si="32"/>
        <v>0</v>
      </c>
      <c r="Z68" s="102">
        <f t="shared" si="32"/>
        <v>0</v>
      </c>
      <c r="AA68" s="102">
        <f t="shared" si="32"/>
        <v>0</v>
      </c>
      <c r="AB68" s="102">
        <f t="shared" si="32"/>
        <v>37</v>
      </c>
      <c r="AC68" s="102">
        <f t="shared" si="32"/>
        <v>2</v>
      </c>
      <c r="AD68" s="102">
        <f t="shared" si="32"/>
        <v>0</v>
      </c>
      <c r="AE68" s="102">
        <f t="shared" si="32"/>
        <v>0</v>
      </c>
      <c r="AF68" s="102">
        <f t="shared" si="32"/>
        <v>0</v>
      </c>
      <c r="AG68" s="102">
        <f t="shared" si="32"/>
        <v>0</v>
      </c>
      <c r="AH68" s="102">
        <f t="shared" si="32"/>
        <v>0</v>
      </c>
      <c r="AI68" s="102">
        <f t="shared" si="29"/>
        <v>58</v>
      </c>
    </row>
    <row r="69" spans="1:35">
      <c r="A69" s="2">
        <v>3</v>
      </c>
      <c r="B69" s="2" t="s">
        <v>129</v>
      </c>
      <c r="C69" s="506" t="s">
        <v>121</v>
      </c>
      <c r="D69" s="501"/>
      <c r="E69" s="102">
        <f t="shared" ref="E69:AH69" si="33">E27-D27</f>
        <v>74</v>
      </c>
      <c r="F69" s="102">
        <f t="shared" si="33"/>
        <v>49</v>
      </c>
      <c r="G69" s="102">
        <f t="shared" si="33"/>
        <v>49</v>
      </c>
      <c r="H69" s="102">
        <f t="shared" si="33"/>
        <v>45</v>
      </c>
      <c r="I69" s="102">
        <f t="shared" si="33"/>
        <v>38</v>
      </c>
      <c r="J69" s="102">
        <f t="shared" si="33"/>
        <v>1</v>
      </c>
      <c r="K69" s="102">
        <f t="shared" si="33"/>
        <v>97</v>
      </c>
      <c r="L69" s="102">
        <f t="shared" si="33"/>
        <v>79</v>
      </c>
      <c r="M69" s="102">
        <f t="shared" si="33"/>
        <v>46</v>
      </c>
      <c r="N69" s="102">
        <f t="shared" si="33"/>
        <v>39</v>
      </c>
      <c r="O69" s="102">
        <f t="shared" si="33"/>
        <v>112</v>
      </c>
      <c r="P69" s="102">
        <f t="shared" si="33"/>
        <v>49</v>
      </c>
      <c r="Q69" s="102">
        <f t="shared" si="33"/>
        <v>0</v>
      </c>
      <c r="R69" s="102">
        <f t="shared" si="33"/>
        <v>63</v>
      </c>
      <c r="S69" s="102">
        <f t="shared" si="33"/>
        <v>141</v>
      </c>
      <c r="T69" s="102">
        <f t="shared" si="33"/>
        <v>131</v>
      </c>
      <c r="U69" s="102">
        <f t="shared" si="33"/>
        <v>85</v>
      </c>
      <c r="V69" s="102">
        <f t="shared" si="33"/>
        <v>116</v>
      </c>
      <c r="W69" s="102">
        <f t="shared" si="33"/>
        <v>61</v>
      </c>
      <c r="X69" s="102">
        <f t="shared" si="33"/>
        <v>0</v>
      </c>
      <c r="Y69" s="102">
        <f t="shared" si="33"/>
        <v>108</v>
      </c>
      <c r="Z69" s="102">
        <f t="shared" si="33"/>
        <v>55</v>
      </c>
      <c r="AA69" s="102">
        <f t="shared" si="33"/>
        <v>115</v>
      </c>
      <c r="AB69" s="102">
        <f t="shared" si="33"/>
        <v>53</v>
      </c>
      <c r="AC69" s="102">
        <f t="shared" si="33"/>
        <v>75</v>
      </c>
      <c r="AD69" s="102">
        <f t="shared" si="33"/>
        <v>28</v>
      </c>
      <c r="AE69" s="102">
        <f t="shared" si="33"/>
        <v>0</v>
      </c>
      <c r="AF69" s="102">
        <f t="shared" si="33"/>
        <v>113</v>
      </c>
      <c r="AG69" s="102">
        <f t="shared" si="33"/>
        <v>123</v>
      </c>
      <c r="AH69" s="102">
        <f t="shared" si="33"/>
        <v>127</v>
      </c>
      <c r="AI69" s="102">
        <f t="shared" si="29"/>
        <v>2072</v>
      </c>
    </row>
    <row r="70" spans="1:35">
      <c r="A70" s="2"/>
      <c r="B70" s="2"/>
      <c r="C70" s="532" t="s">
        <v>22</v>
      </c>
      <c r="D70" s="501"/>
      <c r="E70" s="102">
        <f t="shared" ref="E70:AH70" si="34">E28-D28</f>
        <v>0</v>
      </c>
      <c r="F70" s="102">
        <f t="shared" si="34"/>
        <v>0</v>
      </c>
      <c r="G70" s="102">
        <f t="shared" si="34"/>
        <v>0</v>
      </c>
      <c r="H70" s="102">
        <f t="shared" si="34"/>
        <v>0</v>
      </c>
      <c r="I70" s="102">
        <f t="shared" si="34"/>
        <v>0</v>
      </c>
      <c r="J70" s="102">
        <f t="shared" si="34"/>
        <v>0</v>
      </c>
      <c r="K70" s="102">
        <f t="shared" si="34"/>
        <v>0</v>
      </c>
      <c r="L70" s="102">
        <f t="shared" si="34"/>
        <v>0</v>
      </c>
      <c r="M70" s="102">
        <f t="shared" si="34"/>
        <v>0</v>
      </c>
      <c r="N70" s="102">
        <f t="shared" si="34"/>
        <v>0</v>
      </c>
      <c r="O70" s="102">
        <f t="shared" si="34"/>
        <v>0</v>
      </c>
      <c r="P70" s="102">
        <f t="shared" si="34"/>
        <v>0</v>
      </c>
      <c r="Q70" s="102">
        <f t="shared" si="34"/>
        <v>0</v>
      </c>
      <c r="R70" s="102">
        <f t="shared" si="34"/>
        <v>0</v>
      </c>
      <c r="S70" s="102">
        <f t="shared" si="34"/>
        <v>0</v>
      </c>
      <c r="T70" s="102">
        <f t="shared" si="34"/>
        <v>0</v>
      </c>
      <c r="U70" s="102">
        <f t="shared" si="34"/>
        <v>35</v>
      </c>
      <c r="V70" s="102">
        <f t="shared" si="34"/>
        <v>0</v>
      </c>
      <c r="W70" s="102">
        <f t="shared" si="34"/>
        <v>0</v>
      </c>
      <c r="X70" s="102">
        <f t="shared" si="34"/>
        <v>0</v>
      </c>
      <c r="Y70" s="102">
        <f t="shared" si="34"/>
        <v>0</v>
      </c>
      <c r="Z70" s="102">
        <f t="shared" si="34"/>
        <v>0</v>
      </c>
      <c r="AA70" s="102">
        <f t="shared" si="34"/>
        <v>0</v>
      </c>
      <c r="AB70" s="102">
        <f t="shared" si="34"/>
        <v>64</v>
      </c>
      <c r="AC70" s="102">
        <f t="shared" si="34"/>
        <v>0</v>
      </c>
      <c r="AD70" s="102">
        <f t="shared" si="34"/>
        <v>0</v>
      </c>
      <c r="AE70" s="102">
        <f t="shared" si="34"/>
        <v>0</v>
      </c>
      <c r="AF70" s="102">
        <f t="shared" si="34"/>
        <v>0</v>
      </c>
      <c r="AG70" s="102">
        <f t="shared" si="34"/>
        <v>0</v>
      </c>
      <c r="AH70" s="102">
        <f t="shared" si="34"/>
        <v>0</v>
      </c>
      <c r="AI70" s="102">
        <f t="shared" si="29"/>
        <v>99</v>
      </c>
    </row>
    <row r="71" spans="1:35">
      <c r="A71" s="2">
        <v>4</v>
      </c>
      <c r="B71" s="2" t="s">
        <v>129</v>
      </c>
      <c r="C71" s="506" t="s">
        <v>122</v>
      </c>
      <c r="D71" s="501"/>
      <c r="E71" s="102">
        <f t="shared" ref="E71:AH71" si="35">E29-D29</f>
        <v>49</v>
      </c>
      <c r="F71" s="102">
        <f t="shared" si="35"/>
        <v>53</v>
      </c>
      <c r="G71" s="102">
        <f t="shared" si="35"/>
        <v>56</v>
      </c>
      <c r="H71" s="102">
        <f t="shared" si="35"/>
        <v>49</v>
      </c>
      <c r="I71" s="102">
        <f t="shared" si="35"/>
        <v>39</v>
      </c>
      <c r="J71" s="102">
        <f t="shared" si="35"/>
        <v>0</v>
      </c>
      <c r="K71" s="102">
        <f t="shared" si="35"/>
        <v>72</v>
      </c>
      <c r="L71" s="102">
        <f t="shared" si="35"/>
        <v>53</v>
      </c>
      <c r="M71" s="102">
        <f t="shared" si="35"/>
        <v>49</v>
      </c>
      <c r="N71" s="102">
        <f t="shared" si="35"/>
        <v>53</v>
      </c>
      <c r="O71" s="102">
        <f t="shared" si="35"/>
        <v>49</v>
      </c>
      <c r="P71" s="102">
        <f t="shared" si="35"/>
        <v>52</v>
      </c>
      <c r="Q71" s="102">
        <f t="shared" si="35"/>
        <v>0</v>
      </c>
      <c r="R71" s="102">
        <f t="shared" si="35"/>
        <v>61</v>
      </c>
      <c r="S71" s="102">
        <f t="shared" si="35"/>
        <v>58</v>
      </c>
      <c r="T71" s="102">
        <f t="shared" si="35"/>
        <v>56</v>
      </c>
      <c r="U71" s="102">
        <f t="shared" si="35"/>
        <v>33</v>
      </c>
      <c r="V71" s="102">
        <f t="shared" si="35"/>
        <v>63</v>
      </c>
      <c r="W71" s="102">
        <f t="shared" si="35"/>
        <v>27</v>
      </c>
      <c r="X71" s="102">
        <f t="shared" si="35"/>
        <v>0</v>
      </c>
      <c r="Y71" s="102">
        <f t="shared" si="35"/>
        <v>89</v>
      </c>
      <c r="Z71" s="102">
        <f t="shared" si="35"/>
        <v>47</v>
      </c>
      <c r="AA71" s="102">
        <f t="shared" si="35"/>
        <v>49</v>
      </c>
      <c r="AB71" s="102">
        <f t="shared" si="35"/>
        <v>29</v>
      </c>
      <c r="AC71" s="102">
        <f t="shared" si="35"/>
        <v>45</v>
      </c>
      <c r="AD71" s="102">
        <f t="shared" si="35"/>
        <v>34</v>
      </c>
      <c r="AE71" s="102">
        <f t="shared" si="35"/>
        <v>0</v>
      </c>
      <c r="AF71" s="102">
        <f t="shared" si="35"/>
        <v>59</v>
      </c>
      <c r="AG71" s="102">
        <f t="shared" si="35"/>
        <v>99</v>
      </c>
      <c r="AH71" s="102">
        <f t="shared" si="35"/>
        <v>93</v>
      </c>
      <c r="AI71" s="102">
        <f t="shared" si="29"/>
        <v>1416</v>
      </c>
    </row>
    <row r="72" spans="1:35">
      <c r="A72" s="2"/>
      <c r="B72" s="2"/>
      <c r="C72" s="532" t="s">
        <v>22</v>
      </c>
      <c r="D72" s="501"/>
      <c r="E72" s="102">
        <f t="shared" ref="E72:AH72" si="36">E30-D30</f>
        <v>0</v>
      </c>
      <c r="F72" s="102">
        <f t="shared" si="36"/>
        <v>0</v>
      </c>
      <c r="G72" s="102">
        <f t="shared" si="36"/>
        <v>0</v>
      </c>
      <c r="H72" s="102">
        <f t="shared" si="36"/>
        <v>0</v>
      </c>
      <c r="I72" s="102">
        <f t="shared" si="36"/>
        <v>0</v>
      </c>
      <c r="J72" s="102">
        <f t="shared" si="36"/>
        <v>0</v>
      </c>
      <c r="K72" s="102">
        <f t="shared" si="36"/>
        <v>0</v>
      </c>
      <c r="L72" s="102">
        <f t="shared" si="36"/>
        <v>0</v>
      </c>
      <c r="M72" s="102">
        <f t="shared" si="36"/>
        <v>0</v>
      </c>
      <c r="N72" s="102">
        <f t="shared" si="36"/>
        <v>0</v>
      </c>
      <c r="O72" s="102">
        <f t="shared" si="36"/>
        <v>0</v>
      </c>
      <c r="P72" s="102">
        <f t="shared" si="36"/>
        <v>0</v>
      </c>
      <c r="Q72" s="102">
        <f t="shared" si="36"/>
        <v>0</v>
      </c>
      <c r="R72" s="102">
        <f t="shared" si="36"/>
        <v>0</v>
      </c>
      <c r="S72" s="102">
        <f t="shared" si="36"/>
        <v>0</v>
      </c>
      <c r="T72" s="102">
        <f t="shared" si="36"/>
        <v>0</v>
      </c>
      <c r="U72" s="102">
        <f t="shared" si="36"/>
        <v>14</v>
      </c>
      <c r="V72" s="102">
        <f t="shared" si="36"/>
        <v>0</v>
      </c>
      <c r="W72" s="102">
        <f t="shared" si="36"/>
        <v>0</v>
      </c>
      <c r="X72" s="102">
        <f t="shared" si="36"/>
        <v>0</v>
      </c>
      <c r="Y72" s="102">
        <f t="shared" si="36"/>
        <v>0</v>
      </c>
      <c r="Z72" s="102">
        <f t="shared" si="36"/>
        <v>0</v>
      </c>
      <c r="AA72" s="102">
        <f t="shared" si="36"/>
        <v>0</v>
      </c>
      <c r="AB72" s="102">
        <f t="shared" si="36"/>
        <v>36</v>
      </c>
      <c r="AC72" s="102">
        <f t="shared" si="36"/>
        <v>0</v>
      </c>
      <c r="AD72" s="102">
        <f t="shared" si="36"/>
        <v>0</v>
      </c>
      <c r="AE72" s="102">
        <f t="shared" si="36"/>
        <v>0</v>
      </c>
      <c r="AF72" s="102">
        <f t="shared" si="36"/>
        <v>0</v>
      </c>
      <c r="AG72" s="102">
        <f t="shared" si="36"/>
        <v>0</v>
      </c>
      <c r="AH72" s="102">
        <f t="shared" si="36"/>
        <v>0</v>
      </c>
      <c r="AI72" s="102">
        <f t="shared" si="29"/>
        <v>50</v>
      </c>
    </row>
    <row r="73" spans="1:35" ht="15" customHeight="1">
      <c r="A73" s="99"/>
      <c r="B73" s="99"/>
      <c r="C73" s="500" t="s">
        <v>134</v>
      </c>
      <c r="D73" s="501"/>
      <c r="E73" s="23">
        <f t="shared" ref="E73:AH73" si="37">SUM(E65,E67,E69,E71)</f>
        <v>237</v>
      </c>
      <c r="F73" s="23">
        <f t="shared" si="37"/>
        <v>192</v>
      </c>
      <c r="G73" s="23">
        <f t="shared" si="37"/>
        <v>197</v>
      </c>
      <c r="H73" s="23">
        <f t="shared" si="37"/>
        <v>181</v>
      </c>
      <c r="I73" s="23">
        <f t="shared" si="37"/>
        <v>140</v>
      </c>
      <c r="J73" s="23">
        <f t="shared" si="37"/>
        <v>1</v>
      </c>
      <c r="K73" s="23">
        <f t="shared" si="37"/>
        <v>338</v>
      </c>
      <c r="L73" s="23">
        <f t="shared" si="37"/>
        <v>251</v>
      </c>
      <c r="M73" s="23">
        <f t="shared" si="37"/>
        <v>183</v>
      </c>
      <c r="N73" s="23">
        <f t="shared" si="37"/>
        <v>187</v>
      </c>
      <c r="O73" s="23">
        <f t="shared" si="37"/>
        <v>311</v>
      </c>
      <c r="P73" s="23">
        <f t="shared" si="37"/>
        <v>174</v>
      </c>
      <c r="Q73" s="23">
        <f t="shared" si="37"/>
        <v>0</v>
      </c>
      <c r="R73" s="23">
        <f t="shared" si="37"/>
        <v>281</v>
      </c>
      <c r="S73" s="23">
        <f t="shared" si="37"/>
        <v>398</v>
      </c>
      <c r="T73" s="23">
        <f t="shared" si="37"/>
        <v>342</v>
      </c>
      <c r="U73" s="23">
        <f t="shared" si="37"/>
        <v>200</v>
      </c>
      <c r="V73" s="23">
        <f t="shared" si="37"/>
        <v>281</v>
      </c>
      <c r="W73" s="23">
        <f t="shared" si="37"/>
        <v>144</v>
      </c>
      <c r="X73" s="23">
        <f t="shared" si="37"/>
        <v>0</v>
      </c>
      <c r="Y73" s="23">
        <f t="shared" si="37"/>
        <v>367</v>
      </c>
      <c r="Z73" s="23">
        <f t="shared" si="37"/>
        <v>208</v>
      </c>
      <c r="AA73" s="23">
        <f t="shared" si="37"/>
        <v>269</v>
      </c>
      <c r="AB73" s="23">
        <f t="shared" si="37"/>
        <v>138</v>
      </c>
      <c r="AC73" s="23">
        <f t="shared" si="37"/>
        <v>205</v>
      </c>
      <c r="AD73" s="23">
        <f t="shared" si="37"/>
        <v>106</v>
      </c>
      <c r="AE73" s="23">
        <f t="shared" si="37"/>
        <v>0</v>
      </c>
      <c r="AF73" s="23">
        <f t="shared" si="37"/>
        <v>291</v>
      </c>
      <c r="AG73" s="23">
        <f t="shared" si="37"/>
        <v>390</v>
      </c>
      <c r="AH73" s="23">
        <f t="shared" si="37"/>
        <v>381</v>
      </c>
      <c r="AI73" s="24">
        <f t="shared" si="29"/>
        <v>6393</v>
      </c>
    </row>
    <row r="74" spans="1:35" ht="15" customHeight="1">
      <c r="A74" s="99"/>
      <c r="B74" s="99"/>
      <c r="C74" s="513" t="s">
        <v>135</v>
      </c>
      <c r="D74" s="501"/>
      <c r="E74" s="23">
        <f t="shared" ref="E74:AH74" si="38">SUM(E66,E68,E70,E72)</f>
        <v>0</v>
      </c>
      <c r="F74" s="23">
        <f t="shared" si="38"/>
        <v>0</v>
      </c>
      <c r="G74" s="23">
        <f t="shared" si="38"/>
        <v>0</v>
      </c>
      <c r="H74" s="23">
        <f t="shared" si="38"/>
        <v>0</v>
      </c>
      <c r="I74" s="23">
        <f t="shared" si="38"/>
        <v>0</v>
      </c>
      <c r="J74" s="23">
        <f t="shared" si="38"/>
        <v>0</v>
      </c>
      <c r="K74" s="23">
        <f t="shared" si="38"/>
        <v>0</v>
      </c>
      <c r="L74" s="23">
        <f t="shared" si="38"/>
        <v>0</v>
      </c>
      <c r="M74" s="23">
        <f t="shared" si="38"/>
        <v>0</v>
      </c>
      <c r="N74" s="23">
        <f t="shared" si="38"/>
        <v>0</v>
      </c>
      <c r="O74" s="23">
        <f t="shared" si="38"/>
        <v>0</v>
      </c>
      <c r="P74" s="23">
        <f t="shared" si="38"/>
        <v>0</v>
      </c>
      <c r="Q74" s="23">
        <f t="shared" si="38"/>
        <v>0</v>
      </c>
      <c r="R74" s="23">
        <f t="shared" si="38"/>
        <v>0</v>
      </c>
      <c r="S74" s="23">
        <f t="shared" si="38"/>
        <v>0</v>
      </c>
      <c r="T74" s="23">
        <f t="shared" si="38"/>
        <v>0</v>
      </c>
      <c r="U74" s="23">
        <f t="shared" si="38"/>
        <v>78</v>
      </c>
      <c r="V74" s="23">
        <f t="shared" si="38"/>
        <v>0</v>
      </c>
      <c r="W74" s="23">
        <f t="shared" si="38"/>
        <v>0</v>
      </c>
      <c r="X74" s="23">
        <f t="shared" si="38"/>
        <v>0</v>
      </c>
      <c r="Y74" s="23">
        <f t="shared" si="38"/>
        <v>0</v>
      </c>
      <c r="Z74" s="23">
        <f t="shared" si="38"/>
        <v>0</v>
      </c>
      <c r="AA74" s="23">
        <f t="shared" si="38"/>
        <v>0</v>
      </c>
      <c r="AB74" s="23">
        <f t="shared" si="38"/>
        <v>171</v>
      </c>
      <c r="AC74" s="23">
        <f t="shared" si="38"/>
        <v>2</v>
      </c>
      <c r="AD74" s="23">
        <f t="shared" si="38"/>
        <v>0</v>
      </c>
      <c r="AE74" s="23">
        <f t="shared" si="38"/>
        <v>0</v>
      </c>
      <c r="AF74" s="23">
        <f t="shared" si="38"/>
        <v>0</v>
      </c>
      <c r="AG74" s="23">
        <f t="shared" si="38"/>
        <v>0</v>
      </c>
      <c r="AH74" s="23">
        <f t="shared" si="38"/>
        <v>0</v>
      </c>
      <c r="AI74" s="24">
        <f t="shared" si="29"/>
        <v>251</v>
      </c>
    </row>
    <row r="75" spans="1:35">
      <c r="A75" s="2">
        <v>1</v>
      </c>
      <c r="B75" s="2" t="s">
        <v>129</v>
      </c>
      <c r="C75" s="503" t="s">
        <v>123</v>
      </c>
      <c r="D75" s="501"/>
      <c r="E75" s="102">
        <f t="shared" ref="E75:AH75" si="39">E32-D32</f>
        <v>821</v>
      </c>
      <c r="F75" s="102">
        <f t="shared" si="39"/>
        <v>704</v>
      </c>
      <c r="G75" s="102">
        <f t="shared" si="39"/>
        <v>693</v>
      </c>
      <c r="H75" s="102">
        <f t="shared" si="39"/>
        <v>662</v>
      </c>
      <c r="I75" s="102">
        <f t="shared" si="39"/>
        <v>260</v>
      </c>
      <c r="J75" s="102">
        <f t="shared" si="39"/>
        <v>0</v>
      </c>
      <c r="K75" s="102">
        <f t="shared" si="39"/>
        <v>998</v>
      </c>
      <c r="L75" s="102">
        <f t="shared" si="39"/>
        <v>876</v>
      </c>
      <c r="M75" s="102">
        <f t="shared" si="39"/>
        <v>872</v>
      </c>
      <c r="N75" s="102">
        <f t="shared" si="39"/>
        <v>920</v>
      </c>
      <c r="O75" s="102">
        <f t="shared" si="39"/>
        <v>747</v>
      </c>
      <c r="P75" s="102">
        <f t="shared" si="39"/>
        <v>324</v>
      </c>
      <c r="Q75" s="102">
        <f t="shared" si="39"/>
        <v>0</v>
      </c>
      <c r="R75" s="102">
        <f t="shared" si="39"/>
        <v>1104</v>
      </c>
      <c r="S75" s="102">
        <f t="shared" si="39"/>
        <v>988</v>
      </c>
      <c r="T75" s="102">
        <f t="shared" si="39"/>
        <v>937</v>
      </c>
      <c r="U75" s="102">
        <f t="shared" si="39"/>
        <v>889</v>
      </c>
      <c r="V75" s="102">
        <f t="shared" si="39"/>
        <v>798</v>
      </c>
      <c r="W75" s="102">
        <f t="shared" si="39"/>
        <v>378</v>
      </c>
      <c r="X75" s="102">
        <f t="shared" si="39"/>
        <v>0</v>
      </c>
      <c r="Y75" s="102">
        <f t="shared" si="39"/>
        <v>1074</v>
      </c>
      <c r="Z75" s="102">
        <f t="shared" si="39"/>
        <v>845</v>
      </c>
      <c r="AA75" s="102">
        <f t="shared" si="39"/>
        <v>811</v>
      </c>
      <c r="AB75" s="102">
        <f t="shared" si="39"/>
        <v>855</v>
      </c>
      <c r="AC75" s="102">
        <f t="shared" si="39"/>
        <v>734</v>
      </c>
      <c r="AD75" s="102">
        <f t="shared" si="39"/>
        <v>251</v>
      </c>
      <c r="AE75" s="102">
        <f t="shared" si="39"/>
        <v>0</v>
      </c>
      <c r="AF75" s="102">
        <f t="shared" si="39"/>
        <v>945</v>
      </c>
      <c r="AG75" s="102">
        <f t="shared" si="39"/>
        <v>980</v>
      </c>
      <c r="AH75" s="102">
        <f t="shared" si="39"/>
        <v>1068</v>
      </c>
      <c r="AI75" s="102">
        <f t="shared" si="29"/>
        <v>20534</v>
      </c>
    </row>
    <row r="76" spans="1:35">
      <c r="A76" s="2">
        <v>2</v>
      </c>
      <c r="B76" s="2" t="s">
        <v>129</v>
      </c>
      <c r="C76" s="503" t="s">
        <v>124</v>
      </c>
      <c r="D76" s="501"/>
      <c r="E76" s="102">
        <f t="shared" ref="E76:AH76" si="40">E33-D33</f>
        <v>604</v>
      </c>
      <c r="F76" s="102">
        <f t="shared" si="40"/>
        <v>585</v>
      </c>
      <c r="G76" s="102">
        <f t="shared" si="40"/>
        <v>588</v>
      </c>
      <c r="H76" s="102">
        <f t="shared" si="40"/>
        <v>575</v>
      </c>
      <c r="I76" s="102">
        <f t="shared" si="40"/>
        <v>210</v>
      </c>
      <c r="J76" s="102">
        <f t="shared" si="40"/>
        <v>5</v>
      </c>
      <c r="K76" s="102">
        <f t="shared" si="40"/>
        <v>815</v>
      </c>
      <c r="L76" s="102">
        <f t="shared" si="40"/>
        <v>720</v>
      </c>
      <c r="M76" s="102">
        <f t="shared" si="40"/>
        <v>669</v>
      </c>
      <c r="N76" s="102">
        <f t="shared" si="40"/>
        <v>781</v>
      </c>
      <c r="O76" s="102">
        <f t="shared" si="40"/>
        <v>686</v>
      </c>
      <c r="P76" s="102">
        <f t="shared" si="40"/>
        <v>172</v>
      </c>
      <c r="Q76" s="102">
        <f t="shared" si="40"/>
        <v>0</v>
      </c>
      <c r="R76" s="102">
        <f t="shared" si="40"/>
        <v>833</v>
      </c>
      <c r="S76" s="102">
        <f t="shared" si="40"/>
        <v>673</v>
      </c>
      <c r="T76" s="102">
        <f t="shared" si="40"/>
        <v>692</v>
      </c>
      <c r="U76" s="102">
        <f t="shared" si="40"/>
        <v>668</v>
      </c>
      <c r="V76" s="102">
        <f t="shared" si="40"/>
        <v>555</v>
      </c>
      <c r="W76" s="102">
        <f t="shared" si="40"/>
        <v>292</v>
      </c>
      <c r="X76" s="102">
        <f t="shared" si="40"/>
        <v>0</v>
      </c>
      <c r="Y76" s="102">
        <f t="shared" si="40"/>
        <v>877</v>
      </c>
      <c r="Z76" s="102">
        <f t="shared" si="40"/>
        <v>779</v>
      </c>
      <c r="AA76" s="102">
        <f t="shared" si="40"/>
        <v>679</v>
      </c>
      <c r="AB76" s="102">
        <f t="shared" si="40"/>
        <v>607</v>
      </c>
      <c r="AC76" s="102">
        <f t="shared" si="40"/>
        <v>561</v>
      </c>
      <c r="AD76" s="102">
        <f t="shared" si="40"/>
        <v>301</v>
      </c>
      <c r="AE76" s="102">
        <f t="shared" si="40"/>
        <v>0</v>
      </c>
      <c r="AF76" s="102">
        <f t="shared" si="40"/>
        <v>944</v>
      </c>
      <c r="AG76" s="102">
        <f t="shared" si="40"/>
        <v>842</v>
      </c>
      <c r="AH76" s="102">
        <f t="shared" si="40"/>
        <v>800</v>
      </c>
      <c r="AI76" s="102">
        <f t="shared" si="29"/>
        <v>16513</v>
      </c>
    </row>
    <row r="77" spans="1:35">
      <c r="A77" s="2">
        <v>3</v>
      </c>
      <c r="B77" s="2" t="s">
        <v>129</v>
      </c>
      <c r="C77" s="503" t="s">
        <v>125</v>
      </c>
      <c r="D77" s="501"/>
      <c r="E77" s="102">
        <f t="shared" ref="E77:AH77" si="41">E34-D34</f>
        <v>681</v>
      </c>
      <c r="F77" s="102">
        <f t="shared" si="41"/>
        <v>606</v>
      </c>
      <c r="G77" s="102">
        <f t="shared" si="41"/>
        <v>637</v>
      </c>
      <c r="H77" s="102">
        <f t="shared" si="41"/>
        <v>675</v>
      </c>
      <c r="I77" s="102">
        <f t="shared" si="41"/>
        <v>145</v>
      </c>
      <c r="J77" s="102">
        <f t="shared" si="41"/>
        <v>0</v>
      </c>
      <c r="K77" s="102">
        <f t="shared" si="41"/>
        <v>701</v>
      </c>
      <c r="L77" s="102">
        <f t="shared" si="41"/>
        <v>645</v>
      </c>
      <c r="M77" s="102">
        <f t="shared" si="41"/>
        <v>727</v>
      </c>
      <c r="N77" s="102">
        <f t="shared" si="41"/>
        <v>860</v>
      </c>
      <c r="O77" s="102">
        <f t="shared" si="41"/>
        <v>853</v>
      </c>
      <c r="P77" s="102">
        <f t="shared" si="41"/>
        <v>411</v>
      </c>
      <c r="Q77" s="102">
        <f t="shared" si="41"/>
        <v>0</v>
      </c>
      <c r="R77" s="102">
        <f t="shared" si="41"/>
        <v>849</v>
      </c>
      <c r="S77" s="102">
        <f t="shared" si="41"/>
        <v>788</v>
      </c>
      <c r="T77" s="102">
        <f t="shared" si="41"/>
        <v>590</v>
      </c>
      <c r="U77" s="102">
        <f t="shared" si="41"/>
        <v>592</v>
      </c>
      <c r="V77" s="102">
        <f t="shared" si="41"/>
        <v>680</v>
      </c>
      <c r="W77" s="102">
        <f t="shared" si="41"/>
        <v>176</v>
      </c>
      <c r="X77" s="102">
        <f t="shared" si="41"/>
        <v>0</v>
      </c>
      <c r="Y77" s="102">
        <f t="shared" si="41"/>
        <v>955</v>
      </c>
      <c r="Z77" s="102">
        <f t="shared" si="41"/>
        <v>678</v>
      </c>
      <c r="AA77" s="102">
        <f t="shared" si="41"/>
        <v>701</v>
      </c>
      <c r="AB77" s="102">
        <f t="shared" si="41"/>
        <v>589</v>
      </c>
      <c r="AC77" s="102">
        <f t="shared" si="41"/>
        <v>548</v>
      </c>
      <c r="AD77" s="102">
        <f t="shared" si="41"/>
        <v>293</v>
      </c>
      <c r="AE77" s="102">
        <f t="shared" si="41"/>
        <v>0</v>
      </c>
      <c r="AF77" s="102">
        <f t="shared" si="41"/>
        <v>954</v>
      </c>
      <c r="AG77" s="102">
        <f t="shared" si="41"/>
        <v>783</v>
      </c>
      <c r="AH77" s="102">
        <f t="shared" si="41"/>
        <v>813</v>
      </c>
      <c r="AI77" s="102">
        <f t="shared" si="29"/>
        <v>16930</v>
      </c>
    </row>
    <row r="78" spans="1:35">
      <c r="A78" s="2">
        <v>4</v>
      </c>
      <c r="B78" s="2" t="s">
        <v>129</v>
      </c>
      <c r="C78" s="503" t="s">
        <v>126</v>
      </c>
      <c r="D78" s="501"/>
      <c r="E78" s="102">
        <f t="shared" ref="E78:AH78" si="42">E35-D35</f>
        <v>685</v>
      </c>
      <c r="F78" s="102">
        <f t="shared" si="42"/>
        <v>652</v>
      </c>
      <c r="G78" s="102">
        <f t="shared" si="42"/>
        <v>652</v>
      </c>
      <c r="H78" s="102">
        <f t="shared" si="42"/>
        <v>623</v>
      </c>
      <c r="I78" s="102">
        <f t="shared" si="42"/>
        <v>244</v>
      </c>
      <c r="J78" s="102">
        <f t="shared" si="42"/>
        <v>0</v>
      </c>
      <c r="K78" s="102">
        <f t="shared" si="42"/>
        <v>873</v>
      </c>
      <c r="L78" s="102">
        <f t="shared" si="42"/>
        <v>759</v>
      </c>
      <c r="M78" s="102">
        <f t="shared" si="42"/>
        <v>767</v>
      </c>
      <c r="N78" s="102">
        <f t="shared" si="42"/>
        <v>791</v>
      </c>
      <c r="O78" s="102">
        <f t="shared" si="42"/>
        <v>755</v>
      </c>
      <c r="P78" s="102">
        <f t="shared" si="42"/>
        <v>301</v>
      </c>
      <c r="Q78" s="102">
        <f t="shared" si="42"/>
        <v>0</v>
      </c>
      <c r="R78" s="102">
        <f t="shared" si="42"/>
        <v>852</v>
      </c>
      <c r="S78" s="102">
        <f t="shared" si="42"/>
        <v>815</v>
      </c>
      <c r="T78" s="102">
        <f t="shared" si="42"/>
        <v>790</v>
      </c>
      <c r="U78" s="102">
        <f t="shared" si="42"/>
        <v>782</v>
      </c>
      <c r="V78" s="102">
        <f t="shared" si="42"/>
        <v>694</v>
      </c>
      <c r="W78" s="102">
        <f t="shared" si="42"/>
        <v>326</v>
      </c>
      <c r="X78" s="102">
        <f t="shared" si="42"/>
        <v>0</v>
      </c>
      <c r="Y78" s="102">
        <f t="shared" si="42"/>
        <v>943</v>
      </c>
      <c r="Z78" s="102">
        <f t="shared" si="42"/>
        <v>801</v>
      </c>
      <c r="AA78" s="102">
        <f t="shared" si="42"/>
        <v>759</v>
      </c>
      <c r="AB78" s="102">
        <f t="shared" si="42"/>
        <v>838</v>
      </c>
      <c r="AC78" s="102">
        <f t="shared" si="42"/>
        <v>677</v>
      </c>
      <c r="AD78" s="102">
        <f t="shared" si="42"/>
        <v>255</v>
      </c>
      <c r="AE78" s="102">
        <f t="shared" si="42"/>
        <v>0</v>
      </c>
      <c r="AF78" s="102">
        <f t="shared" si="42"/>
        <v>865</v>
      </c>
      <c r="AG78" s="102">
        <f t="shared" si="42"/>
        <v>994</v>
      </c>
      <c r="AH78" s="102">
        <f t="shared" si="42"/>
        <v>985</v>
      </c>
      <c r="AI78" s="102">
        <f t="shared" si="29"/>
        <v>18478</v>
      </c>
    </row>
    <row r="79" spans="1:35" ht="15" customHeight="1">
      <c r="A79" s="99"/>
      <c r="B79" s="99"/>
      <c r="C79" s="500" t="s">
        <v>136</v>
      </c>
      <c r="D79" s="501"/>
      <c r="E79" s="23">
        <f t="shared" ref="E79:AI79" si="43">SUM(E75:E78)</f>
        <v>2791</v>
      </c>
      <c r="F79" s="23">
        <f t="shared" si="43"/>
        <v>2547</v>
      </c>
      <c r="G79" s="23">
        <f t="shared" si="43"/>
        <v>2570</v>
      </c>
      <c r="H79" s="23">
        <f t="shared" si="43"/>
        <v>2535</v>
      </c>
      <c r="I79" s="23">
        <f t="shared" si="43"/>
        <v>859</v>
      </c>
      <c r="J79" s="23">
        <f t="shared" si="43"/>
        <v>5</v>
      </c>
      <c r="K79" s="23">
        <f t="shared" si="43"/>
        <v>3387</v>
      </c>
      <c r="L79" s="23">
        <f t="shared" si="43"/>
        <v>3000</v>
      </c>
      <c r="M79" s="23">
        <f t="shared" si="43"/>
        <v>3035</v>
      </c>
      <c r="N79" s="23">
        <f t="shared" si="43"/>
        <v>3352</v>
      </c>
      <c r="O79" s="23">
        <f t="shared" si="43"/>
        <v>3041</v>
      </c>
      <c r="P79" s="23">
        <f t="shared" si="43"/>
        <v>1208</v>
      </c>
      <c r="Q79" s="23">
        <f t="shared" si="43"/>
        <v>0</v>
      </c>
      <c r="R79" s="23">
        <f t="shared" si="43"/>
        <v>3638</v>
      </c>
      <c r="S79" s="23">
        <f t="shared" si="43"/>
        <v>3264</v>
      </c>
      <c r="T79" s="23">
        <f t="shared" si="43"/>
        <v>3009</v>
      </c>
      <c r="U79" s="23">
        <f t="shared" si="43"/>
        <v>2931</v>
      </c>
      <c r="V79" s="23">
        <f t="shared" si="43"/>
        <v>2727</v>
      </c>
      <c r="W79" s="23">
        <f t="shared" si="43"/>
        <v>1172</v>
      </c>
      <c r="X79" s="23">
        <f t="shared" si="43"/>
        <v>0</v>
      </c>
      <c r="Y79" s="23">
        <f t="shared" si="43"/>
        <v>3849</v>
      </c>
      <c r="Z79" s="23">
        <f t="shared" si="43"/>
        <v>3103</v>
      </c>
      <c r="AA79" s="23">
        <f t="shared" si="43"/>
        <v>2950</v>
      </c>
      <c r="AB79" s="23">
        <f t="shared" si="43"/>
        <v>2889</v>
      </c>
      <c r="AC79" s="23">
        <f t="shared" si="43"/>
        <v>2520</v>
      </c>
      <c r="AD79" s="23">
        <f t="shared" si="43"/>
        <v>1100</v>
      </c>
      <c r="AE79" s="23">
        <f t="shared" si="43"/>
        <v>0</v>
      </c>
      <c r="AF79" s="23">
        <f t="shared" si="43"/>
        <v>3708</v>
      </c>
      <c r="AG79" s="23">
        <f t="shared" si="43"/>
        <v>3599</v>
      </c>
      <c r="AH79" s="23">
        <f t="shared" si="43"/>
        <v>3666</v>
      </c>
      <c r="AI79" s="24">
        <f t="shared" si="43"/>
        <v>72455</v>
      </c>
    </row>
  </sheetData>
  <mergeCells count="49">
    <mergeCell ref="C76:D76"/>
    <mergeCell ref="E1:AH1"/>
    <mergeCell ref="C74:D74"/>
    <mergeCell ref="B2:B5"/>
    <mergeCell ref="C64:D64"/>
    <mergeCell ref="A1:D1"/>
    <mergeCell ref="B40:B43"/>
    <mergeCell ref="C60:D60"/>
    <mergeCell ref="C51:D51"/>
    <mergeCell ref="A2:A5"/>
    <mergeCell ref="C71:D71"/>
    <mergeCell ref="C2:C5"/>
    <mergeCell ref="C52:D52"/>
    <mergeCell ref="C70:D70"/>
    <mergeCell ref="C48:D48"/>
    <mergeCell ref="C62:D62"/>
    <mergeCell ref="C68:D68"/>
    <mergeCell ref="C79:D79"/>
    <mergeCell ref="B38:D38"/>
    <mergeCell ref="D2:D5"/>
    <mergeCell ref="C73:D73"/>
    <mergeCell ref="AI40:AI43"/>
    <mergeCell ref="C47:D47"/>
    <mergeCell ref="C54:D54"/>
    <mergeCell ref="C65:D65"/>
    <mergeCell ref="C55:D55"/>
    <mergeCell ref="C50:D50"/>
    <mergeCell ref="C75:D75"/>
    <mergeCell ref="C44:D44"/>
    <mergeCell ref="C56:D56"/>
    <mergeCell ref="C59:D59"/>
    <mergeCell ref="C49:D49"/>
    <mergeCell ref="C46:D46"/>
    <mergeCell ref="C78:D78"/>
    <mergeCell ref="C69:D69"/>
    <mergeCell ref="A40:A43"/>
    <mergeCell ref="AI2:AI5"/>
    <mergeCell ref="C72:D72"/>
    <mergeCell ref="C67:D67"/>
    <mergeCell ref="C57:D57"/>
    <mergeCell ref="C66:D66"/>
    <mergeCell ref="A22:AI22"/>
    <mergeCell ref="C53:D53"/>
    <mergeCell ref="B39:D39"/>
    <mergeCell ref="A31:AI31"/>
    <mergeCell ref="C45:D45"/>
    <mergeCell ref="C77:D77"/>
    <mergeCell ref="C40:D43"/>
    <mergeCell ref="C58:D58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AL80"/>
  <sheetViews>
    <sheetView topLeftCell="G1" zoomScale="80" zoomScaleNormal="80" workbookViewId="0">
      <selection activeCell="AJ80" sqref="AJ80"/>
    </sheetView>
  </sheetViews>
  <sheetFormatPr defaultColWidth="18" defaultRowHeight="14.5"/>
  <cols>
    <col min="1" max="1" width="14" style="70" bestFit="1" customWidth="1"/>
    <col min="2" max="2" width="27" style="70" bestFit="1" customWidth="1"/>
    <col min="3" max="3" width="32" style="143" bestFit="1" customWidth="1"/>
    <col min="4" max="4" width="20" style="110" bestFit="1" customWidth="1"/>
    <col min="5" max="5" width="23" style="70" bestFit="1" customWidth="1"/>
    <col min="6" max="6" width="23" customWidth="1"/>
    <col min="7" max="11" width="23" style="70" bestFit="1" customWidth="1"/>
    <col min="12" max="16" width="23" customWidth="1"/>
    <col min="17" max="18" width="23" style="70" bestFit="1" customWidth="1"/>
    <col min="19" max="19" width="23" customWidth="1"/>
    <col min="20" max="20" width="23" style="70" customWidth="1"/>
    <col min="21" max="22" width="23" style="70" bestFit="1" customWidth="1"/>
    <col min="23" max="26" width="23" customWidth="1"/>
    <col min="27" max="30" width="23" style="70" bestFit="1" customWidth="1"/>
    <col min="31" max="31" width="23" style="70" customWidth="1"/>
    <col min="32" max="33" width="23" style="70" bestFit="1" customWidth="1"/>
    <col min="34" max="34" width="23" style="70" customWidth="1"/>
    <col min="35" max="35" width="23" style="70" bestFit="1" customWidth="1"/>
    <col min="36" max="36" width="18" style="70" bestFit="1" customWidth="1"/>
    <col min="37" max="37" width="14" style="70" customWidth="1"/>
    <col min="38" max="39" width="18" style="70" customWidth="1"/>
    <col min="40" max="16384" width="18" style="70"/>
  </cols>
  <sheetData>
    <row r="2" spans="1:37" ht="16.5" customHeight="1">
      <c r="A2" s="573"/>
      <c r="B2" s="526"/>
      <c r="C2" s="526"/>
      <c r="D2" s="527"/>
      <c r="E2" s="602" t="s">
        <v>180</v>
      </c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7"/>
      <c r="AJ2" s="50"/>
    </row>
    <row r="3" spans="1:37" ht="12.75" customHeight="1">
      <c r="A3" s="510" t="s">
        <v>99</v>
      </c>
      <c r="B3" s="510" t="s">
        <v>100</v>
      </c>
      <c r="C3" s="580" t="s">
        <v>101</v>
      </c>
      <c r="D3" s="572" t="s">
        <v>102</v>
      </c>
      <c r="E3" s="51">
        <v>45717</v>
      </c>
      <c r="F3" s="51">
        <v>45718</v>
      </c>
      <c r="G3" s="51">
        <v>45719</v>
      </c>
      <c r="H3" s="51">
        <v>45720</v>
      </c>
      <c r="I3" s="51">
        <v>45721</v>
      </c>
      <c r="J3" s="51">
        <v>45722</v>
      </c>
      <c r="K3" s="51">
        <v>45723</v>
      </c>
      <c r="L3" s="51">
        <v>45724</v>
      </c>
      <c r="M3" s="51">
        <v>45725</v>
      </c>
      <c r="N3" s="51">
        <v>45726</v>
      </c>
      <c r="O3" s="51">
        <v>45727</v>
      </c>
      <c r="P3" s="51">
        <v>45728</v>
      </c>
      <c r="Q3" s="51">
        <v>45729</v>
      </c>
      <c r="R3" s="51">
        <v>45730</v>
      </c>
      <c r="S3" s="51">
        <v>45731</v>
      </c>
      <c r="T3" s="51">
        <v>45732</v>
      </c>
      <c r="U3" s="51">
        <v>45733</v>
      </c>
      <c r="V3" s="51">
        <v>45734</v>
      </c>
      <c r="W3" s="51">
        <v>45735</v>
      </c>
      <c r="X3" s="51">
        <v>45736</v>
      </c>
      <c r="Y3" s="51">
        <v>45737</v>
      </c>
      <c r="Z3" s="51">
        <v>45738</v>
      </c>
      <c r="AA3" s="51">
        <v>45739</v>
      </c>
      <c r="AB3" s="51">
        <v>45740</v>
      </c>
      <c r="AC3" s="51">
        <v>45741</v>
      </c>
      <c r="AD3" s="51">
        <v>45742</v>
      </c>
      <c r="AE3" s="51">
        <v>45743</v>
      </c>
      <c r="AF3" s="51">
        <v>45744</v>
      </c>
      <c r="AG3" s="51">
        <v>45745</v>
      </c>
      <c r="AH3" s="51">
        <v>45746</v>
      </c>
      <c r="AI3" s="51">
        <v>45747</v>
      </c>
      <c r="AJ3" s="514" t="s">
        <v>1</v>
      </c>
    </row>
    <row r="4" spans="1:37" ht="14.5" customHeight="1">
      <c r="A4" s="511"/>
      <c r="B4" s="511"/>
      <c r="C4" s="511"/>
      <c r="D4" s="511"/>
      <c r="E4" s="52" t="s">
        <v>173</v>
      </c>
      <c r="F4" s="52" t="s">
        <v>174</v>
      </c>
      <c r="G4" s="52" t="s">
        <v>175</v>
      </c>
      <c r="H4" s="52" t="s">
        <v>169</v>
      </c>
      <c r="I4" s="52" t="s">
        <v>170</v>
      </c>
      <c r="J4" s="52" t="s">
        <v>171</v>
      </c>
      <c r="K4" s="52" t="s">
        <v>172</v>
      </c>
      <c r="L4" s="52" t="s">
        <v>173</v>
      </c>
      <c r="M4" s="52" t="s">
        <v>174</v>
      </c>
      <c r="N4" s="52" t="s">
        <v>175</v>
      </c>
      <c r="O4" s="52" t="s">
        <v>169</v>
      </c>
      <c r="P4" s="52" t="s">
        <v>170</v>
      </c>
      <c r="Q4" s="52" t="s">
        <v>171</v>
      </c>
      <c r="R4" s="52" t="s">
        <v>172</v>
      </c>
      <c r="S4" s="52" t="s">
        <v>173</v>
      </c>
      <c r="T4" s="52" t="s">
        <v>174</v>
      </c>
      <c r="U4" s="52" t="s">
        <v>175</v>
      </c>
      <c r="V4" s="52" t="s">
        <v>169</v>
      </c>
      <c r="W4" s="52" t="s">
        <v>170</v>
      </c>
      <c r="X4" s="52" t="s">
        <v>171</v>
      </c>
      <c r="Y4" s="52" t="s">
        <v>172</v>
      </c>
      <c r="Z4" s="52" t="s">
        <v>173</v>
      </c>
      <c r="AA4" s="52" t="s">
        <v>174</v>
      </c>
      <c r="AB4" s="52" t="s">
        <v>175</v>
      </c>
      <c r="AC4" s="52" t="s">
        <v>169</v>
      </c>
      <c r="AD4" s="52" t="s">
        <v>170</v>
      </c>
      <c r="AE4" s="52" t="s">
        <v>171</v>
      </c>
      <c r="AF4" s="52" t="s">
        <v>172</v>
      </c>
      <c r="AG4" s="52" t="s">
        <v>173</v>
      </c>
      <c r="AH4" s="52" t="s">
        <v>174</v>
      </c>
      <c r="AI4" s="52" t="s">
        <v>175</v>
      </c>
      <c r="AJ4" s="511"/>
    </row>
    <row r="5" spans="1:37" ht="14.5" customHeight="1">
      <c r="A5" s="511"/>
      <c r="B5" s="511"/>
      <c r="C5" s="511"/>
      <c r="D5" s="511"/>
      <c r="E5" s="52" t="s">
        <v>110</v>
      </c>
      <c r="F5" s="52" t="s">
        <v>110</v>
      </c>
      <c r="G5" s="52" t="s">
        <v>110</v>
      </c>
      <c r="H5" s="52" t="s">
        <v>110</v>
      </c>
      <c r="I5" s="52" t="s">
        <v>110</v>
      </c>
      <c r="J5" s="52" t="s">
        <v>110</v>
      </c>
      <c r="K5" s="52" t="s">
        <v>110</v>
      </c>
      <c r="L5" s="52" t="s">
        <v>110</v>
      </c>
      <c r="M5" s="52" t="s">
        <v>110</v>
      </c>
      <c r="N5" s="52" t="s">
        <v>110</v>
      </c>
      <c r="O5" s="52" t="s">
        <v>110</v>
      </c>
      <c r="P5" s="52" t="s">
        <v>110</v>
      </c>
      <c r="Q5" s="52" t="s">
        <v>110</v>
      </c>
      <c r="R5" s="52" t="s">
        <v>110</v>
      </c>
      <c r="S5" s="52" t="s">
        <v>110</v>
      </c>
      <c r="T5" s="52" t="s">
        <v>110</v>
      </c>
      <c r="U5" s="52" t="s">
        <v>110</v>
      </c>
      <c r="V5" s="52" t="s">
        <v>110</v>
      </c>
      <c r="W5" s="52" t="s">
        <v>110</v>
      </c>
      <c r="X5" s="52" t="s">
        <v>110</v>
      </c>
      <c r="Y5" s="52" t="s">
        <v>110</v>
      </c>
      <c r="Z5" s="52" t="s">
        <v>110</v>
      </c>
      <c r="AA5" s="52" t="s">
        <v>110</v>
      </c>
      <c r="AB5" s="52" t="s">
        <v>110</v>
      </c>
      <c r="AC5" s="52" t="s">
        <v>110</v>
      </c>
      <c r="AD5" s="52" t="s">
        <v>110</v>
      </c>
      <c r="AE5" s="52" t="s">
        <v>110</v>
      </c>
      <c r="AF5" s="52" t="s">
        <v>110</v>
      </c>
      <c r="AG5" s="52" t="s">
        <v>110</v>
      </c>
      <c r="AH5" s="52" t="s">
        <v>110</v>
      </c>
      <c r="AI5" s="52" t="s">
        <v>110</v>
      </c>
      <c r="AJ5" s="511"/>
    </row>
    <row r="6" spans="1:37" ht="14.5" customHeight="1">
      <c r="A6" s="512"/>
      <c r="B6" s="512"/>
      <c r="C6" s="512"/>
      <c r="D6" s="512"/>
      <c r="E6" s="53">
        <v>0.33333333333333331</v>
      </c>
      <c r="F6" s="53">
        <v>0.33333333333333331</v>
      </c>
      <c r="G6" s="53">
        <v>0.33333333333333331</v>
      </c>
      <c r="H6" s="53">
        <v>0.33333333333333331</v>
      </c>
      <c r="I6" s="53">
        <v>0.33333333333333331</v>
      </c>
      <c r="J6" s="53">
        <v>0.33333333333333331</v>
      </c>
      <c r="K6" s="53">
        <v>0.33333333333333331</v>
      </c>
      <c r="L6" s="53">
        <v>0.33333333333333331</v>
      </c>
      <c r="M6" s="53">
        <v>0.33333333333333331</v>
      </c>
      <c r="N6" s="53">
        <v>0.33333333333333331</v>
      </c>
      <c r="O6" s="53">
        <v>0.33333333333333331</v>
      </c>
      <c r="P6" s="53">
        <v>0.33333333333333331</v>
      </c>
      <c r="Q6" s="53">
        <v>0.33333333333333331</v>
      </c>
      <c r="R6" s="53">
        <v>0.33333333333333331</v>
      </c>
      <c r="S6" s="53">
        <v>0.33333333333333331</v>
      </c>
      <c r="T6" s="53">
        <v>0.33333333333333331</v>
      </c>
      <c r="U6" s="53">
        <v>0.33333333333333331</v>
      </c>
      <c r="V6" s="53">
        <v>0.33333333333333331</v>
      </c>
      <c r="W6" s="53">
        <v>0.33333333333333331</v>
      </c>
      <c r="X6" s="53">
        <v>0.33333333333333331</v>
      </c>
      <c r="Y6" s="53">
        <v>0.33333333333333331</v>
      </c>
      <c r="Z6" s="53">
        <v>0.33333333333333331</v>
      </c>
      <c r="AA6" s="53">
        <v>0.33333333333333331</v>
      </c>
      <c r="AB6" s="53">
        <v>0.33333333333333331</v>
      </c>
      <c r="AC6" s="53">
        <v>0.33333333333333331</v>
      </c>
      <c r="AD6" s="53">
        <v>0.33333333333333331</v>
      </c>
      <c r="AE6" s="53">
        <v>0.33333333333333331</v>
      </c>
      <c r="AF6" s="53">
        <v>0.33333333333333331</v>
      </c>
      <c r="AG6" s="53">
        <v>0.33333333333333331</v>
      </c>
      <c r="AH6" s="53">
        <v>0.33333333333333331</v>
      </c>
      <c r="AI6" s="53">
        <v>0.33333333333333331</v>
      </c>
      <c r="AJ6" s="512"/>
    </row>
    <row r="7" spans="1:37" ht="20.149999999999999" customHeight="1">
      <c r="A7" s="48">
        <v>1</v>
      </c>
      <c r="B7" s="48" t="s">
        <v>129</v>
      </c>
      <c r="C7" s="139" t="s">
        <v>111</v>
      </c>
      <c r="D7" s="3">
        <v>91663</v>
      </c>
      <c r="E7" s="4">
        <v>92019</v>
      </c>
      <c r="F7" s="4">
        <v>92228</v>
      </c>
      <c r="G7" s="8">
        <v>92483</v>
      </c>
      <c r="H7" s="5">
        <v>92758</v>
      </c>
      <c r="I7" s="4">
        <v>93012</v>
      </c>
      <c r="J7" s="4">
        <v>93286</v>
      </c>
      <c r="K7" s="4">
        <v>93636</v>
      </c>
      <c r="L7" s="58">
        <v>93844</v>
      </c>
      <c r="M7" s="48">
        <v>94034</v>
      </c>
      <c r="N7" s="59">
        <v>94298</v>
      </c>
      <c r="O7" s="4">
        <v>94563</v>
      </c>
      <c r="P7" s="58">
        <v>94813</v>
      </c>
      <c r="Q7" s="48">
        <v>95061</v>
      </c>
      <c r="R7" s="59">
        <v>95269</v>
      </c>
      <c r="S7" s="4">
        <v>95490</v>
      </c>
      <c r="T7" s="4">
        <v>95698</v>
      </c>
      <c r="U7" s="4">
        <v>95996</v>
      </c>
      <c r="V7" s="125">
        <v>96217</v>
      </c>
      <c r="W7" s="4">
        <v>96488</v>
      </c>
      <c r="X7" s="4">
        <v>96760</v>
      </c>
      <c r="Y7" s="4">
        <v>97024</v>
      </c>
      <c r="Z7" s="4">
        <v>97247</v>
      </c>
      <c r="AA7" s="4">
        <v>97452</v>
      </c>
      <c r="AB7" s="4">
        <v>97704</v>
      </c>
      <c r="AC7" s="4">
        <v>97976</v>
      </c>
      <c r="AD7" s="4">
        <v>98245</v>
      </c>
      <c r="AE7" s="4">
        <v>98527</v>
      </c>
      <c r="AF7" s="4">
        <v>98788</v>
      </c>
      <c r="AG7" s="48">
        <v>99006</v>
      </c>
      <c r="AH7" s="48">
        <v>99215</v>
      </c>
      <c r="AI7" s="48">
        <v>99316</v>
      </c>
      <c r="AJ7" s="57">
        <f t="shared" ref="AJ7:AJ22" si="0">AI7-D7</f>
        <v>7653</v>
      </c>
      <c r="AK7" s="78"/>
    </row>
    <row r="8" spans="1:37" ht="20.149999999999999" customHeight="1">
      <c r="A8" s="8"/>
      <c r="B8" s="8"/>
      <c r="C8" s="140" t="s">
        <v>22</v>
      </c>
      <c r="D8" s="45">
        <v>3877</v>
      </c>
      <c r="E8" s="8">
        <v>3885</v>
      </c>
      <c r="F8" s="8">
        <v>3885</v>
      </c>
      <c r="G8" s="8">
        <v>3885</v>
      </c>
      <c r="H8" s="8">
        <v>3885</v>
      </c>
      <c r="I8" s="8">
        <v>3885</v>
      </c>
      <c r="J8" s="8">
        <v>3885</v>
      </c>
      <c r="K8" s="8">
        <v>3885</v>
      </c>
      <c r="L8" s="8">
        <v>3902</v>
      </c>
      <c r="M8" s="8">
        <v>3918</v>
      </c>
      <c r="N8" s="8">
        <v>3918</v>
      </c>
      <c r="O8" s="8">
        <v>3918</v>
      </c>
      <c r="P8" s="8">
        <v>3918</v>
      </c>
      <c r="Q8" s="8">
        <v>3918</v>
      </c>
      <c r="R8" s="8">
        <v>3923</v>
      </c>
      <c r="S8" s="8">
        <v>3923</v>
      </c>
      <c r="T8" s="8">
        <v>3923</v>
      </c>
      <c r="U8" s="8">
        <v>3923</v>
      </c>
      <c r="V8" s="8">
        <v>3944</v>
      </c>
      <c r="W8" s="8">
        <v>3949</v>
      </c>
      <c r="X8" s="8">
        <v>3949</v>
      </c>
      <c r="Y8" s="8">
        <v>3949</v>
      </c>
      <c r="Z8" s="8">
        <v>3950</v>
      </c>
      <c r="AA8" s="8">
        <v>3950</v>
      </c>
      <c r="AB8" s="8">
        <v>3970</v>
      </c>
      <c r="AC8" s="8">
        <v>3970</v>
      </c>
      <c r="AD8" s="8">
        <v>3970</v>
      </c>
      <c r="AE8" s="8">
        <v>3970</v>
      </c>
      <c r="AF8" s="8">
        <v>3970</v>
      </c>
      <c r="AG8" s="8">
        <v>3970</v>
      </c>
      <c r="AH8" s="8">
        <v>3970</v>
      </c>
      <c r="AI8" s="8">
        <v>3970</v>
      </c>
      <c r="AJ8" s="57">
        <f t="shared" si="0"/>
        <v>93</v>
      </c>
      <c r="AK8" s="78"/>
    </row>
    <row r="9" spans="1:37" ht="20.149999999999999" customHeight="1">
      <c r="A9" s="4">
        <v>2</v>
      </c>
      <c r="B9" s="4" t="s">
        <v>129</v>
      </c>
      <c r="C9" s="141" t="s">
        <v>112</v>
      </c>
      <c r="D9" s="3">
        <v>1956</v>
      </c>
      <c r="E9" s="4">
        <v>1956</v>
      </c>
      <c r="F9" s="4">
        <v>1956</v>
      </c>
      <c r="G9" s="4">
        <v>1956</v>
      </c>
      <c r="H9" s="4">
        <v>1956</v>
      </c>
      <c r="I9" s="4">
        <v>1956</v>
      </c>
      <c r="J9" s="4">
        <v>1956</v>
      </c>
      <c r="K9" s="4">
        <v>1956</v>
      </c>
      <c r="L9" s="4">
        <v>1956</v>
      </c>
      <c r="M9" s="4">
        <v>1956</v>
      </c>
      <c r="N9" s="4">
        <v>1956</v>
      </c>
      <c r="O9" s="4">
        <v>1956</v>
      </c>
      <c r="P9" s="4">
        <v>1956</v>
      </c>
      <c r="Q9" s="4">
        <v>1956</v>
      </c>
      <c r="R9" s="4">
        <v>1956</v>
      </c>
      <c r="S9" s="4">
        <v>1956</v>
      </c>
      <c r="T9" s="4">
        <v>1956</v>
      </c>
      <c r="U9" s="4">
        <v>1956</v>
      </c>
      <c r="V9" s="4">
        <v>1956</v>
      </c>
      <c r="W9" s="4">
        <v>1956</v>
      </c>
      <c r="X9" s="4">
        <v>1956</v>
      </c>
      <c r="Y9" s="4">
        <v>1956</v>
      </c>
      <c r="Z9" s="4">
        <v>1956</v>
      </c>
      <c r="AA9" s="4">
        <v>1956</v>
      </c>
      <c r="AB9" s="4">
        <v>1956</v>
      </c>
      <c r="AC9" s="4">
        <v>1956</v>
      </c>
      <c r="AD9" s="4">
        <v>1956</v>
      </c>
      <c r="AE9" s="4">
        <v>1956</v>
      </c>
      <c r="AF9" s="4">
        <v>1956</v>
      </c>
      <c r="AG9" s="4">
        <v>1956</v>
      </c>
      <c r="AH9" s="4">
        <v>1956</v>
      </c>
      <c r="AI9" s="4">
        <v>1956</v>
      </c>
      <c r="AJ9" s="57">
        <f t="shared" si="0"/>
        <v>0</v>
      </c>
    </row>
    <row r="10" spans="1:37" ht="20.149999999999999" customHeight="1">
      <c r="A10" s="4"/>
      <c r="B10" s="4"/>
      <c r="C10" s="140" t="s">
        <v>22</v>
      </c>
      <c r="D10" s="3">
        <v>28.6</v>
      </c>
      <c r="E10" s="4">
        <v>28.6</v>
      </c>
      <c r="F10" s="4">
        <v>28.6</v>
      </c>
      <c r="G10" s="4">
        <v>28.6</v>
      </c>
      <c r="H10" s="4">
        <v>28.6</v>
      </c>
      <c r="I10" s="4">
        <v>28.6</v>
      </c>
      <c r="J10" s="4">
        <v>28.6</v>
      </c>
      <c r="K10" s="4">
        <v>28.6</v>
      </c>
      <c r="L10" s="4">
        <v>28.6</v>
      </c>
      <c r="M10" s="4">
        <v>28.6</v>
      </c>
      <c r="N10" s="4">
        <v>28.6</v>
      </c>
      <c r="O10" s="4">
        <v>28.6</v>
      </c>
      <c r="P10" s="4">
        <v>28.6</v>
      </c>
      <c r="Q10" s="4">
        <v>28.6</v>
      </c>
      <c r="R10" s="4">
        <v>28.6</v>
      </c>
      <c r="S10" s="4">
        <v>28.6</v>
      </c>
      <c r="T10" s="4">
        <v>28.6</v>
      </c>
      <c r="U10" s="4">
        <v>28.6</v>
      </c>
      <c r="V10" s="4">
        <v>28.6</v>
      </c>
      <c r="W10" s="4">
        <v>28.6</v>
      </c>
      <c r="X10" s="4">
        <v>28.6</v>
      </c>
      <c r="Y10" s="4">
        <v>28.6</v>
      </c>
      <c r="Z10" s="4">
        <v>28.6</v>
      </c>
      <c r="AA10" s="4">
        <v>28.6</v>
      </c>
      <c r="AB10" s="4">
        <v>28.6</v>
      </c>
      <c r="AC10" s="4">
        <v>28.6</v>
      </c>
      <c r="AD10" s="4">
        <v>28.6</v>
      </c>
      <c r="AE10" s="4">
        <v>28.6</v>
      </c>
      <c r="AF10" s="4">
        <v>28.6</v>
      </c>
      <c r="AG10" s="4">
        <v>28.6</v>
      </c>
      <c r="AH10" s="4">
        <v>28.6</v>
      </c>
      <c r="AI10" s="4">
        <v>28.6</v>
      </c>
      <c r="AJ10" s="57">
        <f t="shared" si="0"/>
        <v>0</v>
      </c>
    </row>
    <row r="11" spans="1:37" ht="20.149999999999999" customHeight="1">
      <c r="A11" s="4">
        <v>3</v>
      </c>
      <c r="B11" s="4" t="s">
        <v>129</v>
      </c>
      <c r="C11" s="141" t="s">
        <v>113</v>
      </c>
      <c r="D11" s="45">
        <v>134648</v>
      </c>
      <c r="E11" s="4">
        <v>135143</v>
      </c>
      <c r="F11" s="4">
        <v>135420</v>
      </c>
      <c r="G11" s="4">
        <v>135791</v>
      </c>
      <c r="H11" s="4">
        <v>136190</v>
      </c>
      <c r="I11" s="4">
        <v>136563</v>
      </c>
      <c r="J11" s="4">
        <v>136964</v>
      </c>
      <c r="K11" s="4">
        <v>137341</v>
      </c>
      <c r="L11" s="4">
        <v>137582</v>
      </c>
      <c r="M11" s="4">
        <v>137874</v>
      </c>
      <c r="N11" s="4">
        <v>138255</v>
      </c>
      <c r="O11" s="4">
        <v>138637</v>
      </c>
      <c r="P11" s="4">
        <v>138999</v>
      </c>
      <c r="Q11" s="4">
        <v>139346</v>
      </c>
      <c r="R11" s="4">
        <v>139624</v>
      </c>
      <c r="S11" s="4">
        <v>139918</v>
      </c>
      <c r="T11" s="4">
        <v>140197</v>
      </c>
      <c r="U11" s="4">
        <v>140598</v>
      </c>
      <c r="V11" s="4">
        <v>140959</v>
      </c>
      <c r="W11" s="4">
        <v>141357</v>
      </c>
      <c r="X11" s="4">
        <v>141759</v>
      </c>
      <c r="Y11" s="4">
        <v>142145</v>
      </c>
      <c r="Z11" s="4">
        <v>142445</v>
      </c>
      <c r="AA11" s="8">
        <v>142719</v>
      </c>
      <c r="AB11" s="8">
        <v>143091</v>
      </c>
      <c r="AC11" s="4">
        <v>143478</v>
      </c>
      <c r="AD11" s="4">
        <v>143888</v>
      </c>
      <c r="AE11" s="8">
        <v>144308</v>
      </c>
      <c r="AF11" s="8">
        <v>144688</v>
      </c>
      <c r="AG11" s="8">
        <v>144984</v>
      </c>
      <c r="AH11" s="8">
        <v>145266</v>
      </c>
      <c r="AI11" s="8">
        <v>145395</v>
      </c>
      <c r="AJ11" s="57">
        <f t="shared" si="0"/>
        <v>10747</v>
      </c>
    </row>
    <row r="12" spans="1:37" ht="20.149999999999999" customHeight="1">
      <c r="A12" s="4"/>
      <c r="B12" s="4"/>
      <c r="C12" s="140" t="s">
        <v>22</v>
      </c>
      <c r="D12" s="3">
        <v>5807</v>
      </c>
      <c r="E12" s="4">
        <v>5807</v>
      </c>
      <c r="F12" s="4">
        <v>5807</v>
      </c>
      <c r="G12" s="4">
        <v>5817</v>
      </c>
      <c r="H12" s="4">
        <v>5817</v>
      </c>
      <c r="I12" s="4">
        <v>5817</v>
      </c>
      <c r="J12" s="4">
        <v>5817</v>
      </c>
      <c r="K12" s="4">
        <v>5817</v>
      </c>
      <c r="L12" s="4">
        <v>5841</v>
      </c>
      <c r="M12" s="4">
        <v>5861</v>
      </c>
      <c r="N12" s="4">
        <v>5861</v>
      </c>
      <c r="O12" s="4">
        <v>5861</v>
      </c>
      <c r="P12" s="4">
        <v>5861</v>
      </c>
      <c r="Q12" s="4">
        <v>5861</v>
      </c>
      <c r="R12" s="4">
        <v>5868</v>
      </c>
      <c r="S12" s="4">
        <v>5868</v>
      </c>
      <c r="T12" s="4">
        <v>5868</v>
      </c>
      <c r="U12" s="4">
        <v>5868</v>
      </c>
      <c r="V12" s="4">
        <v>5901</v>
      </c>
      <c r="W12" s="4">
        <v>5909</v>
      </c>
      <c r="X12" s="4">
        <v>5909</v>
      </c>
      <c r="Y12" s="4">
        <v>5909</v>
      </c>
      <c r="Z12" s="4">
        <v>5910</v>
      </c>
      <c r="AA12" s="4">
        <v>5910</v>
      </c>
      <c r="AB12" s="4">
        <v>5938</v>
      </c>
      <c r="AC12" s="4">
        <v>5938</v>
      </c>
      <c r="AD12" s="4">
        <v>5938</v>
      </c>
      <c r="AE12" s="4">
        <v>5938</v>
      </c>
      <c r="AF12" s="4">
        <v>5938</v>
      </c>
      <c r="AG12" s="4">
        <v>5938</v>
      </c>
      <c r="AH12" s="4">
        <v>5938</v>
      </c>
      <c r="AI12" s="4">
        <v>5938</v>
      </c>
      <c r="AJ12" s="57">
        <f t="shared" si="0"/>
        <v>131</v>
      </c>
    </row>
    <row r="13" spans="1:37" ht="20.149999999999999" customHeight="1">
      <c r="A13" s="4">
        <v>4</v>
      </c>
      <c r="B13" s="4" t="s">
        <v>129</v>
      </c>
      <c r="C13" s="141" t="s">
        <v>114</v>
      </c>
      <c r="D13" s="3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57">
        <f t="shared" si="0"/>
        <v>0</v>
      </c>
    </row>
    <row r="14" spans="1:37" ht="20.149999999999999" customHeight="1">
      <c r="A14" s="4"/>
      <c r="B14" s="4"/>
      <c r="C14" s="140" t="s">
        <v>22</v>
      </c>
      <c r="D14" s="3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57">
        <f t="shared" si="0"/>
        <v>0</v>
      </c>
    </row>
    <row r="15" spans="1:37" ht="20.149999999999999" customHeight="1">
      <c r="A15" s="4">
        <v>5</v>
      </c>
      <c r="B15" s="4" t="s">
        <v>129</v>
      </c>
      <c r="C15" s="141" t="s">
        <v>115</v>
      </c>
      <c r="D15" s="45">
        <v>62776</v>
      </c>
      <c r="E15" s="4">
        <v>63047</v>
      </c>
      <c r="F15" s="4">
        <v>63186</v>
      </c>
      <c r="G15" s="4">
        <v>63424</v>
      </c>
      <c r="H15" s="4">
        <v>63679</v>
      </c>
      <c r="I15" s="4">
        <v>63921</v>
      </c>
      <c r="J15" s="4">
        <v>64170</v>
      </c>
      <c r="K15" s="4">
        <v>64420</v>
      </c>
      <c r="L15" s="4">
        <v>64564</v>
      </c>
      <c r="M15" s="4">
        <v>64685</v>
      </c>
      <c r="N15" s="4">
        <v>64891</v>
      </c>
      <c r="O15" s="4">
        <v>65099</v>
      </c>
      <c r="P15" s="4">
        <v>65292</v>
      </c>
      <c r="Q15" s="4">
        <v>65468</v>
      </c>
      <c r="R15" s="4">
        <v>65578</v>
      </c>
      <c r="S15" s="4">
        <v>65699</v>
      </c>
      <c r="T15" s="4">
        <v>65818</v>
      </c>
      <c r="U15" s="33">
        <v>66032</v>
      </c>
      <c r="V15" s="4">
        <v>66206</v>
      </c>
      <c r="W15" s="4">
        <v>66400</v>
      </c>
      <c r="X15" s="4">
        <v>66611</v>
      </c>
      <c r="Y15" s="4">
        <v>66812</v>
      </c>
      <c r="Z15" s="4">
        <v>66913</v>
      </c>
      <c r="AA15" s="8">
        <v>67034</v>
      </c>
      <c r="AB15" s="8">
        <v>67238</v>
      </c>
      <c r="AC15" s="4">
        <v>67467</v>
      </c>
      <c r="AD15" s="4">
        <v>67675</v>
      </c>
      <c r="AE15" s="8">
        <v>67891</v>
      </c>
      <c r="AF15" s="8">
        <v>68095</v>
      </c>
      <c r="AG15" s="8">
        <v>68216</v>
      </c>
      <c r="AH15" s="8">
        <v>68337</v>
      </c>
      <c r="AI15" s="8">
        <v>68389</v>
      </c>
      <c r="AJ15" s="57">
        <f t="shared" si="0"/>
        <v>5613</v>
      </c>
    </row>
    <row r="16" spans="1:37" ht="20.149999999999999" customHeight="1">
      <c r="A16" s="4"/>
      <c r="B16" s="4"/>
      <c r="C16" s="140" t="s">
        <v>22</v>
      </c>
      <c r="D16" s="3">
        <v>2950</v>
      </c>
      <c r="E16" s="4">
        <v>2955</v>
      </c>
      <c r="F16" s="4">
        <v>2955</v>
      </c>
      <c r="G16" s="4">
        <v>2955</v>
      </c>
      <c r="H16" s="4">
        <v>2955</v>
      </c>
      <c r="I16" s="4">
        <v>2955</v>
      </c>
      <c r="J16" s="4">
        <v>2955</v>
      </c>
      <c r="K16" s="4">
        <v>2955</v>
      </c>
      <c r="L16" s="60">
        <v>2964</v>
      </c>
      <c r="M16" s="60">
        <v>2979</v>
      </c>
      <c r="N16" s="60">
        <v>2979</v>
      </c>
      <c r="O16" s="60">
        <v>2979</v>
      </c>
      <c r="P16" s="60">
        <v>2979</v>
      </c>
      <c r="Q16" s="60">
        <v>2979</v>
      </c>
      <c r="R16" s="60">
        <v>2982</v>
      </c>
      <c r="S16" s="60">
        <v>2982</v>
      </c>
      <c r="T16" s="60">
        <v>2982</v>
      </c>
      <c r="U16" s="60">
        <v>2982</v>
      </c>
      <c r="V16" s="60">
        <v>2998</v>
      </c>
      <c r="W16" s="60">
        <v>3002</v>
      </c>
      <c r="X16" s="60">
        <v>3002</v>
      </c>
      <c r="Y16" s="60">
        <v>3002</v>
      </c>
      <c r="Z16" s="60">
        <v>3002</v>
      </c>
      <c r="AA16" s="60">
        <v>3002</v>
      </c>
      <c r="AB16" s="4">
        <v>3018</v>
      </c>
      <c r="AC16" s="4">
        <v>3018</v>
      </c>
      <c r="AD16" s="4">
        <v>3018</v>
      </c>
      <c r="AE16" s="4">
        <v>3018</v>
      </c>
      <c r="AF16" s="4">
        <v>3018</v>
      </c>
      <c r="AG16" s="4">
        <v>3018</v>
      </c>
      <c r="AH16" s="4">
        <v>3018</v>
      </c>
      <c r="AI16" s="4">
        <v>3018</v>
      </c>
      <c r="AJ16" s="57">
        <f t="shared" si="0"/>
        <v>68</v>
      </c>
    </row>
    <row r="17" spans="1:36" ht="20.149999999999999" customHeight="1">
      <c r="A17" s="4">
        <v>6</v>
      </c>
      <c r="B17" s="4" t="s">
        <v>129</v>
      </c>
      <c r="C17" s="141" t="s">
        <v>142</v>
      </c>
      <c r="D17" s="45">
        <v>76460</v>
      </c>
      <c r="E17" s="131">
        <v>76728</v>
      </c>
      <c r="F17" s="4">
        <v>76843</v>
      </c>
      <c r="G17" s="4">
        <v>77094</v>
      </c>
      <c r="H17" s="4">
        <v>77355</v>
      </c>
      <c r="I17" s="4">
        <v>77609</v>
      </c>
      <c r="J17" s="4">
        <v>77869</v>
      </c>
      <c r="K17" s="58">
        <v>78107</v>
      </c>
      <c r="L17" s="127">
        <v>78258</v>
      </c>
      <c r="M17" s="132">
        <v>78357</v>
      </c>
      <c r="N17" s="132">
        <v>78627</v>
      </c>
      <c r="O17" s="132">
        <v>78896</v>
      </c>
      <c r="P17" s="132">
        <v>79147</v>
      </c>
      <c r="Q17" s="133">
        <v>79393</v>
      </c>
      <c r="R17" s="132">
        <v>79481</v>
      </c>
      <c r="S17" s="59">
        <v>79593</v>
      </c>
      <c r="T17" s="4">
        <v>79687</v>
      </c>
      <c r="U17" s="4">
        <v>79967</v>
      </c>
      <c r="V17" s="4">
        <v>80169</v>
      </c>
      <c r="W17" s="4">
        <v>80444</v>
      </c>
      <c r="X17" s="4">
        <v>80715</v>
      </c>
      <c r="Y17" s="4">
        <v>80999</v>
      </c>
      <c r="Z17" s="4">
        <v>81129</v>
      </c>
      <c r="AA17" s="4">
        <v>81248</v>
      </c>
      <c r="AB17" s="8">
        <v>81568</v>
      </c>
      <c r="AC17" s="4">
        <v>81850</v>
      </c>
      <c r="AD17" s="4">
        <v>82104</v>
      </c>
      <c r="AE17" s="8">
        <v>82403</v>
      </c>
      <c r="AF17" s="8">
        <v>82644</v>
      </c>
      <c r="AG17" s="4">
        <v>82761</v>
      </c>
      <c r="AH17" s="8">
        <v>82867</v>
      </c>
      <c r="AI17" s="8">
        <v>82927</v>
      </c>
      <c r="AJ17" s="57">
        <f t="shared" si="0"/>
        <v>6467</v>
      </c>
    </row>
    <row r="18" spans="1:36" ht="20.149999999999999" customHeight="1">
      <c r="A18" s="4"/>
      <c r="B18" s="4"/>
      <c r="C18" s="140" t="s">
        <v>22</v>
      </c>
      <c r="D18" s="3">
        <v>3854</v>
      </c>
      <c r="E18" s="4">
        <v>3861</v>
      </c>
      <c r="F18" s="4">
        <v>3861</v>
      </c>
      <c r="G18" s="4">
        <v>3861</v>
      </c>
      <c r="H18" s="4">
        <v>3861</v>
      </c>
      <c r="I18" s="4">
        <v>3861</v>
      </c>
      <c r="J18" s="4">
        <v>3861</v>
      </c>
      <c r="K18" s="4">
        <v>3861</v>
      </c>
      <c r="L18" s="8">
        <v>3873</v>
      </c>
      <c r="M18" s="8">
        <v>3878</v>
      </c>
      <c r="N18" s="8">
        <v>3878</v>
      </c>
      <c r="O18" s="8">
        <v>3878</v>
      </c>
      <c r="P18" s="8">
        <v>3878</v>
      </c>
      <c r="Q18" s="8">
        <v>3878</v>
      </c>
      <c r="R18" s="8">
        <v>3880</v>
      </c>
      <c r="S18" s="129">
        <v>3880</v>
      </c>
      <c r="T18" s="129">
        <v>3880</v>
      </c>
      <c r="U18" s="129">
        <v>3880</v>
      </c>
      <c r="V18" s="8">
        <v>3903</v>
      </c>
      <c r="W18" s="8">
        <v>3908</v>
      </c>
      <c r="X18" s="8">
        <v>3908</v>
      </c>
      <c r="Y18" s="8">
        <v>3908</v>
      </c>
      <c r="Z18" s="4">
        <v>3909</v>
      </c>
      <c r="AA18" s="4">
        <v>3909</v>
      </c>
      <c r="AB18" s="4">
        <v>3935</v>
      </c>
      <c r="AC18" s="4">
        <v>3935</v>
      </c>
      <c r="AD18" s="4">
        <v>3935</v>
      </c>
      <c r="AE18" s="4">
        <v>3935</v>
      </c>
      <c r="AF18" s="4">
        <v>3935</v>
      </c>
      <c r="AG18" s="4">
        <v>3935</v>
      </c>
      <c r="AH18" s="4">
        <v>3935</v>
      </c>
      <c r="AI18" s="4">
        <v>3935</v>
      </c>
      <c r="AJ18" s="57">
        <f t="shared" si="0"/>
        <v>81</v>
      </c>
    </row>
    <row r="19" spans="1:36" ht="20.149999999999999" customHeight="1">
      <c r="A19" s="4">
        <v>7</v>
      </c>
      <c r="B19" s="4" t="s">
        <v>129</v>
      </c>
      <c r="C19" s="141" t="s">
        <v>117</v>
      </c>
      <c r="D19" s="45">
        <v>255821</v>
      </c>
      <c r="E19" s="4">
        <v>256803</v>
      </c>
      <c r="F19" s="4">
        <v>257277</v>
      </c>
      <c r="G19" s="4">
        <v>257977</v>
      </c>
      <c r="H19" s="4">
        <v>258722</v>
      </c>
      <c r="I19" s="4">
        <v>259403</v>
      </c>
      <c r="J19" s="4">
        <v>260116</v>
      </c>
      <c r="K19" s="4">
        <v>260841</v>
      </c>
      <c r="L19" s="4">
        <v>261422</v>
      </c>
      <c r="M19" s="4">
        <v>261871</v>
      </c>
      <c r="N19" s="5">
        <v>262604</v>
      </c>
      <c r="O19" s="4">
        <v>263344</v>
      </c>
      <c r="P19" s="4">
        <v>264040</v>
      </c>
      <c r="Q19" s="4">
        <v>264777</v>
      </c>
      <c r="R19" s="8">
        <v>265180</v>
      </c>
      <c r="S19" s="5">
        <v>265697</v>
      </c>
      <c r="T19" s="4">
        <v>266152</v>
      </c>
      <c r="U19" s="4">
        <v>266931</v>
      </c>
      <c r="V19" s="4">
        <v>267558</v>
      </c>
      <c r="W19" s="4">
        <v>268273</v>
      </c>
      <c r="X19" s="33">
        <v>269010</v>
      </c>
      <c r="Y19" s="4">
        <v>269707</v>
      </c>
      <c r="Z19" s="4">
        <v>270276</v>
      </c>
      <c r="AA19" s="8">
        <v>270770</v>
      </c>
      <c r="AB19" s="8">
        <v>271392</v>
      </c>
      <c r="AC19" s="4">
        <v>272110</v>
      </c>
      <c r="AD19" s="4">
        <v>272816</v>
      </c>
      <c r="AE19" s="8">
        <v>273836</v>
      </c>
      <c r="AF19" s="8">
        <v>274528</v>
      </c>
      <c r="AG19" s="8">
        <v>275049</v>
      </c>
      <c r="AH19" s="8">
        <v>275563</v>
      </c>
      <c r="AI19" s="8">
        <v>275737</v>
      </c>
      <c r="AJ19" s="57">
        <f t="shared" si="0"/>
        <v>19916</v>
      </c>
    </row>
    <row r="20" spans="1:36" ht="20.149999999999999" customHeight="1">
      <c r="A20" s="4"/>
      <c r="B20" s="4"/>
      <c r="C20" s="140" t="s">
        <v>22</v>
      </c>
      <c r="D20" s="3">
        <v>10477</v>
      </c>
      <c r="E20" s="4">
        <v>10503</v>
      </c>
      <c r="F20" s="4">
        <v>10503</v>
      </c>
      <c r="G20" s="4">
        <v>10503</v>
      </c>
      <c r="H20" s="4">
        <v>10503</v>
      </c>
      <c r="I20" s="4">
        <v>10503</v>
      </c>
      <c r="J20" s="4">
        <v>10503</v>
      </c>
      <c r="K20" s="4">
        <v>10503</v>
      </c>
      <c r="L20" s="4">
        <v>10551</v>
      </c>
      <c r="M20" s="4">
        <v>10597</v>
      </c>
      <c r="N20" s="4">
        <v>10597</v>
      </c>
      <c r="O20" s="4">
        <v>10597</v>
      </c>
      <c r="P20" s="4">
        <v>10597</v>
      </c>
      <c r="Q20" s="4">
        <v>10597</v>
      </c>
      <c r="R20" s="4">
        <v>10605</v>
      </c>
      <c r="S20" s="4">
        <v>10605</v>
      </c>
      <c r="T20" s="4">
        <v>10605</v>
      </c>
      <c r="U20" s="4">
        <v>10605</v>
      </c>
      <c r="V20" s="4">
        <v>10660</v>
      </c>
      <c r="W20" s="4">
        <v>10671</v>
      </c>
      <c r="X20" s="4">
        <v>10671</v>
      </c>
      <c r="Y20" s="4">
        <v>10671</v>
      </c>
      <c r="Z20" s="4">
        <v>10673</v>
      </c>
      <c r="AA20" s="4">
        <v>10673</v>
      </c>
      <c r="AB20" s="4">
        <v>10746</v>
      </c>
      <c r="AC20" s="4">
        <v>10746</v>
      </c>
      <c r="AD20" s="4">
        <v>10746</v>
      </c>
      <c r="AE20" s="4">
        <v>10746</v>
      </c>
      <c r="AF20" s="4">
        <v>10746</v>
      </c>
      <c r="AG20" s="4">
        <v>10746</v>
      </c>
      <c r="AH20" s="4">
        <v>10746</v>
      </c>
      <c r="AI20" s="4">
        <v>10746</v>
      </c>
      <c r="AJ20" s="57">
        <f t="shared" si="0"/>
        <v>269</v>
      </c>
    </row>
    <row r="21" spans="1:36" ht="20.149999999999999" customHeight="1">
      <c r="A21" s="4">
        <v>8</v>
      </c>
      <c r="B21" s="4" t="s">
        <v>129</v>
      </c>
      <c r="C21" s="141" t="s">
        <v>118</v>
      </c>
      <c r="D21" s="45">
        <v>51469</v>
      </c>
      <c r="E21" s="4">
        <v>51720</v>
      </c>
      <c r="F21" s="4">
        <v>51841</v>
      </c>
      <c r="G21" s="4">
        <v>52004</v>
      </c>
      <c r="H21" s="4">
        <v>52141</v>
      </c>
      <c r="I21" s="4">
        <v>52276</v>
      </c>
      <c r="J21" s="4">
        <v>52372</v>
      </c>
      <c r="K21" s="4">
        <v>52483</v>
      </c>
      <c r="L21" s="4">
        <v>52553</v>
      </c>
      <c r="M21" s="4">
        <v>52625</v>
      </c>
      <c r="N21" s="4">
        <v>52798</v>
      </c>
      <c r="O21" s="4">
        <v>52930</v>
      </c>
      <c r="P21" s="4">
        <v>53087</v>
      </c>
      <c r="Q21" s="4">
        <v>53217</v>
      </c>
      <c r="R21" s="4">
        <v>53360</v>
      </c>
      <c r="S21" s="4">
        <v>53484</v>
      </c>
      <c r="T21" s="4">
        <v>53625</v>
      </c>
      <c r="U21" s="4">
        <v>53778</v>
      </c>
      <c r="V21" s="4">
        <v>53903</v>
      </c>
      <c r="W21" s="4">
        <v>54020</v>
      </c>
      <c r="X21" s="4">
        <v>54173</v>
      </c>
      <c r="Y21" s="4">
        <v>54298</v>
      </c>
      <c r="Z21" s="4">
        <v>54450</v>
      </c>
      <c r="AA21" s="8">
        <v>54556</v>
      </c>
      <c r="AB21" s="8">
        <v>54715</v>
      </c>
      <c r="AC21" s="4">
        <v>54827</v>
      </c>
      <c r="AD21" s="4">
        <v>54954</v>
      </c>
      <c r="AE21" s="8">
        <v>55095</v>
      </c>
      <c r="AF21" s="8">
        <v>55249</v>
      </c>
      <c r="AG21" s="8">
        <v>55337</v>
      </c>
      <c r="AH21" s="8">
        <v>55433</v>
      </c>
      <c r="AI21" s="8">
        <v>55458</v>
      </c>
      <c r="AJ21" s="57">
        <f t="shared" si="0"/>
        <v>3989</v>
      </c>
    </row>
    <row r="22" spans="1:36" ht="20.149999999999999" customHeight="1">
      <c r="A22" s="4"/>
      <c r="B22" s="4"/>
      <c r="C22" s="140" t="s">
        <v>22</v>
      </c>
      <c r="D22" s="3">
        <v>2009</v>
      </c>
      <c r="E22" s="4">
        <v>2012</v>
      </c>
      <c r="F22" s="4">
        <v>2012</v>
      </c>
      <c r="G22" s="4">
        <v>2012</v>
      </c>
      <c r="H22" s="4">
        <v>2012</v>
      </c>
      <c r="I22" s="4">
        <v>2012</v>
      </c>
      <c r="J22" s="4">
        <v>2012</v>
      </c>
      <c r="K22" s="4">
        <v>2012</v>
      </c>
      <c r="L22" s="4">
        <v>2017</v>
      </c>
      <c r="M22" s="4">
        <v>2031</v>
      </c>
      <c r="N22" s="4">
        <v>2031</v>
      </c>
      <c r="O22" s="4">
        <v>2031</v>
      </c>
      <c r="P22" s="4">
        <v>2031</v>
      </c>
      <c r="Q22" s="4">
        <v>2031</v>
      </c>
      <c r="R22" s="4">
        <v>2032</v>
      </c>
      <c r="S22" s="4">
        <v>2032</v>
      </c>
      <c r="T22" s="4">
        <v>2032</v>
      </c>
      <c r="U22" s="4">
        <v>2032</v>
      </c>
      <c r="V22" s="4">
        <v>2041</v>
      </c>
      <c r="W22" s="4">
        <v>2041</v>
      </c>
      <c r="X22" s="4">
        <v>2041</v>
      </c>
      <c r="Y22" s="4">
        <v>2041</v>
      </c>
      <c r="Z22" s="4">
        <v>2042</v>
      </c>
      <c r="AA22" s="4">
        <v>2042</v>
      </c>
      <c r="AB22" s="4">
        <v>2048</v>
      </c>
      <c r="AC22" s="4">
        <v>2048</v>
      </c>
      <c r="AD22" s="4">
        <v>2048</v>
      </c>
      <c r="AE22" s="4">
        <v>2048</v>
      </c>
      <c r="AF22" s="4">
        <v>2048</v>
      </c>
      <c r="AG22" s="4">
        <v>2048</v>
      </c>
      <c r="AH22" s="4">
        <v>2048</v>
      </c>
      <c r="AI22" s="4">
        <v>2048</v>
      </c>
      <c r="AJ22" s="57">
        <f t="shared" si="0"/>
        <v>39</v>
      </c>
    </row>
    <row r="23" spans="1:36" ht="14.5" customHeight="1">
      <c r="A23" s="503"/>
      <c r="B23" s="504"/>
      <c r="C23" s="504"/>
      <c r="D23" s="504"/>
      <c r="E23" s="504"/>
      <c r="F23" s="504"/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4"/>
      <c r="AA23" s="504"/>
      <c r="AB23" s="504"/>
      <c r="AC23" s="504"/>
      <c r="AD23" s="504"/>
      <c r="AE23" s="504"/>
      <c r="AF23" s="504"/>
      <c r="AG23" s="504"/>
      <c r="AH23" s="504"/>
      <c r="AI23" s="504"/>
      <c r="AJ23" s="501"/>
    </row>
    <row r="24" spans="1:36" ht="14.5" customHeight="1">
      <c r="A24" s="4">
        <v>1</v>
      </c>
      <c r="B24" s="4" t="s">
        <v>129</v>
      </c>
      <c r="C24" s="141" t="s">
        <v>119</v>
      </c>
      <c r="D24" s="3">
        <v>24020</v>
      </c>
      <c r="E24" s="4">
        <v>24114</v>
      </c>
      <c r="F24" s="4">
        <v>24115</v>
      </c>
      <c r="G24" s="4">
        <v>24179</v>
      </c>
      <c r="H24" s="4">
        <v>24253</v>
      </c>
      <c r="I24" s="4">
        <v>24305</v>
      </c>
      <c r="J24" s="4">
        <v>24339</v>
      </c>
      <c r="K24" s="4">
        <v>24372</v>
      </c>
      <c r="L24" s="4">
        <v>24405</v>
      </c>
      <c r="M24" s="4">
        <v>24405</v>
      </c>
      <c r="N24" s="4">
        <v>24454</v>
      </c>
      <c r="O24" s="4">
        <v>24506</v>
      </c>
      <c r="P24" s="4">
        <v>24551</v>
      </c>
      <c r="Q24" s="4">
        <v>24592</v>
      </c>
      <c r="R24" s="4">
        <v>24593</v>
      </c>
      <c r="S24" s="4">
        <v>24614</v>
      </c>
      <c r="T24" s="4">
        <v>24614</v>
      </c>
      <c r="U24" s="4">
        <v>24687</v>
      </c>
      <c r="V24" s="4">
        <v>24731</v>
      </c>
      <c r="W24" s="4">
        <v>24768</v>
      </c>
      <c r="X24" s="4">
        <v>24817</v>
      </c>
      <c r="Y24" s="4">
        <v>24865</v>
      </c>
      <c r="Z24" s="4">
        <v>24901</v>
      </c>
      <c r="AA24" s="4">
        <v>24901</v>
      </c>
      <c r="AB24" s="4">
        <v>24948</v>
      </c>
      <c r="AC24" s="4">
        <v>24987</v>
      </c>
      <c r="AD24" s="4">
        <v>25041</v>
      </c>
      <c r="AE24" s="4">
        <v>25094</v>
      </c>
      <c r="AF24" s="4">
        <v>25137</v>
      </c>
      <c r="AG24" s="4">
        <v>25187</v>
      </c>
      <c r="AH24" s="8">
        <v>25187</v>
      </c>
      <c r="AI24" s="8">
        <v>25188</v>
      </c>
      <c r="AJ24" s="7">
        <f t="shared" ref="AJ24:AJ31" si="1">AI24-D24</f>
        <v>1168</v>
      </c>
    </row>
    <row r="25" spans="1:36" ht="14.5" customHeight="1">
      <c r="A25" s="4"/>
      <c r="B25" s="4"/>
      <c r="C25" s="142" t="s">
        <v>22</v>
      </c>
      <c r="D25" s="3">
        <v>1821</v>
      </c>
      <c r="E25" s="4">
        <v>1821</v>
      </c>
      <c r="F25" s="4">
        <v>1821</v>
      </c>
      <c r="G25" s="4">
        <v>1821</v>
      </c>
      <c r="H25" s="4">
        <v>1821</v>
      </c>
      <c r="I25" s="4">
        <v>1821</v>
      </c>
      <c r="J25" s="4">
        <v>1821</v>
      </c>
      <c r="K25" s="4">
        <v>1821</v>
      </c>
      <c r="L25" s="4">
        <v>1821</v>
      </c>
      <c r="M25" s="4">
        <v>1821</v>
      </c>
      <c r="N25" s="4">
        <v>1821</v>
      </c>
      <c r="O25" s="4">
        <v>1821</v>
      </c>
      <c r="P25" s="4">
        <v>1821</v>
      </c>
      <c r="Q25" s="4">
        <v>1821</v>
      </c>
      <c r="R25" s="4">
        <v>1821</v>
      </c>
      <c r="S25" s="4">
        <v>1821</v>
      </c>
      <c r="T25" s="4">
        <v>1821</v>
      </c>
      <c r="U25" s="4">
        <v>1821</v>
      </c>
      <c r="V25" s="4">
        <v>1824</v>
      </c>
      <c r="W25" s="4">
        <v>1825</v>
      </c>
      <c r="X25" s="4">
        <v>1825</v>
      </c>
      <c r="Y25" s="4">
        <v>1825</v>
      </c>
      <c r="Z25" s="4">
        <v>1825</v>
      </c>
      <c r="AA25" s="4">
        <v>1825</v>
      </c>
      <c r="AB25" s="4">
        <v>1832</v>
      </c>
      <c r="AC25" s="4">
        <v>1832</v>
      </c>
      <c r="AD25" s="4">
        <v>1832</v>
      </c>
      <c r="AE25" s="4">
        <v>1832</v>
      </c>
      <c r="AF25" s="4">
        <v>1832</v>
      </c>
      <c r="AG25" s="4">
        <v>1832</v>
      </c>
      <c r="AH25" s="4">
        <v>1832</v>
      </c>
      <c r="AI25" s="4">
        <v>1832</v>
      </c>
      <c r="AJ25" s="7">
        <f t="shared" si="1"/>
        <v>11</v>
      </c>
    </row>
    <row r="26" spans="1:36" ht="14.5" customHeight="1">
      <c r="A26" s="4">
        <v>2</v>
      </c>
      <c r="B26" s="4" t="s">
        <v>129</v>
      </c>
      <c r="C26" s="141" t="s">
        <v>120</v>
      </c>
      <c r="D26" s="45">
        <v>24157</v>
      </c>
      <c r="E26" s="4">
        <v>24260</v>
      </c>
      <c r="F26" s="4">
        <v>24260</v>
      </c>
      <c r="G26" s="4">
        <v>24331</v>
      </c>
      <c r="H26" s="4">
        <v>24385</v>
      </c>
      <c r="I26" s="4">
        <v>24435</v>
      </c>
      <c r="J26" s="4">
        <v>24513</v>
      </c>
      <c r="K26" s="4">
        <v>24594</v>
      </c>
      <c r="L26" s="4">
        <v>24620</v>
      </c>
      <c r="M26" s="4">
        <v>24620</v>
      </c>
      <c r="N26" s="4">
        <v>24696</v>
      </c>
      <c r="O26" s="4">
        <v>24778</v>
      </c>
      <c r="P26" s="4">
        <v>24854</v>
      </c>
      <c r="Q26" s="4">
        <v>24932</v>
      </c>
      <c r="R26" s="4">
        <v>24932</v>
      </c>
      <c r="S26" s="4">
        <v>24978</v>
      </c>
      <c r="T26" s="4">
        <v>24978</v>
      </c>
      <c r="U26" s="4">
        <v>25063</v>
      </c>
      <c r="V26" s="4">
        <v>25140</v>
      </c>
      <c r="W26" s="4">
        <v>25211</v>
      </c>
      <c r="X26" s="4">
        <v>25259</v>
      </c>
      <c r="Y26" s="4">
        <v>25370</v>
      </c>
      <c r="Z26" s="4">
        <v>25438</v>
      </c>
      <c r="AA26" s="4">
        <v>25438</v>
      </c>
      <c r="AB26" s="4">
        <v>25520</v>
      </c>
      <c r="AC26" s="4">
        <v>25604</v>
      </c>
      <c r="AD26" s="4">
        <v>25660</v>
      </c>
      <c r="AE26" s="4">
        <v>25726</v>
      </c>
      <c r="AF26" s="4">
        <v>25803</v>
      </c>
      <c r="AG26" s="4">
        <v>25864</v>
      </c>
      <c r="AH26" s="8">
        <v>25864</v>
      </c>
      <c r="AI26" s="8">
        <v>25865</v>
      </c>
      <c r="AJ26" s="7">
        <f t="shared" si="1"/>
        <v>1708</v>
      </c>
    </row>
    <row r="27" spans="1:36" ht="14.5" customHeight="1">
      <c r="A27" s="4"/>
      <c r="B27" s="4"/>
      <c r="C27" s="142" t="s">
        <v>22</v>
      </c>
      <c r="D27" s="3">
        <v>1772</v>
      </c>
      <c r="E27" s="4">
        <v>1772</v>
      </c>
      <c r="F27" s="4">
        <v>1772</v>
      </c>
      <c r="G27" s="4">
        <v>1772</v>
      </c>
      <c r="H27" s="4">
        <v>1772</v>
      </c>
      <c r="I27" s="4">
        <v>1772</v>
      </c>
      <c r="J27" s="4">
        <v>1772</v>
      </c>
      <c r="K27" s="4">
        <v>1772</v>
      </c>
      <c r="L27" s="4">
        <v>1772</v>
      </c>
      <c r="M27" s="4">
        <v>1772</v>
      </c>
      <c r="N27" s="4">
        <v>1772</v>
      </c>
      <c r="O27" s="4">
        <v>1772</v>
      </c>
      <c r="P27" s="4">
        <v>1772</v>
      </c>
      <c r="Q27" s="4">
        <v>1772</v>
      </c>
      <c r="R27" s="4">
        <v>1772</v>
      </c>
      <c r="S27" s="4">
        <v>1772</v>
      </c>
      <c r="T27" s="4">
        <v>1772</v>
      </c>
      <c r="U27" s="4">
        <v>1772</v>
      </c>
      <c r="V27" s="4">
        <v>1778</v>
      </c>
      <c r="W27" s="4">
        <v>1780</v>
      </c>
      <c r="X27" s="4">
        <v>1780</v>
      </c>
      <c r="Y27" s="4">
        <v>1780</v>
      </c>
      <c r="Z27" s="4">
        <v>1780</v>
      </c>
      <c r="AA27" s="4">
        <v>1780</v>
      </c>
      <c r="AB27" s="4">
        <v>1797</v>
      </c>
      <c r="AC27" s="4">
        <v>1797</v>
      </c>
      <c r="AD27" s="4">
        <v>1797</v>
      </c>
      <c r="AE27" s="4">
        <v>1797</v>
      </c>
      <c r="AF27" s="4">
        <v>1797</v>
      </c>
      <c r="AG27" s="4">
        <v>1797</v>
      </c>
      <c r="AH27" s="4">
        <v>1797</v>
      </c>
      <c r="AI27" s="4">
        <v>1797</v>
      </c>
      <c r="AJ27" s="7">
        <f t="shared" si="1"/>
        <v>25</v>
      </c>
    </row>
    <row r="28" spans="1:36" ht="14.5" customHeight="1">
      <c r="A28" s="4">
        <v>3</v>
      </c>
      <c r="B28" s="4" t="s">
        <v>129</v>
      </c>
      <c r="C28" s="141" t="s">
        <v>121</v>
      </c>
      <c r="D28" s="3">
        <v>24421</v>
      </c>
      <c r="E28" s="4">
        <v>24604</v>
      </c>
      <c r="F28" s="4">
        <v>24604</v>
      </c>
      <c r="G28" s="4">
        <v>24729</v>
      </c>
      <c r="H28" s="4">
        <v>24869</v>
      </c>
      <c r="I28" s="4">
        <v>24998</v>
      </c>
      <c r="J28" s="4">
        <v>25113</v>
      </c>
      <c r="K28" s="4">
        <v>25230</v>
      </c>
      <c r="L28" s="4">
        <v>25297</v>
      </c>
      <c r="M28" s="4">
        <v>25297</v>
      </c>
      <c r="N28" s="4">
        <v>25423</v>
      </c>
      <c r="O28" s="4">
        <v>25557</v>
      </c>
      <c r="P28" s="4">
        <v>25670</v>
      </c>
      <c r="Q28" s="4">
        <v>25786</v>
      </c>
      <c r="R28" s="4">
        <v>25786</v>
      </c>
      <c r="S28" s="4">
        <v>25855</v>
      </c>
      <c r="T28" s="4">
        <v>25855</v>
      </c>
      <c r="U28" s="4">
        <v>25982</v>
      </c>
      <c r="V28" s="4">
        <v>26097</v>
      </c>
      <c r="W28" s="4">
        <v>26209</v>
      </c>
      <c r="X28" s="4">
        <v>26309</v>
      </c>
      <c r="Y28" s="4">
        <v>26463</v>
      </c>
      <c r="Z28" s="4">
        <v>26561</v>
      </c>
      <c r="AA28" s="4">
        <v>26561</v>
      </c>
      <c r="AB28" s="4">
        <v>26674</v>
      </c>
      <c r="AC28" s="4">
        <v>26801</v>
      </c>
      <c r="AD28" s="4">
        <v>26880</v>
      </c>
      <c r="AE28" s="4">
        <v>26963</v>
      </c>
      <c r="AF28" s="4">
        <v>27018</v>
      </c>
      <c r="AG28" s="4">
        <v>27081</v>
      </c>
      <c r="AH28" s="4">
        <v>27081</v>
      </c>
      <c r="AI28" s="4">
        <v>27082</v>
      </c>
      <c r="AJ28" s="7">
        <f t="shared" si="1"/>
        <v>2661</v>
      </c>
    </row>
    <row r="29" spans="1:36" ht="14.5" customHeight="1">
      <c r="A29" s="4"/>
      <c r="B29" s="4"/>
      <c r="C29" s="142" t="s">
        <v>22</v>
      </c>
      <c r="D29" s="3">
        <v>1866</v>
      </c>
      <c r="E29" s="4">
        <v>1866</v>
      </c>
      <c r="F29" s="4">
        <v>1866</v>
      </c>
      <c r="G29" s="4">
        <v>1866</v>
      </c>
      <c r="H29" s="4">
        <v>1866</v>
      </c>
      <c r="I29" s="4">
        <v>1866</v>
      </c>
      <c r="J29" s="4">
        <v>1866</v>
      </c>
      <c r="K29" s="4">
        <v>1866</v>
      </c>
      <c r="L29" s="4">
        <v>1867</v>
      </c>
      <c r="M29" s="4">
        <v>1867</v>
      </c>
      <c r="N29" s="4">
        <v>1867</v>
      </c>
      <c r="O29" s="4">
        <v>1867</v>
      </c>
      <c r="P29" s="4">
        <v>1867</v>
      </c>
      <c r="Q29" s="4">
        <v>1867</v>
      </c>
      <c r="R29" s="4">
        <v>1867</v>
      </c>
      <c r="S29" s="4">
        <v>1867</v>
      </c>
      <c r="T29" s="4">
        <v>1867</v>
      </c>
      <c r="U29" s="4">
        <v>1867</v>
      </c>
      <c r="V29" s="4">
        <v>1877</v>
      </c>
      <c r="W29" s="4">
        <v>1880</v>
      </c>
      <c r="X29" s="4">
        <v>1880</v>
      </c>
      <c r="Y29" s="4">
        <v>1880</v>
      </c>
      <c r="Z29" s="4">
        <v>1881</v>
      </c>
      <c r="AA29" s="4">
        <v>1881</v>
      </c>
      <c r="AB29" s="4">
        <v>1903</v>
      </c>
      <c r="AC29" s="4">
        <v>1903</v>
      </c>
      <c r="AD29" s="4">
        <v>1903</v>
      </c>
      <c r="AE29" s="4">
        <v>1903</v>
      </c>
      <c r="AF29" s="4">
        <v>1903</v>
      </c>
      <c r="AG29" s="4">
        <v>1903</v>
      </c>
      <c r="AH29" s="4">
        <v>1903</v>
      </c>
      <c r="AI29" s="4">
        <v>1903</v>
      </c>
      <c r="AJ29" s="7">
        <f t="shared" si="1"/>
        <v>37</v>
      </c>
    </row>
    <row r="30" spans="1:36" ht="14.5" customHeight="1">
      <c r="A30" s="4">
        <v>4</v>
      </c>
      <c r="B30" s="4" t="s">
        <v>129</v>
      </c>
      <c r="C30" s="141" t="s">
        <v>122</v>
      </c>
      <c r="D30" s="3">
        <v>21969</v>
      </c>
      <c r="E30" s="4">
        <v>22048</v>
      </c>
      <c r="F30" s="4">
        <v>22048</v>
      </c>
      <c r="G30" s="4">
        <v>22099</v>
      </c>
      <c r="H30" s="4">
        <v>22166</v>
      </c>
      <c r="I30" s="4">
        <v>22229</v>
      </c>
      <c r="J30" s="4">
        <v>22279</v>
      </c>
      <c r="K30" s="4">
        <v>22316</v>
      </c>
      <c r="L30" s="4">
        <v>22338</v>
      </c>
      <c r="M30" s="4">
        <v>22338</v>
      </c>
      <c r="N30" s="4">
        <v>22387</v>
      </c>
      <c r="O30" s="4">
        <v>22436</v>
      </c>
      <c r="P30" s="4">
        <v>22498</v>
      </c>
      <c r="Q30" s="4">
        <v>22563</v>
      </c>
      <c r="R30" s="4">
        <v>22564</v>
      </c>
      <c r="S30" s="4">
        <v>22588</v>
      </c>
      <c r="T30" s="4">
        <v>22588</v>
      </c>
      <c r="U30" s="4">
        <v>22639</v>
      </c>
      <c r="V30" s="4">
        <v>22694</v>
      </c>
      <c r="W30" s="4">
        <v>22734</v>
      </c>
      <c r="X30" s="4">
        <v>22809</v>
      </c>
      <c r="Y30" s="4">
        <v>22858</v>
      </c>
      <c r="Z30" s="4">
        <v>22897</v>
      </c>
      <c r="AA30" s="4">
        <v>22897</v>
      </c>
      <c r="AB30" s="4">
        <v>22960</v>
      </c>
      <c r="AC30" s="4">
        <v>23006</v>
      </c>
      <c r="AD30" s="4">
        <v>23081</v>
      </c>
      <c r="AE30" s="4">
        <v>23133</v>
      </c>
      <c r="AF30" s="4">
        <v>23183</v>
      </c>
      <c r="AG30" s="4">
        <v>23226</v>
      </c>
      <c r="AH30" s="8">
        <v>23226</v>
      </c>
      <c r="AI30" s="8">
        <v>23227</v>
      </c>
      <c r="AJ30" s="7">
        <f t="shared" si="1"/>
        <v>1258</v>
      </c>
    </row>
    <row r="31" spans="1:36" ht="14.5" customHeight="1">
      <c r="A31" s="4"/>
      <c r="B31" s="4"/>
      <c r="C31" s="142" t="s">
        <v>22</v>
      </c>
      <c r="D31" s="3">
        <v>1676</v>
      </c>
      <c r="E31" s="4">
        <v>1676</v>
      </c>
      <c r="F31" s="4">
        <v>1676</v>
      </c>
      <c r="G31" s="4">
        <v>1676</v>
      </c>
      <c r="H31" s="4">
        <v>1676</v>
      </c>
      <c r="I31" s="4">
        <v>1676</v>
      </c>
      <c r="J31" s="4">
        <v>1676</v>
      </c>
      <c r="K31" s="4">
        <v>1676</v>
      </c>
      <c r="L31" s="4">
        <v>1676</v>
      </c>
      <c r="M31" s="4">
        <v>1676</v>
      </c>
      <c r="N31" s="4">
        <v>1676</v>
      </c>
      <c r="O31" s="4">
        <v>1676</v>
      </c>
      <c r="P31" s="4">
        <v>1676</v>
      </c>
      <c r="Q31" s="4">
        <v>1676</v>
      </c>
      <c r="R31" s="4">
        <v>1677</v>
      </c>
      <c r="S31" s="4">
        <v>1677</v>
      </c>
      <c r="T31" s="4">
        <v>1677</v>
      </c>
      <c r="U31" s="4">
        <v>1677</v>
      </c>
      <c r="V31" s="4">
        <v>1680</v>
      </c>
      <c r="W31" s="4">
        <v>1681</v>
      </c>
      <c r="X31" s="4">
        <v>1681</v>
      </c>
      <c r="Y31" s="4">
        <v>1681</v>
      </c>
      <c r="Z31" s="4">
        <v>1682</v>
      </c>
      <c r="AA31" s="4">
        <v>1682</v>
      </c>
      <c r="AB31" s="4">
        <v>1686</v>
      </c>
      <c r="AC31" s="4">
        <v>1686</v>
      </c>
      <c r="AD31" s="4">
        <v>1686</v>
      </c>
      <c r="AE31" s="4">
        <v>1686</v>
      </c>
      <c r="AF31" s="4">
        <v>1686</v>
      </c>
      <c r="AG31" s="4">
        <v>1686</v>
      </c>
      <c r="AH31" s="4">
        <v>1686</v>
      </c>
      <c r="AI31" s="4">
        <v>1686</v>
      </c>
      <c r="AJ31" s="7">
        <f t="shared" si="1"/>
        <v>10</v>
      </c>
    </row>
    <row r="32" spans="1:36" ht="14.5" customHeight="1">
      <c r="A32" s="564"/>
      <c r="B32" s="504"/>
      <c r="C32" s="504"/>
      <c r="D32" s="504"/>
      <c r="E32" s="50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  <c r="R32" s="504"/>
      <c r="S32" s="504"/>
      <c r="T32" s="504"/>
      <c r="U32" s="504"/>
      <c r="V32" s="504"/>
      <c r="W32" s="504"/>
      <c r="X32" s="504"/>
      <c r="Y32" s="504"/>
      <c r="Z32" s="504"/>
      <c r="AA32" s="504"/>
      <c r="AB32" s="504"/>
      <c r="AC32" s="504"/>
      <c r="AD32" s="504"/>
      <c r="AE32" s="504"/>
      <c r="AF32" s="504"/>
      <c r="AG32" s="504"/>
      <c r="AH32" s="504"/>
      <c r="AI32" s="504"/>
      <c r="AJ32" s="501"/>
    </row>
    <row r="33" spans="1:36" ht="14.5" customHeight="1">
      <c r="A33" s="4">
        <v>1</v>
      </c>
      <c r="B33" s="4" t="s">
        <v>129</v>
      </c>
      <c r="C33" s="141" t="s">
        <v>123</v>
      </c>
      <c r="D33" s="9">
        <v>204528</v>
      </c>
      <c r="E33" s="40">
        <v>205133</v>
      </c>
      <c r="F33" s="10">
        <v>205133</v>
      </c>
      <c r="G33" s="10">
        <v>206112</v>
      </c>
      <c r="H33" s="10">
        <v>206840</v>
      </c>
      <c r="I33" s="40">
        <v>207466</v>
      </c>
      <c r="J33" s="10">
        <v>208023</v>
      </c>
      <c r="K33" s="10">
        <v>208582</v>
      </c>
      <c r="L33" s="10">
        <v>208822</v>
      </c>
      <c r="M33" s="40">
        <v>208822</v>
      </c>
      <c r="N33" s="10">
        <v>209692</v>
      </c>
      <c r="O33" s="10">
        <v>210404</v>
      </c>
      <c r="P33" s="10">
        <v>211092</v>
      </c>
      <c r="Q33" s="40">
        <v>211747</v>
      </c>
      <c r="R33" s="10">
        <v>211747</v>
      </c>
      <c r="S33" s="10">
        <v>212012</v>
      </c>
      <c r="T33" s="10">
        <v>212012</v>
      </c>
      <c r="U33" s="40">
        <v>212938</v>
      </c>
      <c r="V33" s="10">
        <v>213688</v>
      </c>
      <c r="W33" s="10">
        <v>214429</v>
      </c>
      <c r="X33" s="10">
        <v>215218</v>
      </c>
      <c r="Y33" s="40">
        <v>215880</v>
      </c>
      <c r="Z33" s="10">
        <v>216242</v>
      </c>
      <c r="AA33" s="10">
        <v>216242</v>
      </c>
      <c r="AB33" s="10">
        <v>217084</v>
      </c>
      <c r="AC33" s="40">
        <v>217901</v>
      </c>
      <c r="AD33" s="10">
        <v>218784</v>
      </c>
      <c r="AE33" s="10">
        <v>219562</v>
      </c>
      <c r="AF33" s="10">
        <v>220306</v>
      </c>
      <c r="AG33" s="40">
        <v>220563</v>
      </c>
      <c r="AH33" s="10">
        <v>220563</v>
      </c>
      <c r="AI33" s="10">
        <v>220563</v>
      </c>
      <c r="AJ33" s="7">
        <f>AI33-D33</f>
        <v>16035</v>
      </c>
    </row>
    <row r="34" spans="1:36" ht="14.5" customHeight="1">
      <c r="A34" s="4">
        <v>2</v>
      </c>
      <c r="B34" s="4" t="s">
        <v>129</v>
      </c>
      <c r="C34" s="141" t="s">
        <v>124</v>
      </c>
      <c r="D34" s="9">
        <v>211729</v>
      </c>
      <c r="E34" s="10">
        <v>212106</v>
      </c>
      <c r="F34" s="10">
        <v>212106</v>
      </c>
      <c r="G34" s="10">
        <v>212711</v>
      </c>
      <c r="H34" s="10">
        <v>213252</v>
      </c>
      <c r="I34" s="10">
        <v>213684</v>
      </c>
      <c r="J34" s="10">
        <v>214137</v>
      </c>
      <c r="K34" s="10">
        <v>214657</v>
      </c>
      <c r="L34" s="10">
        <v>214823</v>
      </c>
      <c r="M34" s="10">
        <v>214823</v>
      </c>
      <c r="N34" s="10">
        <v>215509</v>
      </c>
      <c r="O34" s="10">
        <v>216088</v>
      </c>
      <c r="P34" s="10">
        <v>216763</v>
      </c>
      <c r="Q34" s="10">
        <v>217284</v>
      </c>
      <c r="R34" s="10">
        <v>217284</v>
      </c>
      <c r="S34" s="10">
        <v>217527</v>
      </c>
      <c r="T34" s="10">
        <v>217527</v>
      </c>
      <c r="U34" s="10">
        <v>218345</v>
      </c>
      <c r="V34" s="10">
        <v>219030</v>
      </c>
      <c r="W34" s="10">
        <v>219746</v>
      </c>
      <c r="X34" s="10">
        <v>220342</v>
      </c>
      <c r="Y34" s="10">
        <v>220845</v>
      </c>
      <c r="Z34" s="10">
        <v>221227</v>
      </c>
      <c r="AA34" s="10">
        <v>221227</v>
      </c>
      <c r="AB34" s="10">
        <v>221901</v>
      </c>
      <c r="AC34" s="10">
        <v>222679</v>
      </c>
      <c r="AD34" s="10">
        <v>223394</v>
      </c>
      <c r="AE34" s="10">
        <v>224038</v>
      </c>
      <c r="AF34" s="10">
        <v>224606</v>
      </c>
      <c r="AG34" s="10">
        <v>224872</v>
      </c>
      <c r="AH34" s="10">
        <v>224872</v>
      </c>
      <c r="AI34" s="10">
        <v>224872</v>
      </c>
      <c r="AJ34" s="7">
        <f>AI34-D34</f>
        <v>13143</v>
      </c>
    </row>
    <row r="35" spans="1:36" ht="14.5" customHeight="1">
      <c r="A35" s="4">
        <v>3</v>
      </c>
      <c r="B35" s="4" t="s">
        <v>129</v>
      </c>
      <c r="C35" s="141" t="s">
        <v>125</v>
      </c>
      <c r="D35" s="9">
        <v>208888</v>
      </c>
      <c r="E35" s="10">
        <v>209149</v>
      </c>
      <c r="F35" s="10">
        <v>209149</v>
      </c>
      <c r="G35" s="10">
        <v>209563</v>
      </c>
      <c r="H35" s="10">
        <v>209981</v>
      </c>
      <c r="I35" s="10">
        <v>210276</v>
      </c>
      <c r="J35" s="10">
        <v>210650</v>
      </c>
      <c r="K35" s="10">
        <v>211050</v>
      </c>
      <c r="L35" s="10">
        <v>211211</v>
      </c>
      <c r="M35" s="10">
        <v>211211</v>
      </c>
      <c r="N35" s="10">
        <v>211802</v>
      </c>
      <c r="O35" s="10">
        <v>212283</v>
      </c>
      <c r="P35" s="10">
        <v>212971</v>
      </c>
      <c r="Q35" s="10">
        <v>213413</v>
      </c>
      <c r="R35" s="10">
        <v>213413</v>
      </c>
      <c r="S35" s="10">
        <v>213640</v>
      </c>
      <c r="T35" s="10">
        <v>213640</v>
      </c>
      <c r="U35" s="10">
        <v>214360</v>
      </c>
      <c r="V35" s="10">
        <v>215084</v>
      </c>
      <c r="W35" s="10">
        <v>215704</v>
      </c>
      <c r="X35" s="10">
        <v>216215</v>
      </c>
      <c r="Y35" s="10">
        <v>216639</v>
      </c>
      <c r="Z35" s="10">
        <v>216899</v>
      </c>
      <c r="AA35" s="10">
        <v>216899</v>
      </c>
      <c r="AB35" s="10">
        <v>217704</v>
      </c>
      <c r="AC35" s="10">
        <v>218334</v>
      </c>
      <c r="AD35" s="10">
        <v>218949</v>
      </c>
      <c r="AE35" s="10">
        <v>219594</v>
      </c>
      <c r="AF35" s="10">
        <v>220142</v>
      </c>
      <c r="AG35" s="10">
        <v>220395</v>
      </c>
      <c r="AH35" s="10">
        <v>220395</v>
      </c>
      <c r="AI35" s="10">
        <v>220395</v>
      </c>
      <c r="AJ35" s="7">
        <f>AI35-D35</f>
        <v>11507</v>
      </c>
    </row>
    <row r="36" spans="1:36" ht="14.5" customHeight="1">
      <c r="A36" s="4">
        <v>4</v>
      </c>
      <c r="B36" s="4" t="s">
        <v>129</v>
      </c>
      <c r="C36" s="141" t="s">
        <v>126</v>
      </c>
      <c r="D36" s="9">
        <v>230669</v>
      </c>
      <c r="E36" s="10">
        <v>231224</v>
      </c>
      <c r="F36" s="10">
        <v>231224</v>
      </c>
      <c r="G36" s="10">
        <v>231914</v>
      </c>
      <c r="H36" s="10">
        <v>232513</v>
      </c>
      <c r="I36" s="10">
        <v>233136</v>
      </c>
      <c r="J36" s="10">
        <v>233568</v>
      </c>
      <c r="K36" s="10">
        <v>234049</v>
      </c>
      <c r="L36" s="10">
        <v>234245</v>
      </c>
      <c r="M36" s="10">
        <v>234245</v>
      </c>
      <c r="N36" s="10">
        <v>234949</v>
      </c>
      <c r="O36" s="10">
        <v>235494</v>
      </c>
      <c r="P36" s="10">
        <v>236061</v>
      </c>
      <c r="Q36" s="10">
        <v>236609</v>
      </c>
      <c r="R36" s="10">
        <v>236609</v>
      </c>
      <c r="S36" s="10">
        <v>236803</v>
      </c>
      <c r="T36" s="10">
        <v>236803</v>
      </c>
      <c r="U36" s="10">
        <v>237482</v>
      </c>
      <c r="V36" s="10">
        <v>238138</v>
      </c>
      <c r="W36" s="10">
        <v>238792</v>
      </c>
      <c r="X36" s="10">
        <v>239470</v>
      </c>
      <c r="Y36" s="10">
        <v>240053</v>
      </c>
      <c r="Z36" s="10">
        <v>240371</v>
      </c>
      <c r="AA36" s="10">
        <v>240371</v>
      </c>
      <c r="AB36" s="10">
        <v>241047</v>
      </c>
      <c r="AC36" s="10">
        <v>241709</v>
      </c>
      <c r="AD36" s="10">
        <v>242463</v>
      </c>
      <c r="AE36" s="10">
        <v>243122</v>
      </c>
      <c r="AF36" s="10">
        <v>243810</v>
      </c>
      <c r="AG36" s="10">
        <v>244029</v>
      </c>
      <c r="AH36" s="10">
        <v>244029</v>
      </c>
      <c r="AI36" s="10">
        <v>244029</v>
      </c>
      <c r="AJ36" s="7">
        <f>AI36-D36</f>
        <v>13360</v>
      </c>
    </row>
    <row r="37" spans="1:36" ht="14.5" customHeight="1">
      <c r="A37" s="134"/>
      <c r="B37" s="134"/>
      <c r="D37" s="134"/>
      <c r="E37" s="13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6"/>
      <c r="AD37" s="134"/>
      <c r="AE37" s="134"/>
      <c r="AF37" s="134"/>
      <c r="AG37" s="134"/>
      <c r="AH37" s="134"/>
      <c r="AI37" s="134"/>
      <c r="AJ37" s="136"/>
    </row>
    <row r="38" spans="1:36" ht="14.5" customHeight="1">
      <c r="A38" s="14"/>
      <c r="B38" s="137"/>
      <c r="C38" s="144"/>
      <c r="D38" s="138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spans="1:36" ht="14.5" customHeight="1">
      <c r="A39" s="93"/>
      <c r="B39" s="534" t="s">
        <v>127</v>
      </c>
      <c r="C39" s="504"/>
      <c r="D39" s="501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</row>
    <row r="40" spans="1:36" ht="14.5" customHeight="1">
      <c r="A40" s="94"/>
      <c r="B40" s="538" t="s">
        <v>128</v>
      </c>
      <c r="C40" s="504"/>
      <c r="D40" s="501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</row>
    <row r="41" spans="1:36" ht="13" customHeight="1">
      <c r="A41" s="529" t="s">
        <v>99</v>
      </c>
      <c r="B41" s="529" t="s">
        <v>100</v>
      </c>
      <c r="C41" s="529" t="s">
        <v>101</v>
      </c>
      <c r="D41" s="517"/>
      <c r="E41" s="95">
        <f t="shared" ref="E41:AI41" si="2">E3</f>
        <v>45717</v>
      </c>
      <c r="F41" s="95">
        <f t="shared" si="2"/>
        <v>45718</v>
      </c>
      <c r="G41" s="95">
        <f t="shared" si="2"/>
        <v>45719</v>
      </c>
      <c r="H41" s="95">
        <f t="shared" si="2"/>
        <v>45720</v>
      </c>
      <c r="I41" s="95">
        <f t="shared" si="2"/>
        <v>45721</v>
      </c>
      <c r="J41" s="95">
        <f t="shared" si="2"/>
        <v>45722</v>
      </c>
      <c r="K41" s="95">
        <f t="shared" si="2"/>
        <v>45723</v>
      </c>
      <c r="L41" s="95">
        <f t="shared" si="2"/>
        <v>45724</v>
      </c>
      <c r="M41" s="95">
        <f t="shared" si="2"/>
        <v>45725</v>
      </c>
      <c r="N41" s="95">
        <f t="shared" si="2"/>
        <v>45726</v>
      </c>
      <c r="O41" s="95">
        <f t="shared" si="2"/>
        <v>45727</v>
      </c>
      <c r="P41" s="95">
        <f t="shared" si="2"/>
        <v>45728</v>
      </c>
      <c r="Q41" s="95">
        <f t="shared" si="2"/>
        <v>45729</v>
      </c>
      <c r="R41" s="95">
        <f t="shared" si="2"/>
        <v>45730</v>
      </c>
      <c r="S41" s="95">
        <f t="shared" si="2"/>
        <v>45731</v>
      </c>
      <c r="T41" s="95">
        <f t="shared" si="2"/>
        <v>45732</v>
      </c>
      <c r="U41" s="95">
        <f t="shared" si="2"/>
        <v>45733</v>
      </c>
      <c r="V41" s="95">
        <f t="shared" si="2"/>
        <v>45734</v>
      </c>
      <c r="W41" s="95">
        <f t="shared" si="2"/>
        <v>45735</v>
      </c>
      <c r="X41" s="95">
        <f t="shared" si="2"/>
        <v>45736</v>
      </c>
      <c r="Y41" s="95">
        <f t="shared" si="2"/>
        <v>45737</v>
      </c>
      <c r="Z41" s="95">
        <f t="shared" si="2"/>
        <v>45738</v>
      </c>
      <c r="AA41" s="95">
        <f t="shared" si="2"/>
        <v>45739</v>
      </c>
      <c r="AB41" s="95">
        <f t="shared" si="2"/>
        <v>45740</v>
      </c>
      <c r="AC41" s="95">
        <f t="shared" si="2"/>
        <v>45741</v>
      </c>
      <c r="AD41" s="95">
        <f t="shared" si="2"/>
        <v>45742</v>
      </c>
      <c r="AE41" s="95">
        <f t="shared" si="2"/>
        <v>45743</v>
      </c>
      <c r="AF41" s="95">
        <f t="shared" si="2"/>
        <v>45744</v>
      </c>
      <c r="AG41" s="95">
        <f t="shared" si="2"/>
        <v>45745</v>
      </c>
      <c r="AH41" s="95">
        <f t="shared" si="2"/>
        <v>45746</v>
      </c>
      <c r="AI41" s="95">
        <f t="shared" si="2"/>
        <v>45747</v>
      </c>
      <c r="AJ41" s="529" t="s">
        <v>1</v>
      </c>
    </row>
    <row r="42" spans="1:36" ht="13" customHeight="1">
      <c r="A42" s="508"/>
      <c r="B42" s="508"/>
      <c r="C42" s="518"/>
      <c r="D42" s="519"/>
      <c r="E42" s="96" t="str">
        <f t="shared" ref="E42:AI42" si="3">E4</f>
        <v>SAT</v>
      </c>
      <c r="F42" s="96" t="str">
        <f t="shared" si="3"/>
        <v>SUN</v>
      </c>
      <c r="G42" s="96" t="str">
        <f t="shared" si="3"/>
        <v>MON</v>
      </c>
      <c r="H42" s="96" t="str">
        <f t="shared" si="3"/>
        <v>TUE</v>
      </c>
      <c r="I42" s="96" t="str">
        <f t="shared" si="3"/>
        <v>WED</v>
      </c>
      <c r="J42" s="96" t="str">
        <f t="shared" si="3"/>
        <v>THU</v>
      </c>
      <c r="K42" s="96" t="str">
        <f t="shared" si="3"/>
        <v>FRI</v>
      </c>
      <c r="L42" s="96" t="str">
        <f t="shared" si="3"/>
        <v>SAT</v>
      </c>
      <c r="M42" s="96" t="str">
        <f t="shared" si="3"/>
        <v>SUN</v>
      </c>
      <c r="N42" s="96" t="str">
        <f t="shared" si="3"/>
        <v>MON</v>
      </c>
      <c r="O42" s="96" t="str">
        <f t="shared" si="3"/>
        <v>TUE</v>
      </c>
      <c r="P42" s="96" t="str">
        <f t="shared" si="3"/>
        <v>WED</v>
      </c>
      <c r="Q42" s="96" t="str">
        <f t="shared" si="3"/>
        <v>THU</v>
      </c>
      <c r="R42" s="96" t="str">
        <f t="shared" si="3"/>
        <v>FRI</v>
      </c>
      <c r="S42" s="96" t="str">
        <f t="shared" si="3"/>
        <v>SAT</v>
      </c>
      <c r="T42" s="96" t="str">
        <f t="shared" si="3"/>
        <v>SUN</v>
      </c>
      <c r="U42" s="96" t="str">
        <f t="shared" si="3"/>
        <v>MON</v>
      </c>
      <c r="V42" s="96" t="str">
        <f t="shared" si="3"/>
        <v>TUE</v>
      </c>
      <c r="W42" s="96" t="str">
        <f t="shared" si="3"/>
        <v>WED</v>
      </c>
      <c r="X42" s="96" t="str">
        <f t="shared" si="3"/>
        <v>THU</v>
      </c>
      <c r="Y42" s="96" t="str">
        <f t="shared" si="3"/>
        <v>FRI</v>
      </c>
      <c r="Z42" s="96" t="str">
        <f t="shared" si="3"/>
        <v>SAT</v>
      </c>
      <c r="AA42" s="96" t="str">
        <f t="shared" si="3"/>
        <v>SUN</v>
      </c>
      <c r="AB42" s="96" t="str">
        <f t="shared" si="3"/>
        <v>MON</v>
      </c>
      <c r="AC42" s="96" t="str">
        <f t="shared" si="3"/>
        <v>TUE</v>
      </c>
      <c r="AD42" s="96" t="str">
        <f t="shared" si="3"/>
        <v>WED</v>
      </c>
      <c r="AE42" s="96" t="str">
        <f t="shared" si="3"/>
        <v>THU</v>
      </c>
      <c r="AF42" s="96" t="str">
        <f t="shared" si="3"/>
        <v>FRI</v>
      </c>
      <c r="AG42" s="96" t="str">
        <f t="shared" si="3"/>
        <v>SAT</v>
      </c>
      <c r="AH42" s="96" t="str">
        <f t="shared" si="3"/>
        <v>SUN</v>
      </c>
      <c r="AI42" s="96" t="str">
        <f t="shared" si="3"/>
        <v>MON</v>
      </c>
      <c r="AJ42" s="508"/>
    </row>
    <row r="43" spans="1:36" ht="13" customHeight="1">
      <c r="A43" s="508"/>
      <c r="B43" s="508"/>
      <c r="C43" s="518"/>
      <c r="D43" s="519"/>
      <c r="E43" s="97" t="s">
        <v>110</v>
      </c>
      <c r="F43" s="97" t="s">
        <v>110</v>
      </c>
      <c r="G43" s="97" t="s">
        <v>110</v>
      </c>
      <c r="H43" s="97" t="s">
        <v>110</v>
      </c>
      <c r="I43" s="97" t="s">
        <v>110</v>
      </c>
      <c r="J43" s="97" t="s">
        <v>110</v>
      </c>
      <c r="K43" s="97" t="s">
        <v>110</v>
      </c>
      <c r="L43" s="97" t="s">
        <v>110</v>
      </c>
      <c r="M43" s="97" t="s">
        <v>110</v>
      </c>
      <c r="N43" s="97" t="s">
        <v>110</v>
      </c>
      <c r="O43" s="97" t="s">
        <v>110</v>
      </c>
      <c r="P43" s="97" t="s">
        <v>110</v>
      </c>
      <c r="Q43" s="97" t="s">
        <v>110</v>
      </c>
      <c r="R43" s="97" t="s">
        <v>110</v>
      </c>
      <c r="S43" s="97" t="s">
        <v>110</v>
      </c>
      <c r="T43" s="97" t="s">
        <v>110</v>
      </c>
      <c r="U43" s="97" t="s">
        <v>110</v>
      </c>
      <c r="V43" s="97" t="s">
        <v>110</v>
      </c>
      <c r="W43" s="97" t="s">
        <v>110</v>
      </c>
      <c r="X43" s="97" t="s">
        <v>110</v>
      </c>
      <c r="Y43" s="97" t="s">
        <v>110</v>
      </c>
      <c r="Z43" s="97" t="s">
        <v>110</v>
      </c>
      <c r="AA43" s="97" t="s">
        <v>110</v>
      </c>
      <c r="AB43" s="97" t="s">
        <v>110</v>
      </c>
      <c r="AC43" s="97" t="s">
        <v>110</v>
      </c>
      <c r="AD43" s="97" t="s">
        <v>110</v>
      </c>
      <c r="AE43" s="97" t="s">
        <v>110</v>
      </c>
      <c r="AF43" s="97" t="s">
        <v>110</v>
      </c>
      <c r="AG43" s="97" t="s">
        <v>110</v>
      </c>
      <c r="AH43" s="95" t="str">
        <f>AH5</f>
        <v>Time</v>
      </c>
      <c r="AI43" s="97" t="s">
        <v>110</v>
      </c>
      <c r="AJ43" s="508"/>
    </row>
    <row r="44" spans="1:36" ht="13" customHeight="1">
      <c r="A44" s="509"/>
      <c r="B44" s="509"/>
      <c r="C44" s="520"/>
      <c r="D44" s="521"/>
      <c r="E44" s="98">
        <v>0.33333333333333331</v>
      </c>
      <c r="F44" s="98">
        <v>0.33333333333333331</v>
      </c>
      <c r="G44" s="98">
        <v>0.33333333333333331</v>
      </c>
      <c r="H44" s="98">
        <v>0.33333333333333331</v>
      </c>
      <c r="I44" s="98">
        <v>0.33333333333333331</v>
      </c>
      <c r="J44" s="98">
        <v>0.33333333333333331</v>
      </c>
      <c r="K44" s="98">
        <v>0.33333333333333331</v>
      </c>
      <c r="L44" s="98">
        <v>0.33333333333333331</v>
      </c>
      <c r="M44" s="98">
        <v>0.33333333333333331</v>
      </c>
      <c r="N44" s="98">
        <v>0.33333333333333331</v>
      </c>
      <c r="O44" s="98">
        <v>0.33333333333333331</v>
      </c>
      <c r="P44" s="98">
        <v>0.33333333333333331</v>
      </c>
      <c r="Q44" s="98">
        <v>0.33333333333333331</v>
      </c>
      <c r="R44" s="98">
        <v>0.33333333333333331</v>
      </c>
      <c r="S44" s="98">
        <v>0.33333333333333331</v>
      </c>
      <c r="T44" s="98">
        <v>0.33333333333333331</v>
      </c>
      <c r="U44" s="98">
        <v>0.33333333333333331</v>
      </c>
      <c r="V44" s="98">
        <v>0.33333333333333331</v>
      </c>
      <c r="W44" s="98">
        <v>0.33333333333333331</v>
      </c>
      <c r="X44" s="98">
        <v>0.33333333333333331</v>
      </c>
      <c r="Y44" s="98">
        <v>0.33333333333333331</v>
      </c>
      <c r="Z44" s="98">
        <v>0.33333333333333331</v>
      </c>
      <c r="AA44" s="98">
        <v>0.33333333333333331</v>
      </c>
      <c r="AB44" s="98">
        <v>0.33333333333333331</v>
      </c>
      <c r="AC44" s="98">
        <v>0.33333333333333331</v>
      </c>
      <c r="AD44" s="98">
        <v>0.33333333333333331</v>
      </c>
      <c r="AE44" s="98">
        <v>0.33333333333333331</v>
      </c>
      <c r="AF44" s="98">
        <v>0.33333333333333331</v>
      </c>
      <c r="AG44" s="98">
        <v>0.33333333333333331</v>
      </c>
      <c r="AH44" s="98">
        <v>0.33333333333333331</v>
      </c>
      <c r="AI44" s="98">
        <v>0.33333333333333331</v>
      </c>
      <c r="AJ44" s="509"/>
    </row>
    <row r="45" spans="1:36" ht="15" customHeight="1">
      <c r="A45" s="2">
        <v>1</v>
      </c>
      <c r="B45" s="2" t="s">
        <v>129</v>
      </c>
      <c r="C45" s="503" t="s">
        <v>111</v>
      </c>
      <c r="D45" s="501"/>
      <c r="E45" s="20">
        <f t="shared" ref="E45:AI45" si="4">E7-D7</f>
        <v>356</v>
      </c>
      <c r="F45" s="20">
        <f t="shared" si="4"/>
        <v>209</v>
      </c>
      <c r="G45" s="20">
        <f t="shared" si="4"/>
        <v>255</v>
      </c>
      <c r="H45" s="20">
        <f t="shared" si="4"/>
        <v>275</v>
      </c>
      <c r="I45" s="20">
        <f t="shared" si="4"/>
        <v>254</v>
      </c>
      <c r="J45" s="20">
        <f t="shared" si="4"/>
        <v>274</v>
      </c>
      <c r="K45" s="20">
        <f t="shared" si="4"/>
        <v>350</v>
      </c>
      <c r="L45" s="20">
        <f t="shared" si="4"/>
        <v>208</v>
      </c>
      <c r="M45" s="20">
        <f t="shared" si="4"/>
        <v>190</v>
      </c>
      <c r="N45" s="20">
        <f t="shared" si="4"/>
        <v>264</v>
      </c>
      <c r="O45" s="20">
        <f t="shared" si="4"/>
        <v>265</v>
      </c>
      <c r="P45" s="20">
        <f t="shared" si="4"/>
        <v>250</v>
      </c>
      <c r="Q45" s="20">
        <f t="shared" si="4"/>
        <v>248</v>
      </c>
      <c r="R45" s="20">
        <f t="shared" si="4"/>
        <v>208</v>
      </c>
      <c r="S45" s="20">
        <f t="shared" si="4"/>
        <v>221</v>
      </c>
      <c r="T45" s="20">
        <f t="shared" si="4"/>
        <v>208</v>
      </c>
      <c r="U45" s="20">
        <f t="shared" si="4"/>
        <v>298</v>
      </c>
      <c r="V45" s="20">
        <f t="shared" si="4"/>
        <v>221</v>
      </c>
      <c r="W45" s="20">
        <f t="shared" si="4"/>
        <v>271</v>
      </c>
      <c r="X45" s="20">
        <f t="shared" si="4"/>
        <v>272</v>
      </c>
      <c r="Y45" s="20">
        <f t="shared" si="4"/>
        <v>264</v>
      </c>
      <c r="Z45" s="20">
        <f t="shared" si="4"/>
        <v>223</v>
      </c>
      <c r="AA45" s="20">
        <f t="shared" si="4"/>
        <v>205</v>
      </c>
      <c r="AB45" s="20">
        <f t="shared" si="4"/>
        <v>252</v>
      </c>
      <c r="AC45" s="20">
        <f t="shared" si="4"/>
        <v>272</v>
      </c>
      <c r="AD45" s="20">
        <f t="shared" si="4"/>
        <v>269</v>
      </c>
      <c r="AE45" s="20">
        <f t="shared" si="4"/>
        <v>282</v>
      </c>
      <c r="AF45" s="20">
        <f t="shared" si="4"/>
        <v>261</v>
      </c>
      <c r="AG45" s="20">
        <f t="shared" si="4"/>
        <v>218</v>
      </c>
      <c r="AH45" s="20">
        <f t="shared" si="4"/>
        <v>209</v>
      </c>
      <c r="AI45" s="20">
        <f t="shared" si="4"/>
        <v>101</v>
      </c>
      <c r="AJ45" s="21">
        <f t="shared" ref="AJ45:AJ62" si="5">SUM(E45:AI45)</f>
        <v>7653</v>
      </c>
    </row>
    <row r="46" spans="1:36" ht="15" customHeight="1">
      <c r="A46" s="2"/>
      <c r="B46" s="2"/>
      <c r="C46" s="531" t="s">
        <v>22</v>
      </c>
      <c r="D46" s="501"/>
      <c r="E46" s="20">
        <f t="shared" ref="E46:AI46" si="6">E8-D8</f>
        <v>8</v>
      </c>
      <c r="F46" s="20">
        <f t="shared" si="6"/>
        <v>0</v>
      </c>
      <c r="G46" s="20">
        <f t="shared" si="6"/>
        <v>0</v>
      </c>
      <c r="H46" s="20">
        <f t="shared" si="6"/>
        <v>0</v>
      </c>
      <c r="I46" s="20">
        <f t="shared" si="6"/>
        <v>0</v>
      </c>
      <c r="J46" s="20">
        <f t="shared" si="6"/>
        <v>0</v>
      </c>
      <c r="K46" s="20">
        <f t="shared" si="6"/>
        <v>0</v>
      </c>
      <c r="L46" s="20">
        <f t="shared" si="6"/>
        <v>17</v>
      </c>
      <c r="M46" s="20">
        <f t="shared" si="6"/>
        <v>16</v>
      </c>
      <c r="N46" s="20">
        <f t="shared" si="6"/>
        <v>0</v>
      </c>
      <c r="O46" s="20">
        <f t="shared" si="6"/>
        <v>0</v>
      </c>
      <c r="P46" s="20">
        <f t="shared" si="6"/>
        <v>0</v>
      </c>
      <c r="Q46" s="20">
        <f t="shared" si="6"/>
        <v>0</v>
      </c>
      <c r="R46" s="20">
        <f t="shared" si="6"/>
        <v>5</v>
      </c>
      <c r="S46" s="20">
        <f t="shared" si="6"/>
        <v>0</v>
      </c>
      <c r="T46" s="20">
        <f t="shared" si="6"/>
        <v>0</v>
      </c>
      <c r="U46" s="20">
        <f t="shared" si="6"/>
        <v>0</v>
      </c>
      <c r="V46" s="20">
        <f t="shared" si="6"/>
        <v>21</v>
      </c>
      <c r="W46" s="20">
        <f t="shared" si="6"/>
        <v>5</v>
      </c>
      <c r="X46" s="20">
        <f t="shared" si="6"/>
        <v>0</v>
      </c>
      <c r="Y46" s="20">
        <f t="shared" si="6"/>
        <v>0</v>
      </c>
      <c r="Z46" s="20">
        <f t="shared" si="6"/>
        <v>1</v>
      </c>
      <c r="AA46" s="20">
        <f t="shared" si="6"/>
        <v>0</v>
      </c>
      <c r="AB46" s="20">
        <f t="shared" si="6"/>
        <v>20</v>
      </c>
      <c r="AC46" s="20">
        <f t="shared" si="6"/>
        <v>0</v>
      </c>
      <c r="AD46" s="20">
        <f t="shared" si="6"/>
        <v>0</v>
      </c>
      <c r="AE46" s="20">
        <f t="shared" si="6"/>
        <v>0</v>
      </c>
      <c r="AF46" s="20">
        <f t="shared" si="6"/>
        <v>0</v>
      </c>
      <c r="AG46" s="20">
        <f t="shared" si="6"/>
        <v>0</v>
      </c>
      <c r="AH46" s="20">
        <f t="shared" si="6"/>
        <v>0</v>
      </c>
      <c r="AI46" s="20">
        <f t="shared" si="6"/>
        <v>0</v>
      </c>
      <c r="AJ46" s="21">
        <f t="shared" si="5"/>
        <v>93</v>
      </c>
    </row>
    <row r="47" spans="1:36" ht="15" customHeight="1">
      <c r="A47" s="2">
        <v>2</v>
      </c>
      <c r="B47" s="2" t="s">
        <v>129</v>
      </c>
      <c r="C47" s="503" t="s">
        <v>112</v>
      </c>
      <c r="D47" s="501"/>
      <c r="E47" s="20">
        <f t="shared" ref="E47:AI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0">
        <f t="shared" si="7"/>
        <v>0</v>
      </c>
      <c r="AH47" s="20">
        <f t="shared" si="7"/>
        <v>0</v>
      </c>
      <c r="AI47" s="20">
        <f t="shared" si="7"/>
        <v>0</v>
      </c>
      <c r="AJ47" s="21">
        <f t="shared" si="5"/>
        <v>0</v>
      </c>
    </row>
    <row r="48" spans="1:36" ht="15" customHeight="1">
      <c r="A48" s="2"/>
      <c r="B48" s="2"/>
      <c r="C48" s="531" t="s">
        <v>22</v>
      </c>
      <c r="D48" s="501"/>
      <c r="E48" s="20">
        <f t="shared" ref="E48:AI48" si="8">E10-D10</f>
        <v>0</v>
      </c>
      <c r="F48" s="20">
        <f t="shared" si="8"/>
        <v>0</v>
      </c>
      <c r="G48" s="20">
        <f t="shared" si="8"/>
        <v>0</v>
      </c>
      <c r="H48" s="20">
        <f t="shared" si="8"/>
        <v>0</v>
      </c>
      <c r="I48" s="20">
        <f t="shared" si="8"/>
        <v>0</v>
      </c>
      <c r="J48" s="20">
        <f t="shared" si="8"/>
        <v>0</v>
      </c>
      <c r="K48" s="20">
        <f t="shared" si="8"/>
        <v>0</v>
      </c>
      <c r="L48" s="20">
        <f t="shared" si="8"/>
        <v>0</v>
      </c>
      <c r="M48" s="20">
        <f t="shared" si="8"/>
        <v>0</v>
      </c>
      <c r="N48" s="20">
        <f t="shared" si="8"/>
        <v>0</v>
      </c>
      <c r="O48" s="20">
        <f t="shared" si="8"/>
        <v>0</v>
      </c>
      <c r="P48" s="20">
        <f t="shared" si="8"/>
        <v>0</v>
      </c>
      <c r="Q48" s="20">
        <f t="shared" si="8"/>
        <v>0</v>
      </c>
      <c r="R48" s="20">
        <f t="shared" si="8"/>
        <v>0</v>
      </c>
      <c r="S48" s="20">
        <f t="shared" si="8"/>
        <v>0</v>
      </c>
      <c r="T48" s="20">
        <f t="shared" si="8"/>
        <v>0</v>
      </c>
      <c r="U48" s="20">
        <f t="shared" si="8"/>
        <v>0</v>
      </c>
      <c r="V48" s="20">
        <f t="shared" si="8"/>
        <v>0</v>
      </c>
      <c r="W48" s="20">
        <f t="shared" si="8"/>
        <v>0</v>
      </c>
      <c r="X48" s="20">
        <f t="shared" si="8"/>
        <v>0</v>
      </c>
      <c r="Y48" s="20">
        <f t="shared" si="8"/>
        <v>0</v>
      </c>
      <c r="Z48" s="20">
        <f t="shared" si="8"/>
        <v>0</v>
      </c>
      <c r="AA48" s="20">
        <f t="shared" si="8"/>
        <v>0</v>
      </c>
      <c r="AB48" s="20">
        <f t="shared" si="8"/>
        <v>0</v>
      </c>
      <c r="AC48" s="20">
        <f t="shared" si="8"/>
        <v>0</v>
      </c>
      <c r="AD48" s="20">
        <f t="shared" si="8"/>
        <v>0</v>
      </c>
      <c r="AE48" s="20">
        <f t="shared" si="8"/>
        <v>0</v>
      </c>
      <c r="AF48" s="20">
        <f t="shared" si="8"/>
        <v>0</v>
      </c>
      <c r="AG48" s="20">
        <f t="shared" si="8"/>
        <v>0</v>
      </c>
      <c r="AH48" s="20">
        <f t="shared" si="8"/>
        <v>0</v>
      </c>
      <c r="AI48" s="20">
        <f t="shared" si="8"/>
        <v>0</v>
      </c>
      <c r="AJ48" s="21">
        <f t="shared" si="5"/>
        <v>0</v>
      </c>
    </row>
    <row r="49" spans="1:38" ht="15" customHeight="1">
      <c r="A49" s="2">
        <v>3</v>
      </c>
      <c r="B49" s="2" t="s">
        <v>129</v>
      </c>
      <c r="C49" s="503" t="s">
        <v>113</v>
      </c>
      <c r="D49" s="501"/>
      <c r="E49" s="20">
        <f t="shared" ref="E49:AI49" si="9">E11-D11</f>
        <v>495</v>
      </c>
      <c r="F49" s="20">
        <f t="shared" si="9"/>
        <v>277</v>
      </c>
      <c r="G49" s="20">
        <f t="shared" si="9"/>
        <v>371</v>
      </c>
      <c r="H49" s="20">
        <f t="shared" si="9"/>
        <v>399</v>
      </c>
      <c r="I49" s="20">
        <f t="shared" si="9"/>
        <v>373</v>
      </c>
      <c r="J49" s="20">
        <f t="shared" si="9"/>
        <v>401</v>
      </c>
      <c r="K49" s="20">
        <f t="shared" si="9"/>
        <v>377</v>
      </c>
      <c r="L49" s="20">
        <f t="shared" si="9"/>
        <v>241</v>
      </c>
      <c r="M49" s="20">
        <f t="shared" si="9"/>
        <v>292</v>
      </c>
      <c r="N49" s="20">
        <f t="shared" si="9"/>
        <v>381</v>
      </c>
      <c r="O49" s="20">
        <f t="shared" si="9"/>
        <v>382</v>
      </c>
      <c r="P49" s="20">
        <f t="shared" si="9"/>
        <v>362</v>
      </c>
      <c r="Q49" s="20">
        <f t="shared" si="9"/>
        <v>347</v>
      </c>
      <c r="R49" s="20">
        <f t="shared" si="9"/>
        <v>278</v>
      </c>
      <c r="S49" s="20">
        <f t="shared" si="9"/>
        <v>294</v>
      </c>
      <c r="T49" s="20">
        <f t="shared" si="9"/>
        <v>279</v>
      </c>
      <c r="U49" s="20">
        <f t="shared" si="9"/>
        <v>401</v>
      </c>
      <c r="V49" s="20">
        <f t="shared" si="9"/>
        <v>361</v>
      </c>
      <c r="W49" s="20">
        <f t="shared" si="9"/>
        <v>398</v>
      </c>
      <c r="X49" s="20">
        <f t="shared" si="9"/>
        <v>402</v>
      </c>
      <c r="Y49" s="20">
        <f t="shared" si="9"/>
        <v>386</v>
      </c>
      <c r="Z49" s="20">
        <f t="shared" si="9"/>
        <v>300</v>
      </c>
      <c r="AA49" s="20">
        <f t="shared" si="9"/>
        <v>274</v>
      </c>
      <c r="AB49" s="20">
        <f t="shared" si="9"/>
        <v>372</v>
      </c>
      <c r="AC49" s="20">
        <f t="shared" si="9"/>
        <v>387</v>
      </c>
      <c r="AD49" s="20">
        <f t="shared" si="9"/>
        <v>410</v>
      </c>
      <c r="AE49" s="20">
        <f t="shared" si="9"/>
        <v>420</v>
      </c>
      <c r="AF49" s="20">
        <f t="shared" si="9"/>
        <v>380</v>
      </c>
      <c r="AG49" s="20">
        <f t="shared" si="9"/>
        <v>296</v>
      </c>
      <c r="AH49" s="20">
        <f t="shared" si="9"/>
        <v>282</v>
      </c>
      <c r="AI49" s="20">
        <f t="shared" si="9"/>
        <v>129</v>
      </c>
      <c r="AJ49" s="21">
        <f t="shared" si="5"/>
        <v>10747</v>
      </c>
    </row>
    <row r="50" spans="1:38" ht="15" customHeight="1">
      <c r="A50" s="2"/>
      <c r="B50" s="2"/>
      <c r="C50" s="531" t="s">
        <v>22</v>
      </c>
      <c r="D50" s="501"/>
      <c r="E50" s="20">
        <f t="shared" ref="E50:AI50" si="10">E12-D12</f>
        <v>0</v>
      </c>
      <c r="F50" s="20">
        <f t="shared" si="10"/>
        <v>0</v>
      </c>
      <c r="G50" s="20">
        <f t="shared" si="10"/>
        <v>10</v>
      </c>
      <c r="H50" s="20">
        <f t="shared" si="10"/>
        <v>0</v>
      </c>
      <c r="I50" s="20">
        <f t="shared" si="10"/>
        <v>0</v>
      </c>
      <c r="J50" s="20">
        <f t="shared" si="10"/>
        <v>0</v>
      </c>
      <c r="K50" s="20">
        <f t="shared" si="10"/>
        <v>0</v>
      </c>
      <c r="L50" s="20">
        <f t="shared" si="10"/>
        <v>24</v>
      </c>
      <c r="M50" s="20">
        <f t="shared" si="10"/>
        <v>20</v>
      </c>
      <c r="N50" s="20">
        <f t="shared" si="10"/>
        <v>0</v>
      </c>
      <c r="O50" s="20">
        <f t="shared" si="10"/>
        <v>0</v>
      </c>
      <c r="P50" s="20">
        <f t="shared" si="10"/>
        <v>0</v>
      </c>
      <c r="Q50" s="20">
        <f t="shared" si="10"/>
        <v>0</v>
      </c>
      <c r="R50" s="20">
        <f t="shared" si="10"/>
        <v>7</v>
      </c>
      <c r="S50" s="20">
        <f t="shared" si="10"/>
        <v>0</v>
      </c>
      <c r="T50" s="20">
        <f t="shared" si="10"/>
        <v>0</v>
      </c>
      <c r="U50" s="20">
        <f t="shared" si="10"/>
        <v>0</v>
      </c>
      <c r="V50" s="20">
        <f t="shared" si="10"/>
        <v>33</v>
      </c>
      <c r="W50" s="20">
        <f t="shared" si="10"/>
        <v>8</v>
      </c>
      <c r="X50" s="20">
        <f t="shared" si="10"/>
        <v>0</v>
      </c>
      <c r="Y50" s="20">
        <f t="shared" si="10"/>
        <v>0</v>
      </c>
      <c r="Z50" s="20">
        <f t="shared" si="10"/>
        <v>1</v>
      </c>
      <c r="AA50" s="20">
        <f t="shared" si="10"/>
        <v>0</v>
      </c>
      <c r="AB50" s="20">
        <f t="shared" si="10"/>
        <v>28</v>
      </c>
      <c r="AC50" s="20">
        <f t="shared" si="10"/>
        <v>0</v>
      </c>
      <c r="AD50" s="20">
        <f t="shared" si="10"/>
        <v>0</v>
      </c>
      <c r="AE50" s="20">
        <f t="shared" si="10"/>
        <v>0</v>
      </c>
      <c r="AF50" s="20">
        <f t="shared" si="10"/>
        <v>0</v>
      </c>
      <c r="AG50" s="20">
        <f t="shared" si="10"/>
        <v>0</v>
      </c>
      <c r="AH50" s="20">
        <f t="shared" si="10"/>
        <v>0</v>
      </c>
      <c r="AI50" s="20">
        <f t="shared" si="10"/>
        <v>0</v>
      </c>
      <c r="AJ50" s="21">
        <f t="shared" si="5"/>
        <v>131</v>
      </c>
    </row>
    <row r="51" spans="1:38" ht="15" customHeight="1">
      <c r="A51" s="2">
        <v>4</v>
      </c>
      <c r="B51" s="2" t="s">
        <v>129</v>
      </c>
      <c r="C51" s="503" t="s">
        <v>114</v>
      </c>
      <c r="D51" s="501"/>
      <c r="E51" s="20">
        <f t="shared" ref="E51:AI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0">
        <f t="shared" si="11"/>
        <v>0</v>
      </c>
      <c r="AH51" s="20">
        <f t="shared" si="11"/>
        <v>0</v>
      </c>
      <c r="AI51" s="20">
        <f t="shared" si="11"/>
        <v>0</v>
      </c>
      <c r="AJ51" s="21">
        <f t="shared" si="5"/>
        <v>0</v>
      </c>
    </row>
    <row r="52" spans="1:38" ht="15" customHeight="1">
      <c r="A52" s="2"/>
      <c r="B52" s="2"/>
      <c r="C52" s="531" t="s">
        <v>22</v>
      </c>
      <c r="D52" s="501"/>
      <c r="E52" s="20">
        <f t="shared" ref="E52:AI52" si="12">E14-D14</f>
        <v>0</v>
      </c>
      <c r="F52" s="20">
        <f t="shared" si="12"/>
        <v>0</v>
      </c>
      <c r="G52" s="20">
        <f t="shared" si="12"/>
        <v>0</v>
      </c>
      <c r="H52" s="20">
        <f t="shared" si="12"/>
        <v>0</v>
      </c>
      <c r="I52" s="20">
        <f t="shared" si="12"/>
        <v>0</v>
      </c>
      <c r="J52" s="20">
        <f t="shared" si="12"/>
        <v>0</v>
      </c>
      <c r="K52" s="20">
        <f t="shared" si="12"/>
        <v>0</v>
      </c>
      <c r="L52" s="20">
        <f t="shared" si="12"/>
        <v>0</v>
      </c>
      <c r="M52" s="20">
        <f t="shared" si="12"/>
        <v>0</v>
      </c>
      <c r="N52" s="20">
        <f t="shared" si="12"/>
        <v>0</v>
      </c>
      <c r="O52" s="20">
        <f t="shared" si="12"/>
        <v>0</v>
      </c>
      <c r="P52" s="20">
        <f t="shared" si="12"/>
        <v>0</v>
      </c>
      <c r="Q52" s="20">
        <f t="shared" si="12"/>
        <v>0</v>
      </c>
      <c r="R52" s="20">
        <f t="shared" si="12"/>
        <v>0</v>
      </c>
      <c r="S52" s="20">
        <f t="shared" si="12"/>
        <v>0</v>
      </c>
      <c r="T52" s="20">
        <f t="shared" si="12"/>
        <v>0</v>
      </c>
      <c r="U52" s="20">
        <f t="shared" si="12"/>
        <v>0</v>
      </c>
      <c r="V52" s="20">
        <f t="shared" si="12"/>
        <v>0</v>
      </c>
      <c r="W52" s="20">
        <f t="shared" si="12"/>
        <v>0</v>
      </c>
      <c r="X52" s="20">
        <f t="shared" si="12"/>
        <v>0</v>
      </c>
      <c r="Y52" s="20">
        <f t="shared" si="12"/>
        <v>0</v>
      </c>
      <c r="Z52" s="20">
        <f t="shared" si="12"/>
        <v>0</v>
      </c>
      <c r="AA52" s="20">
        <f t="shared" si="12"/>
        <v>0</v>
      </c>
      <c r="AB52" s="20">
        <f t="shared" si="12"/>
        <v>0</v>
      </c>
      <c r="AC52" s="20">
        <f t="shared" si="12"/>
        <v>0</v>
      </c>
      <c r="AD52" s="20">
        <f t="shared" si="12"/>
        <v>0</v>
      </c>
      <c r="AE52" s="20">
        <f t="shared" si="12"/>
        <v>0</v>
      </c>
      <c r="AF52" s="20">
        <f t="shared" si="12"/>
        <v>0</v>
      </c>
      <c r="AG52" s="20">
        <f t="shared" si="12"/>
        <v>0</v>
      </c>
      <c r="AH52" s="20">
        <f t="shared" si="12"/>
        <v>0</v>
      </c>
      <c r="AI52" s="20">
        <f t="shared" si="12"/>
        <v>0</v>
      </c>
      <c r="AJ52" s="21">
        <f t="shared" si="5"/>
        <v>0</v>
      </c>
    </row>
    <row r="53" spans="1:38" ht="15" customHeight="1">
      <c r="A53" s="2">
        <v>5</v>
      </c>
      <c r="B53" s="2" t="s">
        <v>129</v>
      </c>
      <c r="C53" s="503" t="s">
        <v>115</v>
      </c>
      <c r="D53" s="501"/>
      <c r="E53" s="20">
        <f t="shared" ref="E53:AI53" si="13">E15-D15</f>
        <v>271</v>
      </c>
      <c r="F53" s="20">
        <f t="shared" si="13"/>
        <v>139</v>
      </c>
      <c r="G53" s="20">
        <f t="shared" si="13"/>
        <v>238</v>
      </c>
      <c r="H53" s="20">
        <f t="shared" si="13"/>
        <v>255</v>
      </c>
      <c r="I53" s="20">
        <f t="shared" si="13"/>
        <v>242</v>
      </c>
      <c r="J53" s="20">
        <f t="shared" si="13"/>
        <v>249</v>
      </c>
      <c r="K53" s="20">
        <f t="shared" si="13"/>
        <v>250</v>
      </c>
      <c r="L53" s="20">
        <f t="shared" si="13"/>
        <v>144</v>
      </c>
      <c r="M53" s="20">
        <f t="shared" si="13"/>
        <v>121</v>
      </c>
      <c r="N53" s="20">
        <f t="shared" si="13"/>
        <v>206</v>
      </c>
      <c r="O53" s="20">
        <f t="shared" si="13"/>
        <v>208</v>
      </c>
      <c r="P53" s="20">
        <f t="shared" si="13"/>
        <v>193</v>
      </c>
      <c r="Q53" s="20">
        <f t="shared" si="13"/>
        <v>176</v>
      </c>
      <c r="R53" s="20">
        <f t="shared" si="13"/>
        <v>110</v>
      </c>
      <c r="S53" s="20">
        <f t="shared" si="13"/>
        <v>121</v>
      </c>
      <c r="T53" s="20">
        <f t="shared" si="13"/>
        <v>119</v>
      </c>
      <c r="U53" s="20">
        <f t="shared" si="13"/>
        <v>214</v>
      </c>
      <c r="V53" s="20">
        <f t="shared" si="13"/>
        <v>174</v>
      </c>
      <c r="W53" s="20">
        <f t="shared" si="13"/>
        <v>194</v>
      </c>
      <c r="X53" s="20">
        <f t="shared" si="13"/>
        <v>211</v>
      </c>
      <c r="Y53" s="20">
        <f t="shared" si="13"/>
        <v>201</v>
      </c>
      <c r="Z53" s="20">
        <f t="shared" si="13"/>
        <v>101</v>
      </c>
      <c r="AA53" s="20">
        <f t="shared" si="13"/>
        <v>121</v>
      </c>
      <c r="AB53" s="20">
        <f t="shared" si="13"/>
        <v>204</v>
      </c>
      <c r="AC53" s="20">
        <f t="shared" si="13"/>
        <v>229</v>
      </c>
      <c r="AD53" s="20">
        <f t="shared" si="13"/>
        <v>208</v>
      </c>
      <c r="AE53" s="20">
        <f t="shared" si="13"/>
        <v>216</v>
      </c>
      <c r="AF53" s="20">
        <f t="shared" si="13"/>
        <v>204</v>
      </c>
      <c r="AG53" s="20">
        <f t="shared" si="13"/>
        <v>121</v>
      </c>
      <c r="AH53" s="20">
        <f t="shared" si="13"/>
        <v>121</v>
      </c>
      <c r="AI53" s="20">
        <f t="shared" si="13"/>
        <v>52</v>
      </c>
      <c r="AJ53" s="21">
        <f t="shared" si="5"/>
        <v>5613</v>
      </c>
    </row>
    <row r="54" spans="1:38" ht="15" customHeight="1">
      <c r="A54" s="2"/>
      <c r="B54" s="2"/>
      <c r="C54" s="531" t="s">
        <v>22</v>
      </c>
      <c r="D54" s="501"/>
      <c r="E54" s="20">
        <f t="shared" ref="E54:AI54" si="14">E16-D16</f>
        <v>5</v>
      </c>
      <c r="F54" s="20">
        <f t="shared" si="14"/>
        <v>0</v>
      </c>
      <c r="G54" s="20">
        <f t="shared" si="14"/>
        <v>0</v>
      </c>
      <c r="H54" s="20">
        <f t="shared" si="14"/>
        <v>0</v>
      </c>
      <c r="I54" s="20">
        <f t="shared" si="14"/>
        <v>0</v>
      </c>
      <c r="J54" s="20">
        <f t="shared" si="14"/>
        <v>0</v>
      </c>
      <c r="K54" s="20">
        <f t="shared" si="14"/>
        <v>0</v>
      </c>
      <c r="L54" s="20">
        <f t="shared" si="14"/>
        <v>9</v>
      </c>
      <c r="M54" s="20">
        <f t="shared" si="14"/>
        <v>15</v>
      </c>
      <c r="N54" s="20">
        <f t="shared" si="14"/>
        <v>0</v>
      </c>
      <c r="O54" s="20">
        <f t="shared" si="14"/>
        <v>0</v>
      </c>
      <c r="P54" s="20">
        <f t="shared" si="14"/>
        <v>0</v>
      </c>
      <c r="Q54" s="20">
        <f t="shared" si="14"/>
        <v>0</v>
      </c>
      <c r="R54" s="20">
        <f t="shared" si="14"/>
        <v>3</v>
      </c>
      <c r="S54" s="20">
        <f t="shared" si="14"/>
        <v>0</v>
      </c>
      <c r="T54" s="20">
        <f t="shared" si="14"/>
        <v>0</v>
      </c>
      <c r="U54" s="20">
        <f t="shared" si="14"/>
        <v>0</v>
      </c>
      <c r="V54" s="20">
        <f t="shared" si="14"/>
        <v>16</v>
      </c>
      <c r="W54" s="20">
        <f t="shared" si="14"/>
        <v>4</v>
      </c>
      <c r="X54" s="20">
        <f t="shared" si="14"/>
        <v>0</v>
      </c>
      <c r="Y54" s="20">
        <f t="shared" si="14"/>
        <v>0</v>
      </c>
      <c r="Z54" s="20">
        <f t="shared" si="14"/>
        <v>0</v>
      </c>
      <c r="AA54" s="20">
        <f t="shared" si="14"/>
        <v>0</v>
      </c>
      <c r="AB54" s="20">
        <f t="shared" si="14"/>
        <v>16</v>
      </c>
      <c r="AC54" s="20">
        <f t="shared" si="14"/>
        <v>0</v>
      </c>
      <c r="AD54" s="20">
        <f t="shared" si="14"/>
        <v>0</v>
      </c>
      <c r="AE54" s="20">
        <f t="shared" si="14"/>
        <v>0</v>
      </c>
      <c r="AF54" s="20">
        <f t="shared" si="14"/>
        <v>0</v>
      </c>
      <c r="AG54" s="20">
        <f t="shared" si="14"/>
        <v>0</v>
      </c>
      <c r="AH54" s="20">
        <f t="shared" si="14"/>
        <v>0</v>
      </c>
      <c r="AI54" s="20">
        <f t="shared" si="14"/>
        <v>0</v>
      </c>
      <c r="AJ54" s="105">
        <f t="shared" si="5"/>
        <v>68</v>
      </c>
      <c r="AK54" s="115" t="s">
        <v>20</v>
      </c>
      <c r="AL54" s="116">
        <f>SUM(AJ7,AJ9,AJ11,AJ13,AJ15,AJ17,AJ19,AJ21)</f>
        <v>54385</v>
      </c>
    </row>
    <row r="55" spans="1:38" ht="15" customHeight="1">
      <c r="A55" s="2">
        <v>6</v>
      </c>
      <c r="B55" s="2" t="s">
        <v>129</v>
      </c>
      <c r="C55" s="503" t="s">
        <v>116</v>
      </c>
      <c r="D55" s="501"/>
      <c r="E55" s="20">
        <f t="shared" ref="E55:AI55" si="15">E17-D17</f>
        <v>268</v>
      </c>
      <c r="F55" s="20">
        <f t="shared" si="15"/>
        <v>115</v>
      </c>
      <c r="G55" s="20">
        <f t="shared" si="15"/>
        <v>251</v>
      </c>
      <c r="H55" s="20">
        <f t="shared" si="15"/>
        <v>261</v>
      </c>
      <c r="I55" s="20">
        <f t="shared" si="15"/>
        <v>254</v>
      </c>
      <c r="J55" s="20">
        <f t="shared" si="15"/>
        <v>260</v>
      </c>
      <c r="K55" s="20">
        <f t="shared" si="15"/>
        <v>238</v>
      </c>
      <c r="L55" s="20">
        <f t="shared" si="15"/>
        <v>151</v>
      </c>
      <c r="M55" s="20">
        <f t="shared" si="15"/>
        <v>99</v>
      </c>
      <c r="N55" s="20">
        <f t="shared" si="15"/>
        <v>270</v>
      </c>
      <c r="O55" s="20">
        <f t="shared" si="15"/>
        <v>269</v>
      </c>
      <c r="P55" s="20">
        <f t="shared" si="15"/>
        <v>251</v>
      </c>
      <c r="Q55" s="20">
        <f t="shared" si="15"/>
        <v>246</v>
      </c>
      <c r="R55" s="20">
        <f t="shared" si="15"/>
        <v>88</v>
      </c>
      <c r="S55" s="20">
        <f t="shared" si="15"/>
        <v>112</v>
      </c>
      <c r="T55" s="20">
        <f t="shared" si="15"/>
        <v>94</v>
      </c>
      <c r="U55" s="20">
        <f t="shared" si="15"/>
        <v>280</v>
      </c>
      <c r="V55" s="20">
        <f t="shared" si="15"/>
        <v>202</v>
      </c>
      <c r="W55" s="20">
        <f t="shared" si="15"/>
        <v>275</v>
      </c>
      <c r="X55" s="20">
        <f t="shared" si="15"/>
        <v>271</v>
      </c>
      <c r="Y55" s="20">
        <f t="shared" si="15"/>
        <v>284</v>
      </c>
      <c r="Z55" s="20">
        <f t="shared" si="15"/>
        <v>130</v>
      </c>
      <c r="AA55" s="20">
        <f t="shared" si="15"/>
        <v>119</v>
      </c>
      <c r="AB55" s="20">
        <f t="shared" si="15"/>
        <v>320</v>
      </c>
      <c r="AC55" s="20">
        <f t="shared" si="15"/>
        <v>282</v>
      </c>
      <c r="AD55" s="20">
        <f t="shared" si="15"/>
        <v>254</v>
      </c>
      <c r="AE55" s="20">
        <f t="shared" si="15"/>
        <v>299</v>
      </c>
      <c r="AF55" s="20">
        <f t="shared" si="15"/>
        <v>241</v>
      </c>
      <c r="AG55" s="20">
        <f t="shared" si="15"/>
        <v>117</v>
      </c>
      <c r="AH55" s="20">
        <f t="shared" si="15"/>
        <v>106</v>
      </c>
      <c r="AI55" s="20">
        <f t="shared" si="15"/>
        <v>60</v>
      </c>
      <c r="AJ55" s="105">
        <f t="shared" si="5"/>
        <v>6467</v>
      </c>
      <c r="AK55" s="115" t="s">
        <v>21</v>
      </c>
      <c r="AL55" s="116">
        <f>SUM(AJ24,AJ26,AJ28,AJ30)</f>
        <v>6795</v>
      </c>
    </row>
    <row r="56" spans="1:38" ht="15" customHeight="1">
      <c r="A56" s="2"/>
      <c r="B56" s="2"/>
      <c r="C56" s="531" t="s">
        <v>22</v>
      </c>
      <c r="D56" s="501"/>
      <c r="E56" s="20">
        <f t="shared" ref="E56:AI56" si="16">E18-D18</f>
        <v>7</v>
      </c>
      <c r="F56" s="20">
        <f t="shared" si="16"/>
        <v>0</v>
      </c>
      <c r="G56" s="20">
        <f t="shared" si="16"/>
        <v>0</v>
      </c>
      <c r="H56" s="20">
        <f t="shared" si="16"/>
        <v>0</v>
      </c>
      <c r="I56" s="20">
        <f t="shared" si="16"/>
        <v>0</v>
      </c>
      <c r="J56" s="20">
        <f t="shared" si="16"/>
        <v>0</v>
      </c>
      <c r="K56" s="20">
        <f t="shared" si="16"/>
        <v>0</v>
      </c>
      <c r="L56" s="20">
        <f t="shared" si="16"/>
        <v>12</v>
      </c>
      <c r="M56" s="20">
        <f t="shared" si="16"/>
        <v>5</v>
      </c>
      <c r="N56" s="20">
        <f t="shared" si="16"/>
        <v>0</v>
      </c>
      <c r="O56" s="20">
        <f t="shared" si="16"/>
        <v>0</v>
      </c>
      <c r="P56" s="20">
        <f t="shared" si="16"/>
        <v>0</v>
      </c>
      <c r="Q56" s="20">
        <f t="shared" si="16"/>
        <v>0</v>
      </c>
      <c r="R56" s="20">
        <f t="shared" si="16"/>
        <v>2</v>
      </c>
      <c r="S56" s="20">
        <f t="shared" si="16"/>
        <v>0</v>
      </c>
      <c r="T56" s="20">
        <f t="shared" si="16"/>
        <v>0</v>
      </c>
      <c r="U56" s="20">
        <f t="shared" si="16"/>
        <v>0</v>
      </c>
      <c r="V56" s="20">
        <f t="shared" si="16"/>
        <v>23</v>
      </c>
      <c r="W56" s="20">
        <f t="shared" si="16"/>
        <v>5</v>
      </c>
      <c r="X56" s="20">
        <f t="shared" si="16"/>
        <v>0</v>
      </c>
      <c r="Y56" s="20">
        <f t="shared" si="16"/>
        <v>0</v>
      </c>
      <c r="Z56" s="20">
        <f t="shared" si="16"/>
        <v>1</v>
      </c>
      <c r="AA56" s="20">
        <f t="shared" si="16"/>
        <v>0</v>
      </c>
      <c r="AB56" s="20">
        <f t="shared" si="16"/>
        <v>26</v>
      </c>
      <c r="AC56" s="20">
        <f t="shared" si="16"/>
        <v>0</v>
      </c>
      <c r="AD56" s="20">
        <f t="shared" si="16"/>
        <v>0</v>
      </c>
      <c r="AE56" s="20">
        <f t="shared" si="16"/>
        <v>0</v>
      </c>
      <c r="AF56" s="20">
        <f t="shared" si="16"/>
        <v>0</v>
      </c>
      <c r="AG56" s="20">
        <f t="shared" si="16"/>
        <v>0</v>
      </c>
      <c r="AH56" s="20">
        <f t="shared" si="16"/>
        <v>0</v>
      </c>
      <c r="AI56" s="20">
        <f t="shared" si="16"/>
        <v>0</v>
      </c>
      <c r="AJ56" s="105">
        <f t="shared" si="5"/>
        <v>81</v>
      </c>
      <c r="AK56" s="115" t="s">
        <v>23</v>
      </c>
      <c r="AL56" s="116">
        <f>AJ80*40%</f>
        <v>21618</v>
      </c>
    </row>
    <row r="57" spans="1:38" ht="15" customHeight="1">
      <c r="A57" s="2">
        <v>7</v>
      </c>
      <c r="B57" s="2" t="s">
        <v>129</v>
      </c>
      <c r="C57" s="503" t="s">
        <v>117</v>
      </c>
      <c r="D57" s="501"/>
      <c r="E57" s="20">
        <f t="shared" ref="E57:AI57" si="17">E19-D19</f>
        <v>982</v>
      </c>
      <c r="F57" s="20">
        <f t="shared" si="17"/>
        <v>474</v>
      </c>
      <c r="G57" s="20">
        <f t="shared" si="17"/>
        <v>700</v>
      </c>
      <c r="H57" s="20">
        <f t="shared" si="17"/>
        <v>745</v>
      </c>
      <c r="I57" s="20">
        <f t="shared" si="17"/>
        <v>681</v>
      </c>
      <c r="J57" s="20">
        <f t="shared" si="17"/>
        <v>713</v>
      </c>
      <c r="K57" s="20">
        <f t="shared" si="17"/>
        <v>725</v>
      </c>
      <c r="L57" s="20">
        <f t="shared" si="17"/>
        <v>581</v>
      </c>
      <c r="M57" s="20">
        <f t="shared" si="17"/>
        <v>449</v>
      </c>
      <c r="N57" s="20">
        <f t="shared" si="17"/>
        <v>733</v>
      </c>
      <c r="O57" s="20">
        <f t="shared" si="17"/>
        <v>740</v>
      </c>
      <c r="P57" s="20">
        <f t="shared" si="17"/>
        <v>696</v>
      </c>
      <c r="Q57" s="20">
        <f t="shared" si="17"/>
        <v>737</v>
      </c>
      <c r="R57" s="20">
        <f t="shared" si="17"/>
        <v>403</v>
      </c>
      <c r="S57" s="20">
        <f t="shared" si="17"/>
        <v>517</v>
      </c>
      <c r="T57" s="20">
        <f t="shared" si="17"/>
        <v>455</v>
      </c>
      <c r="U57" s="20">
        <f t="shared" si="17"/>
        <v>779</v>
      </c>
      <c r="V57" s="20">
        <f t="shared" si="17"/>
        <v>627</v>
      </c>
      <c r="W57" s="20">
        <f t="shared" si="17"/>
        <v>715</v>
      </c>
      <c r="X57" s="20">
        <f t="shared" si="17"/>
        <v>737</v>
      </c>
      <c r="Y57" s="20">
        <f t="shared" si="17"/>
        <v>697</v>
      </c>
      <c r="Z57" s="20">
        <f t="shared" si="17"/>
        <v>569</v>
      </c>
      <c r="AA57" s="20">
        <f t="shared" si="17"/>
        <v>494</v>
      </c>
      <c r="AB57" s="20">
        <f t="shared" si="17"/>
        <v>622</v>
      </c>
      <c r="AC57" s="20">
        <f t="shared" si="17"/>
        <v>718</v>
      </c>
      <c r="AD57" s="20">
        <f t="shared" si="17"/>
        <v>706</v>
      </c>
      <c r="AE57" s="20">
        <f t="shared" si="17"/>
        <v>1020</v>
      </c>
      <c r="AF57" s="20">
        <f t="shared" si="17"/>
        <v>692</v>
      </c>
      <c r="AG57" s="20">
        <f t="shared" si="17"/>
        <v>521</v>
      </c>
      <c r="AH57" s="20">
        <f t="shared" si="17"/>
        <v>514</v>
      </c>
      <c r="AI57" s="20">
        <f t="shared" si="17"/>
        <v>174</v>
      </c>
      <c r="AJ57" s="105">
        <f t="shared" si="5"/>
        <v>19916</v>
      </c>
      <c r="AK57" s="117" t="s">
        <v>22</v>
      </c>
      <c r="AL57" s="118">
        <f>SUM(AJ8,AJ10,AJ12,AJ14,AJ16,AJ18,AJ20,AJ22,AJ25,AJ27,AJ29,AJ31)</f>
        <v>764</v>
      </c>
    </row>
    <row r="58" spans="1:38" ht="15" customHeight="1">
      <c r="A58" s="2"/>
      <c r="B58" s="2"/>
      <c r="C58" s="531" t="s">
        <v>22</v>
      </c>
      <c r="D58" s="501"/>
      <c r="E58" s="20">
        <f t="shared" ref="E58:AI58" si="18">E20-D20</f>
        <v>26</v>
      </c>
      <c r="F58" s="20">
        <f t="shared" si="18"/>
        <v>0</v>
      </c>
      <c r="G58" s="20">
        <f t="shared" si="18"/>
        <v>0</v>
      </c>
      <c r="H58" s="20">
        <f t="shared" si="18"/>
        <v>0</v>
      </c>
      <c r="I58" s="20">
        <f t="shared" si="18"/>
        <v>0</v>
      </c>
      <c r="J58" s="20">
        <f t="shared" si="18"/>
        <v>0</v>
      </c>
      <c r="K58" s="20">
        <f t="shared" si="18"/>
        <v>0</v>
      </c>
      <c r="L58" s="20">
        <f t="shared" si="18"/>
        <v>48</v>
      </c>
      <c r="M58" s="20">
        <f t="shared" si="18"/>
        <v>46</v>
      </c>
      <c r="N58" s="20">
        <f t="shared" si="18"/>
        <v>0</v>
      </c>
      <c r="O58" s="20">
        <f t="shared" si="18"/>
        <v>0</v>
      </c>
      <c r="P58" s="20">
        <f t="shared" si="18"/>
        <v>0</v>
      </c>
      <c r="Q58" s="20">
        <f t="shared" si="18"/>
        <v>0</v>
      </c>
      <c r="R58" s="20">
        <f t="shared" si="18"/>
        <v>8</v>
      </c>
      <c r="S58" s="20">
        <f t="shared" si="18"/>
        <v>0</v>
      </c>
      <c r="T58" s="20">
        <f t="shared" si="18"/>
        <v>0</v>
      </c>
      <c r="U58" s="20">
        <f t="shared" si="18"/>
        <v>0</v>
      </c>
      <c r="V58" s="20">
        <f t="shared" si="18"/>
        <v>55</v>
      </c>
      <c r="W58" s="20">
        <f t="shared" si="18"/>
        <v>11</v>
      </c>
      <c r="X58" s="20">
        <f t="shared" si="18"/>
        <v>0</v>
      </c>
      <c r="Y58" s="20">
        <f t="shared" si="18"/>
        <v>0</v>
      </c>
      <c r="Z58" s="20">
        <f t="shared" si="18"/>
        <v>2</v>
      </c>
      <c r="AA58" s="20">
        <f t="shared" si="18"/>
        <v>0</v>
      </c>
      <c r="AB58" s="20">
        <f t="shared" si="18"/>
        <v>73</v>
      </c>
      <c r="AC58" s="20">
        <f t="shared" si="18"/>
        <v>0</v>
      </c>
      <c r="AD58" s="20">
        <f t="shared" si="18"/>
        <v>0</v>
      </c>
      <c r="AE58" s="20">
        <f t="shared" si="18"/>
        <v>0</v>
      </c>
      <c r="AF58" s="20">
        <f t="shared" si="18"/>
        <v>0</v>
      </c>
      <c r="AG58" s="20">
        <f t="shared" si="18"/>
        <v>0</v>
      </c>
      <c r="AH58" s="20">
        <f t="shared" si="18"/>
        <v>0</v>
      </c>
      <c r="AI58" s="20">
        <f t="shared" si="18"/>
        <v>0</v>
      </c>
      <c r="AJ58" s="21">
        <f t="shared" si="5"/>
        <v>269</v>
      </c>
    </row>
    <row r="59" spans="1:38" ht="15" customHeight="1">
      <c r="A59" s="2">
        <v>8</v>
      </c>
      <c r="B59" s="2" t="s">
        <v>129</v>
      </c>
      <c r="C59" s="503" t="s">
        <v>118</v>
      </c>
      <c r="D59" s="501"/>
      <c r="E59" s="20">
        <f t="shared" ref="E59:AI59" si="19">E21-D21</f>
        <v>251</v>
      </c>
      <c r="F59" s="20">
        <f t="shared" si="19"/>
        <v>121</v>
      </c>
      <c r="G59" s="20">
        <f t="shared" si="19"/>
        <v>163</v>
      </c>
      <c r="H59" s="20">
        <f t="shared" si="19"/>
        <v>137</v>
      </c>
      <c r="I59" s="20">
        <f t="shared" si="19"/>
        <v>135</v>
      </c>
      <c r="J59" s="20">
        <f t="shared" si="19"/>
        <v>96</v>
      </c>
      <c r="K59" s="20">
        <f t="shared" si="19"/>
        <v>111</v>
      </c>
      <c r="L59" s="20">
        <f t="shared" si="19"/>
        <v>70</v>
      </c>
      <c r="M59" s="20">
        <f t="shared" si="19"/>
        <v>72</v>
      </c>
      <c r="N59" s="20">
        <f t="shared" si="19"/>
        <v>173</v>
      </c>
      <c r="O59" s="20">
        <f t="shared" si="19"/>
        <v>132</v>
      </c>
      <c r="P59" s="20">
        <f t="shared" si="19"/>
        <v>157</v>
      </c>
      <c r="Q59" s="20">
        <f t="shared" si="19"/>
        <v>130</v>
      </c>
      <c r="R59" s="20">
        <f t="shared" si="19"/>
        <v>143</v>
      </c>
      <c r="S59" s="20">
        <f t="shared" si="19"/>
        <v>124</v>
      </c>
      <c r="T59" s="20">
        <f t="shared" si="19"/>
        <v>141</v>
      </c>
      <c r="U59" s="20">
        <f t="shared" si="19"/>
        <v>153</v>
      </c>
      <c r="V59" s="20">
        <f t="shared" si="19"/>
        <v>125</v>
      </c>
      <c r="W59" s="20">
        <f t="shared" si="19"/>
        <v>117</v>
      </c>
      <c r="X59" s="20">
        <f t="shared" si="19"/>
        <v>153</v>
      </c>
      <c r="Y59" s="20">
        <f t="shared" si="19"/>
        <v>125</v>
      </c>
      <c r="Z59" s="20">
        <f t="shared" si="19"/>
        <v>152</v>
      </c>
      <c r="AA59" s="20">
        <f t="shared" si="19"/>
        <v>106</v>
      </c>
      <c r="AB59" s="20">
        <f t="shared" si="19"/>
        <v>159</v>
      </c>
      <c r="AC59" s="20">
        <f t="shared" si="19"/>
        <v>112</v>
      </c>
      <c r="AD59" s="20">
        <f t="shared" si="19"/>
        <v>127</v>
      </c>
      <c r="AE59" s="20">
        <f t="shared" si="19"/>
        <v>141</v>
      </c>
      <c r="AF59" s="20">
        <f t="shared" si="19"/>
        <v>154</v>
      </c>
      <c r="AG59" s="20">
        <f t="shared" si="19"/>
        <v>88</v>
      </c>
      <c r="AH59" s="20">
        <f t="shared" si="19"/>
        <v>96</v>
      </c>
      <c r="AI59" s="20">
        <f t="shared" si="19"/>
        <v>25</v>
      </c>
      <c r="AJ59" s="21">
        <f t="shared" si="5"/>
        <v>3989</v>
      </c>
    </row>
    <row r="60" spans="1:38" ht="15" customHeight="1">
      <c r="A60" s="2"/>
      <c r="B60" s="2"/>
      <c r="C60" s="531" t="s">
        <v>22</v>
      </c>
      <c r="D60" s="501"/>
      <c r="E60" s="20">
        <f t="shared" ref="E60:AI60" si="20">E22-D22</f>
        <v>3</v>
      </c>
      <c r="F60" s="20">
        <f t="shared" si="20"/>
        <v>0</v>
      </c>
      <c r="G60" s="20">
        <f t="shared" si="20"/>
        <v>0</v>
      </c>
      <c r="H60" s="20">
        <f t="shared" si="20"/>
        <v>0</v>
      </c>
      <c r="I60" s="20">
        <f t="shared" si="20"/>
        <v>0</v>
      </c>
      <c r="J60" s="20">
        <f t="shared" si="20"/>
        <v>0</v>
      </c>
      <c r="K60" s="20">
        <f t="shared" si="20"/>
        <v>0</v>
      </c>
      <c r="L60" s="20">
        <f t="shared" si="20"/>
        <v>5</v>
      </c>
      <c r="M60" s="20">
        <f t="shared" si="20"/>
        <v>14</v>
      </c>
      <c r="N60" s="20">
        <f t="shared" si="20"/>
        <v>0</v>
      </c>
      <c r="O60" s="20">
        <f t="shared" si="20"/>
        <v>0</v>
      </c>
      <c r="P60" s="20">
        <f t="shared" si="20"/>
        <v>0</v>
      </c>
      <c r="Q60" s="20">
        <f t="shared" si="20"/>
        <v>0</v>
      </c>
      <c r="R60" s="20">
        <f t="shared" si="20"/>
        <v>1</v>
      </c>
      <c r="S60" s="20">
        <f t="shared" si="20"/>
        <v>0</v>
      </c>
      <c r="T60" s="20">
        <f t="shared" si="20"/>
        <v>0</v>
      </c>
      <c r="U60" s="20">
        <f t="shared" si="20"/>
        <v>0</v>
      </c>
      <c r="V60" s="20">
        <f t="shared" si="20"/>
        <v>9</v>
      </c>
      <c r="W60" s="20">
        <f t="shared" si="20"/>
        <v>0</v>
      </c>
      <c r="X60" s="20">
        <f t="shared" si="20"/>
        <v>0</v>
      </c>
      <c r="Y60" s="20">
        <f t="shared" si="20"/>
        <v>0</v>
      </c>
      <c r="Z60" s="20">
        <f t="shared" si="20"/>
        <v>1</v>
      </c>
      <c r="AA60" s="20">
        <f t="shared" si="20"/>
        <v>0</v>
      </c>
      <c r="AB60" s="20">
        <f t="shared" si="20"/>
        <v>6</v>
      </c>
      <c r="AC60" s="20">
        <f t="shared" si="20"/>
        <v>0</v>
      </c>
      <c r="AD60" s="20">
        <f t="shared" si="20"/>
        <v>0</v>
      </c>
      <c r="AE60" s="20">
        <f t="shared" si="20"/>
        <v>0</v>
      </c>
      <c r="AF60" s="20">
        <f t="shared" si="20"/>
        <v>0</v>
      </c>
      <c r="AG60" s="20">
        <f t="shared" si="20"/>
        <v>0</v>
      </c>
      <c r="AH60" s="20">
        <f t="shared" si="20"/>
        <v>0</v>
      </c>
      <c r="AI60" s="20">
        <f t="shared" si="20"/>
        <v>0</v>
      </c>
      <c r="AJ60" s="21">
        <f t="shared" si="5"/>
        <v>39</v>
      </c>
    </row>
    <row r="61" spans="1:38" ht="15" customHeight="1">
      <c r="A61" s="99"/>
      <c r="B61" s="99"/>
      <c r="C61" s="500" t="s">
        <v>130</v>
      </c>
      <c r="D61" s="501"/>
      <c r="E61" s="23">
        <f t="shared" ref="E61:AI61" si="21">SUM(E59,E57,E55,E53,E51,E49,E47,E45)</f>
        <v>2623</v>
      </c>
      <c r="F61" s="23">
        <f t="shared" si="21"/>
        <v>1335</v>
      </c>
      <c r="G61" s="23">
        <f t="shared" si="21"/>
        <v>1978</v>
      </c>
      <c r="H61" s="23">
        <f t="shared" si="21"/>
        <v>2072</v>
      </c>
      <c r="I61" s="23">
        <f t="shared" si="21"/>
        <v>1939</v>
      </c>
      <c r="J61" s="23">
        <f t="shared" si="21"/>
        <v>1993</v>
      </c>
      <c r="K61" s="23">
        <f t="shared" si="21"/>
        <v>2051</v>
      </c>
      <c r="L61" s="23">
        <f t="shared" si="21"/>
        <v>1395</v>
      </c>
      <c r="M61" s="23">
        <f t="shared" si="21"/>
        <v>1223</v>
      </c>
      <c r="N61" s="23">
        <f t="shared" si="21"/>
        <v>2027</v>
      </c>
      <c r="O61" s="23">
        <f t="shared" si="21"/>
        <v>1996</v>
      </c>
      <c r="P61" s="23">
        <f t="shared" si="21"/>
        <v>1909</v>
      </c>
      <c r="Q61" s="23">
        <f t="shared" si="21"/>
        <v>1884</v>
      </c>
      <c r="R61" s="23">
        <f t="shared" si="21"/>
        <v>1230</v>
      </c>
      <c r="S61" s="23">
        <f t="shared" si="21"/>
        <v>1389</v>
      </c>
      <c r="T61" s="23">
        <f t="shared" si="21"/>
        <v>1296</v>
      </c>
      <c r="U61" s="23">
        <f t="shared" si="21"/>
        <v>2125</v>
      </c>
      <c r="V61" s="23">
        <f t="shared" si="21"/>
        <v>1710</v>
      </c>
      <c r="W61" s="23">
        <f t="shared" si="21"/>
        <v>1970</v>
      </c>
      <c r="X61" s="23">
        <f t="shared" si="21"/>
        <v>2046</v>
      </c>
      <c r="Y61" s="23">
        <f t="shared" si="21"/>
        <v>1957</v>
      </c>
      <c r="Z61" s="23">
        <f t="shared" si="21"/>
        <v>1475</v>
      </c>
      <c r="AA61" s="23">
        <f t="shared" si="21"/>
        <v>1319</v>
      </c>
      <c r="AB61" s="23">
        <f t="shared" si="21"/>
        <v>1929</v>
      </c>
      <c r="AC61" s="23">
        <f t="shared" si="21"/>
        <v>2000</v>
      </c>
      <c r="AD61" s="23">
        <f t="shared" si="21"/>
        <v>1974</v>
      </c>
      <c r="AE61" s="23">
        <f t="shared" si="21"/>
        <v>2378</v>
      </c>
      <c r="AF61" s="23">
        <f t="shared" si="21"/>
        <v>1932</v>
      </c>
      <c r="AG61" s="23">
        <f t="shared" si="21"/>
        <v>1361</v>
      </c>
      <c r="AH61" s="23">
        <f t="shared" si="21"/>
        <v>1328</v>
      </c>
      <c r="AI61" s="23">
        <f t="shared" si="21"/>
        <v>541</v>
      </c>
      <c r="AJ61" s="24">
        <f t="shared" si="5"/>
        <v>54385</v>
      </c>
      <c r="AK61" s="78"/>
    </row>
    <row r="62" spans="1:38" ht="15" customHeight="1">
      <c r="A62" s="99"/>
      <c r="B62" s="99"/>
      <c r="C62" s="145" t="s">
        <v>131</v>
      </c>
      <c r="D62" s="108"/>
      <c r="E62" s="23">
        <f t="shared" ref="E62:AI62" si="22">SUM(E46,E48,E50,E52,E54,E56,E58,E60)</f>
        <v>49</v>
      </c>
      <c r="F62" s="23">
        <f t="shared" si="22"/>
        <v>0</v>
      </c>
      <c r="G62" s="23">
        <f t="shared" si="22"/>
        <v>10</v>
      </c>
      <c r="H62" s="23">
        <f t="shared" si="22"/>
        <v>0</v>
      </c>
      <c r="I62" s="23">
        <f t="shared" si="22"/>
        <v>0</v>
      </c>
      <c r="J62" s="23">
        <f t="shared" si="22"/>
        <v>0</v>
      </c>
      <c r="K62" s="23">
        <f t="shared" si="22"/>
        <v>0</v>
      </c>
      <c r="L62" s="23">
        <f t="shared" si="22"/>
        <v>115</v>
      </c>
      <c r="M62" s="23">
        <f t="shared" si="22"/>
        <v>116</v>
      </c>
      <c r="N62" s="23">
        <f t="shared" si="22"/>
        <v>0</v>
      </c>
      <c r="O62" s="23">
        <f t="shared" si="22"/>
        <v>0</v>
      </c>
      <c r="P62" s="23">
        <f t="shared" si="22"/>
        <v>0</v>
      </c>
      <c r="Q62" s="23">
        <f t="shared" si="22"/>
        <v>0</v>
      </c>
      <c r="R62" s="23">
        <f t="shared" si="22"/>
        <v>26</v>
      </c>
      <c r="S62" s="23">
        <f t="shared" si="22"/>
        <v>0</v>
      </c>
      <c r="T62" s="23">
        <f t="shared" si="22"/>
        <v>0</v>
      </c>
      <c r="U62" s="23">
        <f t="shared" si="22"/>
        <v>0</v>
      </c>
      <c r="V62" s="23">
        <f t="shared" si="22"/>
        <v>157</v>
      </c>
      <c r="W62" s="23">
        <f t="shared" si="22"/>
        <v>33</v>
      </c>
      <c r="X62" s="23">
        <f t="shared" si="22"/>
        <v>0</v>
      </c>
      <c r="Y62" s="23">
        <f t="shared" si="22"/>
        <v>0</v>
      </c>
      <c r="Z62" s="23">
        <f t="shared" si="22"/>
        <v>6</v>
      </c>
      <c r="AA62" s="23">
        <f t="shared" si="22"/>
        <v>0</v>
      </c>
      <c r="AB62" s="23">
        <f t="shared" si="22"/>
        <v>169</v>
      </c>
      <c r="AC62" s="23">
        <f t="shared" si="22"/>
        <v>0</v>
      </c>
      <c r="AD62" s="23">
        <f t="shared" si="22"/>
        <v>0</v>
      </c>
      <c r="AE62" s="23">
        <f t="shared" si="22"/>
        <v>0</v>
      </c>
      <c r="AF62" s="23">
        <f t="shared" si="22"/>
        <v>0</v>
      </c>
      <c r="AG62" s="23">
        <f t="shared" si="22"/>
        <v>0</v>
      </c>
      <c r="AH62" s="23">
        <f t="shared" si="22"/>
        <v>0</v>
      </c>
      <c r="AI62" s="23">
        <f t="shared" si="22"/>
        <v>0</v>
      </c>
      <c r="AJ62" s="24">
        <f t="shared" si="5"/>
        <v>681</v>
      </c>
    </row>
    <row r="63" spans="1:38" ht="14.5" customHeight="1">
      <c r="A63" s="101"/>
      <c r="B63" s="101"/>
      <c r="C63" s="539" t="s">
        <v>132</v>
      </c>
      <c r="D63" s="501"/>
      <c r="E63" s="102">
        <f t="shared" ref="E63:AJ63" si="23">E61</f>
        <v>2623</v>
      </c>
      <c r="F63" s="102">
        <f t="shared" si="23"/>
        <v>1335</v>
      </c>
      <c r="G63" s="102">
        <f t="shared" si="23"/>
        <v>1978</v>
      </c>
      <c r="H63" s="102">
        <f t="shared" si="23"/>
        <v>2072</v>
      </c>
      <c r="I63" s="102">
        <f t="shared" si="23"/>
        <v>1939</v>
      </c>
      <c r="J63" s="102">
        <f t="shared" si="23"/>
        <v>1993</v>
      </c>
      <c r="K63" s="102">
        <f t="shared" si="23"/>
        <v>2051</v>
      </c>
      <c r="L63" s="102">
        <f t="shared" si="23"/>
        <v>1395</v>
      </c>
      <c r="M63" s="102">
        <f t="shared" si="23"/>
        <v>1223</v>
      </c>
      <c r="N63" s="102">
        <f t="shared" si="23"/>
        <v>2027</v>
      </c>
      <c r="O63" s="102">
        <f t="shared" si="23"/>
        <v>1996</v>
      </c>
      <c r="P63" s="102">
        <f t="shared" si="23"/>
        <v>1909</v>
      </c>
      <c r="Q63" s="102">
        <f t="shared" si="23"/>
        <v>1884</v>
      </c>
      <c r="R63" s="102">
        <f t="shared" si="23"/>
        <v>1230</v>
      </c>
      <c r="S63" s="102">
        <f t="shared" si="23"/>
        <v>1389</v>
      </c>
      <c r="T63" s="102">
        <f t="shared" si="23"/>
        <v>1296</v>
      </c>
      <c r="U63" s="102">
        <f t="shared" si="23"/>
        <v>2125</v>
      </c>
      <c r="V63" s="102">
        <f t="shared" si="23"/>
        <v>1710</v>
      </c>
      <c r="W63" s="102">
        <f t="shared" si="23"/>
        <v>1970</v>
      </c>
      <c r="X63" s="102">
        <f t="shared" si="23"/>
        <v>2046</v>
      </c>
      <c r="Y63" s="102">
        <f t="shared" si="23"/>
        <v>1957</v>
      </c>
      <c r="Z63" s="102">
        <f t="shared" si="23"/>
        <v>1475</v>
      </c>
      <c r="AA63" s="102">
        <f t="shared" si="23"/>
        <v>1319</v>
      </c>
      <c r="AB63" s="102">
        <f t="shared" si="23"/>
        <v>1929</v>
      </c>
      <c r="AC63" s="102">
        <f t="shared" si="23"/>
        <v>2000</v>
      </c>
      <c r="AD63" s="102">
        <f t="shared" si="23"/>
        <v>1974</v>
      </c>
      <c r="AE63" s="102">
        <f t="shared" si="23"/>
        <v>2378</v>
      </c>
      <c r="AF63" s="102">
        <f t="shared" si="23"/>
        <v>1932</v>
      </c>
      <c r="AG63" s="102">
        <f t="shared" si="23"/>
        <v>1361</v>
      </c>
      <c r="AH63" s="102">
        <f t="shared" si="23"/>
        <v>1328</v>
      </c>
      <c r="AI63" s="102">
        <f t="shared" si="23"/>
        <v>541</v>
      </c>
      <c r="AJ63" s="102">
        <f t="shared" si="23"/>
        <v>54385</v>
      </c>
    </row>
    <row r="64" spans="1:38" ht="13" customHeight="1">
      <c r="A64" s="94"/>
      <c r="B64" s="27"/>
      <c r="C64" s="146"/>
      <c r="D64" s="10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</row>
    <row r="65" spans="1:38" ht="14.5" customHeight="1">
      <c r="A65" s="28" t="s">
        <v>133</v>
      </c>
      <c r="B65" s="28" t="s">
        <v>100</v>
      </c>
      <c r="C65" s="523" t="s">
        <v>101</v>
      </c>
      <c r="D65" s="50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103"/>
    </row>
    <row r="66" spans="1:38" ht="14.5" customHeight="1">
      <c r="A66" s="2">
        <v>1</v>
      </c>
      <c r="B66" s="2" t="s">
        <v>129</v>
      </c>
      <c r="C66" s="506" t="s">
        <v>119</v>
      </c>
      <c r="D66" s="501"/>
      <c r="E66" s="30">
        <f t="shared" ref="E66:AI66" si="24">E24-D24</f>
        <v>94</v>
      </c>
      <c r="F66" s="30">
        <f t="shared" si="24"/>
        <v>1</v>
      </c>
      <c r="G66" s="30">
        <f t="shared" si="24"/>
        <v>64</v>
      </c>
      <c r="H66" s="30">
        <f t="shared" si="24"/>
        <v>74</v>
      </c>
      <c r="I66" s="30">
        <f t="shared" si="24"/>
        <v>52</v>
      </c>
      <c r="J66" s="30">
        <f t="shared" si="24"/>
        <v>34</v>
      </c>
      <c r="K66" s="30">
        <f t="shared" si="24"/>
        <v>33</v>
      </c>
      <c r="L66" s="30">
        <f t="shared" si="24"/>
        <v>33</v>
      </c>
      <c r="M66" s="30">
        <f t="shared" si="24"/>
        <v>0</v>
      </c>
      <c r="N66" s="30">
        <f t="shared" si="24"/>
        <v>49</v>
      </c>
      <c r="O66" s="30">
        <f t="shared" si="24"/>
        <v>52</v>
      </c>
      <c r="P66" s="30">
        <f t="shared" si="24"/>
        <v>45</v>
      </c>
      <c r="Q66" s="30">
        <f t="shared" si="24"/>
        <v>41</v>
      </c>
      <c r="R66" s="30">
        <f t="shared" si="24"/>
        <v>1</v>
      </c>
      <c r="S66" s="30">
        <f t="shared" si="24"/>
        <v>21</v>
      </c>
      <c r="T66" s="30">
        <f t="shared" si="24"/>
        <v>0</v>
      </c>
      <c r="U66" s="30">
        <f t="shared" si="24"/>
        <v>73</v>
      </c>
      <c r="V66" s="30">
        <f t="shared" si="24"/>
        <v>44</v>
      </c>
      <c r="W66" s="30">
        <f t="shared" si="24"/>
        <v>37</v>
      </c>
      <c r="X66" s="30">
        <f t="shared" si="24"/>
        <v>49</v>
      </c>
      <c r="Y66" s="30">
        <f t="shared" si="24"/>
        <v>48</v>
      </c>
      <c r="Z66" s="30">
        <f t="shared" si="24"/>
        <v>36</v>
      </c>
      <c r="AA66" s="30">
        <f t="shared" si="24"/>
        <v>0</v>
      </c>
      <c r="AB66" s="30">
        <f t="shared" si="24"/>
        <v>47</v>
      </c>
      <c r="AC66" s="30">
        <f t="shared" si="24"/>
        <v>39</v>
      </c>
      <c r="AD66" s="30">
        <f t="shared" si="24"/>
        <v>54</v>
      </c>
      <c r="AE66" s="30">
        <f t="shared" si="24"/>
        <v>53</v>
      </c>
      <c r="AF66" s="30">
        <f t="shared" si="24"/>
        <v>43</v>
      </c>
      <c r="AG66" s="30">
        <f t="shared" si="24"/>
        <v>50</v>
      </c>
      <c r="AH66" s="30">
        <f t="shared" si="24"/>
        <v>0</v>
      </c>
      <c r="AI66" s="30">
        <f t="shared" si="24"/>
        <v>1</v>
      </c>
      <c r="AJ66" s="30">
        <f t="shared" ref="AJ66:AJ79" si="25">SUM(E66:AI66)</f>
        <v>1168</v>
      </c>
      <c r="AL66" s="78"/>
    </row>
    <row r="67" spans="1:38" ht="14.5" customHeight="1">
      <c r="A67" s="2"/>
      <c r="B67" s="2"/>
      <c r="C67" s="532" t="s">
        <v>22</v>
      </c>
      <c r="D67" s="501"/>
      <c r="E67" s="30">
        <f t="shared" ref="E67:AI67" si="26">E25-D25</f>
        <v>0</v>
      </c>
      <c r="F67" s="30">
        <f t="shared" si="26"/>
        <v>0</v>
      </c>
      <c r="G67" s="30">
        <f t="shared" si="26"/>
        <v>0</v>
      </c>
      <c r="H67" s="30">
        <f t="shared" si="26"/>
        <v>0</v>
      </c>
      <c r="I67" s="30">
        <f t="shared" si="26"/>
        <v>0</v>
      </c>
      <c r="J67" s="30">
        <f t="shared" si="26"/>
        <v>0</v>
      </c>
      <c r="K67" s="30">
        <f t="shared" si="26"/>
        <v>0</v>
      </c>
      <c r="L67" s="30">
        <f t="shared" si="26"/>
        <v>0</v>
      </c>
      <c r="M67" s="30">
        <f t="shared" si="26"/>
        <v>0</v>
      </c>
      <c r="N67" s="30">
        <f t="shared" si="26"/>
        <v>0</v>
      </c>
      <c r="O67" s="30">
        <f t="shared" si="26"/>
        <v>0</v>
      </c>
      <c r="P67" s="30">
        <f t="shared" si="26"/>
        <v>0</v>
      </c>
      <c r="Q67" s="30">
        <f t="shared" si="26"/>
        <v>0</v>
      </c>
      <c r="R67" s="30">
        <f t="shared" si="26"/>
        <v>0</v>
      </c>
      <c r="S67" s="30">
        <f t="shared" si="26"/>
        <v>0</v>
      </c>
      <c r="T67" s="30">
        <f t="shared" si="26"/>
        <v>0</v>
      </c>
      <c r="U67" s="30">
        <f t="shared" si="26"/>
        <v>0</v>
      </c>
      <c r="V67" s="30">
        <f t="shared" si="26"/>
        <v>3</v>
      </c>
      <c r="W67" s="30">
        <f t="shared" si="26"/>
        <v>1</v>
      </c>
      <c r="X67" s="30">
        <f t="shared" si="26"/>
        <v>0</v>
      </c>
      <c r="Y67" s="30">
        <f t="shared" si="26"/>
        <v>0</v>
      </c>
      <c r="Z67" s="30">
        <f t="shared" si="26"/>
        <v>0</v>
      </c>
      <c r="AA67" s="30">
        <f t="shared" si="26"/>
        <v>0</v>
      </c>
      <c r="AB67" s="30">
        <f t="shared" si="26"/>
        <v>7</v>
      </c>
      <c r="AC67" s="30">
        <f t="shared" si="26"/>
        <v>0</v>
      </c>
      <c r="AD67" s="30">
        <f t="shared" si="26"/>
        <v>0</v>
      </c>
      <c r="AE67" s="30">
        <f t="shared" si="26"/>
        <v>0</v>
      </c>
      <c r="AF67" s="30">
        <f t="shared" si="26"/>
        <v>0</v>
      </c>
      <c r="AG67" s="30">
        <f t="shared" si="26"/>
        <v>0</v>
      </c>
      <c r="AH67" s="30">
        <f t="shared" si="26"/>
        <v>0</v>
      </c>
      <c r="AI67" s="30">
        <f t="shared" si="26"/>
        <v>0</v>
      </c>
      <c r="AJ67" s="30">
        <f t="shared" si="25"/>
        <v>11</v>
      </c>
    </row>
    <row r="68" spans="1:38" ht="14.5" customHeight="1">
      <c r="A68" s="2">
        <v>2</v>
      </c>
      <c r="B68" s="2" t="s">
        <v>129</v>
      </c>
      <c r="C68" s="506" t="s">
        <v>120</v>
      </c>
      <c r="D68" s="501"/>
      <c r="E68" s="30">
        <f t="shared" ref="E68:AI68" si="27">E26-D26</f>
        <v>103</v>
      </c>
      <c r="F68" s="30">
        <f t="shared" si="27"/>
        <v>0</v>
      </c>
      <c r="G68" s="30">
        <f t="shared" si="27"/>
        <v>71</v>
      </c>
      <c r="H68" s="30">
        <f t="shared" si="27"/>
        <v>54</v>
      </c>
      <c r="I68" s="30">
        <f t="shared" si="27"/>
        <v>50</v>
      </c>
      <c r="J68" s="30">
        <f t="shared" si="27"/>
        <v>78</v>
      </c>
      <c r="K68" s="30">
        <f t="shared" si="27"/>
        <v>81</v>
      </c>
      <c r="L68" s="30">
        <f t="shared" si="27"/>
        <v>26</v>
      </c>
      <c r="M68" s="30">
        <f t="shared" si="27"/>
        <v>0</v>
      </c>
      <c r="N68" s="30">
        <f t="shared" si="27"/>
        <v>76</v>
      </c>
      <c r="O68" s="30">
        <f t="shared" si="27"/>
        <v>82</v>
      </c>
      <c r="P68" s="30">
        <f t="shared" si="27"/>
        <v>76</v>
      </c>
      <c r="Q68" s="30">
        <f t="shared" si="27"/>
        <v>78</v>
      </c>
      <c r="R68" s="30">
        <f t="shared" si="27"/>
        <v>0</v>
      </c>
      <c r="S68" s="30">
        <f t="shared" si="27"/>
        <v>46</v>
      </c>
      <c r="T68" s="30">
        <f t="shared" si="27"/>
        <v>0</v>
      </c>
      <c r="U68" s="30">
        <f t="shared" si="27"/>
        <v>85</v>
      </c>
      <c r="V68" s="30">
        <f t="shared" si="27"/>
        <v>77</v>
      </c>
      <c r="W68" s="30">
        <f t="shared" si="27"/>
        <v>71</v>
      </c>
      <c r="X68" s="30">
        <f t="shared" si="27"/>
        <v>48</v>
      </c>
      <c r="Y68" s="30">
        <f t="shared" si="27"/>
        <v>111</v>
      </c>
      <c r="Z68" s="30">
        <f t="shared" si="27"/>
        <v>68</v>
      </c>
      <c r="AA68" s="30">
        <f t="shared" si="27"/>
        <v>0</v>
      </c>
      <c r="AB68" s="30">
        <f t="shared" si="27"/>
        <v>82</v>
      </c>
      <c r="AC68" s="30">
        <f t="shared" si="27"/>
        <v>84</v>
      </c>
      <c r="AD68" s="30">
        <f t="shared" si="27"/>
        <v>56</v>
      </c>
      <c r="AE68" s="30">
        <f t="shared" si="27"/>
        <v>66</v>
      </c>
      <c r="AF68" s="30">
        <f t="shared" si="27"/>
        <v>77</v>
      </c>
      <c r="AG68" s="30">
        <f t="shared" si="27"/>
        <v>61</v>
      </c>
      <c r="AH68" s="30">
        <f t="shared" si="27"/>
        <v>0</v>
      </c>
      <c r="AI68" s="30">
        <f t="shared" si="27"/>
        <v>1</v>
      </c>
      <c r="AJ68" s="30">
        <f t="shared" si="25"/>
        <v>1708</v>
      </c>
    </row>
    <row r="69" spans="1:38" ht="14.5" customHeight="1">
      <c r="A69" s="2"/>
      <c r="B69" s="2"/>
      <c r="C69" s="532" t="s">
        <v>22</v>
      </c>
      <c r="D69" s="501"/>
      <c r="E69" s="30">
        <f t="shared" ref="E69:AI69" si="28">E27-D27</f>
        <v>0</v>
      </c>
      <c r="F69" s="30">
        <f t="shared" si="28"/>
        <v>0</v>
      </c>
      <c r="G69" s="30">
        <f t="shared" si="28"/>
        <v>0</v>
      </c>
      <c r="H69" s="30">
        <f t="shared" si="28"/>
        <v>0</v>
      </c>
      <c r="I69" s="30">
        <f t="shared" si="28"/>
        <v>0</v>
      </c>
      <c r="J69" s="30">
        <f t="shared" si="28"/>
        <v>0</v>
      </c>
      <c r="K69" s="30">
        <f t="shared" si="28"/>
        <v>0</v>
      </c>
      <c r="L69" s="30">
        <f t="shared" si="28"/>
        <v>0</v>
      </c>
      <c r="M69" s="30">
        <f t="shared" si="28"/>
        <v>0</v>
      </c>
      <c r="N69" s="30">
        <f t="shared" si="28"/>
        <v>0</v>
      </c>
      <c r="O69" s="30">
        <f t="shared" si="28"/>
        <v>0</v>
      </c>
      <c r="P69" s="30">
        <f t="shared" si="28"/>
        <v>0</v>
      </c>
      <c r="Q69" s="30">
        <f t="shared" si="28"/>
        <v>0</v>
      </c>
      <c r="R69" s="30">
        <f t="shared" si="28"/>
        <v>0</v>
      </c>
      <c r="S69" s="30">
        <f t="shared" si="28"/>
        <v>0</v>
      </c>
      <c r="T69" s="30">
        <f t="shared" si="28"/>
        <v>0</v>
      </c>
      <c r="U69" s="30">
        <f t="shared" si="28"/>
        <v>0</v>
      </c>
      <c r="V69" s="30">
        <f t="shared" si="28"/>
        <v>6</v>
      </c>
      <c r="W69" s="30">
        <f t="shared" si="28"/>
        <v>2</v>
      </c>
      <c r="X69" s="30">
        <f t="shared" si="28"/>
        <v>0</v>
      </c>
      <c r="Y69" s="30">
        <f t="shared" si="28"/>
        <v>0</v>
      </c>
      <c r="Z69" s="30">
        <f t="shared" si="28"/>
        <v>0</v>
      </c>
      <c r="AA69" s="30">
        <f t="shared" si="28"/>
        <v>0</v>
      </c>
      <c r="AB69" s="30">
        <f t="shared" si="28"/>
        <v>17</v>
      </c>
      <c r="AC69" s="30">
        <f t="shared" si="28"/>
        <v>0</v>
      </c>
      <c r="AD69" s="30">
        <f t="shared" si="28"/>
        <v>0</v>
      </c>
      <c r="AE69" s="30">
        <f t="shared" si="28"/>
        <v>0</v>
      </c>
      <c r="AF69" s="30">
        <f t="shared" si="28"/>
        <v>0</v>
      </c>
      <c r="AG69" s="30">
        <f t="shared" si="28"/>
        <v>0</v>
      </c>
      <c r="AH69" s="30">
        <f t="shared" si="28"/>
        <v>0</v>
      </c>
      <c r="AI69" s="30">
        <f t="shared" si="28"/>
        <v>0</v>
      </c>
      <c r="AJ69" s="30">
        <f t="shared" si="25"/>
        <v>25</v>
      </c>
    </row>
    <row r="70" spans="1:38" ht="14.5" customHeight="1">
      <c r="A70" s="2">
        <v>3</v>
      </c>
      <c r="B70" s="2" t="s">
        <v>129</v>
      </c>
      <c r="C70" s="506" t="s">
        <v>121</v>
      </c>
      <c r="D70" s="501"/>
      <c r="E70" s="30">
        <f t="shared" ref="E70:AI70" si="29">E28-D28</f>
        <v>183</v>
      </c>
      <c r="F70" s="30">
        <f t="shared" si="29"/>
        <v>0</v>
      </c>
      <c r="G70" s="30">
        <f t="shared" si="29"/>
        <v>125</v>
      </c>
      <c r="H70" s="30">
        <f t="shared" si="29"/>
        <v>140</v>
      </c>
      <c r="I70" s="30">
        <f t="shared" si="29"/>
        <v>129</v>
      </c>
      <c r="J70" s="30">
        <f t="shared" si="29"/>
        <v>115</v>
      </c>
      <c r="K70" s="30">
        <f t="shared" si="29"/>
        <v>117</v>
      </c>
      <c r="L70" s="30">
        <f t="shared" si="29"/>
        <v>67</v>
      </c>
      <c r="M70" s="30">
        <f t="shared" si="29"/>
        <v>0</v>
      </c>
      <c r="N70" s="30">
        <f t="shared" si="29"/>
        <v>126</v>
      </c>
      <c r="O70" s="30">
        <f t="shared" si="29"/>
        <v>134</v>
      </c>
      <c r="P70" s="30">
        <f t="shared" si="29"/>
        <v>113</v>
      </c>
      <c r="Q70" s="30">
        <f t="shared" si="29"/>
        <v>116</v>
      </c>
      <c r="R70" s="30">
        <f t="shared" si="29"/>
        <v>0</v>
      </c>
      <c r="S70" s="30">
        <f t="shared" si="29"/>
        <v>69</v>
      </c>
      <c r="T70" s="30">
        <f t="shared" si="29"/>
        <v>0</v>
      </c>
      <c r="U70" s="30">
        <f t="shared" si="29"/>
        <v>127</v>
      </c>
      <c r="V70" s="30">
        <f t="shared" si="29"/>
        <v>115</v>
      </c>
      <c r="W70" s="30">
        <f t="shared" si="29"/>
        <v>112</v>
      </c>
      <c r="X70" s="30">
        <f t="shared" si="29"/>
        <v>100</v>
      </c>
      <c r="Y70" s="30">
        <f t="shared" si="29"/>
        <v>154</v>
      </c>
      <c r="Z70" s="30">
        <f t="shared" si="29"/>
        <v>98</v>
      </c>
      <c r="AA70" s="30">
        <f t="shared" si="29"/>
        <v>0</v>
      </c>
      <c r="AB70" s="30">
        <f t="shared" si="29"/>
        <v>113</v>
      </c>
      <c r="AC70" s="30">
        <f t="shared" si="29"/>
        <v>127</v>
      </c>
      <c r="AD70" s="30">
        <f t="shared" si="29"/>
        <v>79</v>
      </c>
      <c r="AE70" s="30">
        <f t="shared" si="29"/>
        <v>83</v>
      </c>
      <c r="AF70" s="30">
        <f t="shared" si="29"/>
        <v>55</v>
      </c>
      <c r="AG70" s="30">
        <f t="shared" si="29"/>
        <v>63</v>
      </c>
      <c r="AH70" s="30">
        <f t="shared" si="29"/>
        <v>0</v>
      </c>
      <c r="AI70" s="30">
        <f t="shared" si="29"/>
        <v>1</v>
      </c>
      <c r="AJ70" s="30">
        <f t="shared" si="25"/>
        <v>2661</v>
      </c>
    </row>
    <row r="71" spans="1:38" ht="14.5" customHeight="1">
      <c r="A71" s="2"/>
      <c r="B71" s="2"/>
      <c r="C71" s="532" t="s">
        <v>22</v>
      </c>
      <c r="D71" s="501"/>
      <c r="E71" s="30">
        <f t="shared" ref="E71:AI71" si="30">E29-D29</f>
        <v>0</v>
      </c>
      <c r="F71" s="30">
        <f t="shared" si="30"/>
        <v>0</v>
      </c>
      <c r="G71" s="30">
        <f t="shared" si="30"/>
        <v>0</v>
      </c>
      <c r="H71" s="30">
        <f t="shared" si="30"/>
        <v>0</v>
      </c>
      <c r="I71" s="30">
        <f t="shared" si="30"/>
        <v>0</v>
      </c>
      <c r="J71" s="30">
        <f t="shared" si="30"/>
        <v>0</v>
      </c>
      <c r="K71" s="30">
        <f t="shared" si="30"/>
        <v>0</v>
      </c>
      <c r="L71" s="30">
        <f t="shared" si="30"/>
        <v>1</v>
      </c>
      <c r="M71" s="30">
        <f t="shared" si="30"/>
        <v>0</v>
      </c>
      <c r="N71" s="30">
        <f t="shared" si="30"/>
        <v>0</v>
      </c>
      <c r="O71" s="30">
        <f t="shared" si="30"/>
        <v>0</v>
      </c>
      <c r="P71" s="30">
        <f t="shared" si="30"/>
        <v>0</v>
      </c>
      <c r="Q71" s="30">
        <f t="shared" si="30"/>
        <v>0</v>
      </c>
      <c r="R71" s="30">
        <f t="shared" si="30"/>
        <v>0</v>
      </c>
      <c r="S71" s="30">
        <f t="shared" si="30"/>
        <v>0</v>
      </c>
      <c r="T71" s="30">
        <f t="shared" si="30"/>
        <v>0</v>
      </c>
      <c r="U71" s="30">
        <f t="shared" si="30"/>
        <v>0</v>
      </c>
      <c r="V71" s="30">
        <f t="shared" si="30"/>
        <v>10</v>
      </c>
      <c r="W71" s="30">
        <f t="shared" si="30"/>
        <v>3</v>
      </c>
      <c r="X71" s="30">
        <f t="shared" si="30"/>
        <v>0</v>
      </c>
      <c r="Y71" s="30">
        <f t="shared" si="30"/>
        <v>0</v>
      </c>
      <c r="Z71" s="30">
        <f t="shared" si="30"/>
        <v>1</v>
      </c>
      <c r="AA71" s="30">
        <f t="shared" si="30"/>
        <v>0</v>
      </c>
      <c r="AB71" s="30">
        <f t="shared" si="30"/>
        <v>22</v>
      </c>
      <c r="AC71" s="30">
        <f t="shared" si="30"/>
        <v>0</v>
      </c>
      <c r="AD71" s="30">
        <f t="shared" si="30"/>
        <v>0</v>
      </c>
      <c r="AE71" s="30">
        <f t="shared" si="30"/>
        <v>0</v>
      </c>
      <c r="AF71" s="30">
        <f t="shared" si="30"/>
        <v>0</v>
      </c>
      <c r="AG71" s="30">
        <f t="shared" si="30"/>
        <v>0</v>
      </c>
      <c r="AH71" s="30">
        <f t="shared" si="30"/>
        <v>0</v>
      </c>
      <c r="AI71" s="30">
        <f t="shared" si="30"/>
        <v>0</v>
      </c>
      <c r="AJ71" s="30">
        <f t="shared" si="25"/>
        <v>37</v>
      </c>
    </row>
    <row r="72" spans="1:38" ht="14.5" customHeight="1">
      <c r="A72" s="2">
        <v>4</v>
      </c>
      <c r="B72" s="2" t="s">
        <v>129</v>
      </c>
      <c r="C72" s="506" t="s">
        <v>122</v>
      </c>
      <c r="D72" s="501"/>
      <c r="E72" s="30">
        <f t="shared" ref="E72:AI72" si="31">E30-D30</f>
        <v>79</v>
      </c>
      <c r="F72" s="30">
        <f t="shared" si="31"/>
        <v>0</v>
      </c>
      <c r="G72" s="30">
        <f t="shared" si="31"/>
        <v>51</v>
      </c>
      <c r="H72" s="30">
        <f t="shared" si="31"/>
        <v>67</v>
      </c>
      <c r="I72" s="30">
        <f t="shared" si="31"/>
        <v>63</v>
      </c>
      <c r="J72" s="30">
        <f t="shared" si="31"/>
        <v>50</v>
      </c>
      <c r="K72" s="30">
        <f t="shared" si="31"/>
        <v>37</v>
      </c>
      <c r="L72" s="30">
        <f t="shared" si="31"/>
        <v>22</v>
      </c>
      <c r="M72" s="30">
        <f t="shared" si="31"/>
        <v>0</v>
      </c>
      <c r="N72" s="30">
        <f t="shared" si="31"/>
        <v>49</v>
      </c>
      <c r="O72" s="30">
        <f t="shared" si="31"/>
        <v>49</v>
      </c>
      <c r="P72" s="30">
        <f t="shared" si="31"/>
        <v>62</v>
      </c>
      <c r="Q72" s="30">
        <f t="shared" si="31"/>
        <v>65</v>
      </c>
      <c r="R72" s="30">
        <f t="shared" si="31"/>
        <v>1</v>
      </c>
      <c r="S72" s="30">
        <f t="shared" si="31"/>
        <v>24</v>
      </c>
      <c r="T72" s="30">
        <f t="shared" si="31"/>
        <v>0</v>
      </c>
      <c r="U72" s="30">
        <f t="shared" si="31"/>
        <v>51</v>
      </c>
      <c r="V72" s="30">
        <f t="shared" si="31"/>
        <v>55</v>
      </c>
      <c r="W72" s="30">
        <f t="shared" si="31"/>
        <v>40</v>
      </c>
      <c r="X72" s="30">
        <f t="shared" si="31"/>
        <v>75</v>
      </c>
      <c r="Y72" s="30">
        <f t="shared" si="31"/>
        <v>49</v>
      </c>
      <c r="Z72" s="30">
        <f t="shared" si="31"/>
        <v>39</v>
      </c>
      <c r="AA72" s="30">
        <f t="shared" si="31"/>
        <v>0</v>
      </c>
      <c r="AB72" s="30">
        <f t="shared" si="31"/>
        <v>63</v>
      </c>
      <c r="AC72" s="30">
        <f t="shared" si="31"/>
        <v>46</v>
      </c>
      <c r="AD72" s="30">
        <f t="shared" si="31"/>
        <v>75</v>
      </c>
      <c r="AE72" s="30">
        <f t="shared" si="31"/>
        <v>52</v>
      </c>
      <c r="AF72" s="30">
        <f t="shared" si="31"/>
        <v>50</v>
      </c>
      <c r="AG72" s="30">
        <f t="shared" si="31"/>
        <v>43</v>
      </c>
      <c r="AH72" s="30">
        <f t="shared" si="31"/>
        <v>0</v>
      </c>
      <c r="AI72" s="30">
        <f t="shared" si="31"/>
        <v>1</v>
      </c>
      <c r="AJ72" s="30">
        <f t="shared" si="25"/>
        <v>1258</v>
      </c>
    </row>
    <row r="73" spans="1:38" ht="14.5" customHeight="1">
      <c r="A73" s="2"/>
      <c r="B73" s="2"/>
      <c r="C73" s="532" t="s">
        <v>22</v>
      </c>
      <c r="D73" s="501"/>
      <c r="E73" s="30">
        <f t="shared" ref="E73:AI73" si="32">E31-D31</f>
        <v>0</v>
      </c>
      <c r="F73" s="30">
        <f t="shared" si="32"/>
        <v>0</v>
      </c>
      <c r="G73" s="30">
        <f t="shared" si="32"/>
        <v>0</v>
      </c>
      <c r="H73" s="30">
        <f t="shared" si="32"/>
        <v>0</v>
      </c>
      <c r="I73" s="30">
        <f t="shared" si="32"/>
        <v>0</v>
      </c>
      <c r="J73" s="30">
        <f t="shared" si="32"/>
        <v>0</v>
      </c>
      <c r="K73" s="30">
        <f t="shared" si="32"/>
        <v>0</v>
      </c>
      <c r="L73" s="30">
        <f t="shared" si="32"/>
        <v>0</v>
      </c>
      <c r="M73" s="30">
        <f t="shared" si="32"/>
        <v>0</v>
      </c>
      <c r="N73" s="30">
        <f t="shared" si="32"/>
        <v>0</v>
      </c>
      <c r="O73" s="30">
        <f t="shared" si="32"/>
        <v>0</v>
      </c>
      <c r="P73" s="30">
        <f t="shared" si="32"/>
        <v>0</v>
      </c>
      <c r="Q73" s="30">
        <f t="shared" si="32"/>
        <v>0</v>
      </c>
      <c r="R73" s="30">
        <f t="shared" si="32"/>
        <v>1</v>
      </c>
      <c r="S73" s="30">
        <f t="shared" si="32"/>
        <v>0</v>
      </c>
      <c r="T73" s="30">
        <f t="shared" si="32"/>
        <v>0</v>
      </c>
      <c r="U73" s="30">
        <f t="shared" si="32"/>
        <v>0</v>
      </c>
      <c r="V73" s="30">
        <f t="shared" si="32"/>
        <v>3</v>
      </c>
      <c r="W73" s="30">
        <f t="shared" si="32"/>
        <v>1</v>
      </c>
      <c r="X73" s="30">
        <f t="shared" si="32"/>
        <v>0</v>
      </c>
      <c r="Y73" s="30">
        <f t="shared" si="32"/>
        <v>0</v>
      </c>
      <c r="Z73" s="30">
        <f t="shared" si="32"/>
        <v>1</v>
      </c>
      <c r="AA73" s="30">
        <f t="shared" si="32"/>
        <v>0</v>
      </c>
      <c r="AB73" s="30">
        <f t="shared" si="32"/>
        <v>4</v>
      </c>
      <c r="AC73" s="30">
        <f t="shared" si="32"/>
        <v>0</v>
      </c>
      <c r="AD73" s="30">
        <f t="shared" si="32"/>
        <v>0</v>
      </c>
      <c r="AE73" s="30">
        <f t="shared" si="32"/>
        <v>0</v>
      </c>
      <c r="AF73" s="30">
        <f t="shared" si="32"/>
        <v>0</v>
      </c>
      <c r="AG73" s="30">
        <f t="shared" si="32"/>
        <v>0</v>
      </c>
      <c r="AH73" s="30">
        <f t="shared" si="32"/>
        <v>0</v>
      </c>
      <c r="AI73" s="30">
        <f t="shared" si="32"/>
        <v>0</v>
      </c>
      <c r="AJ73" s="30">
        <f t="shared" si="25"/>
        <v>10</v>
      </c>
    </row>
    <row r="74" spans="1:38" ht="25.5" customHeight="1">
      <c r="A74" s="99"/>
      <c r="B74" s="99"/>
      <c r="C74" s="500" t="s">
        <v>134</v>
      </c>
      <c r="D74" s="501"/>
      <c r="E74" s="23">
        <f t="shared" ref="E74:AI74" si="33">SUM(E66,E68,E70,E72)</f>
        <v>459</v>
      </c>
      <c r="F74" s="23">
        <f t="shared" si="33"/>
        <v>1</v>
      </c>
      <c r="G74" s="23">
        <f t="shared" si="33"/>
        <v>311</v>
      </c>
      <c r="H74" s="23">
        <f t="shared" si="33"/>
        <v>335</v>
      </c>
      <c r="I74" s="23">
        <f t="shared" si="33"/>
        <v>294</v>
      </c>
      <c r="J74" s="23">
        <f t="shared" si="33"/>
        <v>277</v>
      </c>
      <c r="K74" s="23">
        <f t="shared" si="33"/>
        <v>268</v>
      </c>
      <c r="L74" s="23">
        <f t="shared" si="33"/>
        <v>148</v>
      </c>
      <c r="M74" s="23">
        <f t="shared" si="33"/>
        <v>0</v>
      </c>
      <c r="N74" s="23">
        <f t="shared" si="33"/>
        <v>300</v>
      </c>
      <c r="O74" s="23">
        <f t="shared" si="33"/>
        <v>317</v>
      </c>
      <c r="P74" s="23">
        <f t="shared" si="33"/>
        <v>296</v>
      </c>
      <c r="Q74" s="23">
        <f t="shared" si="33"/>
        <v>300</v>
      </c>
      <c r="R74" s="23">
        <f t="shared" si="33"/>
        <v>2</v>
      </c>
      <c r="S74" s="23">
        <f t="shared" si="33"/>
        <v>160</v>
      </c>
      <c r="T74" s="23">
        <f t="shared" si="33"/>
        <v>0</v>
      </c>
      <c r="U74" s="23">
        <f t="shared" si="33"/>
        <v>336</v>
      </c>
      <c r="V74" s="23">
        <f t="shared" si="33"/>
        <v>291</v>
      </c>
      <c r="W74" s="23">
        <f t="shared" si="33"/>
        <v>260</v>
      </c>
      <c r="X74" s="23">
        <f t="shared" si="33"/>
        <v>272</v>
      </c>
      <c r="Y74" s="23">
        <f t="shared" si="33"/>
        <v>362</v>
      </c>
      <c r="Z74" s="23">
        <f t="shared" si="33"/>
        <v>241</v>
      </c>
      <c r="AA74" s="23">
        <f t="shared" si="33"/>
        <v>0</v>
      </c>
      <c r="AB74" s="23">
        <f t="shared" si="33"/>
        <v>305</v>
      </c>
      <c r="AC74" s="23">
        <f t="shared" si="33"/>
        <v>296</v>
      </c>
      <c r="AD74" s="23">
        <f t="shared" si="33"/>
        <v>264</v>
      </c>
      <c r="AE74" s="23">
        <f t="shared" si="33"/>
        <v>254</v>
      </c>
      <c r="AF74" s="23">
        <f t="shared" si="33"/>
        <v>225</v>
      </c>
      <c r="AG74" s="23">
        <f t="shared" si="33"/>
        <v>217</v>
      </c>
      <c r="AH74" s="23">
        <f t="shared" si="33"/>
        <v>0</v>
      </c>
      <c r="AI74" s="23">
        <f t="shared" si="33"/>
        <v>4</v>
      </c>
      <c r="AJ74" s="24">
        <f t="shared" si="25"/>
        <v>6795</v>
      </c>
      <c r="AK74" s="78"/>
      <c r="AL74" s="78"/>
    </row>
    <row r="75" spans="1:38" ht="25.5" customHeight="1">
      <c r="A75" s="99"/>
      <c r="B75" s="99"/>
      <c r="C75" s="513" t="s">
        <v>135</v>
      </c>
      <c r="D75" s="501"/>
      <c r="E75" s="23">
        <f t="shared" ref="E75:AI75" si="34">SUM(E67,E69,E71,E73)</f>
        <v>0</v>
      </c>
      <c r="F75" s="23">
        <f t="shared" si="34"/>
        <v>0</v>
      </c>
      <c r="G75" s="23">
        <f t="shared" si="34"/>
        <v>0</v>
      </c>
      <c r="H75" s="23">
        <f t="shared" si="34"/>
        <v>0</v>
      </c>
      <c r="I75" s="23">
        <f t="shared" si="34"/>
        <v>0</v>
      </c>
      <c r="J75" s="23">
        <f t="shared" si="34"/>
        <v>0</v>
      </c>
      <c r="K75" s="23">
        <f t="shared" si="34"/>
        <v>0</v>
      </c>
      <c r="L75" s="23">
        <f t="shared" si="34"/>
        <v>1</v>
      </c>
      <c r="M75" s="23">
        <f t="shared" si="34"/>
        <v>0</v>
      </c>
      <c r="N75" s="23">
        <f t="shared" si="34"/>
        <v>0</v>
      </c>
      <c r="O75" s="23">
        <f t="shared" si="34"/>
        <v>0</v>
      </c>
      <c r="P75" s="23">
        <f t="shared" si="34"/>
        <v>0</v>
      </c>
      <c r="Q75" s="23">
        <f t="shared" si="34"/>
        <v>0</v>
      </c>
      <c r="R75" s="23">
        <f t="shared" si="34"/>
        <v>1</v>
      </c>
      <c r="S75" s="23">
        <f t="shared" si="34"/>
        <v>0</v>
      </c>
      <c r="T75" s="23">
        <f t="shared" si="34"/>
        <v>0</v>
      </c>
      <c r="U75" s="23">
        <f t="shared" si="34"/>
        <v>0</v>
      </c>
      <c r="V75" s="23">
        <f t="shared" si="34"/>
        <v>22</v>
      </c>
      <c r="W75" s="23">
        <f t="shared" si="34"/>
        <v>7</v>
      </c>
      <c r="X75" s="23">
        <f t="shared" si="34"/>
        <v>0</v>
      </c>
      <c r="Y75" s="23">
        <f t="shared" si="34"/>
        <v>0</v>
      </c>
      <c r="Z75" s="23">
        <f t="shared" si="34"/>
        <v>2</v>
      </c>
      <c r="AA75" s="23">
        <f t="shared" si="34"/>
        <v>0</v>
      </c>
      <c r="AB75" s="23">
        <f t="shared" si="34"/>
        <v>50</v>
      </c>
      <c r="AC75" s="23">
        <f t="shared" si="34"/>
        <v>0</v>
      </c>
      <c r="AD75" s="23">
        <f t="shared" si="34"/>
        <v>0</v>
      </c>
      <c r="AE75" s="23">
        <f t="shared" si="34"/>
        <v>0</v>
      </c>
      <c r="AF75" s="23">
        <f t="shared" si="34"/>
        <v>0</v>
      </c>
      <c r="AG75" s="23">
        <f t="shared" si="34"/>
        <v>0</v>
      </c>
      <c r="AH75" s="23">
        <f t="shared" si="34"/>
        <v>0</v>
      </c>
      <c r="AI75" s="23">
        <f t="shared" si="34"/>
        <v>0</v>
      </c>
      <c r="AJ75" s="24">
        <f t="shared" si="25"/>
        <v>83</v>
      </c>
      <c r="AK75" s="78"/>
      <c r="AL75" s="78"/>
    </row>
    <row r="76" spans="1:38" ht="14.5" customHeight="1">
      <c r="A76" s="2">
        <v>1</v>
      </c>
      <c r="B76" s="2" t="s">
        <v>129</v>
      </c>
      <c r="C76" s="503" t="s">
        <v>123</v>
      </c>
      <c r="D76" s="501"/>
      <c r="E76" s="30">
        <f t="shared" ref="E76:AI76" si="35">E33-D33</f>
        <v>605</v>
      </c>
      <c r="F76" s="30">
        <f t="shared" si="35"/>
        <v>0</v>
      </c>
      <c r="G76" s="30">
        <f t="shared" si="35"/>
        <v>979</v>
      </c>
      <c r="H76" s="30">
        <f t="shared" si="35"/>
        <v>728</v>
      </c>
      <c r="I76" s="30">
        <f t="shared" si="35"/>
        <v>626</v>
      </c>
      <c r="J76" s="30">
        <f t="shared" si="35"/>
        <v>557</v>
      </c>
      <c r="K76" s="30">
        <f t="shared" si="35"/>
        <v>559</v>
      </c>
      <c r="L76" s="30">
        <f t="shared" si="35"/>
        <v>240</v>
      </c>
      <c r="M76" s="30">
        <f t="shared" si="35"/>
        <v>0</v>
      </c>
      <c r="N76" s="30">
        <f t="shared" si="35"/>
        <v>870</v>
      </c>
      <c r="O76" s="30">
        <f t="shared" si="35"/>
        <v>712</v>
      </c>
      <c r="P76" s="30">
        <f t="shared" si="35"/>
        <v>688</v>
      </c>
      <c r="Q76" s="30">
        <f t="shared" si="35"/>
        <v>655</v>
      </c>
      <c r="R76" s="30">
        <f t="shared" si="35"/>
        <v>0</v>
      </c>
      <c r="S76" s="30">
        <f t="shared" si="35"/>
        <v>265</v>
      </c>
      <c r="T76" s="30">
        <f t="shared" si="35"/>
        <v>0</v>
      </c>
      <c r="U76" s="30">
        <f t="shared" si="35"/>
        <v>926</v>
      </c>
      <c r="V76" s="30">
        <f t="shared" si="35"/>
        <v>750</v>
      </c>
      <c r="W76" s="30">
        <f t="shared" si="35"/>
        <v>741</v>
      </c>
      <c r="X76" s="30">
        <f t="shared" si="35"/>
        <v>789</v>
      </c>
      <c r="Y76" s="30">
        <f t="shared" si="35"/>
        <v>662</v>
      </c>
      <c r="Z76" s="30">
        <f t="shared" si="35"/>
        <v>362</v>
      </c>
      <c r="AA76" s="30">
        <f t="shared" si="35"/>
        <v>0</v>
      </c>
      <c r="AB76" s="30">
        <f t="shared" si="35"/>
        <v>842</v>
      </c>
      <c r="AC76" s="30">
        <f t="shared" si="35"/>
        <v>817</v>
      </c>
      <c r="AD76" s="30">
        <f t="shared" si="35"/>
        <v>883</v>
      </c>
      <c r="AE76" s="30">
        <f t="shared" si="35"/>
        <v>778</v>
      </c>
      <c r="AF76" s="30">
        <f t="shared" si="35"/>
        <v>744</v>
      </c>
      <c r="AG76" s="30">
        <f t="shared" si="35"/>
        <v>257</v>
      </c>
      <c r="AH76" s="30">
        <f t="shared" si="35"/>
        <v>0</v>
      </c>
      <c r="AI76" s="30">
        <f t="shared" si="35"/>
        <v>0</v>
      </c>
      <c r="AJ76" s="30">
        <f t="shared" si="25"/>
        <v>16035</v>
      </c>
      <c r="AL76" s="78"/>
    </row>
    <row r="77" spans="1:38" ht="14.5" customHeight="1">
      <c r="A77" s="2">
        <v>2</v>
      </c>
      <c r="B77" s="2" t="s">
        <v>129</v>
      </c>
      <c r="C77" s="503" t="s">
        <v>124</v>
      </c>
      <c r="D77" s="501"/>
      <c r="E77" s="30">
        <f t="shared" ref="E77:AI77" si="36">E34-D34</f>
        <v>377</v>
      </c>
      <c r="F77" s="30">
        <f t="shared" si="36"/>
        <v>0</v>
      </c>
      <c r="G77" s="30">
        <f t="shared" si="36"/>
        <v>605</v>
      </c>
      <c r="H77" s="30">
        <f t="shared" si="36"/>
        <v>541</v>
      </c>
      <c r="I77" s="30">
        <f t="shared" si="36"/>
        <v>432</v>
      </c>
      <c r="J77" s="30">
        <f t="shared" si="36"/>
        <v>453</v>
      </c>
      <c r="K77" s="30">
        <f t="shared" si="36"/>
        <v>520</v>
      </c>
      <c r="L77" s="30">
        <f t="shared" si="36"/>
        <v>166</v>
      </c>
      <c r="M77" s="30">
        <f t="shared" si="36"/>
        <v>0</v>
      </c>
      <c r="N77" s="30">
        <f t="shared" si="36"/>
        <v>686</v>
      </c>
      <c r="O77" s="30">
        <f t="shared" si="36"/>
        <v>579</v>
      </c>
      <c r="P77" s="30">
        <f t="shared" si="36"/>
        <v>675</v>
      </c>
      <c r="Q77" s="30">
        <f t="shared" si="36"/>
        <v>521</v>
      </c>
      <c r="R77" s="30">
        <f t="shared" si="36"/>
        <v>0</v>
      </c>
      <c r="S77" s="30">
        <f t="shared" si="36"/>
        <v>243</v>
      </c>
      <c r="T77" s="30">
        <f t="shared" si="36"/>
        <v>0</v>
      </c>
      <c r="U77" s="30">
        <f t="shared" si="36"/>
        <v>818</v>
      </c>
      <c r="V77" s="30">
        <f t="shared" si="36"/>
        <v>685</v>
      </c>
      <c r="W77" s="30">
        <f t="shared" si="36"/>
        <v>716</v>
      </c>
      <c r="X77" s="30">
        <f t="shared" si="36"/>
        <v>596</v>
      </c>
      <c r="Y77" s="30">
        <f t="shared" si="36"/>
        <v>503</v>
      </c>
      <c r="Z77" s="30">
        <f t="shared" si="36"/>
        <v>382</v>
      </c>
      <c r="AA77" s="30">
        <f t="shared" si="36"/>
        <v>0</v>
      </c>
      <c r="AB77" s="30">
        <f t="shared" si="36"/>
        <v>674</v>
      </c>
      <c r="AC77" s="30">
        <f t="shared" si="36"/>
        <v>778</v>
      </c>
      <c r="AD77" s="30">
        <f t="shared" si="36"/>
        <v>715</v>
      </c>
      <c r="AE77" s="30">
        <f t="shared" si="36"/>
        <v>644</v>
      </c>
      <c r="AF77" s="30">
        <f t="shared" si="36"/>
        <v>568</v>
      </c>
      <c r="AG77" s="30">
        <f t="shared" si="36"/>
        <v>266</v>
      </c>
      <c r="AH77" s="30">
        <f t="shared" si="36"/>
        <v>0</v>
      </c>
      <c r="AI77" s="30">
        <f t="shared" si="36"/>
        <v>0</v>
      </c>
      <c r="AJ77" s="30">
        <f t="shared" si="25"/>
        <v>13143</v>
      </c>
    </row>
    <row r="78" spans="1:38" ht="14.5" customHeight="1">
      <c r="A78" s="2">
        <v>3</v>
      </c>
      <c r="B78" s="2" t="s">
        <v>129</v>
      </c>
      <c r="C78" s="503" t="s">
        <v>125</v>
      </c>
      <c r="D78" s="501"/>
      <c r="E78" s="30">
        <f t="shared" ref="E78:AI78" si="37">E35-D35</f>
        <v>261</v>
      </c>
      <c r="F78" s="30">
        <f t="shared" si="37"/>
        <v>0</v>
      </c>
      <c r="G78" s="30">
        <f t="shared" si="37"/>
        <v>414</v>
      </c>
      <c r="H78" s="30">
        <f t="shared" si="37"/>
        <v>418</v>
      </c>
      <c r="I78" s="30">
        <f t="shared" si="37"/>
        <v>295</v>
      </c>
      <c r="J78" s="30">
        <f t="shared" si="37"/>
        <v>374</v>
      </c>
      <c r="K78" s="30">
        <f t="shared" si="37"/>
        <v>400</v>
      </c>
      <c r="L78" s="30">
        <f t="shared" si="37"/>
        <v>161</v>
      </c>
      <c r="M78" s="30">
        <f t="shared" si="37"/>
        <v>0</v>
      </c>
      <c r="N78" s="30">
        <f t="shared" si="37"/>
        <v>591</v>
      </c>
      <c r="O78" s="30">
        <f t="shared" si="37"/>
        <v>481</v>
      </c>
      <c r="P78" s="30">
        <f t="shared" si="37"/>
        <v>688</v>
      </c>
      <c r="Q78" s="30">
        <f t="shared" si="37"/>
        <v>442</v>
      </c>
      <c r="R78" s="30">
        <f t="shared" si="37"/>
        <v>0</v>
      </c>
      <c r="S78" s="30">
        <f t="shared" si="37"/>
        <v>227</v>
      </c>
      <c r="T78" s="30">
        <f t="shared" si="37"/>
        <v>0</v>
      </c>
      <c r="U78" s="30">
        <f t="shared" si="37"/>
        <v>720</v>
      </c>
      <c r="V78" s="30">
        <f t="shared" si="37"/>
        <v>724</v>
      </c>
      <c r="W78" s="30">
        <f t="shared" si="37"/>
        <v>620</v>
      </c>
      <c r="X78" s="30">
        <f t="shared" si="37"/>
        <v>511</v>
      </c>
      <c r="Y78" s="30">
        <f t="shared" si="37"/>
        <v>424</v>
      </c>
      <c r="Z78" s="30">
        <f t="shared" si="37"/>
        <v>260</v>
      </c>
      <c r="AA78" s="30">
        <f t="shared" si="37"/>
        <v>0</v>
      </c>
      <c r="AB78" s="30">
        <f t="shared" si="37"/>
        <v>805</v>
      </c>
      <c r="AC78" s="30">
        <f t="shared" si="37"/>
        <v>630</v>
      </c>
      <c r="AD78" s="30">
        <f t="shared" si="37"/>
        <v>615</v>
      </c>
      <c r="AE78" s="30">
        <f t="shared" si="37"/>
        <v>645</v>
      </c>
      <c r="AF78" s="30">
        <f t="shared" si="37"/>
        <v>548</v>
      </c>
      <c r="AG78" s="30">
        <f t="shared" si="37"/>
        <v>253</v>
      </c>
      <c r="AH78" s="30">
        <f t="shared" si="37"/>
        <v>0</v>
      </c>
      <c r="AI78" s="30">
        <f t="shared" si="37"/>
        <v>0</v>
      </c>
      <c r="AJ78" s="30">
        <f t="shared" si="25"/>
        <v>11507</v>
      </c>
    </row>
    <row r="79" spans="1:38" ht="14.5" customHeight="1">
      <c r="A79" s="2">
        <v>4</v>
      </c>
      <c r="B79" s="2" t="s">
        <v>129</v>
      </c>
      <c r="C79" s="503" t="s">
        <v>126</v>
      </c>
      <c r="D79" s="501"/>
      <c r="E79" s="30">
        <f t="shared" ref="E79:AI79" si="38">E36-D36</f>
        <v>555</v>
      </c>
      <c r="F79" s="30">
        <f t="shared" si="38"/>
        <v>0</v>
      </c>
      <c r="G79" s="30">
        <f t="shared" si="38"/>
        <v>690</v>
      </c>
      <c r="H79" s="30">
        <f t="shared" si="38"/>
        <v>599</v>
      </c>
      <c r="I79" s="30">
        <f t="shared" si="38"/>
        <v>623</v>
      </c>
      <c r="J79" s="30">
        <f t="shared" si="38"/>
        <v>432</v>
      </c>
      <c r="K79" s="30">
        <f t="shared" si="38"/>
        <v>481</v>
      </c>
      <c r="L79" s="30">
        <f t="shared" si="38"/>
        <v>196</v>
      </c>
      <c r="M79" s="30">
        <f t="shared" si="38"/>
        <v>0</v>
      </c>
      <c r="N79" s="30">
        <f t="shared" si="38"/>
        <v>704</v>
      </c>
      <c r="O79" s="30">
        <f t="shared" si="38"/>
        <v>545</v>
      </c>
      <c r="P79" s="30">
        <f t="shared" si="38"/>
        <v>567</v>
      </c>
      <c r="Q79" s="30">
        <f t="shared" si="38"/>
        <v>548</v>
      </c>
      <c r="R79" s="30">
        <f t="shared" si="38"/>
        <v>0</v>
      </c>
      <c r="S79" s="30">
        <f t="shared" si="38"/>
        <v>194</v>
      </c>
      <c r="T79" s="30">
        <f t="shared" si="38"/>
        <v>0</v>
      </c>
      <c r="U79" s="30">
        <f t="shared" si="38"/>
        <v>679</v>
      </c>
      <c r="V79" s="30">
        <f t="shared" si="38"/>
        <v>656</v>
      </c>
      <c r="W79" s="30">
        <f t="shared" si="38"/>
        <v>654</v>
      </c>
      <c r="X79" s="30">
        <f t="shared" si="38"/>
        <v>678</v>
      </c>
      <c r="Y79" s="30">
        <f t="shared" si="38"/>
        <v>583</v>
      </c>
      <c r="Z79" s="30">
        <f t="shared" si="38"/>
        <v>318</v>
      </c>
      <c r="AA79" s="30">
        <f t="shared" si="38"/>
        <v>0</v>
      </c>
      <c r="AB79" s="30">
        <f t="shared" si="38"/>
        <v>676</v>
      </c>
      <c r="AC79" s="30">
        <f t="shared" si="38"/>
        <v>662</v>
      </c>
      <c r="AD79" s="30">
        <f t="shared" si="38"/>
        <v>754</v>
      </c>
      <c r="AE79" s="30">
        <f t="shared" si="38"/>
        <v>659</v>
      </c>
      <c r="AF79" s="30">
        <f t="shared" si="38"/>
        <v>688</v>
      </c>
      <c r="AG79" s="30">
        <f t="shared" si="38"/>
        <v>219</v>
      </c>
      <c r="AH79" s="30">
        <f t="shared" si="38"/>
        <v>0</v>
      </c>
      <c r="AI79" s="30">
        <f t="shared" si="38"/>
        <v>0</v>
      </c>
      <c r="AJ79" s="30">
        <f t="shared" si="25"/>
        <v>13360</v>
      </c>
    </row>
    <row r="80" spans="1:38" ht="15" customHeight="1">
      <c r="A80" s="99"/>
      <c r="B80" s="99"/>
      <c r="C80" s="500" t="s">
        <v>136</v>
      </c>
      <c r="D80" s="501"/>
      <c r="E80" s="23">
        <f t="shared" ref="E80:AJ80" si="39">SUM(E76:E79)</f>
        <v>1798</v>
      </c>
      <c r="F80" s="23">
        <f t="shared" si="39"/>
        <v>0</v>
      </c>
      <c r="G80" s="23">
        <f t="shared" si="39"/>
        <v>2688</v>
      </c>
      <c r="H80" s="23">
        <f t="shared" si="39"/>
        <v>2286</v>
      </c>
      <c r="I80" s="23">
        <f t="shared" si="39"/>
        <v>1976</v>
      </c>
      <c r="J80" s="23">
        <f t="shared" si="39"/>
        <v>1816</v>
      </c>
      <c r="K80" s="23">
        <f t="shared" si="39"/>
        <v>1960</v>
      </c>
      <c r="L80" s="23">
        <f t="shared" si="39"/>
        <v>763</v>
      </c>
      <c r="M80" s="23">
        <f t="shared" si="39"/>
        <v>0</v>
      </c>
      <c r="N80" s="23">
        <f t="shared" si="39"/>
        <v>2851</v>
      </c>
      <c r="O80" s="23">
        <f t="shared" si="39"/>
        <v>2317</v>
      </c>
      <c r="P80" s="23">
        <f t="shared" si="39"/>
        <v>2618</v>
      </c>
      <c r="Q80" s="23">
        <f t="shared" si="39"/>
        <v>2166</v>
      </c>
      <c r="R80" s="23">
        <f t="shared" si="39"/>
        <v>0</v>
      </c>
      <c r="S80" s="23">
        <f t="shared" si="39"/>
        <v>929</v>
      </c>
      <c r="T80" s="23">
        <f t="shared" si="39"/>
        <v>0</v>
      </c>
      <c r="U80" s="23">
        <f t="shared" si="39"/>
        <v>3143</v>
      </c>
      <c r="V80" s="23">
        <f t="shared" si="39"/>
        <v>2815</v>
      </c>
      <c r="W80" s="23">
        <f t="shared" si="39"/>
        <v>2731</v>
      </c>
      <c r="X80" s="23">
        <f t="shared" si="39"/>
        <v>2574</v>
      </c>
      <c r="Y80" s="23">
        <f t="shared" si="39"/>
        <v>2172</v>
      </c>
      <c r="Z80" s="23">
        <f t="shared" si="39"/>
        <v>1322</v>
      </c>
      <c r="AA80" s="23">
        <f t="shared" si="39"/>
        <v>0</v>
      </c>
      <c r="AB80" s="23">
        <f t="shared" si="39"/>
        <v>2997</v>
      </c>
      <c r="AC80" s="23">
        <f t="shared" si="39"/>
        <v>2887</v>
      </c>
      <c r="AD80" s="23">
        <f t="shared" si="39"/>
        <v>2967</v>
      </c>
      <c r="AE80" s="23">
        <f t="shared" si="39"/>
        <v>2726</v>
      </c>
      <c r="AF80" s="23">
        <f t="shared" si="39"/>
        <v>2548</v>
      </c>
      <c r="AG80" s="23">
        <f t="shared" si="39"/>
        <v>995</v>
      </c>
      <c r="AH80" s="23">
        <f t="shared" si="39"/>
        <v>0</v>
      </c>
      <c r="AI80" s="23">
        <f t="shared" si="39"/>
        <v>0</v>
      </c>
      <c r="AJ80" s="24">
        <f t="shared" si="39"/>
        <v>54045</v>
      </c>
      <c r="AK80" s="78"/>
    </row>
  </sheetData>
  <mergeCells count="49">
    <mergeCell ref="E2:AI2"/>
    <mergeCell ref="C58:D58"/>
    <mergeCell ref="B3:B6"/>
    <mergeCell ref="C45:D45"/>
    <mergeCell ref="C74:D74"/>
    <mergeCell ref="A2:D2"/>
    <mergeCell ref="C79:D79"/>
    <mergeCell ref="C73:D73"/>
    <mergeCell ref="C47:D47"/>
    <mergeCell ref="C54:D54"/>
    <mergeCell ref="C63:D63"/>
    <mergeCell ref="C65:D65"/>
    <mergeCell ref="C55:D55"/>
    <mergeCell ref="C78:D78"/>
    <mergeCell ref="C49:D49"/>
    <mergeCell ref="C77:D77"/>
    <mergeCell ref="C68:D68"/>
    <mergeCell ref="A41:A44"/>
    <mergeCell ref="A3:A6"/>
    <mergeCell ref="C75:D75"/>
    <mergeCell ref="AJ3:AJ6"/>
    <mergeCell ref="C50:D50"/>
    <mergeCell ref="B40:D40"/>
    <mergeCell ref="C53:D53"/>
    <mergeCell ref="D3:D6"/>
    <mergeCell ref="C67:D67"/>
    <mergeCell ref="C57:D57"/>
    <mergeCell ref="C3:C6"/>
    <mergeCell ref="C66:D66"/>
    <mergeCell ref="C41:D44"/>
    <mergeCell ref="AJ41:AJ44"/>
    <mergeCell ref="B39:D39"/>
    <mergeCell ref="C69:D69"/>
    <mergeCell ref="C80:D80"/>
    <mergeCell ref="C56:D56"/>
    <mergeCell ref="C59:D59"/>
    <mergeCell ref="A23:AJ23"/>
    <mergeCell ref="A32:AJ32"/>
    <mergeCell ref="C46:D46"/>
    <mergeCell ref="C60:D60"/>
    <mergeCell ref="C51:D51"/>
    <mergeCell ref="C76:D76"/>
    <mergeCell ref="C71:D71"/>
    <mergeCell ref="C61:D61"/>
    <mergeCell ref="C52:D52"/>
    <mergeCell ref="C70:D70"/>
    <mergeCell ref="C48:D48"/>
    <mergeCell ref="B41:B44"/>
    <mergeCell ref="C72:D7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AI80"/>
  <sheetViews>
    <sheetView topLeftCell="J1" zoomScaleNormal="100" workbookViewId="0">
      <selection activeCell="AB29" sqref="AB29"/>
    </sheetView>
  </sheetViews>
  <sheetFormatPr defaultColWidth="18" defaultRowHeight="14.5"/>
  <cols>
    <col min="1" max="1" width="14" style="70" bestFit="1" customWidth="1"/>
    <col min="2" max="2" width="27" style="70" bestFit="1" customWidth="1"/>
    <col min="3" max="3" width="32" style="143" bestFit="1" customWidth="1"/>
    <col min="4" max="4" width="20" style="110" bestFit="1" customWidth="1"/>
    <col min="5" max="5" width="23" style="70" bestFit="1" customWidth="1"/>
    <col min="6" max="7" width="23" customWidth="1"/>
    <col min="8" max="11" width="23" style="70" bestFit="1" customWidth="1"/>
    <col min="12" max="19" width="23" customWidth="1"/>
    <col min="20" max="22" width="23" style="70" bestFit="1" customWidth="1"/>
    <col min="23" max="26" width="23" customWidth="1"/>
    <col min="27" max="28" width="23" style="70" bestFit="1" customWidth="1"/>
    <col min="29" max="29" width="23" customWidth="1"/>
    <col min="30" max="30" width="23" style="70" bestFit="1" customWidth="1"/>
    <col min="31" max="31" width="23" style="70" customWidth="1"/>
    <col min="32" max="32" width="23" style="70" bestFit="1" customWidth="1"/>
    <col min="33" max="33" width="18" style="70" bestFit="1" customWidth="1"/>
    <col min="34" max="34" width="14" style="70" customWidth="1"/>
    <col min="35" max="36" width="18" style="70" customWidth="1"/>
    <col min="37" max="16384" width="18" style="70"/>
  </cols>
  <sheetData>
    <row r="2" spans="1:34" ht="16.5" customHeight="1">
      <c r="A2" s="573"/>
      <c r="B2" s="526"/>
      <c r="C2" s="526"/>
      <c r="D2" s="527"/>
      <c r="E2" s="602" t="s">
        <v>144</v>
      </c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7"/>
      <c r="AG2" s="50"/>
    </row>
    <row r="3" spans="1:34" ht="12.75" customHeight="1">
      <c r="A3" s="510" t="s">
        <v>99</v>
      </c>
      <c r="B3" s="510" t="s">
        <v>100</v>
      </c>
      <c r="C3" s="580" t="s">
        <v>101</v>
      </c>
      <c r="D3" s="572" t="s">
        <v>102</v>
      </c>
      <c r="E3" s="51">
        <v>45689</v>
      </c>
      <c r="F3" s="51">
        <v>45690</v>
      </c>
      <c r="G3" s="51">
        <v>45691</v>
      </c>
      <c r="H3" s="51">
        <v>45692</v>
      </c>
      <c r="I3" s="51">
        <v>45693</v>
      </c>
      <c r="J3" s="51">
        <v>45694</v>
      </c>
      <c r="K3" s="51">
        <v>45695</v>
      </c>
      <c r="L3" s="51">
        <v>45696</v>
      </c>
      <c r="M3" s="51">
        <v>45697</v>
      </c>
      <c r="N3" s="51">
        <v>45698</v>
      </c>
      <c r="O3" s="51">
        <v>45699</v>
      </c>
      <c r="P3" s="51">
        <v>45700</v>
      </c>
      <c r="Q3" s="51">
        <v>45701</v>
      </c>
      <c r="R3" s="51">
        <v>45702</v>
      </c>
      <c r="S3" s="51">
        <v>45703</v>
      </c>
      <c r="T3" s="51">
        <v>45704</v>
      </c>
      <c r="U3" s="51">
        <v>45705</v>
      </c>
      <c r="V3" s="51">
        <v>45706</v>
      </c>
      <c r="W3" s="51">
        <v>45707</v>
      </c>
      <c r="X3" s="51">
        <v>45708</v>
      </c>
      <c r="Y3" s="51">
        <v>45709</v>
      </c>
      <c r="Z3" s="51">
        <v>45710</v>
      </c>
      <c r="AA3" s="51">
        <v>45711</v>
      </c>
      <c r="AB3" s="51">
        <v>45712</v>
      </c>
      <c r="AC3" s="51">
        <v>45713</v>
      </c>
      <c r="AD3" s="51">
        <v>45714</v>
      </c>
      <c r="AE3" s="51">
        <v>45715</v>
      </c>
      <c r="AF3" s="51">
        <v>45716</v>
      </c>
      <c r="AG3" s="514" t="s">
        <v>1</v>
      </c>
    </row>
    <row r="4" spans="1:34" ht="14.5" customHeight="1">
      <c r="A4" s="511"/>
      <c r="B4" s="511"/>
      <c r="C4" s="511"/>
      <c r="D4" s="511"/>
      <c r="E4" s="52" t="s">
        <v>173</v>
      </c>
      <c r="F4" s="52" t="s">
        <v>174</v>
      </c>
      <c r="G4" s="52" t="s">
        <v>175</v>
      </c>
      <c r="H4" s="52" t="s">
        <v>169</v>
      </c>
      <c r="I4" s="52" t="s">
        <v>170</v>
      </c>
      <c r="J4" s="52" t="s">
        <v>171</v>
      </c>
      <c r="K4" s="52" t="s">
        <v>172</v>
      </c>
      <c r="L4" s="52" t="s">
        <v>173</v>
      </c>
      <c r="M4" s="52" t="s">
        <v>174</v>
      </c>
      <c r="N4" s="52" t="s">
        <v>175</v>
      </c>
      <c r="O4" s="52" t="s">
        <v>169</v>
      </c>
      <c r="P4" s="52" t="s">
        <v>170</v>
      </c>
      <c r="Q4" s="52" t="s">
        <v>171</v>
      </c>
      <c r="R4" s="52" t="s">
        <v>172</v>
      </c>
      <c r="S4" s="52" t="s">
        <v>173</v>
      </c>
      <c r="T4" s="52" t="s">
        <v>174</v>
      </c>
      <c r="U4" s="52" t="s">
        <v>175</v>
      </c>
      <c r="V4" s="52" t="s">
        <v>169</v>
      </c>
      <c r="W4" s="52" t="s">
        <v>170</v>
      </c>
      <c r="X4" s="52" t="s">
        <v>171</v>
      </c>
      <c r="Y4" s="52" t="s">
        <v>172</v>
      </c>
      <c r="Z4" s="52" t="s">
        <v>173</v>
      </c>
      <c r="AA4" s="52" t="s">
        <v>174</v>
      </c>
      <c r="AB4" s="52" t="s">
        <v>175</v>
      </c>
      <c r="AC4" s="52" t="s">
        <v>169</v>
      </c>
      <c r="AD4" s="52" t="s">
        <v>170</v>
      </c>
      <c r="AE4" s="52" t="s">
        <v>171</v>
      </c>
      <c r="AF4" s="52" t="s">
        <v>172</v>
      </c>
      <c r="AG4" s="511"/>
    </row>
    <row r="5" spans="1:34" ht="14.5" customHeight="1">
      <c r="A5" s="511"/>
      <c r="B5" s="511"/>
      <c r="C5" s="511"/>
      <c r="D5" s="511"/>
      <c r="E5" s="52" t="s">
        <v>110</v>
      </c>
      <c r="F5" s="52" t="s">
        <v>110</v>
      </c>
      <c r="G5" s="52" t="s">
        <v>110</v>
      </c>
      <c r="H5" s="52" t="s">
        <v>110</v>
      </c>
      <c r="I5" s="52" t="s">
        <v>110</v>
      </c>
      <c r="J5" s="52" t="s">
        <v>110</v>
      </c>
      <c r="K5" s="52" t="s">
        <v>110</v>
      </c>
      <c r="L5" s="52" t="s">
        <v>110</v>
      </c>
      <c r="M5" s="52" t="s">
        <v>110</v>
      </c>
      <c r="N5" s="52" t="s">
        <v>110</v>
      </c>
      <c r="O5" s="52" t="s">
        <v>110</v>
      </c>
      <c r="P5" s="52" t="s">
        <v>110</v>
      </c>
      <c r="Q5" s="52" t="s">
        <v>110</v>
      </c>
      <c r="R5" s="52" t="s">
        <v>110</v>
      </c>
      <c r="S5" s="52" t="s">
        <v>110</v>
      </c>
      <c r="T5" s="52" t="s">
        <v>110</v>
      </c>
      <c r="U5" s="52" t="s">
        <v>110</v>
      </c>
      <c r="V5" s="52" t="s">
        <v>110</v>
      </c>
      <c r="W5" s="52" t="s">
        <v>110</v>
      </c>
      <c r="X5" s="52" t="s">
        <v>110</v>
      </c>
      <c r="Y5" s="52" t="s">
        <v>110</v>
      </c>
      <c r="Z5" s="52" t="s">
        <v>110</v>
      </c>
      <c r="AA5" s="52" t="s">
        <v>110</v>
      </c>
      <c r="AB5" s="52" t="s">
        <v>110</v>
      </c>
      <c r="AC5" s="52" t="s">
        <v>110</v>
      </c>
      <c r="AD5" s="52" t="s">
        <v>110</v>
      </c>
      <c r="AE5" s="52" t="s">
        <v>110</v>
      </c>
      <c r="AF5" s="52" t="s">
        <v>110</v>
      </c>
      <c r="AG5" s="511"/>
    </row>
    <row r="6" spans="1:34" ht="14.5" customHeight="1">
      <c r="A6" s="512"/>
      <c r="B6" s="512"/>
      <c r="C6" s="512"/>
      <c r="D6" s="512"/>
      <c r="E6" s="53">
        <v>0.33333333333333331</v>
      </c>
      <c r="F6" s="53">
        <v>0.33333333333333331</v>
      </c>
      <c r="G6" s="53">
        <v>0.33333333333333331</v>
      </c>
      <c r="H6" s="53">
        <v>0.33333333333333331</v>
      </c>
      <c r="I6" s="53">
        <v>0.33333333333333331</v>
      </c>
      <c r="J6" s="53">
        <v>0.33333333333333331</v>
      </c>
      <c r="K6" s="53">
        <v>0.33333333333333331</v>
      </c>
      <c r="L6" s="53">
        <v>0.33333333333333331</v>
      </c>
      <c r="M6" s="53">
        <v>0.33333333333333331</v>
      </c>
      <c r="N6" s="53">
        <v>0.33333333333333331</v>
      </c>
      <c r="O6" s="53">
        <v>0.33333333333333331</v>
      </c>
      <c r="P6" s="53">
        <v>0.33333333333333331</v>
      </c>
      <c r="Q6" s="53">
        <v>0.33333333333333331</v>
      </c>
      <c r="R6" s="53">
        <v>0.33333333333333331</v>
      </c>
      <c r="S6" s="53">
        <v>0.33333333333333331</v>
      </c>
      <c r="T6" s="53">
        <v>0.33333333333333331</v>
      </c>
      <c r="U6" s="53">
        <v>0.33333333333333331</v>
      </c>
      <c r="V6" s="53">
        <v>0.33333333333333331</v>
      </c>
      <c r="W6" s="53">
        <v>0.33333333333333331</v>
      </c>
      <c r="X6" s="53">
        <v>0.33333333333333331</v>
      </c>
      <c r="Y6" s="53">
        <v>0.33333333333333331</v>
      </c>
      <c r="Z6" s="53">
        <v>0.33333333333333331</v>
      </c>
      <c r="AA6" s="53">
        <v>0.33333333333333331</v>
      </c>
      <c r="AB6" s="53">
        <v>0.33333333333333331</v>
      </c>
      <c r="AC6" s="53">
        <v>0.33333333333333331</v>
      </c>
      <c r="AD6" s="53">
        <v>0.33333333333333331</v>
      </c>
      <c r="AE6" s="53">
        <v>0.33333333333333331</v>
      </c>
      <c r="AF6" s="53">
        <v>0.33333333333333331</v>
      </c>
      <c r="AG6" s="512"/>
    </row>
    <row r="7" spans="1:34" ht="20.149999999999999" customHeight="1">
      <c r="A7" s="48">
        <v>1</v>
      </c>
      <c r="B7" s="48" t="s">
        <v>129</v>
      </c>
      <c r="C7" s="139" t="s">
        <v>111</v>
      </c>
      <c r="D7" s="55">
        <v>84669</v>
      </c>
      <c r="E7" s="4">
        <v>84989</v>
      </c>
      <c r="F7" s="4">
        <v>85202</v>
      </c>
      <c r="G7" s="8">
        <v>85467</v>
      </c>
      <c r="H7" s="5">
        <v>85732</v>
      </c>
      <c r="I7" s="4">
        <v>85997</v>
      </c>
      <c r="J7" s="4">
        <v>86276</v>
      </c>
      <c r="K7" s="4">
        <v>86534</v>
      </c>
      <c r="L7" s="58">
        <v>86749</v>
      </c>
      <c r="M7" s="48">
        <v>86976</v>
      </c>
      <c r="N7" s="59">
        <v>87236</v>
      </c>
      <c r="O7" s="4">
        <v>87505</v>
      </c>
      <c r="P7" s="58">
        <v>87786</v>
      </c>
      <c r="Q7" s="48">
        <v>88057</v>
      </c>
      <c r="R7" s="59">
        <v>88298</v>
      </c>
      <c r="S7" s="4">
        <v>88513</v>
      </c>
      <c r="T7" s="4">
        <v>88724</v>
      </c>
      <c r="U7" s="4">
        <v>88987</v>
      </c>
      <c r="V7" s="125">
        <v>89257</v>
      </c>
      <c r="W7" s="4">
        <v>89533</v>
      </c>
      <c r="X7" s="4">
        <v>89813</v>
      </c>
      <c r="Y7" s="4">
        <v>90075</v>
      </c>
      <c r="Z7" s="4">
        <v>90295</v>
      </c>
      <c r="AA7" s="4">
        <v>90508</v>
      </c>
      <c r="AB7" s="4">
        <v>90759</v>
      </c>
      <c r="AC7" s="4">
        <v>91026</v>
      </c>
      <c r="AD7" s="4">
        <v>91279</v>
      </c>
      <c r="AE7" s="4">
        <v>91547</v>
      </c>
      <c r="AF7" s="4">
        <v>91663</v>
      </c>
      <c r="AG7" s="57">
        <f t="shared" ref="AG7:AG22" si="0">AF7-D7</f>
        <v>6994</v>
      </c>
      <c r="AH7" s="78"/>
    </row>
    <row r="8" spans="1:34" ht="20.149999999999999" customHeight="1">
      <c r="A8" s="8"/>
      <c r="B8" s="8"/>
      <c r="C8" s="140" t="s">
        <v>22</v>
      </c>
      <c r="D8" s="45">
        <v>3872</v>
      </c>
      <c r="E8" s="8">
        <v>3872</v>
      </c>
      <c r="F8" s="8">
        <v>3872</v>
      </c>
      <c r="G8" s="8">
        <v>3872</v>
      </c>
      <c r="H8" s="8">
        <v>3872</v>
      </c>
      <c r="I8" s="8">
        <v>3872</v>
      </c>
      <c r="J8" s="8">
        <v>3872</v>
      </c>
      <c r="K8" s="8">
        <v>3872</v>
      </c>
      <c r="L8" s="8">
        <v>3877</v>
      </c>
      <c r="M8" s="8">
        <v>3877</v>
      </c>
      <c r="N8" s="8">
        <v>3877</v>
      </c>
      <c r="O8" s="8">
        <v>3877</v>
      </c>
      <c r="P8" s="8">
        <v>3877</v>
      </c>
      <c r="Q8" s="8">
        <v>3877</v>
      </c>
      <c r="R8" s="8">
        <v>3877</v>
      </c>
      <c r="S8" s="8">
        <v>3877</v>
      </c>
      <c r="T8" s="8">
        <v>3877</v>
      </c>
      <c r="U8" s="8">
        <v>3877</v>
      </c>
      <c r="V8" s="8">
        <v>3877</v>
      </c>
      <c r="W8" s="8">
        <v>3877</v>
      </c>
      <c r="X8" s="8">
        <v>3877</v>
      </c>
      <c r="Y8" s="8">
        <v>3877</v>
      </c>
      <c r="Z8" s="8">
        <v>3877</v>
      </c>
      <c r="AA8" s="8">
        <v>3877</v>
      </c>
      <c r="AB8" s="8">
        <v>3877</v>
      </c>
      <c r="AC8" s="8">
        <v>3877</v>
      </c>
      <c r="AD8" s="8">
        <v>3877</v>
      </c>
      <c r="AE8" s="8">
        <v>3877</v>
      </c>
      <c r="AF8" s="8">
        <v>3877</v>
      </c>
      <c r="AG8" s="57">
        <f t="shared" si="0"/>
        <v>5</v>
      </c>
      <c r="AH8" s="78"/>
    </row>
    <row r="9" spans="1:34" ht="20.149999999999999" customHeight="1">
      <c r="A9" s="4">
        <v>2</v>
      </c>
      <c r="B9" s="4" t="s">
        <v>129</v>
      </c>
      <c r="C9" s="141" t="s">
        <v>112</v>
      </c>
      <c r="D9" s="3">
        <v>1956</v>
      </c>
      <c r="E9" s="4">
        <v>1956</v>
      </c>
      <c r="F9" s="4">
        <v>1956</v>
      </c>
      <c r="G9" s="4">
        <v>1956</v>
      </c>
      <c r="H9" s="4">
        <v>1956</v>
      </c>
      <c r="I9" s="4">
        <v>1956</v>
      </c>
      <c r="J9" s="4">
        <v>1956</v>
      </c>
      <c r="K9" s="4">
        <v>1956</v>
      </c>
      <c r="L9" s="4">
        <v>1956</v>
      </c>
      <c r="M9" s="4">
        <v>1956</v>
      </c>
      <c r="N9" s="4">
        <v>1956</v>
      </c>
      <c r="O9" s="4">
        <v>1956</v>
      </c>
      <c r="P9" s="4">
        <v>1956</v>
      </c>
      <c r="Q9" s="4">
        <v>1956</v>
      </c>
      <c r="R9" s="4">
        <v>1956</v>
      </c>
      <c r="S9" s="4">
        <v>1956</v>
      </c>
      <c r="T9" s="4">
        <v>1956</v>
      </c>
      <c r="U9" s="4">
        <v>1956</v>
      </c>
      <c r="V9" s="4">
        <v>1956</v>
      </c>
      <c r="W9" s="4">
        <v>1956</v>
      </c>
      <c r="X9" s="4">
        <v>1956</v>
      </c>
      <c r="Y9" s="4">
        <v>1956</v>
      </c>
      <c r="Z9" s="4">
        <v>1956</v>
      </c>
      <c r="AA9" s="4">
        <v>1956</v>
      </c>
      <c r="AB9" s="4">
        <v>1956</v>
      </c>
      <c r="AC9" s="4">
        <v>1956</v>
      </c>
      <c r="AD9" s="4">
        <v>1956</v>
      </c>
      <c r="AE9" s="4">
        <v>1956</v>
      </c>
      <c r="AF9" s="4">
        <v>1956</v>
      </c>
      <c r="AG9" s="57">
        <f t="shared" si="0"/>
        <v>0</v>
      </c>
    </row>
    <row r="10" spans="1:34" ht="20.149999999999999" customHeight="1">
      <c r="A10" s="4"/>
      <c r="B10" s="4"/>
      <c r="C10" s="140" t="s">
        <v>22</v>
      </c>
      <c r="D10" s="3">
        <v>28.6</v>
      </c>
      <c r="E10" s="4">
        <v>28.6</v>
      </c>
      <c r="F10" s="4">
        <v>28.6</v>
      </c>
      <c r="G10" s="4">
        <v>28.6</v>
      </c>
      <c r="H10" s="4">
        <v>28.6</v>
      </c>
      <c r="I10" s="4">
        <v>28.6</v>
      </c>
      <c r="J10" s="4">
        <v>28.6</v>
      </c>
      <c r="K10" s="4">
        <v>28.6</v>
      </c>
      <c r="L10" s="4">
        <v>28.6</v>
      </c>
      <c r="M10" s="4">
        <v>28.6</v>
      </c>
      <c r="N10" s="4">
        <v>28.6</v>
      </c>
      <c r="O10" s="4">
        <v>28.6</v>
      </c>
      <c r="P10" s="4">
        <v>28.6</v>
      </c>
      <c r="Q10" s="4">
        <v>28.6</v>
      </c>
      <c r="R10" s="4">
        <v>28.6</v>
      </c>
      <c r="S10" s="4">
        <v>28.6</v>
      </c>
      <c r="T10" s="4">
        <v>28.6</v>
      </c>
      <c r="U10" s="4">
        <v>28.6</v>
      </c>
      <c r="V10" s="4">
        <v>28.6</v>
      </c>
      <c r="W10" s="4">
        <v>28.6</v>
      </c>
      <c r="X10" s="4">
        <v>28.6</v>
      </c>
      <c r="Y10" s="4">
        <v>28.6</v>
      </c>
      <c r="Z10" s="4">
        <v>28.6</v>
      </c>
      <c r="AA10" s="4">
        <v>28.6</v>
      </c>
      <c r="AB10" s="4">
        <v>28.6</v>
      </c>
      <c r="AC10" s="4">
        <v>28.6</v>
      </c>
      <c r="AD10" s="4">
        <v>28.6</v>
      </c>
      <c r="AE10" s="4">
        <v>28.6</v>
      </c>
      <c r="AF10" s="4">
        <v>28.6</v>
      </c>
      <c r="AG10" s="57">
        <f t="shared" si="0"/>
        <v>0</v>
      </c>
    </row>
    <row r="11" spans="1:34" ht="20.149999999999999" customHeight="1">
      <c r="A11" s="4">
        <v>3</v>
      </c>
      <c r="B11" s="4" t="s">
        <v>129</v>
      </c>
      <c r="C11" s="141" t="s">
        <v>113</v>
      </c>
      <c r="D11" s="45">
        <v>124715</v>
      </c>
      <c r="E11" s="4">
        <v>125147</v>
      </c>
      <c r="F11" s="4">
        <v>125429</v>
      </c>
      <c r="G11" s="4">
        <v>125816</v>
      </c>
      <c r="H11" s="4">
        <v>126203</v>
      </c>
      <c r="I11" s="4">
        <v>126584</v>
      </c>
      <c r="J11" s="4">
        <v>126992</v>
      </c>
      <c r="K11" s="4">
        <v>127364</v>
      </c>
      <c r="L11" s="4">
        <v>127650</v>
      </c>
      <c r="M11" s="4">
        <v>127953</v>
      </c>
      <c r="N11" s="4">
        <v>128334</v>
      </c>
      <c r="O11" s="4">
        <v>128723</v>
      </c>
      <c r="P11" s="4">
        <v>129136</v>
      </c>
      <c r="Q11" s="4">
        <v>129533</v>
      </c>
      <c r="R11" s="4">
        <v>129874</v>
      </c>
      <c r="S11" s="4">
        <v>130161</v>
      </c>
      <c r="T11" s="4">
        <v>130437</v>
      </c>
      <c r="U11" s="4">
        <v>130816</v>
      </c>
      <c r="V11" s="4">
        <v>131209</v>
      </c>
      <c r="W11" s="4">
        <v>131615</v>
      </c>
      <c r="X11" s="4">
        <v>132030</v>
      </c>
      <c r="Y11" s="4">
        <v>132410</v>
      </c>
      <c r="Z11" s="4">
        <v>132706</v>
      </c>
      <c r="AA11" s="8">
        <v>132983</v>
      </c>
      <c r="AB11" s="8">
        <v>133344</v>
      </c>
      <c r="AC11" s="4">
        <v>133729</v>
      </c>
      <c r="AD11" s="4">
        <v>134092</v>
      </c>
      <c r="AE11" s="8">
        <v>134485</v>
      </c>
      <c r="AF11" s="8">
        <v>134648</v>
      </c>
      <c r="AG11" s="57">
        <f t="shared" si="0"/>
        <v>9933</v>
      </c>
    </row>
    <row r="12" spans="1:34" ht="20.149999999999999" customHeight="1">
      <c r="A12" s="4"/>
      <c r="B12" s="4"/>
      <c r="C12" s="140" t="s">
        <v>22</v>
      </c>
      <c r="D12" s="3">
        <v>5799</v>
      </c>
      <c r="E12" s="4">
        <v>5799</v>
      </c>
      <c r="F12" s="4">
        <v>5799</v>
      </c>
      <c r="G12" s="4">
        <v>5799</v>
      </c>
      <c r="H12" s="4">
        <v>5799</v>
      </c>
      <c r="I12" s="4">
        <v>5799</v>
      </c>
      <c r="J12" s="4">
        <v>5799</v>
      </c>
      <c r="K12" s="4">
        <v>5799</v>
      </c>
      <c r="L12" s="4">
        <v>5807</v>
      </c>
      <c r="M12" s="4">
        <v>5807</v>
      </c>
      <c r="N12" s="4">
        <v>5807</v>
      </c>
      <c r="O12" s="4">
        <v>5807</v>
      </c>
      <c r="P12" s="4">
        <v>5807</v>
      </c>
      <c r="Q12" s="4">
        <v>5807</v>
      </c>
      <c r="R12" s="4">
        <v>5807</v>
      </c>
      <c r="S12" s="4">
        <v>5807</v>
      </c>
      <c r="T12" s="4">
        <v>5807</v>
      </c>
      <c r="U12" s="4">
        <v>5807</v>
      </c>
      <c r="V12" s="4">
        <v>5807</v>
      </c>
      <c r="W12" s="4">
        <v>5807</v>
      </c>
      <c r="X12" s="4">
        <v>5807</v>
      </c>
      <c r="Y12" s="4">
        <v>5807</v>
      </c>
      <c r="Z12" s="4">
        <v>5807</v>
      </c>
      <c r="AA12" s="4">
        <v>5807</v>
      </c>
      <c r="AB12" s="4">
        <v>5807</v>
      </c>
      <c r="AC12" s="4">
        <v>5807</v>
      </c>
      <c r="AD12" s="4">
        <v>5807</v>
      </c>
      <c r="AE12" s="4">
        <v>5807</v>
      </c>
      <c r="AF12" s="4">
        <v>5807</v>
      </c>
      <c r="AG12" s="57">
        <f t="shared" si="0"/>
        <v>8</v>
      </c>
    </row>
    <row r="13" spans="1:34" ht="20.149999999999999" customHeight="1">
      <c r="A13" s="4">
        <v>4</v>
      </c>
      <c r="B13" s="4" t="s">
        <v>129</v>
      </c>
      <c r="C13" s="141" t="s">
        <v>114</v>
      </c>
      <c r="D13" s="3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57">
        <f t="shared" si="0"/>
        <v>0</v>
      </c>
    </row>
    <row r="14" spans="1:34" ht="20.149999999999999" customHeight="1">
      <c r="A14" s="4"/>
      <c r="B14" s="4"/>
      <c r="C14" s="140" t="s">
        <v>22</v>
      </c>
      <c r="D14" s="3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57">
        <f t="shared" si="0"/>
        <v>0</v>
      </c>
    </row>
    <row r="15" spans="1:34" ht="20.149999999999999" customHeight="1">
      <c r="A15" s="4">
        <v>5</v>
      </c>
      <c r="B15" s="4" t="s">
        <v>129</v>
      </c>
      <c r="C15" s="141" t="s">
        <v>115</v>
      </c>
      <c r="D15" s="45">
        <v>56491</v>
      </c>
      <c r="E15" s="4">
        <v>56749</v>
      </c>
      <c r="F15" s="4">
        <v>56895</v>
      </c>
      <c r="G15" s="4">
        <v>57149</v>
      </c>
      <c r="H15" s="4">
        <v>57409</v>
      </c>
      <c r="I15" s="4">
        <v>57657</v>
      </c>
      <c r="J15" s="4">
        <v>57919</v>
      </c>
      <c r="K15" s="4">
        <v>58155</v>
      </c>
      <c r="L15" s="4">
        <v>58316</v>
      </c>
      <c r="M15" s="4">
        <v>58472</v>
      </c>
      <c r="N15" s="4">
        <v>58724</v>
      </c>
      <c r="O15" s="4">
        <v>58988</v>
      </c>
      <c r="P15" s="4">
        <v>59268</v>
      </c>
      <c r="Q15" s="4">
        <v>59544</v>
      </c>
      <c r="R15" s="4">
        <v>59786</v>
      </c>
      <c r="S15" s="4">
        <v>59955</v>
      </c>
      <c r="T15" s="4">
        <v>60100</v>
      </c>
      <c r="U15" s="33">
        <v>60355</v>
      </c>
      <c r="V15" s="4">
        <v>60610</v>
      </c>
      <c r="W15" s="4">
        <v>60888</v>
      </c>
      <c r="X15" s="4">
        <v>61162</v>
      </c>
      <c r="Y15" s="4">
        <v>61413</v>
      </c>
      <c r="Z15" s="4">
        <v>61547</v>
      </c>
      <c r="AA15" s="8">
        <v>61694</v>
      </c>
      <c r="AB15" s="8">
        <v>61931</v>
      </c>
      <c r="AC15" s="4">
        <v>62190</v>
      </c>
      <c r="AD15" s="4">
        <v>62419</v>
      </c>
      <c r="AE15" s="8">
        <v>62674</v>
      </c>
      <c r="AF15" s="8">
        <v>62776</v>
      </c>
      <c r="AG15" s="57">
        <f t="shared" si="0"/>
        <v>6285</v>
      </c>
    </row>
    <row r="16" spans="1:34" ht="20.149999999999999" customHeight="1">
      <c r="A16" s="4"/>
      <c r="B16" s="4"/>
      <c r="C16" s="140" t="s">
        <v>22</v>
      </c>
      <c r="D16" s="3">
        <v>2944</v>
      </c>
      <c r="E16" s="4">
        <v>2944</v>
      </c>
      <c r="F16" s="4">
        <v>2944</v>
      </c>
      <c r="G16" s="4">
        <v>2944</v>
      </c>
      <c r="H16" s="4">
        <v>2944</v>
      </c>
      <c r="I16" s="4">
        <v>2944</v>
      </c>
      <c r="J16" s="4">
        <v>2944</v>
      </c>
      <c r="K16" s="4">
        <v>2944</v>
      </c>
      <c r="L16" s="60">
        <v>2950</v>
      </c>
      <c r="M16" s="60">
        <v>2950</v>
      </c>
      <c r="N16" s="60">
        <v>2950</v>
      </c>
      <c r="O16" s="60">
        <v>2950</v>
      </c>
      <c r="P16" s="60">
        <v>2950</v>
      </c>
      <c r="Q16" s="60">
        <v>2950</v>
      </c>
      <c r="R16" s="60">
        <v>2950</v>
      </c>
      <c r="S16" s="60">
        <v>2950</v>
      </c>
      <c r="T16" s="60">
        <v>2950</v>
      </c>
      <c r="U16" s="60">
        <v>2950</v>
      </c>
      <c r="V16" s="60">
        <v>2950</v>
      </c>
      <c r="W16" s="60">
        <v>2950</v>
      </c>
      <c r="X16" s="60">
        <v>2950</v>
      </c>
      <c r="Y16" s="60">
        <v>2950</v>
      </c>
      <c r="Z16" s="4">
        <v>2950</v>
      </c>
      <c r="AA16" s="4">
        <v>2950</v>
      </c>
      <c r="AB16" s="4">
        <v>2950</v>
      </c>
      <c r="AC16" s="4">
        <v>2950</v>
      </c>
      <c r="AD16" s="4">
        <v>2950</v>
      </c>
      <c r="AE16" s="4">
        <v>2950</v>
      </c>
      <c r="AF16" s="4">
        <v>2950</v>
      </c>
      <c r="AG16" s="57">
        <f t="shared" si="0"/>
        <v>6</v>
      </c>
    </row>
    <row r="17" spans="1:33" ht="20.149999999999999" customHeight="1">
      <c r="A17" s="4">
        <v>6</v>
      </c>
      <c r="B17" s="4" t="s">
        <v>129</v>
      </c>
      <c r="C17" s="141" t="s">
        <v>142</v>
      </c>
      <c r="D17" s="45">
        <v>70440</v>
      </c>
      <c r="E17" s="131">
        <v>70653</v>
      </c>
      <c r="F17" s="4">
        <v>70766</v>
      </c>
      <c r="G17" s="4">
        <v>71014</v>
      </c>
      <c r="H17" s="4">
        <v>71281</v>
      </c>
      <c r="I17" s="4">
        <v>71527</v>
      </c>
      <c r="J17" s="4">
        <v>71798</v>
      </c>
      <c r="K17" s="58">
        <v>72025</v>
      </c>
      <c r="L17" s="127">
        <v>72158</v>
      </c>
      <c r="M17" s="132">
        <v>72255</v>
      </c>
      <c r="N17" s="132">
        <v>72507</v>
      </c>
      <c r="O17" s="132">
        <v>72763</v>
      </c>
      <c r="P17" s="132">
        <v>73042</v>
      </c>
      <c r="Q17" s="133">
        <v>73303</v>
      </c>
      <c r="R17" s="132">
        <v>73550</v>
      </c>
      <c r="S17" s="59">
        <v>73692</v>
      </c>
      <c r="T17" s="4">
        <v>73807</v>
      </c>
      <c r="U17" s="4">
        <v>74048</v>
      </c>
      <c r="V17" s="4">
        <v>74319</v>
      </c>
      <c r="W17" s="4">
        <v>74605</v>
      </c>
      <c r="X17" s="4">
        <v>74896</v>
      </c>
      <c r="Y17" s="4">
        <v>75153</v>
      </c>
      <c r="Z17" s="4">
        <v>75268</v>
      </c>
      <c r="AA17" s="4">
        <v>75383</v>
      </c>
      <c r="AB17" s="8">
        <v>75626</v>
      </c>
      <c r="AC17" s="4">
        <v>75871</v>
      </c>
      <c r="AD17" s="4">
        <v>76113</v>
      </c>
      <c r="AE17" s="8">
        <v>76357</v>
      </c>
      <c r="AF17" s="8">
        <v>76460</v>
      </c>
      <c r="AG17" s="57">
        <f t="shared" si="0"/>
        <v>6020</v>
      </c>
    </row>
    <row r="18" spans="1:33" ht="20.149999999999999" customHeight="1">
      <c r="A18" s="4"/>
      <c r="B18" s="4"/>
      <c r="C18" s="140" t="s">
        <v>22</v>
      </c>
      <c r="D18" s="3">
        <v>3848</v>
      </c>
      <c r="E18" s="4">
        <v>3848</v>
      </c>
      <c r="F18" s="4">
        <v>3848</v>
      </c>
      <c r="G18" s="4">
        <v>3848</v>
      </c>
      <c r="H18" s="4">
        <v>3848</v>
      </c>
      <c r="I18" s="4">
        <v>3848</v>
      </c>
      <c r="J18" s="4">
        <v>3848</v>
      </c>
      <c r="K18" s="4">
        <v>3848</v>
      </c>
      <c r="L18" s="8">
        <v>3854</v>
      </c>
      <c r="M18" s="8">
        <v>3854</v>
      </c>
      <c r="N18" s="8">
        <v>3854</v>
      </c>
      <c r="O18" s="8">
        <v>3854</v>
      </c>
      <c r="P18" s="8">
        <v>3854</v>
      </c>
      <c r="Q18" s="8">
        <v>3854</v>
      </c>
      <c r="R18" s="8">
        <v>3854</v>
      </c>
      <c r="S18" s="129">
        <v>3854</v>
      </c>
      <c r="T18" s="8">
        <v>3854</v>
      </c>
      <c r="U18" s="8">
        <v>3854</v>
      </c>
      <c r="V18" s="8">
        <v>3854</v>
      </c>
      <c r="W18" s="8">
        <v>3854</v>
      </c>
      <c r="X18" s="8">
        <v>3854</v>
      </c>
      <c r="Y18" s="8">
        <v>3854</v>
      </c>
      <c r="Z18" s="4">
        <v>3854</v>
      </c>
      <c r="AA18" s="4">
        <v>3854</v>
      </c>
      <c r="AB18" s="4">
        <v>3854</v>
      </c>
      <c r="AC18" s="4">
        <v>3854</v>
      </c>
      <c r="AD18" s="4">
        <v>3854</v>
      </c>
      <c r="AE18" s="4">
        <v>3854</v>
      </c>
      <c r="AF18" s="4">
        <v>3854</v>
      </c>
      <c r="AG18" s="57">
        <f t="shared" si="0"/>
        <v>6</v>
      </c>
    </row>
    <row r="19" spans="1:33" ht="20.149999999999999" customHeight="1">
      <c r="A19" s="4">
        <v>7</v>
      </c>
      <c r="B19" s="4" t="s">
        <v>129</v>
      </c>
      <c r="C19" s="141" t="s">
        <v>117</v>
      </c>
      <c r="D19" s="45">
        <v>237024</v>
      </c>
      <c r="E19" s="4">
        <v>237024</v>
      </c>
      <c r="F19" s="4">
        <v>237949</v>
      </c>
      <c r="G19" s="4">
        <v>238433</v>
      </c>
      <c r="H19" s="4">
        <v>239860</v>
      </c>
      <c r="I19" s="4">
        <v>240581</v>
      </c>
      <c r="J19" s="4">
        <v>241338</v>
      </c>
      <c r="K19" s="4">
        <v>242062</v>
      </c>
      <c r="L19" s="4">
        <v>242640</v>
      </c>
      <c r="M19" s="4">
        <v>243103</v>
      </c>
      <c r="N19" s="5">
        <v>243859</v>
      </c>
      <c r="O19" s="4">
        <v>244557</v>
      </c>
      <c r="P19" s="4">
        <v>245291</v>
      </c>
      <c r="Q19" s="4">
        <v>246003</v>
      </c>
      <c r="R19" s="8">
        <v>246679</v>
      </c>
      <c r="S19" s="5">
        <v>247284</v>
      </c>
      <c r="T19" s="4">
        <v>247712</v>
      </c>
      <c r="U19" s="4">
        <v>248430</v>
      </c>
      <c r="V19" s="4">
        <v>249169</v>
      </c>
      <c r="W19" s="4">
        <v>249960</v>
      </c>
      <c r="X19" s="33">
        <v>250705</v>
      </c>
      <c r="Y19" s="4">
        <v>251513</v>
      </c>
      <c r="Z19" s="4">
        <v>252110</v>
      </c>
      <c r="AA19" s="8">
        <v>252645</v>
      </c>
      <c r="AB19" s="8">
        <v>253335</v>
      </c>
      <c r="AC19" s="4">
        <v>254084</v>
      </c>
      <c r="AD19" s="4">
        <v>254797</v>
      </c>
      <c r="AE19" s="8">
        <v>255530</v>
      </c>
      <c r="AF19" s="8">
        <v>255821</v>
      </c>
      <c r="AG19" s="57">
        <f t="shared" si="0"/>
        <v>18797</v>
      </c>
    </row>
    <row r="20" spans="1:33" ht="20.149999999999999" customHeight="1">
      <c r="A20" s="4"/>
      <c r="B20" s="4"/>
      <c r="C20" s="140" t="s">
        <v>22</v>
      </c>
      <c r="D20" s="3">
        <v>10460</v>
      </c>
      <c r="E20" s="4">
        <v>10460</v>
      </c>
      <c r="F20" s="4">
        <v>10460</v>
      </c>
      <c r="G20" s="4">
        <v>10460</v>
      </c>
      <c r="H20" s="4">
        <v>10460</v>
      </c>
      <c r="I20" s="4">
        <v>10460</v>
      </c>
      <c r="J20" s="4">
        <v>10460</v>
      </c>
      <c r="K20" s="4">
        <v>10460</v>
      </c>
      <c r="L20" s="4">
        <v>10477</v>
      </c>
      <c r="M20" s="4">
        <v>10477</v>
      </c>
      <c r="N20" s="4">
        <v>10477</v>
      </c>
      <c r="O20" s="4">
        <v>10477</v>
      </c>
      <c r="P20" s="4">
        <v>10477</v>
      </c>
      <c r="Q20" s="4">
        <v>10477</v>
      </c>
      <c r="R20" s="4">
        <v>10477</v>
      </c>
      <c r="S20" s="4">
        <v>10477</v>
      </c>
      <c r="T20" s="4">
        <v>10477</v>
      </c>
      <c r="U20" s="4">
        <v>10477</v>
      </c>
      <c r="V20" s="4">
        <v>10477</v>
      </c>
      <c r="W20" s="4">
        <v>10477</v>
      </c>
      <c r="X20" s="4">
        <v>10477</v>
      </c>
      <c r="Y20" s="4">
        <v>10477</v>
      </c>
      <c r="Z20" s="4">
        <v>10477</v>
      </c>
      <c r="AA20" s="4">
        <v>10477</v>
      </c>
      <c r="AB20" s="4">
        <v>10477</v>
      </c>
      <c r="AC20" s="4">
        <v>10477</v>
      </c>
      <c r="AD20" s="4">
        <v>10477</v>
      </c>
      <c r="AE20" s="4">
        <v>10477</v>
      </c>
      <c r="AF20" s="4">
        <v>10477</v>
      </c>
      <c r="AG20" s="57">
        <f t="shared" si="0"/>
        <v>17</v>
      </c>
    </row>
    <row r="21" spans="1:33" ht="20.149999999999999" customHeight="1">
      <c r="A21" s="4">
        <v>8</v>
      </c>
      <c r="B21" s="4" t="s">
        <v>129</v>
      </c>
      <c r="C21" s="141" t="s">
        <v>118</v>
      </c>
      <c r="D21" s="45">
        <v>48163</v>
      </c>
      <c r="E21" s="4">
        <v>48368</v>
      </c>
      <c r="F21" s="4">
        <v>48484</v>
      </c>
      <c r="G21" s="4">
        <v>48617</v>
      </c>
      <c r="H21" s="4">
        <v>48710</v>
      </c>
      <c r="I21" s="4">
        <v>48855</v>
      </c>
      <c r="J21" s="4">
        <v>48940</v>
      </c>
      <c r="K21" s="4">
        <v>49033</v>
      </c>
      <c r="L21" s="4">
        <v>49121</v>
      </c>
      <c r="M21" s="4">
        <v>49255</v>
      </c>
      <c r="N21" s="4">
        <v>49360</v>
      </c>
      <c r="O21" s="4">
        <v>49494</v>
      </c>
      <c r="P21" s="4">
        <v>49588</v>
      </c>
      <c r="Q21" s="4">
        <v>49677</v>
      </c>
      <c r="R21" s="4">
        <v>49748</v>
      </c>
      <c r="S21" s="4">
        <v>49820</v>
      </c>
      <c r="T21" s="4">
        <v>49908</v>
      </c>
      <c r="U21" s="4">
        <v>50013</v>
      </c>
      <c r="V21" s="4">
        <v>50119</v>
      </c>
      <c r="W21" s="4">
        <v>50267</v>
      </c>
      <c r="X21" s="4">
        <v>50414</v>
      </c>
      <c r="Y21" s="4">
        <v>50571</v>
      </c>
      <c r="Z21" s="4">
        <v>50689</v>
      </c>
      <c r="AA21" s="8">
        <v>50836</v>
      </c>
      <c r="AB21" s="8">
        <v>50972</v>
      </c>
      <c r="AC21" s="4">
        <v>51137</v>
      </c>
      <c r="AD21" s="4">
        <v>51270</v>
      </c>
      <c r="AE21" s="8">
        <v>51434</v>
      </c>
      <c r="AF21" s="8">
        <v>51469</v>
      </c>
      <c r="AG21" s="57">
        <f t="shared" si="0"/>
        <v>3306</v>
      </c>
    </row>
    <row r="22" spans="1:33" ht="20.149999999999999" customHeight="1">
      <c r="A22" s="4"/>
      <c r="B22" s="4"/>
      <c r="C22" s="140" t="s">
        <v>22</v>
      </c>
      <c r="D22" s="3">
        <v>2007</v>
      </c>
      <c r="E22" s="4">
        <v>2007</v>
      </c>
      <c r="F22" s="4">
        <v>2007</v>
      </c>
      <c r="G22" s="4">
        <v>2007</v>
      </c>
      <c r="H22" s="4">
        <v>2007</v>
      </c>
      <c r="I22" s="4">
        <v>2007</v>
      </c>
      <c r="J22" s="4">
        <v>2007</v>
      </c>
      <c r="K22" s="4">
        <v>2007</v>
      </c>
      <c r="L22" s="4">
        <v>2009</v>
      </c>
      <c r="M22" s="4">
        <v>2009</v>
      </c>
      <c r="N22" s="4">
        <v>2009</v>
      </c>
      <c r="O22" s="4">
        <v>2009</v>
      </c>
      <c r="P22" s="4">
        <v>2009</v>
      </c>
      <c r="Q22" s="4">
        <v>2009</v>
      </c>
      <c r="R22" s="4">
        <v>2009</v>
      </c>
      <c r="S22" s="4">
        <v>2009</v>
      </c>
      <c r="T22" s="4">
        <v>2009</v>
      </c>
      <c r="U22" s="4">
        <v>2009</v>
      </c>
      <c r="V22" s="4">
        <v>2009</v>
      </c>
      <c r="W22" s="4">
        <v>2009</v>
      </c>
      <c r="X22" s="4">
        <v>2009</v>
      </c>
      <c r="Y22" s="4">
        <v>2009</v>
      </c>
      <c r="Z22" s="4">
        <v>2009</v>
      </c>
      <c r="AA22" s="4">
        <v>2009</v>
      </c>
      <c r="AB22" s="4">
        <v>2009</v>
      </c>
      <c r="AC22" s="4">
        <v>2009</v>
      </c>
      <c r="AD22" s="4">
        <v>2009</v>
      </c>
      <c r="AE22" s="4">
        <v>2009</v>
      </c>
      <c r="AF22" s="4">
        <v>2009</v>
      </c>
      <c r="AG22" s="57">
        <f t="shared" si="0"/>
        <v>2</v>
      </c>
    </row>
    <row r="23" spans="1:33" ht="14.5" customHeight="1">
      <c r="A23" s="503"/>
      <c r="B23" s="504"/>
      <c r="C23" s="504"/>
      <c r="D23" s="504"/>
      <c r="E23" s="504"/>
      <c r="F23" s="504"/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4"/>
      <c r="AA23" s="504"/>
      <c r="AB23" s="504"/>
      <c r="AC23" s="504"/>
      <c r="AD23" s="504"/>
      <c r="AE23" s="504"/>
      <c r="AF23" s="504"/>
      <c r="AG23" s="501"/>
    </row>
    <row r="24" spans="1:33" ht="14.5" customHeight="1">
      <c r="A24" s="4">
        <v>1</v>
      </c>
      <c r="B24" s="4" t="s">
        <v>129</v>
      </c>
      <c r="C24" s="141" t="s">
        <v>119</v>
      </c>
      <c r="D24" s="45">
        <v>22927</v>
      </c>
      <c r="E24" s="4">
        <v>22955</v>
      </c>
      <c r="F24" s="4">
        <v>22955</v>
      </c>
      <c r="G24" s="4">
        <v>22993</v>
      </c>
      <c r="H24" s="4">
        <v>23029</v>
      </c>
      <c r="I24" s="4">
        <v>23065</v>
      </c>
      <c r="J24" s="4">
        <v>23103</v>
      </c>
      <c r="K24" s="4">
        <v>23141</v>
      </c>
      <c r="L24" s="4">
        <v>23180</v>
      </c>
      <c r="M24" s="4">
        <v>23180</v>
      </c>
      <c r="N24" s="4">
        <v>23215</v>
      </c>
      <c r="O24" s="4">
        <v>23253</v>
      </c>
      <c r="P24" s="4">
        <v>23309</v>
      </c>
      <c r="Q24" s="4">
        <v>23386</v>
      </c>
      <c r="R24" s="4">
        <v>23447</v>
      </c>
      <c r="S24" s="4">
        <v>23466</v>
      </c>
      <c r="T24" s="4">
        <v>23466</v>
      </c>
      <c r="U24" s="4">
        <v>23515</v>
      </c>
      <c r="V24" s="4">
        <v>23577</v>
      </c>
      <c r="W24" s="4">
        <v>23640</v>
      </c>
      <c r="X24" s="4">
        <v>23700</v>
      </c>
      <c r="Y24" s="4">
        <v>23763</v>
      </c>
      <c r="Z24" s="4">
        <v>23784</v>
      </c>
      <c r="AA24" s="4">
        <v>23784</v>
      </c>
      <c r="AB24" s="4">
        <v>23841</v>
      </c>
      <c r="AC24" s="4">
        <v>23906</v>
      </c>
      <c r="AD24" s="4">
        <v>23964</v>
      </c>
      <c r="AE24" s="4">
        <v>24011</v>
      </c>
      <c r="AF24" s="4">
        <v>24020</v>
      </c>
      <c r="AG24" s="7">
        <f t="shared" ref="AG24:AG31" si="1">AF24-D24</f>
        <v>1093</v>
      </c>
    </row>
    <row r="25" spans="1:33" ht="14.5" customHeight="1">
      <c r="A25" s="4"/>
      <c r="B25" s="4"/>
      <c r="C25" s="142" t="s">
        <v>22</v>
      </c>
      <c r="D25" s="3">
        <v>1819</v>
      </c>
      <c r="E25" s="4">
        <v>1819</v>
      </c>
      <c r="F25" s="4">
        <v>1819</v>
      </c>
      <c r="G25" s="4">
        <v>1819</v>
      </c>
      <c r="H25" s="4">
        <v>1819</v>
      </c>
      <c r="I25" s="4">
        <v>1819</v>
      </c>
      <c r="J25" s="4">
        <v>1819</v>
      </c>
      <c r="K25" s="4">
        <v>1819</v>
      </c>
      <c r="L25" s="4">
        <v>1821</v>
      </c>
      <c r="M25" s="4">
        <v>1821</v>
      </c>
      <c r="N25" s="4">
        <v>1821</v>
      </c>
      <c r="O25" s="4">
        <v>1821</v>
      </c>
      <c r="P25" s="4">
        <v>1821</v>
      </c>
      <c r="Q25" s="4">
        <v>1821</v>
      </c>
      <c r="R25" s="4">
        <v>1821</v>
      </c>
      <c r="S25" s="4">
        <v>1821</v>
      </c>
      <c r="T25" s="4">
        <v>1821</v>
      </c>
      <c r="U25" s="4">
        <v>1821</v>
      </c>
      <c r="V25" s="4">
        <v>1821</v>
      </c>
      <c r="W25" s="4">
        <v>1821</v>
      </c>
      <c r="X25" s="4">
        <v>1821</v>
      </c>
      <c r="Y25" s="4">
        <v>1821</v>
      </c>
      <c r="Z25" s="4">
        <v>1821</v>
      </c>
      <c r="AA25" s="4">
        <v>1821</v>
      </c>
      <c r="AB25" s="4">
        <v>1821</v>
      </c>
      <c r="AC25" s="4">
        <v>1821</v>
      </c>
      <c r="AD25" s="4">
        <v>1821</v>
      </c>
      <c r="AE25" s="4">
        <v>1821</v>
      </c>
      <c r="AF25" s="4">
        <v>1821</v>
      </c>
      <c r="AG25" s="7">
        <f t="shared" si="1"/>
        <v>2</v>
      </c>
    </row>
    <row r="26" spans="1:33" ht="14.5" customHeight="1">
      <c r="A26" s="4">
        <v>2</v>
      </c>
      <c r="B26" s="4" t="s">
        <v>129</v>
      </c>
      <c r="C26" s="141" t="s">
        <v>120</v>
      </c>
      <c r="D26" s="45">
        <v>22592</v>
      </c>
      <c r="E26" s="4">
        <v>22652</v>
      </c>
      <c r="F26" s="4">
        <v>22652</v>
      </c>
      <c r="G26" s="4">
        <v>22724</v>
      </c>
      <c r="H26" s="4">
        <v>22769</v>
      </c>
      <c r="I26" s="4">
        <v>22813</v>
      </c>
      <c r="J26" s="4">
        <v>22869</v>
      </c>
      <c r="K26" s="4">
        <v>22913</v>
      </c>
      <c r="L26" s="4">
        <v>22939</v>
      </c>
      <c r="M26" s="4">
        <v>22939</v>
      </c>
      <c r="N26" s="4">
        <v>23037</v>
      </c>
      <c r="O26" s="4">
        <v>23090</v>
      </c>
      <c r="P26" s="4">
        <v>23161</v>
      </c>
      <c r="Q26" s="4">
        <v>23227</v>
      </c>
      <c r="R26" s="4">
        <v>23320</v>
      </c>
      <c r="S26" s="4">
        <v>23343</v>
      </c>
      <c r="T26" s="4">
        <v>23343</v>
      </c>
      <c r="U26" s="4">
        <v>23407</v>
      </c>
      <c r="V26" s="4">
        <v>23501</v>
      </c>
      <c r="W26" s="4">
        <v>23590</v>
      </c>
      <c r="X26" s="4">
        <v>23681</v>
      </c>
      <c r="Y26" s="4">
        <v>23768</v>
      </c>
      <c r="Z26" s="4">
        <v>23792</v>
      </c>
      <c r="AA26" s="8">
        <v>23792</v>
      </c>
      <c r="AB26" s="8">
        <v>23876</v>
      </c>
      <c r="AC26" s="4">
        <v>23974</v>
      </c>
      <c r="AD26" s="4">
        <v>24067</v>
      </c>
      <c r="AE26" s="8">
        <v>24146</v>
      </c>
      <c r="AF26" s="8">
        <v>24157</v>
      </c>
      <c r="AG26" s="7">
        <f t="shared" si="1"/>
        <v>1565</v>
      </c>
    </row>
    <row r="27" spans="1:33" ht="14.5" customHeight="1">
      <c r="A27" s="4"/>
      <c r="B27" s="4"/>
      <c r="C27" s="142" t="s">
        <v>22</v>
      </c>
      <c r="D27" s="3">
        <v>1769</v>
      </c>
      <c r="E27" s="4">
        <v>1769</v>
      </c>
      <c r="F27" s="4">
        <v>1769</v>
      </c>
      <c r="G27" s="4">
        <v>1769</v>
      </c>
      <c r="H27" s="4">
        <v>1769</v>
      </c>
      <c r="I27" s="4">
        <v>1769</v>
      </c>
      <c r="J27" s="4">
        <v>1769</v>
      </c>
      <c r="K27" s="4">
        <v>1769</v>
      </c>
      <c r="L27" s="4">
        <v>1772</v>
      </c>
      <c r="M27" s="4">
        <v>1772</v>
      </c>
      <c r="N27" s="4">
        <v>1772</v>
      </c>
      <c r="O27" s="4">
        <v>1772</v>
      </c>
      <c r="P27" s="4">
        <v>1772</v>
      </c>
      <c r="Q27" s="4">
        <v>1772</v>
      </c>
      <c r="R27" s="4">
        <v>1772</v>
      </c>
      <c r="S27" s="4">
        <v>1772</v>
      </c>
      <c r="T27" s="4">
        <v>1772</v>
      </c>
      <c r="U27" s="4">
        <v>1772</v>
      </c>
      <c r="V27" s="4">
        <v>1772</v>
      </c>
      <c r="W27" s="4">
        <v>1772</v>
      </c>
      <c r="X27" s="4">
        <v>1772</v>
      </c>
      <c r="Y27" s="4">
        <v>1772</v>
      </c>
      <c r="Z27" s="4">
        <v>1772</v>
      </c>
      <c r="AA27" s="4">
        <v>1772</v>
      </c>
      <c r="AB27" s="4">
        <v>1772</v>
      </c>
      <c r="AC27" s="4">
        <v>1772</v>
      </c>
      <c r="AD27" s="4">
        <v>1772</v>
      </c>
      <c r="AE27" s="4">
        <v>1772</v>
      </c>
      <c r="AF27" s="4">
        <v>1772</v>
      </c>
      <c r="AG27" s="7">
        <f t="shared" si="1"/>
        <v>3</v>
      </c>
    </row>
    <row r="28" spans="1:33" ht="14.5" customHeight="1">
      <c r="A28" s="4">
        <v>3</v>
      </c>
      <c r="B28" s="4" t="s">
        <v>129</v>
      </c>
      <c r="C28" s="141" t="s">
        <v>121</v>
      </c>
      <c r="D28" s="3">
        <v>22468</v>
      </c>
      <c r="E28" s="4">
        <v>22539</v>
      </c>
      <c r="F28" s="4">
        <v>22539</v>
      </c>
      <c r="G28" s="4">
        <v>22599</v>
      </c>
      <c r="H28" s="4">
        <v>22646</v>
      </c>
      <c r="I28" s="4">
        <v>22693</v>
      </c>
      <c r="J28" s="4">
        <v>22775</v>
      </c>
      <c r="K28" s="4">
        <v>22822</v>
      </c>
      <c r="L28" s="4">
        <v>22846</v>
      </c>
      <c r="M28" s="4">
        <v>22846</v>
      </c>
      <c r="N28" s="4">
        <v>22963</v>
      </c>
      <c r="O28" s="4">
        <v>23012</v>
      </c>
      <c r="P28" s="4">
        <v>23085</v>
      </c>
      <c r="Q28" s="4">
        <v>23140</v>
      </c>
      <c r="R28" s="4">
        <v>23229</v>
      </c>
      <c r="S28" s="4">
        <v>23253</v>
      </c>
      <c r="T28" s="4">
        <v>23253</v>
      </c>
      <c r="U28" s="4">
        <v>23317</v>
      </c>
      <c r="V28" s="4">
        <v>23439</v>
      </c>
      <c r="W28" s="4">
        <v>23570</v>
      </c>
      <c r="X28" s="4">
        <v>23709</v>
      </c>
      <c r="Y28" s="4">
        <v>23837</v>
      </c>
      <c r="Z28" s="4">
        <v>23907</v>
      </c>
      <c r="AA28" s="4">
        <v>23907</v>
      </c>
      <c r="AB28" s="4">
        <v>24033</v>
      </c>
      <c r="AC28" s="4">
        <v>24157</v>
      </c>
      <c r="AD28" s="4">
        <v>24219</v>
      </c>
      <c r="AE28" s="4">
        <v>24400</v>
      </c>
      <c r="AF28" s="4">
        <v>24421</v>
      </c>
      <c r="AG28" s="7">
        <f t="shared" si="1"/>
        <v>1953</v>
      </c>
    </row>
    <row r="29" spans="1:33" ht="14.5" customHeight="1">
      <c r="A29" s="4"/>
      <c r="B29" s="4"/>
      <c r="C29" s="142" t="s">
        <v>22</v>
      </c>
      <c r="D29" s="3">
        <v>1864</v>
      </c>
      <c r="E29" s="4">
        <v>1864</v>
      </c>
      <c r="F29" s="4">
        <v>1864</v>
      </c>
      <c r="G29" s="4">
        <v>1864</v>
      </c>
      <c r="H29" s="4">
        <v>1864</v>
      </c>
      <c r="I29" s="4">
        <v>1864</v>
      </c>
      <c r="J29" s="4">
        <v>1864</v>
      </c>
      <c r="K29" s="4">
        <v>1864</v>
      </c>
      <c r="L29" s="4">
        <v>1866</v>
      </c>
      <c r="M29" s="4">
        <v>1866</v>
      </c>
      <c r="N29" s="4">
        <v>1866</v>
      </c>
      <c r="O29" s="4">
        <v>1866</v>
      </c>
      <c r="P29" s="4">
        <v>1866</v>
      </c>
      <c r="Q29" s="4">
        <v>1866</v>
      </c>
      <c r="R29" s="4">
        <v>1866</v>
      </c>
      <c r="S29" s="4">
        <v>1866</v>
      </c>
      <c r="T29" s="4">
        <v>1866</v>
      </c>
      <c r="U29" s="4">
        <v>1866</v>
      </c>
      <c r="V29" s="4">
        <v>1866</v>
      </c>
      <c r="W29" s="4">
        <v>1866</v>
      </c>
      <c r="X29" s="4">
        <v>1866</v>
      </c>
      <c r="Y29" s="4">
        <v>1866</v>
      </c>
      <c r="Z29" s="4">
        <v>1866</v>
      </c>
      <c r="AA29" s="4">
        <v>1866</v>
      </c>
      <c r="AB29" s="4">
        <v>1866</v>
      </c>
      <c r="AC29" s="4">
        <v>1866</v>
      </c>
      <c r="AD29" s="4">
        <v>1866</v>
      </c>
      <c r="AE29" s="4">
        <v>1866</v>
      </c>
      <c r="AF29" s="4">
        <v>1866</v>
      </c>
      <c r="AG29" s="7">
        <f t="shared" si="1"/>
        <v>2</v>
      </c>
    </row>
    <row r="30" spans="1:33" ht="14.5" customHeight="1">
      <c r="A30" s="4">
        <v>4</v>
      </c>
      <c r="B30" s="4" t="s">
        <v>129</v>
      </c>
      <c r="C30" s="141" t="s">
        <v>122</v>
      </c>
      <c r="D30" s="45">
        <v>20730</v>
      </c>
      <c r="E30" s="4">
        <v>20768</v>
      </c>
      <c r="F30" s="4">
        <v>20768</v>
      </c>
      <c r="G30" s="4">
        <v>20821</v>
      </c>
      <c r="H30" s="4">
        <v>20875</v>
      </c>
      <c r="I30" s="4">
        <v>20928</v>
      </c>
      <c r="J30" s="4">
        <v>20986</v>
      </c>
      <c r="K30" s="4">
        <v>21037</v>
      </c>
      <c r="L30" s="4">
        <v>21064</v>
      </c>
      <c r="M30" s="4">
        <v>21064</v>
      </c>
      <c r="N30" s="4">
        <v>21129</v>
      </c>
      <c r="O30" s="4">
        <v>21182</v>
      </c>
      <c r="P30" s="4">
        <v>21243</v>
      </c>
      <c r="Q30" s="4">
        <v>21300</v>
      </c>
      <c r="R30" s="4">
        <v>21349</v>
      </c>
      <c r="S30" s="4">
        <v>21377</v>
      </c>
      <c r="T30" s="4">
        <v>21377</v>
      </c>
      <c r="U30" s="4">
        <v>21443</v>
      </c>
      <c r="V30" s="4">
        <v>21514</v>
      </c>
      <c r="W30" s="4">
        <v>21578</v>
      </c>
      <c r="X30" s="4">
        <v>21647</v>
      </c>
      <c r="Y30" s="4">
        <v>21708</v>
      </c>
      <c r="Z30" s="4">
        <v>21739</v>
      </c>
      <c r="AA30" s="4">
        <v>21739</v>
      </c>
      <c r="AB30" s="4">
        <v>21793</v>
      </c>
      <c r="AC30" s="4">
        <v>21846</v>
      </c>
      <c r="AD30" s="4">
        <v>21905</v>
      </c>
      <c r="AE30" s="4">
        <v>21957</v>
      </c>
      <c r="AF30" s="4">
        <v>21969</v>
      </c>
      <c r="AG30" s="7">
        <f t="shared" si="1"/>
        <v>1239</v>
      </c>
    </row>
    <row r="31" spans="1:33" ht="14.5" customHeight="1">
      <c r="A31" s="4"/>
      <c r="B31" s="4"/>
      <c r="C31" s="142" t="s">
        <v>22</v>
      </c>
      <c r="D31" s="3">
        <v>1673</v>
      </c>
      <c r="E31" s="4">
        <v>1673</v>
      </c>
      <c r="F31" s="4">
        <v>1673</v>
      </c>
      <c r="G31" s="4">
        <v>1673</v>
      </c>
      <c r="H31" s="4">
        <v>1673</v>
      </c>
      <c r="I31" s="4">
        <v>1673</v>
      </c>
      <c r="J31" s="4">
        <v>1673</v>
      </c>
      <c r="K31" s="4">
        <v>1673</v>
      </c>
      <c r="L31" s="4">
        <v>1676</v>
      </c>
      <c r="M31" s="4">
        <v>1676</v>
      </c>
      <c r="N31" s="4">
        <v>1676</v>
      </c>
      <c r="O31" s="4">
        <v>1676</v>
      </c>
      <c r="P31" s="4">
        <v>1676</v>
      </c>
      <c r="Q31" s="4">
        <v>1676</v>
      </c>
      <c r="R31" s="4">
        <v>1676</v>
      </c>
      <c r="S31" s="4">
        <v>1676</v>
      </c>
      <c r="T31" s="4">
        <v>1676</v>
      </c>
      <c r="U31" s="4">
        <v>1676</v>
      </c>
      <c r="V31" s="4">
        <v>1676</v>
      </c>
      <c r="W31" s="4">
        <v>1676</v>
      </c>
      <c r="X31" s="4">
        <v>1676</v>
      </c>
      <c r="Y31" s="4">
        <v>1676</v>
      </c>
      <c r="Z31" s="4">
        <v>1676</v>
      </c>
      <c r="AA31" s="4">
        <v>1676</v>
      </c>
      <c r="AB31" s="4">
        <v>1676</v>
      </c>
      <c r="AC31" s="4">
        <v>1676</v>
      </c>
      <c r="AD31" s="4">
        <v>1676</v>
      </c>
      <c r="AE31" s="4">
        <v>1676</v>
      </c>
      <c r="AF31" s="4">
        <v>1676</v>
      </c>
      <c r="AG31" s="7">
        <f t="shared" si="1"/>
        <v>3</v>
      </c>
    </row>
    <row r="32" spans="1:33" ht="14.5" customHeight="1">
      <c r="A32" s="564"/>
      <c r="B32" s="504"/>
      <c r="C32" s="504"/>
      <c r="D32" s="504"/>
      <c r="E32" s="50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  <c r="R32" s="504"/>
      <c r="S32" s="504"/>
      <c r="T32" s="504"/>
      <c r="U32" s="504"/>
      <c r="V32" s="504"/>
      <c r="W32" s="504"/>
      <c r="X32" s="504"/>
      <c r="Y32" s="504"/>
      <c r="Z32" s="504"/>
      <c r="AA32" s="504"/>
      <c r="AB32" s="504"/>
      <c r="AC32" s="504"/>
      <c r="AD32" s="504"/>
      <c r="AE32" s="504"/>
      <c r="AF32" s="504"/>
      <c r="AG32" s="501"/>
    </row>
    <row r="33" spans="1:33" ht="14.5" customHeight="1">
      <c r="A33" s="4">
        <v>1</v>
      </c>
      <c r="B33" s="4" t="s">
        <v>129</v>
      </c>
      <c r="C33" s="141" t="s">
        <v>123</v>
      </c>
      <c r="D33" s="46">
        <v>190977</v>
      </c>
      <c r="E33" s="40">
        <v>191265</v>
      </c>
      <c r="F33" s="10">
        <v>191265</v>
      </c>
      <c r="G33" s="10">
        <v>191840</v>
      </c>
      <c r="H33" s="10">
        <v>192439</v>
      </c>
      <c r="I33" s="10">
        <v>192978</v>
      </c>
      <c r="J33" s="10">
        <v>193507</v>
      </c>
      <c r="K33" s="10">
        <v>193974</v>
      </c>
      <c r="L33" s="10">
        <v>194024</v>
      </c>
      <c r="M33" s="10">
        <v>194024</v>
      </c>
      <c r="N33" s="11">
        <v>194715</v>
      </c>
      <c r="O33" s="11">
        <v>195325</v>
      </c>
      <c r="P33" s="11">
        <v>195900</v>
      </c>
      <c r="Q33" s="11">
        <v>196396</v>
      </c>
      <c r="R33" s="11">
        <v>196898</v>
      </c>
      <c r="S33" s="11">
        <v>197123</v>
      </c>
      <c r="T33" s="11">
        <v>197123</v>
      </c>
      <c r="U33" s="11">
        <v>197926</v>
      </c>
      <c r="V33" s="11">
        <v>198630</v>
      </c>
      <c r="W33" s="11">
        <v>199452</v>
      </c>
      <c r="X33" s="11">
        <v>200462</v>
      </c>
      <c r="Y33" s="11">
        <v>201194</v>
      </c>
      <c r="Z33" s="11">
        <v>201326</v>
      </c>
      <c r="AA33" s="11">
        <v>201326</v>
      </c>
      <c r="AB33" s="11">
        <v>202187</v>
      </c>
      <c r="AC33" s="11">
        <v>202963</v>
      </c>
      <c r="AD33" s="11">
        <v>203611</v>
      </c>
      <c r="AE33" s="11">
        <v>204264</v>
      </c>
      <c r="AF33" s="11">
        <v>204528</v>
      </c>
      <c r="AG33" s="7">
        <f>AF33-D33</f>
        <v>13551</v>
      </c>
    </row>
    <row r="34" spans="1:33" ht="14.5" customHeight="1">
      <c r="A34" s="4">
        <v>2</v>
      </c>
      <c r="B34" s="4" t="s">
        <v>129</v>
      </c>
      <c r="C34" s="141" t="s">
        <v>124</v>
      </c>
      <c r="D34" s="46">
        <v>200908</v>
      </c>
      <c r="E34" s="10">
        <v>201180</v>
      </c>
      <c r="F34" s="10">
        <v>201180</v>
      </c>
      <c r="G34" s="10">
        <v>201727</v>
      </c>
      <c r="H34" s="10">
        <v>202188</v>
      </c>
      <c r="I34" s="10">
        <v>202642</v>
      </c>
      <c r="J34" s="10">
        <v>203036</v>
      </c>
      <c r="K34" s="10">
        <v>203424</v>
      </c>
      <c r="L34" s="10">
        <v>203454</v>
      </c>
      <c r="M34" s="10">
        <v>203454</v>
      </c>
      <c r="N34" s="10">
        <v>204066</v>
      </c>
      <c r="O34" s="11">
        <v>204619</v>
      </c>
      <c r="P34" s="11">
        <v>205112</v>
      </c>
      <c r="Q34" s="11">
        <v>205562</v>
      </c>
      <c r="R34" s="11">
        <v>205915</v>
      </c>
      <c r="S34" s="11">
        <v>206101</v>
      </c>
      <c r="T34" s="11">
        <v>206101</v>
      </c>
      <c r="U34" s="11">
        <v>206773</v>
      </c>
      <c r="V34" s="11">
        <v>207395</v>
      </c>
      <c r="W34" s="11">
        <v>207997</v>
      </c>
      <c r="X34" s="11">
        <v>208676</v>
      </c>
      <c r="Y34" s="11">
        <v>209184</v>
      </c>
      <c r="Z34" s="11">
        <v>209269</v>
      </c>
      <c r="AA34" s="11">
        <v>209269</v>
      </c>
      <c r="AB34" s="11">
        <v>209917</v>
      </c>
      <c r="AC34" s="11">
        <v>210511</v>
      </c>
      <c r="AD34" s="11">
        <v>211056</v>
      </c>
      <c r="AE34" s="11">
        <v>211532</v>
      </c>
      <c r="AF34" s="11">
        <v>211729</v>
      </c>
      <c r="AG34" s="7">
        <f>AF34-D34</f>
        <v>10821</v>
      </c>
    </row>
    <row r="35" spans="1:33" ht="14.5" customHeight="1">
      <c r="A35" s="4">
        <v>3</v>
      </c>
      <c r="B35" s="4" t="s">
        <v>129</v>
      </c>
      <c r="C35" s="141" t="s">
        <v>125</v>
      </c>
      <c r="D35" s="46">
        <v>200887</v>
      </c>
      <c r="E35" s="10">
        <v>201182</v>
      </c>
      <c r="F35" s="10">
        <v>201182</v>
      </c>
      <c r="G35" s="10">
        <v>201638</v>
      </c>
      <c r="H35" s="10">
        <v>201951</v>
      </c>
      <c r="I35" s="10">
        <v>202311</v>
      </c>
      <c r="J35" s="10">
        <v>202626</v>
      </c>
      <c r="K35" s="10">
        <v>202871</v>
      </c>
      <c r="L35" s="10">
        <v>202903</v>
      </c>
      <c r="M35" s="10">
        <v>202903</v>
      </c>
      <c r="N35" s="10">
        <v>203369</v>
      </c>
      <c r="O35" s="11">
        <v>203762</v>
      </c>
      <c r="P35" s="11">
        <v>204232</v>
      </c>
      <c r="Q35" s="11">
        <v>204631</v>
      </c>
      <c r="R35" s="11">
        <v>204890</v>
      </c>
      <c r="S35" s="11">
        <v>204972</v>
      </c>
      <c r="T35" s="11">
        <v>204972</v>
      </c>
      <c r="U35" s="11">
        <v>205402</v>
      </c>
      <c r="V35" s="11">
        <v>205798</v>
      </c>
      <c r="W35" s="11">
        <v>206161</v>
      </c>
      <c r="X35" s="11">
        <v>206674</v>
      </c>
      <c r="Y35" s="11">
        <v>207031</v>
      </c>
      <c r="Z35" s="11">
        <v>207119</v>
      </c>
      <c r="AA35" s="11">
        <v>207119</v>
      </c>
      <c r="AB35" s="11">
        <v>207478</v>
      </c>
      <c r="AC35" s="11">
        <v>207887</v>
      </c>
      <c r="AD35" s="11">
        <v>208293</v>
      </c>
      <c r="AE35" s="11">
        <v>208693</v>
      </c>
      <c r="AF35" s="11">
        <v>208888</v>
      </c>
      <c r="AG35" s="7">
        <f>AF35-D35</f>
        <v>8001</v>
      </c>
    </row>
    <row r="36" spans="1:33" ht="14.5" customHeight="1">
      <c r="A36" s="4">
        <v>4</v>
      </c>
      <c r="B36" s="4" t="s">
        <v>129</v>
      </c>
      <c r="C36" s="141" t="s">
        <v>126</v>
      </c>
      <c r="D36" s="46">
        <v>219082</v>
      </c>
      <c r="E36" s="10">
        <v>219349</v>
      </c>
      <c r="F36" s="10">
        <v>219349</v>
      </c>
      <c r="G36" s="10">
        <v>219911</v>
      </c>
      <c r="H36" s="10">
        <v>220484</v>
      </c>
      <c r="I36" s="10">
        <v>221002</v>
      </c>
      <c r="J36" s="10">
        <v>221519</v>
      </c>
      <c r="K36" s="10">
        <v>221908</v>
      </c>
      <c r="L36" s="10">
        <v>221974</v>
      </c>
      <c r="M36" s="10">
        <v>221974</v>
      </c>
      <c r="N36" s="11">
        <v>222553</v>
      </c>
      <c r="O36" s="11">
        <v>223123</v>
      </c>
      <c r="P36" s="11">
        <v>223619</v>
      </c>
      <c r="Q36" s="11">
        <v>224037</v>
      </c>
      <c r="R36" s="11">
        <v>224493</v>
      </c>
      <c r="S36" s="11">
        <v>224696</v>
      </c>
      <c r="T36" s="11">
        <v>224696</v>
      </c>
      <c r="U36" s="11">
        <v>225291</v>
      </c>
      <c r="V36" s="11">
        <v>225900</v>
      </c>
      <c r="W36" s="11">
        <v>226666</v>
      </c>
      <c r="X36" s="11">
        <v>227420</v>
      </c>
      <c r="Y36" s="11">
        <v>228088</v>
      </c>
      <c r="Z36" s="11">
        <v>228213</v>
      </c>
      <c r="AA36" s="11">
        <v>228213</v>
      </c>
      <c r="AB36" s="11">
        <v>228875</v>
      </c>
      <c r="AC36" s="11">
        <v>229318</v>
      </c>
      <c r="AD36" s="11">
        <v>229849</v>
      </c>
      <c r="AE36" s="11">
        <v>230433</v>
      </c>
      <c r="AF36" s="11">
        <v>230669</v>
      </c>
      <c r="AG36" s="7">
        <f>AF36-D36</f>
        <v>11587</v>
      </c>
    </row>
    <row r="37" spans="1:33" ht="14.5" customHeight="1">
      <c r="A37" s="134"/>
      <c r="B37" s="134"/>
      <c r="D37" s="135"/>
      <c r="E37" s="13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6"/>
      <c r="AD37" s="134"/>
      <c r="AE37" s="134"/>
      <c r="AF37" s="134"/>
      <c r="AG37" s="136"/>
    </row>
    <row r="38" spans="1:33" ht="14.5" customHeight="1">
      <c r="A38" s="14"/>
      <c r="B38" s="137"/>
      <c r="C38" s="144"/>
      <c r="D38" s="138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1:33" ht="14.5" customHeight="1">
      <c r="A39" s="93"/>
      <c r="B39" s="534" t="s">
        <v>127</v>
      </c>
      <c r="C39" s="504"/>
      <c r="D39" s="501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</row>
    <row r="40" spans="1:33" ht="14.5" customHeight="1">
      <c r="A40" s="94"/>
      <c r="B40" s="538" t="s">
        <v>128</v>
      </c>
      <c r="C40" s="504"/>
      <c r="D40" s="501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</row>
    <row r="41" spans="1:33" ht="13" customHeight="1">
      <c r="A41" s="529" t="s">
        <v>99</v>
      </c>
      <c r="B41" s="529" t="s">
        <v>100</v>
      </c>
      <c r="C41" s="529" t="s">
        <v>101</v>
      </c>
      <c r="D41" s="517"/>
      <c r="E41" s="95">
        <f t="shared" ref="E41:AF41" si="2">E3</f>
        <v>45689</v>
      </c>
      <c r="F41" s="95">
        <f t="shared" si="2"/>
        <v>45690</v>
      </c>
      <c r="G41" s="95">
        <f t="shared" si="2"/>
        <v>45691</v>
      </c>
      <c r="H41" s="95">
        <f t="shared" si="2"/>
        <v>45692</v>
      </c>
      <c r="I41" s="95">
        <f t="shared" si="2"/>
        <v>45693</v>
      </c>
      <c r="J41" s="95">
        <f t="shared" si="2"/>
        <v>45694</v>
      </c>
      <c r="K41" s="95">
        <f t="shared" si="2"/>
        <v>45695</v>
      </c>
      <c r="L41" s="95">
        <f t="shared" si="2"/>
        <v>45696</v>
      </c>
      <c r="M41" s="95">
        <f t="shared" si="2"/>
        <v>45697</v>
      </c>
      <c r="N41" s="95">
        <f t="shared" si="2"/>
        <v>45698</v>
      </c>
      <c r="O41" s="95">
        <f t="shared" si="2"/>
        <v>45699</v>
      </c>
      <c r="P41" s="95">
        <f t="shared" si="2"/>
        <v>45700</v>
      </c>
      <c r="Q41" s="95">
        <f t="shared" si="2"/>
        <v>45701</v>
      </c>
      <c r="R41" s="95">
        <f t="shared" si="2"/>
        <v>45702</v>
      </c>
      <c r="S41" s="95">
        <f t="shared" si="2"/>
        <v>45703</v>
      </c>
      <c r="T41" s="95">
        <f t="shared" si="2"/>
        <v>45704</v>
      </c>
      <c r="U41" s="95">
        <f t="shared" si="2"/>
        <v>45705</v>
      </c>
      <c r="V41" s="95">
        <f t="shared" si="2"/>
        <v>45706</v>
      </c>
      <c r="W41" s="95">
        <f t="shared" si="2"/>
        <v>45707</v>
      </c>
      <c r="X41" s="95">
        <f t="shared" si="2"/>
        <v>45708</v>
      </c>
      <c r="Y41" s="95">
        <f t="shared" si="2"/>
        <v>45709</v>
      </c>
      <c r="Z41" s="95">
        <f t="shared" si="2"/>
        <v>45710</v>
      </c>
      <c r="AA41" s="95">
        <f t="shared" si="2"/>
        <v>45711</v>
      </c>
      <c r="AB41" s="95">
        <f t="shared" si="2"/>
        <v>45712</v>
      </c>
      <c r="AC41" s="95">
        <f t="shared" si="2"/>
        <v>45713</v>
      </c>
      <c r="AD41" s="95">
        <f t="shared" si="2"/>
        <v>45714</v>
      </c>
      <c r="AE41" s="95">
        <f t="shared" si="2"/>
        <v>45715</v>
      </c>
      <c r="AF41" s="95">
        <f t="shared" si="2"/>
        <v>45716</v>
      </c>
      <c r="AG41" s="529" t="s">
        <v>1</v>
      </c>
    </row>
    <row r="42" spans="1:33" ht="13" customHeight="1">
      <c r="A42" s="508"/>
      <c r="B42" s="508"/>
      <c r="C42" s="518"/>
      <c r="D42" s="519"/>
      <c r="E42" s="96" t="str">
        <f t="shared" ref="E42:AF42" si="3">E4</f>
        <v>SAT</v>
      </c>
      <c r="F42" s="96" t="str">
        <f t="shared" si="3"/>
        <v>SUN</v>
      </c>
      <c r="G42" s="96" t="str">
        <f t="shared" si="3"/>
        <v>MON</v>
      </c>
      <c r="H42" s="96" t="str">
        <f t="shared" si="3"/>
        <v>TUE</v>
      </c>
      <c r="I42" s="96" t="str">
        <f t="shared" si="3"/>
        <v>WED</v>
      </c>
      <c r="J42" s="96" t="str">
        <f t="shared" si="3"/>
        <v>THU</v>
      </c>
      <c r="K42" s="96" t="str">
        <f t="shared" si="3"/>
        <v>FRI</v>
      </c>
      <c r="L42" s="96" t="str">
        <f t="shared" si="3"/>
        <v>SAT</v>
      </c>
      <c r="M42" s="96" t="str">
        <f t="shared" si="3"/>
        <v>SUN</v>
      </c>
      <c r="N42" s="96" t="str">
        <f t="shared" si="3"/>
        <v>MON</v>
      </c>
      <c r="O42" s="96" t="str">
        <f t="shared" si="3"/>
        <v>TUE</v>
      </c>
      <c r="P42" s="96" t="str">
        <f t="shared" si="3"/>
        <v>WED</v>
      </c>
      <c r="Q42" s="96" t="str">
        <f t="shared" si="3"/>
        <v>THU</v>
      </c>
      <c r="R42" s="96" t="str">
        <f t="shared" si="3"/>
        <v>FRI</v>
      </c>
      <c r="S42" s="96" t="str">
        <f t="shared" si="3"/>
        <v>SAT</v>
      </c>
      <c r="T42" s="96" t="str">
        <f t="shared" si="3"/>
        <v>SUN</v>
      </c>
      <c r="U42" s="96" t="str">
        <f t="shared" si="3"/>
        <v>MON</v>
      </c>
      <c r="V42" s="96" t="str">
        <f t="shared" si="3"/>
        <v>TUE</v>
      </c>
      <c r="W42" s="96" t="str">
        <f t="shared" si="3"/>
        <v>WED</v>
      </c>
      <c r="X42" s="96" t="str">
        <f t="shared" si="3"/>
        <v>THU</v>
      </c>
      <c r="Y42" s="96" t="str">
        <f t="shared" si="3"/>
        <v>FRI</v>
      </c>
      <c r="Z42" s="96" t="str">
        <f t="shared" si="3"/>
        <v>SAT</v>
      </c>
      <c r="AA42" s="96" t="str">
        <f t="shared" si="3"/>
        <v>SUN</v>
      </c>
      <c r="AB42" s="96" t="str">
        <f t="shared" si="3"/>
        <v>MON</v>
      </c>
      <c r="AC42" s="96" t="str">
        <f t="shared" si="3"/>
        <v>TUE</v>
      </c>
      <c r="AD42" s="96" t="str">
        <f t="shared" si="3"/>
        <v>WED</v>
      </c>
      <c r="AE42" s="96" t="str">
        <f t="shared" si="3"/>
        <v>THU</v>
      </c>
      <c r="AF42" s="96" t="str">
        <f t="shared" si="3"/>
        <v>FRI</v>
      </c>
      <c r="AG42" s="508"/>
    </row>
    <row r="43" spans="1:33" ht="13" customHeight="1">
      <c r="A43" s="508"/>
      <c r="B43" s="508"/>
      <c r="C43" s="518"/>
      <c r="D43" s="519"/>
      <c r="E43" s="97" t="s">
        <v>110</v>
      </c>
      <c r="F43" s="97" t="s">
        <v>110</v>
      </c>
      <c r="G43" s="97" t="s">
        <v>110</v>
      </c>
      <c r="H43" s="97" t="s">
        <v>110</v>
      </c>
      <c r="I43" s="97" t="s">
        <v>110</v>
      </c>
      <c r="J43" s="97" t="s">
        <v>110</v>
      </c>
      <c r="K43" s="97" t="s">
        <v>110</v>
      </c>
      <c r="L43" s="97" t="s">
        <v>110</v>
      </c>
      <c r="M43" s="97" t="s">
        <v>110</v>
      </c>
      <c r="N43" s="97" t="s">
        <v>110</v>
      </c>
      <c r="O43" s="97" t="s">
        <v>110</v>
      </c>
      <c r="P43" s="97" t="s">
        <v>110</v>
      </c>
      <c r="Q43" s="97" t="s">
        <v>110</v>
      </c>
      <c r="R43" s="97" t="s">
        <v>110</v>
      </c>
      <c r="S43" s="97" t="s">
        <v>110</v>
      </c>
      <c r="T43" s="97" t="s">
        <v>110</v>
      </c>
      <c r="U43" s="97" t="s">
        <v>110</v>
      </c>
      <c r="V43" s="97" t="s">
        <v>110</v>
      </c>
      <c r="W43" s="97" t="s">
        <v>110</v>
      </c>
      <c r="X43" s="97" t="s">
        <v>110</v>
      </c>
      <c r="Y43" s="97" t="s">
        <v>110</v>
      </c>
      <c r="Z43" s="97" t="s">
        <v>110</v>
      </c>
      <c r="AA43" s="97" t="s">
        <v>110</v>
      </c>
      <c r="AB43" s="97" t="s">
        <v>110</v>
      </c>
      <c r="AC43" s="97" t="s">
        <v>110</v>
      </c>
      <c r="AD43" s="97" t="s">
        <v>110</v>
      </c>
      <c r="AE43" s="97" t="s">
        <v>110</v>
      </c>
      <c r="AF43" s="97" t="s">
        <v>110</v>
      </c>
      <c r="AG43" s="508"/>
    </row>
    <row r="44" spans="1:33" ht="13" customHeight="1">
      <c r="A44" s="509"/>
      <c r="B44" s="509"/>
      <c r="C44" s="520"/>
      <c r="D44" s="521"/>
      <c r="E44" s="98">
        <v>0.33333333333333331</v>
      </c>
      <c r="F44" s="98">
        <v>0.33333333333333331</v>
      </c>
      <c r="G44" s="98">
        <v>0.33333333333333331</v>
      </c>
      <c r="H44" s="98">
        <v>0.33333333333333331</v>
      </c>
      <c r="I44" s="98">
        <v>0.33333333333333331</v>
      </c>
      <c r="J44" s="98">
        <v>0.33333333333333331</v>
      </c>
      <c r="K44" s="98">
        <v>0.33333333333333331</v>
      </c>
      <c r="L44" s="98">
        <v>0.33333333333333331</v>
      </c>
      <c r="M44" s="98">
        <v>0.33333333333333331</v>
      </c>
      <c r="N44" s="98">
        <v>0.33333333333333331</v>
      </c>
      <c r="O44" s="98">
        <v>0.33333333333333331</v>
      </c>
      <c r="P44" s="98">
        <v>0.33333333333333331</v>
      </c>
      <c r="Q44" s="98">
        <v>0.33333333333333331</v>
      </c>
      <c r="R44" s="98">
        <v>0.33333333333333331</v>
      </c>
      <c r="S44" s="98">
        <v>0.33333333333333331</v>
      </c>
      <c r="T44" s="98">
        <v>0.33333333333333331</v>
      </c>
      <c r="U44" s="98">
        <v>0.33333333333333331</v>
      </c>
      <c r="V44" s="98">
        <v>0.33333333333333331</v>
      </c>
      <c r="W44" s="98">
        <v>0.33333333333333331</v>
      </c>
      <c r="X44" s="98">
        <v>0.33333333333333331</v>
      </c>
      <c r="Y44" s="98">
        <v>0.33333333333333331</v>
      </c>
      <c r="Z44" s="98">
        <v>0.33333333333333331</v>
      </c>
      <c r="AA44" s="98">
        <v>0.33333333333333331</v>
      </c>
      <c r="AB44" s="98">
        <v>0.33333333333333331</v>
      </c>
      <c r="AC44" s="98">
        <v>0.33333333333333331</v>
      </c>
      <c r="AD44" s="98">
        <v>0.33333333333333331</v>
      </c>
      <c r="AE44" s="98">
        <v>0.33333333333333331</v>
      </c>
      <c r="AF44" s="98">
        <v>0.33333333333333331</v>
      </c>
      <c r="AG44" s="509"/>
    </row>
    <row r="45" spans="1:33" ht="15" customHeight="1">
      <c r="A45" s="2">
        <v>1</v>
      </c>
      <c r="B45" s="2" t="s">
        <v>129</v>
      </c>
      <c r="C45" s="503" t="s">
        <v>111</v>
      </c>
      <c r="D45" s="501"/>
      <c r="E45" s="20">
        <f t="shared" ref="E45:AF45" si="4">E7-D7</f>
        <v>320</v>
      </c>
      <c r="F45" s="20">
        <f t="shared" si="4"/>
        <v>213</v>
      </c>
      <c r="G45" s="20">
        <f t="shared" si="4"/>
        <v>265</v>
      </c>
      <c r="H45" s="20">
        <f t="shared" si="4"/>
        <v>265</v>
      </c>
      <c r="I45" s="20">
        <f t="shared" si="4"/>
        <v>265</v>
      </c>
      <c r="J45" s="20">
        <f t="shared" si="4"/>
        <v>279</v>
      </c>
      <c r="K45" s="20">
        <f t="shared" si="4"/>
        <v>258</v>
      </c>
      <c r="L45" s="20">
        <f t="shared" si="4"/>
        <v>215</v>
      </c>
      <c r="M45" s="20">
        <f t="shared" si="4"/>
        <v>227</v>
      </c>
      <c r="N45" s="20">
        <f t="shared" si="4"/>
        <v>260</v>
      </c>
      <c r="O45" s="20">
        <f t="shared" si="4"/>
        <v>269</v>
      </c>
      <c r="P45" s="20">
        <f t="shared" si="4"/>
        <v>281</v>
      </c>
      <c r="Q45" s="20">
        <f t="shared" si="4"/>
        <v>271</v>
      </c>
      <c r="R45" s="20">
        <f t="shared" si="4"/>
        <v>241</v>
      </c>
      <c r="S45" s="20">
        <f t="shared" si="4"/>
        <v>215</v>
      </c>
      <c r="T45" s="20">
        <f t="shared" si="4"/>
        <v>211</v>
      </c>
      <c r="U45" s="20">
        <f t="shared" si="4"/>
        <v>263</v>
      </c>
      <c r="V45" s="20">
        <f t="shared" si="4"/>
        <v>270</v>
      </c>
      <c r="W45" s="20">
        <f t="shared" si="4"/>
        <v>276</v>
      </c>
      <c r="X45" s="20">
        <f t="shared" si="4"/>
        <v>280</v>
      </c>
      <c r="Y45" s="20">
        <f t="shared" si="4"/>
        <v>262</v>
      </c>
      <c r="Z45" s="20">
        <f t="shared" si="4"/>
        <v>220</v>
      </c>
      <c r="AA45" s="20">
        <f t="shared" si="4"/>
        <v>213</v>
      </c>
      <c r="AB45" s="20">
        <f t="shared" si="4"/>
        <v>251</v>
      </c>
      <c r="AC45" s="20">
        <f t="shared" si="4"/>
        <v>267</v>
      </c>
      <c r="AD45" s="20">
        <f t="shared" si="4"/>
        <v>253</v>
      </c>
      <c r="AE45" s="20">
        <f t="shared" si="4"/>
        <v>268</v>
      </c>
      <c r="AF45" s="20">
        <f t="shared" si="4"/>
        <v>116</v>
      </c>
      <c r="AG45" s="21">
        <f t="shared" ref="AG45:AG62" si="5">SUM(E45:AF45)</f>
        <v>6994</v>
      </c>
    </row>
    <row r="46" spans="1:33" ht="15" customHeight="1">
      <c r="A46" s="2"/>
      <c r="B46" s="2"/>
      <c r="C46" s="531" t="s">
        <v>22</v>
      </c>
      <c r="D46" s="501"/>
      <c r="E46" s="20">
        <f t="shared" ref="E46:AF46" si="6">E8-D8</f>
        <v>0</v>
      </c>
      <c r="F46" s="20">
        <f t="shared" si="6"/>
        <v>0</v>
      </c>
      <c r="G46" s="20">
        <f t="shared" si="6"/>
        <v>0</v>
      </c>
      <c r="H46" s="20">
        <f t="shared" si="6"/>
        <v>0</v>
      </c>
      <c r="I46" s="20">
        <f t="shared" si="6"/>
        <v>0</v>
      </c>
      <c r="J46" s="20">
        <f t="shared" si="6"/>
        <v>0</v>
      </c>
      <c r="K46" s="20">
        <f t="shared" si="6"/>
        <v>0</v>
      </c>
      <c r="L46" s="20">
        <f t="shared" si="6"/>
        <v>5</v>
      </c>
      <c r="M46" s="20">
        <f t="shared" si="6"/>
        <v>0</v>
      </c>
      <c r="N46" s="20">
        <f t="shared" si="6"/>
        <v>0</v>
      </c>
      <c r="O46" s="20">
        <f t="shared" si="6"/>
        <v>0</v>
      </c>
      <c r="P46" s="20">
        <f t="shared" si="6"/>
        <v>0</v>
      </c>
      <c r="Q46" s="20">
        <f t="shared" si="6"/>
        <v>0</v>
      </c>
      <c r="R46" s="20">
        <f t="shared" si="6"/>
        <v>0</v>
      </c>
      <c r="S46" s="20">
        <f t="shared" si="6"/>
        <v>0</v>
      </c>
      <c r="T46" s="20">
        <f t="shared" si="6"/>
        <v>0</v>
      </c>
      <c r="U46" s="20">
        <f t="shared" si="6"/>
        <v>0</v>
      </c>
      <c r="V46" s="20">
        <f t="shared" si="6"/>
        <v>0</v>
      </c>
      <c r="W46" s="20">
        <f t="shared" si="6"/>
        <v>0</v>
      </c>
      <c r="X46" s="20">
        <f t="shared" si="6"/>
        <v>0</v>
      </c>
      <c r="Y46" s="20">
        <f t="shared" si="6"/>
        <v>0</v>
      </c>
      <c r="Z46" s="20">
        <f t="shared" si="6"/>
        <v>0</v>
      </c>
      <c r="AA46" s="20">
        <f t="shared" si="6"/>
        <v>0</v>
      </c>
      <c r="AB46" s="20">
        <f t="shared" si="6"/>
        <v>0</v>
      </c>
      <c r="AC46" s="20">
        <f t="shared" si="6"/>
        <v>0</v>
      </c>
      <c r="AD46" s="20">
        <f t="shared" si="6"/>
        <v>0</v>
      </c>
      <c r="AE46" s="20">
        <f t="shared" si="6"/>
        <v>0</v>
      </c>
      <c r="AF46" s="20">
        <f t="shared" si="6"/>
        <v>0</v>
      </c>
      <c r="AG46" s="21">
        <f t="shared" si="5"/>
        <v>5</v>
      </c>
    </row>
    <row r="47" spans="1:33" ht="15" customHeight="1">
      <c r="A47" s="2">
        <v>2</v>
      </c>
      <c r="B47" s="2" t="s">
        <v>129</v>
      </c>
      <c r="C47" s="503" t="s">
        <v>112</v>
      </c>
      <c r="D47" s="501"/>
      <c r="E47" s="20">
        <f t="shared" ref="E47:AF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1">
        <f t="shared" si="5"/>
        <v>0</v>
      </c>
    </row>
    <row r="48" spans="1:33" ht="15" customHeight="1">
      <c r="A48" s="2"/>
      <c r="B48" s="2"/>
      <c r="C48" s="531" t="s">
        <v>22</v>
      </c>
      <c r="D48" s="501"/>
      <c r="E48" s="20">
        <f t="shared" ref="E48:AF48" si="8">E10-D10</f>
        <v>0</v>
      </c>
      <c r="F48" s="20">
        <f t="shared" si="8"/>
        <v>0</v>
      </c>
      <c r="G48" s="20">
        <f t="shared" si="8"/>
        <v>0</v>
      </c>
      <c r="H48" s="20">
        <f t="shared" si="8"/>
        <v>0</v>
      </c>
      <c r="I48" s="20">
        <f t="shared" si="8"/>
        <v>0</v>
      </c>
      <c r="J48" s="20">
        <f t="shared" si="8"/>
        <v>0</v>
      </c>
      <c r="K48" s="20">
        <f t="shared" si="8"/>
        <v>0</v>
      </c>
      <c r="L48" s="20">
        <f t="shared" si="8"/>
        <v>0</v>
      </c>
      <c r="M48" s="20">
        <f t="shared" si="8"/>
        <v>0</v>
      </c>
      <c r="N48" s="20">
        <f t="shared" si="8"/>
        <v>0</v>
      </c>
      <c r="O48" s="20">
        <f t="shared" si="8"/>
        <v>0</v>
      </c>
      <c r="P48" s="20">
        <f t="shared" si="8"/>
        <v>0</v>
      </c>
      <c r="Q48" s="20">
        <f t="shared" si="8"/>
        <v>0</v>
      </c>
      <c r="R48" s="20">
        <f t="shared" si="8"/>
        <v>0</v>
      </c>
      <c r="S48" s="20">
        <f t="shared" si="8"/>
        <v>0</v>
      </c>
      <c r="T48" s="20">
        <f t="shared" si="8"/>
        <v>0</v>
      </c>
      <c r="U48" s="20">
        <f t="shared" si="8"/>
        <v>0</v>
      </c>
      <c r="V48" s="20">
        <f t="shared" si="8"/>
        <v>0</v>
      </c>
      <c r="W48" s="20">
        <f t="shared" si="8"/>
        <v>0</v>
      </c>
      <c r="X48" s="20">
        <f t="shared" si="8"/>
        <v>0</v>
      </c>
      <c r="Y48" s="20">
        <f t="shared" si="8"/>
        <v>0</v>
      </c>
      <c r="Z48" s="20">
        <f t="shared" si="8"/>
        <v>0</v>
      </c>
      <c r="AA48" s="20">
        <f t="shared" si="8"/>
        <v>0</v>
      </c>
      <c r="AB48" s="20">
        <f t="shared" si="8"/>
        <v>0</v>
      </c>
      <c r="AC48" s="20">
        <f t="shared" si="8"/>
        <v>0</v>
      </c>
      <c r="AD48" s="20">
        <f t="shared" si="8"/>
        <v>0</v>
      </c>
      <c r="AE48" s="20">
        <f t="shared" si="8"/>
        <v>0</v>
      </c>
      <c r="AF48" s="20">
        <f t="shared" si="8"/>
        <v>0</v>
      </c>
      <c r="AG48" s="21">
        <f t="shared" si="5"/>
        <v>0</v>
      </c>
    </row>
    <row r="49" spans="1:35" ht="15" customHeight="1">
      <c r="A49" s="2">
        <v>3</v>
      </c>
      <c r="B49" s="2" t="s">
        <v>129</v>
      </c>
      <c r="C49" s="503" t="s">
        <v>113</v>
      </c>
      <c r="D49" s="501"/>
      <c r="E49" s="20">
        <f t="shared" ref="E49:AF49" si="9">E11-D11</f>
        <v>432</v>
      </c>
      <c r="F49" s="20">
        <f t="shared" si="9"/>
        <v>282</v>
      </c>
      <c r="G49" s="20">
        <f t="shared" si="9"/>
        <v>387</v>
      </c>
      <c r="H49" s="20">
        <f t="shared" si="9"/>
        <v>387</v>
      </c>
      <c r="I49" s="20">
        <f t="shared" si="9"/>
        <v>381</v>
      </c>
      <c r="J49" s="20">
        <f t="shared" si="9"/>
        <v>408</v>
      </c>
      <c r="K49" s="20">
        <f t="shared" si="9"/>
        <v>372</v>
      </c>
      <c r="L49" s="20">
        <f t="shared" si="9"/>
        <v>286</v>
      </c>
      <c r="M49" s="20">
        <f t="shared" si="9"/>
        <v>303</v>
      </c>
      <c r="N49" s="20">
        <f t="shared" si="9"/>
        <v>381</v>
      </c>
      <c r="O49" s="20">
        <f t="shared" si="9"/>
        <v>389</v>
      </c>
      <c r="P49" s="20">
        <f t="shared" si="9"/>
        <v>413</v>
      </c>
      <c r="Q49" s="20">
        <f t="shared" si="9"/>
        <v>397</v>
      </c>
      <c r="R49" s="20">
        <f t="shared" si="9"/>
        <v>341</v>
      </c>
      <c r="S49" s="20">
        <f t="shared" si="9"/>
        <v>287</v>
      </c>
      <c r="T49" s="20">
        <f t="shared" si="9"/>
        <v>276</v>
      </c>
      <c r="U49" s="20">
        <f t="shared" si="9"/>
        <v>379</v>
      </c>
      <c r="V49" s="20">
        <f t="shared" si="9"/>
        <v>393</v>
      </c>
      <c r="W49" s="20">
        <f t="shared" si="9"/>
        <v>406</v>
      </c>
      <c r="X49" s="20">
        <f t="shared" si="9"/>
        <v>415</v>
      </c>
      <c r="Y49" s="20">
        <f t="shared" si="9"/>
        <v>380</v>
      </c>
      <c r="Z49" s="20">
        <f t="shared" si="9"/>
        <v>296</v>
      </c>
      <c r="AA49" s="20">
        <f t="shared" si="9"/>
        <v>277</v>
      </c>
      <c r="AB49" s="20">
        <f t="shared" si="9"/>
        <v>361</v>
      </c>
      <c r="AC49" s="20">
        <f t="shared" si="9"/>
        <v>385</v>
      </c>
      <c r="AD49" s="20">
        <f t="shared" si="9"/>
        <v>363</v>
      </c>
      <c r="AE49" s="20">
        <f t="shared" si="9"/>
        <v>393</v>
      </c>
      <c r="AF49" s="20">
        <f t="shared" si="9"/>
        <v>163</v>
      </c>
      <c r="AG49" s="21">
        <f t="shared" si="5"/>
        <v>9933</v>
      </c>
    </row>
    <row r="50" spans="1:35" ht="15" customHeight="1">
      <c r="A50" s="2"/>
      <c r="B50" s="2"/>
      <c r="C50" s="531" t="s">
        <v>22</v>
      </c>
      <c r="D50" s="501"/>
      <c r="E50" s="20">
        <f t="shared" ref="E50:AF50" si="10">E12-D12</f>
        <v>0</v>
      </c>
      <c r="F50" s="20">
        <f t="shared" si="10"/>
        <v>0</v>
      </c>
      <c r="G50" s="20">
        <f t="shared" si="10"/>
        <v>0</v>
      </c>
      <c r="H50" s="20">
        <f t="shared" si="10"/>
        <v>0</v>
      </c>
      <c r="I50" s="20">
        <f t="shared" si="10"/>
        <v>0</v>
      </c>
      <c r="J50" s="20">
        <f t="shared" si="10"/>
        <v>0</v>
      </c>
      <c r="K50" s="20">
        <f t="shared" si="10"/>
        <v>0</v>
      </c>
      <c r="L50" s="20">
        <f t="shared" si="10"/>
        <v>8</v>
      </c>
      <c r="M50" s="20">
        <f t="shared" si="10"/>
        <v>0</v>
      </c>
      <c r="N50" s="20">
        <f t="shared" si="10"/>
        <v>0</v>
      </c>
      <c r="O50" s="20">
        <f t="shared" si="10"/>
        <v>0</v>
      </c>
      <c r="P50" s="20">
        <f t="shared" si="10"/>
        <v>0</v>
      </c>
      <c r="Q50" s="20">
        <f t="shared" si="10"/>
        <v>0</v>
      </c>
      <c r="R50" s="20">
        <f t="shared" si="10"/>
        <v>0</v>
      </c>
      <c r="S50" s="20">
        <f t="shared" si="10"/>
        <v>0</v>
      </c>
      <c r="T50" s="20">
        <f t="shared" si="10"/>
        <v>0</v>
      </c>
      <c r="U50" s="20">
        <f t="shared" si="10"/>
        <v>0</v>
      </c>
      <c r="V50" s="20">
        <f t="shared" si="10"/>
        <v>0</v>
      </c>
      <c r="W50" s="20">
        <f t="shared" si="10"/>
        <v>0</v>
      </c>
      <c r="X50" s="20">
        <f t="shared" si="10"/>
        <v>0</v>
      </c>
      <c r="Y50" s="20">
        <f t="shared" si="10"/>
        <v>0</v>
      </c>
      <c r="Z50" s="20">
        <f t="shared" si="10"/>
        <v>0</v>
      </c>
      <c r="AA50" s="20">
        <f t="shared" si="10"/>
        <v>0</v>
      </c>
      <c r="AB50" s="20">
        <f t="shared" si="10"/>
        <v>0</v>
      </c>
      <c r="AC50" s="20">
        <f t="shared" si="10"/>
        <v>0</v>
      </c>
      <c r="AD50" s="20">
        <f t="shared" si="10"/>
        <v>0</v>
      </c>
      <c r="AE50" s="20">
        <f t="shared" si="10"/>
        <v>0</v>
      </c>
      <c r="AF50" s="20">
        <f t="shared" si="10"/>
        <v>0</v>
      </c>
      <c r="AG50" s="21">
        <f t="shared" si="5"/>
        <v>8</v>
      </c>
    </row>
    <row r="51" spans="1:35" ht="15" customHeight="1">
      <c r="A51" s="2">
        <v>4</v>
      </c>
      <c r="B51" s="2" t="s">
        <v>129</v>
      </c>
      <c r="C51" s="503" t="s">
        <v>114</v>
      </c>
      <c r="D51" s="501"/>
      <c r="E51" s="20">
        <f t="shared" ref="E51:AF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1">
        <f t="shared" si="5"/>
        <v>0</v>
      </c>
    </row>
    <row r="52" spans="1:35" ht="15" customHeight="1">
      <c r="A52" s="2"/>
      <c r="B52" s="2"/>
      <c r="C52" s="531" t="s">
        <v>22</v>
      </c>
      <c r="D52" s="501"/>
      <c r="E52" s="20">
        <f t="shared" ref="E52:AF52" si="12">E14-D14</f>
        <v>0</v>
      </c>
      <c r="F52" s="20">
        <f t="shared" si="12"/>
        <v>0</v>
      </c>
      <c r="G52" s="20">
        <f t="shared" si="12"/>
        <v>0</v>
      </c>
      <c r="H52" s="20">
        <f t="shared" si="12"/>
        <v>0</v>
      </c>
      <c r="I52" s="20">
        <f t="shared" si="12"/>
        <v>0</v>
      </c>
      <c r="J52" s="20">
        <f t="shared" si="12"/>
        <v>0</v>
      </c>
      <c r="K52" s="20">
        <f t="shared" si="12"/>
        <v>0</v>
      </c>
      <c r="L52" s="20">
        <f t="shared" si="12"/>
        <v>0</v>
      </c>
      <c r="M52" s="20">
        <f t="shared" si="12"/>
        <v>0</v>
      </c>
      <c r="N52" s="20">
        <f t="shared" si="12"/>
        <v>0</v>
      </c>
      <c r="O52" s="20">
        <f t="shared" si="12"/>
        <v>0</v>
      </c>
      <c r="P52" s="20">
        <f t="shared" si="12"/>
        <v>0</v>
      </c>
      <c r="Q52" s="20">
        <f t="shared" si="12"/>
        <v>0</v>
      </c>
      <c r="R52" s="20">
        <f t="shared" si="12"/>
        <v>0</v>
      </c>
      <c r="S52" s="20">
        <f t="shared" si="12"/>
        <v>0</v>
      </c>
      <c r="T52" s="20">
        <f t="shared" si="12"/>
        <v>0</v>
      </c>
      <c r="U52" s="20">
        <f t="shared" si="12"/>
        <v>0</v>
      </c>
      <c r="V52" s="20">
        <f t="shared" si="12"/>
        <v>0</v>
      </c>
      <c r="W52" s="20">
        <f t="shared" si="12"/>
        <v>0</v>
      </c>
      <c r="X52" s="20">
        <f t="shared" si="12"/>
        <v>0</v>
      </c>
      <c r="Y52" s="20">
        <f t="shared" si="12"/>
        <v>0</v>
      </c>
      <c r="Z52" s="20">
        <f t="shared" si="12"/>
        <v>0</v>
      </c>
      <c r="AA52" s="20">
        <f t="shared" si="12"/>
        <v>0</v>
      </c>
      <c r="AB52" s="20">
        <f t="shared" si="12"/>
        <v>0</v>
      </c>
      <c r="AC52" s="20">
        <f t="shared" si="12"/>
        <v>0</v>
      </c>
      <c r="AD52" s="20">
        <f t="shared" si="12"/>
        <v>0</v>
      </c>
      <c r="AE52" s="20">
        <f t="shared" si="12"/>
        <v>0</v>
      </c>
      <c r="AF52" s="20">
        <f t="shared" si="12"/>
        <v>0</v>
      </c>
      <c r="AG52" s="21">
        <f t="shared" si="5"/>
        <v>0</v>
      </c>
    </row>
    <row r="53" spans="1:35" ht="15" customHeight="1">
      <c r="A53" s="2">
        <v>5</v>
      </c>
      <c r="B53" s="2" t="s">
        <v>129</v>
      </c>
      <c r="C53" s="503" t="s">
        <v>115</v>
      </c>
      <c r="D53" s="501"/>
      <c r="E53" s="20">
        <f t="shared" ref="E53:AF53" si="13">E15-D15</f>
        <v>258</v>
      </c>
      <c r="F53" s="20">
        <f t="shared" si="13"/>
        <v>146</v>
      </c>
      <c r="G53" s="20">
        <f t="shared" si="13"/>
        <v>254</v>
      </c>
      <c r="H53" s="20">
        <f t="shared" si="13"/>
        <v>260</v>
      </c>
      <c r="I53" s="20">
        <f t="shared" si="13"/>
        <v>248</v>
      </c>
      <c r="J53" s="20">
        <f t="shared" si="13"/>
        <v>262</v>
      </c>
      <c r="K53" s="20">
        <f t="shared" si="13"/>
        <v>236</v>
      </c>
      <c r="L53" s="20">
        <f t="shared" si="13"/>
        <v>161</v>
      </c>
      <c r="M53" s="20">
        <f t="shared" si="13"/>
        <v>156</v>
      </c>
      <c r="N53" s="20">
        <f t="shared" si="13"/>
        <v>252</v>
      </c>
      <c r="O53" s="20">
        <f t="shared" si="13"/>
        <v>264</v>
      </c>
      <c r="P53" s="20">
        <f t="shared" si="13"/>
        <v>280</v>
      </c>
      <c r="Q53" s="20">
        <f t="shared" si="13"/>
        <v>276</v>
      </c>
      <c r="R53" s="20">
        <f t="shared" si="13"/>
        <v>242</v>
      </c>
      <c r="S53" s="20">
        <f t="shared" si="13"/>
        <v>169</v>
      </c>
      <c r="T53" s="20">
        <f t="shared" si="13"/>
        <v>145</v>
      </c>
      <c r="U53" s="20">
        <f t="shared" si="13"/>
        <v>255</v>
      </c>
      <c r="V53" s="20">
        <f t="shared" si="13"/>
        <v>255</v>
      </c>
      <c r="W53" s="20">
        <f t="shared" si="13"/>
        <v>278</v>
      </c>
      <c r="X53" s="20">
        <f t="shared" si="13"/>
        <v>274</v>
      </c>
      <c r="Y53" s="20">
        <f t="shared" si="13"/>
        <v>251</v>
      </c>
      <c r="Z53" s="20">
        <f t="shared" si="13"/>
        <v>134</v>
      </c>
      <c r="AA53" s="20">
        <f t="shared" si="13"/>
        <v>147</v>
      </c>
      <c r="AB53" s="20">
        <f t="shared" si="13"/>
        <v>237</v>
      </c>
      <c r="AC53" s="20">
        <f t="shared" si="13"/>
        <v>259</v>
      </c>
      <c r="AD53" s="20">
        <f t="shared" si="13"/>
        <v>229</v>
      </c>
      <c r="AE53" s="20">
        <f t="shared" si="13"/>
        <v>255</v>
      </c>
      <c r="AF53" s="20">
        <f t="shared" si="13"/>
        <v>102</v>
      </c>
      <c r="AG53" s="21">
        <f t="shared" si="5"/>
        <v>6285</v>
      </c>
    </row>
    <row r="54" spans="1:35" ht="15" customHeight="1">
      <c r="A54" s="2"/>
      <c r="B54" s="2"/>
      <c r="C54" s="531" t="s">
        <v>22</v>
      </c>
      <c r="D54" s="501"/>
      <c r="E54" s="20">
        <f t="shared" ref="E54:AF54" si="14">E16-D16</f>
        <v>0</v>
      </c>
      <c r="F54" s="20">
        <f t="shared" si="14"/>
        <v>0</v>
      </c>
      <c r="G54" s="20">
        <f t="shared" si="14"/>
        <v>0</v>
      </c>
      <c r="H54" s="20">
        <f t="shared" si="14"/>
        <v>0</v>
      </c>
      <c r="I54" s="20">
        <f t="shared" si="14"/>
        <v>0</v>
      </c>
      <c r="J54" s="20">
        <f t="shared" si="14"/>
        <v>0</v>
      </c>
      <c r="K54" s="20">
        <f t="shared" si="14"/>
        <v>0</v>
      </c>
      <c r="L54" s="20">
        <f t="shared" si="14"/>
        <v>6</v>
      </c>
      <c r="M54" s="20">
        <f t="shared" si="14"/>
        <v>0</v>
      </c>
      <c r="N54" s="20">
        <f t="shared" si="14"/>
        <v>0</v>
      </c>
      <c r="O54" s="20">
        <f t="shared" si="14"/>
        <v>0</v>
      </c>
      <c r="P54" s="20">
        <f t="shared" si="14"/>
        <v>0</v>
      </c>
      <c r="Q54" s="20">
        <f t="shared" si="14"/>
        <v>0</v>
      </c>
      <c r="R54" s="20">
        <f t="shared" si="14"/>
        <v>0</v>
      </c>
      <c r="S54" s="20">
        <f t="shared" si="14"/>
        <v>0</v>
      </c>
      <c r="T54" s="20">
        <f t="shared" si="14"/>
        <v>0</v>
      </c>
      <c r="U54" s="20">
        <f t="shared" si="14"/>
        <v>0</v>
      </c>
      <c r="V54" s="20">
        <f t="shared" si="14"/>
        <v>0</v>
      </c>
      <c r="W54" s="20">
        <f t="shared" si="14"/>
        <v>0</v>
      </c>
      <c r="X54" s="20">
        <f t="shared" si="14"/>
        <v>0</v>
      </c>
      <c r="Y54" s="20">
        <f t="shared" si="14"/>
        <v>0</v>
      </c>
      <c r="Z54" s="20">
        <f t="shared" si="14"/>
        <v>0</v>
      </c>
      <c r="AA54" s="20">
        <f t="shared" si="14"/>
        <v>0</v>
      </c>
      <c r="AB54" s="20">
        <f t="shared" si="14"/>
        <v>0</v>
      </c>
      <c r="AC54" s="20">
        <f t="shared" si="14"/>
        <v>0</v>
      </c>
      <c r="AD54" s="20">
        <f t="shared" si="14"/>
        <v>0</v>
      </c>
      <c r="AE54" s="20">
        <f t="shared" si="14"/>
        <v>0</v>
      </c>
      <c r="AF54" s="20">
        <f t="shared" si="14"/>
        <v>0</v>
      </c>
      <c r="AG54" s="105">
        <f t="shared" si="5"/>
        <v>6</v>
      </c>
      <c r="AH54" s="115" t="s">
        <v>20</v>
      </c>
      <c r="AI54" s="116">
        <f>SUM(AG7,AG9,AG11,AG13,AG15,AG17,AG19,AG21)</f>
        <v>51335</v>
      </c>
    </row>
    <row r="55" spans="1:35" ht="15" customHeight="1">
      <c r="A55" s="2">
        <v>6</v>
      </c>
      <c r="B55" s="2" t="s">
        <v>129</v>
      </c>
      <c r="C55" s="503" t="s">
        <v>116</v>
      </c>
      <c r="D55" s="501"/>
      <c r="E55" s="20">
        <f t="shared" ref="E55:AF55" si="15">E17-D17</f>
        <v>213</v>
      </c>
      <c r="F55" s="20">
        <f t="shared" si="15"/>
        <v>113</v>
      </c>
      <c r="G55" s="20">
        <f t="shared" si="15"/>
        <v>248</v>
      </c>
      <c r="H55" s="20">
        <f t="shared" si="15"/>
        <v>267</v>
      </c>
      <c r="I55" s="20">
        <f t="shared" si="15"/>
        <v>246</v>
      </c>
      <c r="J55" s="20">
        <f t="shared" si="15"/>
        <v>271</v>
      </c>
      <c r="K55" s="20">
        <f t="shared" si="15"/>
        <v>227</v>
      </c>
      <c r="L55" s="20">
        <f t="shared" si="15"/>
        <v>133</v>
      </c>
      <c r="M55" s="20">
        <f t="shared" si="15"/>
        <v>97</v>
      </c>
      <c r="N55" s="20">
        <f t="shared" si="15"/>
        <v>252</v>
      </c>
      <c r="O55" s="20">
        <f t="shared" si="15"/>
        <v>256</v>
      </c>
      <c r="P55" s="20">
        <f t="shared" si="15"/>
        <v>279</v>
      </c>
      <c r="Q55" s="20">
        <f t="shared" si="15"/>
        <v>261</v>
      </c>
      <c r="R55" s="20">
        <f t="shared" si="15"/>
        <v>247</v>
      </c>
      <c r="S55" s="20">
        <f t="shared" si="15"/>
        <v>142</v>
      </c>
      <c r="T55" s="20">
        <f t="shared" si="15"/>
        <v>115</v>
      </c>
      <c r="U55" s="20">
        <f t="shared" si="15"/>
        <v>241</v>
      </c>
      <c r="V55" s="20">
        <f t="shared" si="15"/>
        <v>271</v>
      </c>
      <c r="W55" s="20">
        <f t="shared" si="15"/>
        <v>286</v>
      </c>
      <c r="X55" s="20">
        <f t="shared" si="15"/>
        <v>291</v>
      </c>
      <c r="Y55" s="20">
        <f t="shared" si="15"/>
        <v>257</v>
      </c>
      <c r="Z55" s="20">
        <f t="shared" si="15"/>
        <v>115</v>
      </c>
      <c r="AA55" s="20">
        <f t="shared" si="15"/>
        <v>115</v>
      </c>
      <c r="AB55" s="20">
        <f t="shared" si="15"/>
        <v>243</v>
      </c>
      <c r="AC55" s="20">
        <f t="shared" si="15"/>
        <v>245</v>
      </c>
      <c r="AD55" s="20">
        <f t="shared" si="15"/>
        <v>242</v>
      </c>
      <c r="AE55" s="20">
        <f t="shared" si="15"/>
        <v>244</v>
      </c>
      <c r="AF55" s="20">
        <f t="shared" si="15"/>
        <v>103</v>
      </c>
      <c r="AG55" s="105">
        <f t="shared" si="5"/>
        <v>6020</v>
      </c>
      <c r="AH55" s="115" t="s">
        <v>21</v>
      </c>
      <c r="AI55" s="116">
        <f>SUM(AG24,AG26,AG28,AG30)</f>
        <v>5850</v>
      </c>
    </row>
    <row r="56" spans="1:35" ht="15" customHeight="1">
      <c r="A56" s="2"/>
      <c r="B56" s="2"/>
      <c r="C56" s="531" t="s">
        <v>22</v>
      </c>
      <c r="D56" s="501"/>
      <c r="E56" s="20">
        <f t="shared" ref="E56:AF56" si="16">E18-D18</f>
        <v>0</v>
      </c>
      <c r="F56" s="20">
        <f t="shared" si="16"/>
        <v>0</v>
      </c>
      <c r="G56" s="20">
        <f t="shared" si="16"/>
        <v>0</v>
      </c>
      <c r="H56" s="20">
        <f t="shared" si="16"/>
        <v>0</v>
      </c>
      <c r="I56" s="20">
        <f t="shared" si="16"/>
        <v>0</v>
      </c>
      <c r="J56" s="20">
        <f t="shared" si="16"/>
        <v>0</v>
      </c>
      <c r="K56" s="20">
        <f t="shared" si="16"/>
        <v>0</v>
      </c>
      <c r="L56" s="20">
        <f t="shared" si="16"/>
        <v>6</v>
      </c>
      <c r="M56" s="20">
        <f t="shared" si="16"/>
        <v>0</v>
      </c>
      <c r="N56" s="20">
        <f t="shared" si="16"/>
        <v>0</v>
      </c>
      <c r="O56" s="20">
        <f t="shared" si="16"/>
        <v>0</v>
      </c>
      <c r="P56" s="20">
        <f t="shared" si="16"/>
        <v>0</v>
      </c>
      <c r="Q56" s="20">
        <f t="shared" si="16"/>
        <v>0</v>
      </c>
      <c r="R56" s="20">
        <f t="shared" si="16"/>
        <v>0</v>
      </c>
      <c r="S56" s="20">
        <f t="shared" si="16"/>
        <v>0</v>
      </c>
      <c r="T56" s="20">
        <f t="shared" si="16"/>
        <v>0</v>
      </c>
      <c r="U56" s="20">
        <f t="shared" si="16"/>
        <v>0</v>
      </c>
      <c r="V56" s="20">
        <f t="shared" si="16"/>
        <v>0</v>
      </c>
      <c r="W56" s="20">
        <f t="shared" si="16"/>
        <v>0</v>
      </c>
      <c r="X56" s="20">
        <f t="shared" si="16"/>
        <v>0</v>
      </c>
      <c r="Y56" s="20">
        <f t="shared" si="16"/>
        <v>0</v>
      </c>
      <c r="Z56" s="20">
        <f t="shared" si="16"/>
        <v>0</v>
      </c>
      <c r="AA56" s="20">
        <f t="shared" si="16"/>
        <v>0</v>
      </c>
      <c r="AB56" s="20">
        <f t="shared" si="16"/>
        <v>0</v>
      </c>
      <c r="AC56" s="20">
        <f t="shared" si="16"/>
        <v>0</v>
      </c>
      <c r="AD56" s="20">
        <f t="shared" si="16"/>
        <v>0</v>
      </c>
      <c r="AE56" s="20">
        <f t="shared" si="16"/>
        <v>0</v>
      </c>
      <c r="AF56" s="20">
        <f t="shared" si="16"/>
        <v>0</v>
      </c>
      <c r="AG56" s="105">
        <f t="shared" si="5"/>
        <v>6</v>
      </c>
      <c r="AH56" s="115" t="s">
        <v>23</v>
      </c>
      <c r="AI56" s="116">
        <f>AG80*40%</f>
        <v>17584</v>
      </c>
    </row>
    <row r="57" spans="1:35" ht="15" customHeight="1">
      <c r="A57" s="2">
        <v>7</v>
      </c>
      <c r="B57" s="2" t="s">
        <v>129</v>
      </c>
      <c r="C57" s="503" t="s">
        <v>117</v>
      </c>
      <c r="D57" s="501"/>
      <c r="E57" s="20">
        <f t="shared" ref="E57:AF57" si="17">E19-D19</f>
        <v>0</v>
      </c>
      <c r="F57" s="20">
        <f t="shared" si="17"/>
        <v>925</v>
      </c>
      <c r="G57" s="20">
        <f t="shared" si="17"/>
        <v>484</v>
      </c>
      <c r="H57" s="20">
        <f t="shared" si="17"/>
        <v>1427</v>
      </c>
      <c r="I57" s="20">
        <f t="shared" si="17"/>
        <v>721</v>
      </c>
      <c r="J57" s="20">
        <f t="shared" si="17"/>
        <v>757</v>
      </c>
      <c r="K57" s="20">
        <f t="shared" si="17"/>
        <v>724</v>
      </c>
      <c r="L57" s="20">
        <f t="shared" si="17"/>
        <v>578</v>
      </c>
      <c r="M57" s="20">
        <f t="shared" si="17"/>
        <v>463</v>
      </c>
      <c r="N57" s="20">
        <f t="shared" si="17"/>
        <v>756</v>
      </c>
      <c r="O57" s="20">
        <f t="shared" si="17"/>
        <v>698</v>
      </c>
      <c r="P57" s="20">
        <f t="shared" si="17"/>
        <v>734</v>
      </c>
      <c r="Q57" s="20">
        <f t="shared" si="17"/>
        <v>712</v>
      </c>
      <c r="R57" s="20">
        <f t="shared" si="17"/>
        <v>676</v>
      </c>
      <c r="S57" s="20">
        <f t="shared" si="17"/>
        <v>605</v>
      </c>
      <c r="T57" s="20">
        <f t="shared" si="17"/>
        <v>428</v>
      </c>
      <c r="U57" s="20">
        <f t="shared" si="17"/>
        <v>718</v>
      </c>
      <c r="V57" s="20">
        <f t="shared" si="17"/>
        <v>739</v>
      </c>
      <c r="W57" s="20">
        <f t="shared" si="17"/>
        <v>791</v>
      </c>
      <c r="X57" s="20">
        <f t="shared" si="17"/>
        <v>745</v>
      </c>
      <c r="Y57" s="20">
        <f t="shared" si="17"/>
        <v>808</v>
      </c>
      <c r="Z57" s="20">
        <f t="shared" si="17"/>
        <v>597</v>
      </c>
      <c r="AA57" s="20">
        <f t="shared" si="17"/>
        <v>535</v>
      </c>
      <c r="AB57" s="20">
        <f t="shared" si="17"/>
        <v>690</v>
      </c>
      <c r="AC57" s="20">
        <f t="shared" si="17"/>
        <v>749</v>
      </c>
      <c r="AD57" s="20">
        <f t="shared" si="17"/>
        <v>713</v>
      </c>
      <c r="AE57" s="20">
        <f t="shared" si="17"/>
        <v>733</v>
      </c>
      <c r="AF57" s="20">
        <f t="shared" si="17"/>
        <v>291</v>
      </c>
      <c r="AG57" s="105">
        <f t="shared" si="5"/>
        <v>18797</v>
      </c>
      <c r="AH57" s="117" t="s">
        <v>22</v>
      </c>
      <c r="AI57" s="118">
        <f>SUM(AG8,AG10,AG12,AG14,AG16,AG18,AG20,AG22,AG25,AG27,AG29,AG31)</f>
        <v>54</v>
      </c>
    </row>
    <row r="58" spans="1:35" ht="15" customHeight="1">
      <c r="A58" s="2"/>
      <c r="B58" s="2"/>
      <c r="C58" s="531" t="s">
        <v>22</v>
      </c>
      <c r="D58" s="501"/>
      <c r="E58" s="20">
        <f t="shared" ref="E58:AF58" si="18">E20-D20</f>
        <v>0</v>
      </c>
      <c r="F58" s="20">
        <f t="shared" si="18"/>
        <v>0</v>
      </c>
      <c r="G58" s="20">
        <f t="shared" si="18"/>
        <v>0</v>
      </c>
      <c r="H58" s="20">
        <f t="shared" si="18"/>
        <v>0</v>
      </c>
      <c r="I58" s="20">
        <f t="shared" si="18"/>
        <v>0</v>
      </c>
      <c r="J58" s="20">
        <f t="shared" si="18"/>
        <v>0</v>
      </c>
      <c r="K58" s="20">
        <f t="shared" si="18"/>
        <v>0</v>
      </c>
      <c r="L58" s="20">
        <f t="shared" si="18"/>
        <v>17</v>
      </c>
      <c r="M58" s="20">
        <f t="shared" si="18"/>
        <v>0</v>
      </c>
      <c r="N58" s="20">
        <f t="shared" si="18"/>
        <v>0</v>
      </c>
      <c r="O58" s="20">
        <f t="shared" si="18"/>
        <v>0</v>
      </c>
      <c r="P58" s="20">
        <f t="shared" si="18"/>
        <v>0</v>
      </c>
      <c r="Q58" s="20">
        <f t="shared" si="18"/>
        <v>0</v>
      </c>
      <c r="R58" s="20">
        <f t="shared" si="18"/>
        <v>0</v>
      </c>
      <c r="S58" s="20">
        <f t="shared" si="18"/>
        <v>0</v>
      </c>
      <c r="T58" s="20">
        <f t="shared" si="18"/>
        <v>0</v>
      </c>
      <c r="U58" s="20">
        <f t="shared" si="18"/>
        <v>0</v>
      </c>
      <c r="V58" s="20">
        <f t="shared" si="18"/>
        <v>0</v>
      </c>
      <c r="W58" s="20">
        <f t="shared" si="18"/>
        <v>0</v>
      </c>
      <c r="X58" s="20">
        <f t="shared" si="18"/>
        <v>0</v>
      </c>
      <c r="Y58" s="20">
        <f t="shared" si="18"/>
        <v>0</v>
      </c>
      <c r="Z58" s="20">
        <f t="shared" si="18"/>
        <v>0</v>
      </c>
      <c r="AA58" s="20">
        <f t="shared" si="18"/>
        <v>0</v>
      </c>
      <c r="AB58" s="20">
        <f t="shared" si="18"/>
        <v>0</v>
      </c>
      <c r="AC58" s="20">
        <f t="shared" si="18"/>
        <v>0</v>
      </c>
      <c r="AD58" s="20">
        <f t="shared" si="18"/>
        <v>0</v>
      </c>
      <c r="AE58" s="20">
        <f t="shared" si="18"/>
        <v>0</v>
      </c>
      <c r="AF58" s="20">
        <f t="shared" si="18"/>
        <v>0</v>
      </c>
      <c r="AG58" s="21">
        <f t="shared" si="5"/>
        <v>17</v>
      </c>
    </row>
    <row r="59" spans="1:35" ht="15" customHeight="1">
      <c r="A59" s="2">
        <v>8</v>
      </c>
      <c r="B59" s="2" t="s">
        <v>129</v>
      </c>
      <c r="C59" s="503" t="s">
        <v>118</v>
      </c>
      <c r="D59" s="501"/>
      <c r="E59" s="20">
        <f t="shared" ref="E59:AF59" si="19">E21-D21</f>
        <v>205</v>
      </c>
      <c r="F59" s="20">
        <f t="shared" si="19"/>
        <v>116</v>
      </c>
      <c r="G59" s="20">
        <f t="shared" si="19"/>
        <v>133</v>
      </c>
      <c r="H59" s="20">
        <f t="shared" si="19"/>
        <v>93</v>
      </c>
      <c r="I59" s="20">
        <f t="shared" si="19"/>
        <v>145</v>
      </c>
      <c r="J59" s="20">
        <f t="shared" si="19"/>
        <v>85</v>
      </c>
      <c r="K59" s="20">
        <f t="shared" si="19"/>
        <v>93</v>
      </c>
      <c r="L59" s="20">
        <f t="shared" si="19"/>
        <v>88</v>
      </c>
      <c r="M59" s="20">
        <f t="shared" si="19"/>
        <v>134</v>
      </c>
      <c r="N59" s="20">
        <f t="shared" si="19"/>
        <v>105</v>
      </c>
      <c r="O59" s="20">
        <f t="shared" si="19"/>
        <v>134</v>
      </c>
      <c r="P59" s="20">
        <f t="shared" si="19"/>
        <v>94</v>
      </c>
      <c r="Q59" s="20">
        <f t="shared" si="19"/>
        <v>89</v>
      </c>
      <c r="R59" s="20">
        <f t="shared" si="19"/>
        <v>71</v>
      </c>
      <c r="S59" s="20">
        <f t="shared" si="19"/>
        <v>72</v>
      </c>
      <c r="T59" s="20">
        <f t="shared" si="19"/>
        <v>88</v>
      </c>
      <c r="U59" s="20">
        <f t="shared" si="19"/>
        <v>105</v>
      </c>
      <c r="V59" s="20">
        <f t="shared" si="19"/>
        <v>106</v>
      </c>
      <c r="W59" s="20">
        <f t="shared" si="19"/>
        <v>148</v>
      </c>
      <c r="X59" s="20">
        <f t="shared" si="19"/>
        <v>147</v>
      </c>
      <c r="Y59" s="20">
        <f t="shared" si="19"/>
        <v>157</v>
      </c>
      <c r="Z59" s="20">
        <f t="shared" si="19"/>
        <v>118</v>
      </c>
      <c r="AA59" s="20">
        <f t="shared" si="19"/>
        <v>147</v>
      </c>
      <c r="AB59" s="20">
        <f t="shared" si="19"/>
        <v>136</v>
      </c>
      <c r="AC59" s="20">
        <f t="shared" si="19"/>
        <v>165</v>
      </c>
      <c r="AD59" s="20">
        <f t="shared" si="19"/>
        <v>133</v>
      </c>
      <c r="AE59" s="20">
        <f t="shared" si="19"/>
        <v>164</v>
      </c>
      <c r="AF59" s="20">
        <f t="shared" si="19"/>
        <v>35</v>
      </c>
      <c r="AG59" s="21">
        <f t="shared" si="5"/>
        <v>3306</v>
      </c>
    </row>
    <row r="60" spans="1:35" ht="15" customHeight="1">
      <c r="A60" s="2"/>
      <c r="B60" s="2"/>
      <c r="C60" s="531" t="s">
        <v>22</v>
      </c>
      <c r="D60" s="501"/>
      <c r="E60" s="20">
        <f t="shared" ref="E60:AF60" si="20">E22-D22</f>
        <v>0</v>
      </c>
      <c r="F60" s="20">
        <f t="shared" si="20"/>
        <v>0</v>
      </c>
      <c r="G60" s="20">
        <f t="shared" si="20"/>
        <v>0</v>
      </c>
      <c r="H60" s="20">
        <f t="shared" si="20"/>
        <v>0</v>
      </c>
      <c r="I60" s="20">
        <f t="shared" si="20"/>
        <v>0</v>
      </c>
      <c r="J60" s="20">
        <f t="shared" si="20"/>
        <v>0</v>
      </c>
      <c r="K60" s="20">
        <f t="shared" si="20"/>
        <v>0</v>
      </c>
      <c r="L60" s="20">
        <f t="shared" si="20"/>
        <v>2</v>
      </c>
      <c r="M60" s="20">
        <f t="shared" si="20"/>
        <v>0</v>
      </c>
      <c r="N60" s="20">
        <f t="shared" si="20"/>
        <v>0</v>
      </c>
      <c r="O60" s="20">
        <f t="shared" si="20"/>
        <v>0</v>
      </c>
      <c r="P60" s="20">
        <f t="shared" si="20"/>
        <v>0</v>
      </c>
      <c r="Q60" s="20">
        <f t="shared" si="20"/>
        <v>0</v>
      </c>
      <c r="R60" s="20">
        <f t="shared" si="20"/>
        <v>0</v>
      </c>
      <c r="S60" s="20">
        <f t="shared" si="20"/>
        <v>0</v>
      </c>
      <c r="T60" s="20">
        <f t="shared" si="20"/>
        <v>0</v>
      </c>
      <c r="U60" s="20">
        <f t="shared" si="20"/>
        <v>0</v>
      </c>
      <c r="V60" s="20">
        <f t="shared" si="20"/>
        <v>0</v>
      </c>
      <c r="W60" s="20">
        <f t="shared" si="20"/>
        <v>0</v>
      </c>
      <c r="X60" s="20">
        <f t="shared" si="20"/>
        <v>0</v>
      </c>
      <c r="Y60" s="20">
        <f t="shared" si="20"/>
        <v>0</v>
      </c>
      <c r="Z60" s="20">
        <f t="shared" si="20"/>
        <v>0</v>
      </c>
      <c r="AA60" s="20">
        <f t="shared" si="20"/>
        <v>0</v>
      </c>
      <c r="AB60" s="20">
        <f t="shared" si="20"/>
        <v>0</v>
      </c>
      <c r="AC60" s="20">
        <f t="shared" si="20"/>
        <v>0</v>
      </c>
      <c r="AD60" s="20">
        <f t="shared" si="20"/>
        <v>0</v>
      </c>
      <c r="AE60" s="20">
        <f t="shared" si="20"/>
        <v>0</v>
      </c>
      <c r="AF60" s="20">
        <f t="shared" si="20"/>
        <v>0</v>
      </c>
      <c r="AG60" s="21">
        <f t="shared" si="5"/>
        <v>2</v>
      </c>
    </row>
    <row r="61" spans="1:35" ht="15" customHeight="1">
      <c r="A61" s="99"/>
      <c r="B61" s="99"/>
      <c r="C61" s="500" t="s">
        <v>130</v>
      </c>
      <c r="D61" s="501"/>
      <c r="E61" s="23">
        <f t="shared" ref="E61:AF61" si="21">SUM(E59,E57,E55,E53,E51,E49,E47,E45)</f>
        <v>1428</v>
      </c>
      <c r="F61" s="23">
        <f t="shared" si="21"/>
        <v>1795</v>
      </c>
      <c r="G61" s="23">
        <f t="shared" si="21"/>
        <v>1771</v>
      </c>
      <c r="H61" s="23">
        <f t="shared" si="21"/>
        <v>2699</v>
      </c>
      <c r="I61" s="23">
        <f t="shared" si="21"/>
        <v>2006</v>
      </c>
      <c r="J61" s="23">
        <f t="shared" si="21"/>
        <v>2062</v>
      </c>
      <c r="K61" s="23">
        <f t="shared" si="21"/>
        <v>1910</v>
      </c>
      <c r="L61" s="23">
        <f t="shared" si="21"/>
        <v>1461</v>
      </c>
      <c r="M61" s="23">
        <f t="shared" si="21"/>
        <v>1380</v>
      </c>
      <c r="N61" s="23">
        <f t="shared" si="21"/>
        <v>2006</v>
      </c>
      <c r="O61" s="23">
        <f t="shared" si="21"/>
        <v>2010</v>
      </c>
      <c r="P61" s="23">
        <f t="shared" si="21"/>
        <v>2081</v>
      </c>
      <c r="Q61" s="23">
        <f t="shared" si="21"/>
        <v>2006</v>
      </c>
      <c r="R61" s="23">
        <f t="shared" si="21"/>
        <v>1818</v>
      </c>
      <c r="S61" s="23">
        <f t="shared" si="21"/>
        <v>1490</v>
      </c>
      <c r="T61" s="23">
        <f t="shared" si="21"/>
        <v>1263</v>
      </c>
      <c r="U61" s="23">
        <f t="shared" si="21"/>
        <v>1961</v>
      </c>
      <c r="V61" s="23">
        <f t="shared" si="21"/>
        <v>2034</v>
      </c>
      <c r="W61" s="23">
        <f t="shared" si="21"/>
        <v>2185</v>
      </c>
      <c r="X61" s="23">
        <f t="shared" si="21"/>
        <v>2152</v>
      </c>
      <c r="Y61" s="23">
        <f t="shared" si="21"/>
        <v>2115</v>
      </c>
      <c r="Z61" s="23">
        <f t="shared" si="21"/>
        <v>1480</v>
      </c>
      <c r="AA61" s="23">
        <f t="shared" si="21"/>
        <v>1434</v>
      </c>
      <c r="AB61" s="23">
        <f t="shared" si="21"/>
        <v>1918</v>
      </c>
      <c r="AC61" s="23">
        <f t="shared" si="21"/>
        <v>2070</v>
      </c>
      <c r="AD61" s="23">
        <f t="shared" si="21"/>
        <v>1933</v>
      </c>
      <c r="AE61" s="23">
        <f t="shared" si="21"/>
        <v>2057</v>
      </c>
      <c r="AF61" s="23">
        <f t="shared" si="21"/>
        <v>810</v>
      </c>
      <c r="AG61" s="24">
        <f t="shared" si="5"/>
        <v>51335</v>
      </c>
      <c r="AH61" s="78"/>
    </row>
    <row r="62" spans="1:35" ht="15" customHeight="1">
      <c r="A62" s="99"/>
      <c r="B62" s="99"/>
      <c r="C62" s="145" t="s">
        <v>131</v>
      </c>
      <c r="D62" s="108"/>
      <c r="E62" s="23">
        <f t="shared" ref="E62:AF62" si="22">SUM(E46,E48,E50,E52,E54,E56,E58,E60)</f>
        <v>0</v>
      </c>
      <c r="F62" s="23">
        <f t="shared" si="22"/>
        <v>0</v>
      </c>
      <c r="G62" s="23">
        <f t="shared" si="22"/>
        <v>0</v>
      </c>
      <c r="H62" s="23">
        <f t="shared" si="22"/>
        <v>0</v>
      </c>
      <c r="I62" s="23">
        <f t="shared" si="22"/>
        <v>0</v>
      </c>
      <c r="J62" s="23">
        <f t="shared" si="22"/>
        <v>0</v>
      </c>
      <c r="K62" s="23">
        <f t="shared" si="22"/>
        <v>0</v>
      </c>
      <c r="L62" s="23">
        <f t="shared" si="22"/>
        <v>44</v>
      </c>
      <c r="M62" s="23">
        <f t="shared" si="22"/>
        <v>0</v>
      </c>
      <c r="N62" s="23">
        <f t="shared" si="22"/>
        <v>0</v>
      </c>
      <c r="O62" s="23">
        <f t="shared" si="22"/>
        <v>0</v>
      </c>
      <c r="P62" s="23">
        <f t="shared" si="22"/>
        <v>0</v>
      </c>
      <c r="Q62" s="23">
        <f t="shared" si="22"/>
        <v>0</v>
      </c>
      <c r="R62" s="23">
        <f t="shared" si="22"/>
        <v>0</v>
      </c>
      <c r="S62" s="23">
        <f t="shared" si="22"/>
        <v>0</v>
      </c>
      <c r="T62" s="23">
        <f t="shared" si="22"/>
        <v>0</v>
      </c>
      <c r="U62" s="23">
        <f t="shared" si="22"/>
        <v>0</v>
      </c>
      <c r="V62" s="23">
        <f t="shared" si="22"/>
        <v>0</v>
      </c>
      <c r="W62" s="23">
        <f t="shared" si="22"/>
        <v>0</v>
      </c>
      <c r="X62" s="23">
        <f t="shared" si="22"/>
        <v>0</v>
      </c>
      <c r="Y62" s="23">
        <f t="shared" si="22"/>
        <v>0</v>
      </c>
      <c r="Z62" s="23">
        <f t="shared" si="22"/>
        <v>0</v>
      </c>
      <c r="AA62" s="23">
        <f t="shared" si="22"/>
        <v>0</v>
      </c>
      <c r="AB62" s="23">
        <f t="shared" si="22"/>
        <v>0</v>
      </c>
      <c r="AC62" s="23">
        <f t="shared" si="22"/>
        <v>0</v>
      </c>
      <c r="AD62" s="23">
        <f t="shared" si="22"/>
        <v>0</v>
      </c>
      <c r="AE62" s="23">
        <f t="shared" si="22"/>
        <v>0</v>
      </c>
      <c r="AF62" s="23">
        <f t="shared" si="22"/>
        <v>0</v>
      </c>
      <c r="AG62" s="24">
        <f t="shared" si="5"/>
        <v>44</v>
      </c>
    </row>
    <row r="63" spans="1:35" ht="14.5" customHeight="1">
      <c r="A63" s="101"/>
      <c r="B63" s="101"/>
      <c r="C63" s="539" t="s">
        <v>132</v>
      </c>
      <c r="D63" s="501"/>
      <c r="E63" s="102">
        <f t="shared" ref="E63:AG63" si="23">E61</f>
        <v>1428</v>
      </c>
      <c r="F63" s="102">
        <f t="shared" si="23"/>
        <v>1795</v>
      </c>
      <c r="G63" s="102">
        <f t="shared" si="23"/>
        <v>1771</v>
      </c>
      <c r="H63" s="102">
        <f t="shared" si="23"/>
        <v>2699</v>
      </c>
      <c r="I63" s="102">
        <f t="shared" si="23"/>
        <v>2006</v>
      </c>
      <c r="J63" s="102">
        <f t="shared" si="23"/>
        <v>2062</v>
      </c>
      <c r="K63" s="102">
        <f t="shared" si="23"/>
        <v>1910</v>
      </c>
      <c r="L63" s="102">
        <f t="shared" si="23"/>
        <v>1461</v>
      </c>
      <c r="M63" s="102">
        <f t="shared" si="23"/>
        <v>1380</v>
      </c>
      <c r="N63" s="102">
        <f t="shared" si="23"/>
        <v>2006</v>
      </c>
      <c r="O63" s="102">
        <f t="shared" si="23"/>
        <v>2010</v>
      </c>
      <c r="P63" s="102">
        <f t="shared" si="23"/>
        <v>2081</v>
      </c>
      <c r="Q63" s="102">
        <f t="shared" si="23"/>
        <v>2006</v>
      </c>
      <c r="R63" s="102">
        <f t="shared" si="23"/>
        <v>1818</v>
      </c>
      <c r="S63" s="102">
        <f t="shared" si="23"/>
        <v>1490</v>
      </c>
      <c r="T63" s="102">
        <f t="shared" si="23"/>
        <v>1263</v>
      </c>
      <c r="U63" s="102">
        <f t="shared" si="23"/>
        <v>1961</v>
      </c>
      <c r="V63" s="102">
        <f t="shared" si="23"/>
        <v>2034</v>
      </c>
      <c r="W63" s="102">
        <f t="shared" si="23"/>
        <v>2185</v>
      </c>
      <c r="X63" s="102">
        <f t="shared" si="23"/>
        <v>2152</v>
      </c>
      <c r="Y63" s="102">
        <f t="shared" si="23"/>
        <v>2115</v>
      </c>
      <c r="Z63" s="102">
        <f t="shared" si="23"/>
        <v>1480</v>
      </c>
      <c r="AA63" s="102">
        <f t="shared" si="23"/>
        <v>1434</v>
      </c>
      <c r="AB63" s="102">
        <f t="shared" si="23"/>
        <v>1918</v>
      </c>
      <c r="AC63" s="102">
        <f t="shared" si="23"/>
        <v>2070</v>
      </c>
      <c r="AD63" s="102">
        <f t="shared" si="23"/>
        <v>1933</v>
      </c>
      <c r="AE63" s="102">
        <f t="shared" si="23"/>
        <v>2057</v>
      </c>
      <c r="AF63" s="102">
        <f t="shared" si="23"/>
        <v>810</v>
      </c>
      <c r="AG63" s="102">
        <f t="shared" si="23"/>
        <v>51335</v>
      </c>
    </row>
    <row r="64" spans="1:35" ht="13" customHeight="1">
      <c r="A64" s="94"/>
      <c r="B64" s="27"/>
      <c r="C64" s="146"/>
      <c r="D64" s="10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</row>
    <row r="65" spans="1:35" ht="14.5" customHeight="1">
      <c r="A65" s="28" t="s">
        <v>133</v>
      </c>
      <c r="B65" s="28" t="s">
        <v>100</v>
      </c>
      <c r="C65" s="523" t="s">
        <v>101</v>
      </c>
      <c r="D65" s="50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103"/>
    </row>
    <row r="66" spans="1:35" ht="14.5" customHeight="1">
      <c r="A66" s="2">
        <v>1</v>
      </c>
      <c r="B66" s="2" t="s">
        <v>129</v>
      </c>
      <c r="C66" s="506" t="s">
        <v>119</v>
      </c>
      <c r="D66" s="501"/>
      <c r="E66" s="30">
        <f t="shared" ref="E66:AF66" si="24">E24-D24</f>
        <v>28</v>
      </c>
      <c r="F66" s="30">
        <f t="shared" si="24"/>
        <v>0</v>
      </c>
      <c r="G66" s="30">
        <f t="shared" si="24"/>
        <v>38</v>
      </c>
      <c r="H66" s="30">
        <f t="shared" si="24"/>
        <v>36</v>
      </c>
      <c r="I66" s="30">
        <f t="shared" si="24"/>
        <v>36</v>
      </c>
      <c r="J66" s="30">
        <f t="shared" si="24"/>
        <v>38</v>
      </c>
      <c r="K66" s="30">
        <f t="shared" si="24"/>
        <v>38</v>
      </c>
      <c r="L66" s="30">
        <f t="shared" si="24"/>
        <v>39</v>
      </c>
      <c r="M66" s="30">
        <f t="shared" si="24"/>
        <v>0</v>
      </c>
      <c r="N66" s="30">
        <f t="shared" si="24"/>
        <v>35</v>
      </c>
      <c r="O66" s="30">
        <f t="shared" si="24"/>
        <v>38</v>
      </c>
      <c r="P66" s="30">
        <f t="shared" si="24"/>
        <v>56</v>
      </c>
      <c r="Q66" s="30">
        <f t="shared" si="24"/>
        <v>77</v>
      </c>
      <c r="R66" s="30">
        <f t="shared" si="24"/>
        <v>61</v>
      </c>
      <c r="S66" s="30">
        <f t="shared" si="24"/>
        <v>19</v>
      </c>
      <c r="T66" s="30">
        <f t="shared" si="24"/>
        <v>0</v>
      </c>
      <c r="U66" s="30">
        <f t="shared" si="24"/>
        <v>49</v>
      </c>
      <c r="V66" s="30">
        <f t="shared" si="24"/>
        <v>62</v>
      </c>
      <c r="W66" s="30">
        <f t="shared" si="24"/>
        <v>63</v>
      </c>
      <c r="X66" s="30">
        <f t="shared" si="24"/>
        <v>60</v>
      </c>
      <c r="Y66" s="30">
        <f t="shared" si="24"/>
        <v>63</v>
      </c>
      <c r="Z66" s="30">
        <f t="shared" si="24"/>
        <v>21</v>
      </c>
      <c r="AA66" s="30">
        <f t="shared" si="24"/>
        <v>0</v>
      </c>
      <c r="AB66" s="30">
        <f t="shared" si="24"/>
        <v>57</v>
      </c>
      <c r="AC66" s="30">
        <f t="shared" si="24"/>
        <v>65</v>
      </c>
      <c r="AD66" s="30">
        <f t="shared" si="24"/>
        <v>58</v>
      </c>
      <c r="AE66" s="30">
        <f t="shared" si="24"/>
        <v>47</v>
      </c>
      <c r="AF66" s="30">
        <f t="shared" si="24"/>
        <v>9</v>
      </c>
      <c r="AG66" s="30">
        <f t="shared" ref="AG66:AG79" si="25">SUM(E66:AF66)</f>
        <v>1093</v>
      </c>
      <c r="AI66" s="78"/>
    </row>
    <row r="67" spans="1:35" ht="14.5" customHeight="1">
      <c r="A67" s="2"/>
      <c r="B67" s="2"/>
      <c r="C67" s="532" t="s">
        <v>22</v>
      </c>
      <c r="D67" s="501"/>
      <c r="E67" s="30">
        <f t="shared" ref="E67:AF67" si="26">E25-D25</f>
        <v>0</v>
      </c>
      <c r="F67" s="30">
        <f t="shared" si="26"/>
        <v>0</v>
      </c>
      <c r="G67" s="30">
        <f t="shared" si="26"/>
        <v>0</v>
      </c>
      <c r="H67" s="30">
        <f t="shared" si="26"/>
        <v>0</v>
      </c>
      <c r="I67" s="30">
        <f t="shared" si="26"/>
        <v>0</v>
      </c>
      <c r="J67" s="30">
        <f t="shared" si="26"/>
        <v>0</v>
      </c>
      <c r="K67" s="30">
        <f t="shared" si="26"/>
        <v>0</v>
      </c>
      <c r="L67" s="30">
        <f t="shared" si="26"/>
        <v>2</v>
      </c>
      <c r="M67" s="30">
        <f t="shared" si="26"/>
        <v>0</v>
      </c>
      <c r="N67" s="30">
        <f t="shared" si="26"/>
        <v>0</v>
      </c>
      <c r="O67" s="30">
        <f t="shared" si="26"/>
        <v>0</v>
      </c>
      <c r="P67" s="30">
        <f t="shared" si="26"/>
        <v>0</v>
      </c>
      <c r="Q67" s="30">
        <f t="shared" si="26"/>
        <v>0</v>
      </c>
      <c r="R67" s="30">
        <f t="shared" si="26"/>
        <v>0</v>
      </c>
      <c r="S67" s="30">
        <f t="shared" si="26"/>
        <v>0</v>
      </c>
      <c r="T67" s="30">
        <f t="shared" si="26"/>
        <v>0</v>
      </c>
      <c r="U67" s="30">
        <f t="shared" si="26"/>
        <v>0</v>
      </c>
      <c r="V67" s="30">
        <f t="shared" si="26"/>
        <v>0</v>
      </c>
      <c r="W67" s="30">
        <f t="shared" si="26"/>
        <v>0</v>
      </c>
      <c r="X67" s="30">
        <f t="shared" si="26"/>
        <v>0</v>
      </c>
      <c r="Y67" s="30">
        <f t="shared" si="26"/>
        <v>0</v>
      </c>
      <c r="Z67" s="30">
        <f t="shared" si="26"/>
        <v>0</v>
      </c>
      <c r="AA67" s="30">
        <f t="shared" si="26"/>
        <v>0</v>
      </c>
      <c r="AB67" s="30">
        <f t="shared" si="26"/>
        <v>0</v>
      </c>
      <c r="AC67" s="30">
        <f t="shared" si="26"/>
        <v>0</v>
      </c>
      <c r="AD67" s="30">
        <f t="shared" si="26"/>
        <v>0</v>
      </c>
      <c r="AE67" s="30">
        <f t="shared" si="26"/>
        <v>0</v>
      </c>
      <c r="AF67" s="30">
        <f t="shared" si="26"/>
        <v>0</v>
      </c>
      <c r="AG67" s="30">
        <f t="shared" si="25"/>
        <v>2</v>
      </c>
    </row>
    <row r="68" spans="1:35" ht="14.5" customHeight="1">
      <c r="A68" s="2">
        <v>2</v>
      </c>
      <c r="B68" s="2" t="s">
        <v>129</v>
      </c>
      <c r="C68" s="506" t="s">
        <v>120</v>
      </c>
      <c r="D68" s="501"/>
      <c r="E68" s="30">
        <f t="shared" ref="E68:AF68" si="27">E26-D26</f>
        <v>60</v>
      </c>
      <c r="F68" s="30">
        <f t="shared" si="27"/>
        <v>0</v>
      </c>
      <c r="G68" s="30">
        <f t="shared" si="27"/>
        <v>72</v>
      </c>
      <c r="H68" s="30">
        <f t="shared" si="27"/>
        <v>45</v>
      </c>
      <c r="I68" s="30">
        <f t="shared" si="27"/>
        <v>44</v>
      </c>
      <c r="J68" s="30">
        <f t="shared" si="27"/>
        <v>56</v>
      </c>
      <c r="K68" s="30">
        <f t="shared" si="27"/>
        <v>44</v>
      </c>
      <c r="L68" s="30">
        <f t="shared" si="27"/>
        <v>26</v>
      </c>
      <c r="M68" s="30">
        <f t="shared" si="27"/>
        <v>0</v>
      </c>
      <c r="N68" s="30">
        <f t="shared" si="27"/>
        <v>98</v>
      </c>
      <c r="O68" s="30">
        <f t="shared" si="27"/>
        <v>53</v>
      </c>
      <c r="P68" s="30">
        <f t="shared" si="27"/>
        <v>71</v>
      </c>
      <c r="Q68" s="30">
        <f t="shared" si="27"/>
        <v>66</v>
      </c>
      <c r="R68" s="30">
        <f t="shared" si="27"/>
        <v>93</v>
      </c>
      <c r="S68" s="30">
        <f t="shared" si="27"/>
        <v>23</v>
      </c>
      <c r="T68" s="30">
        <f t="shared" si="27"/>
        <v>0</v>
      </c>
      <c r="U68" s="30">
        <f t="shared" si="27"/>
        <v>64</v>
      </c>
      <c r="V68" s="30">
        <f t="shared" si="27"/>
        <v>94</v>
      </c>
      <c r="W68" s="30">
        <f t="shared" si="27"/>
        <v>89</v>
      </c>
      <c r="X68" s="30">
        <f t="shared" si="27"/>
        <v>91</v>
      </c>
      <c r="Y68" s="30">
        <f t="shared" si="27"/>
        <v>87</v>
      </c>
      <c r="Z68" s="30">
        <f t="shared" si="27"/>
        <v>24</v>
      </c>
      <c r="AA68" s="30">
        <f t="shared" si="27"/>
        <v>0</v>
      </c>
      <c r="AB68" s="30">
        <f t="shared" si="27"/>
        <v>84</v>
      </c>
      <c r="AC68" s="30">
        <f t="shared" si="27"/>
        <v>98</v>
      </c>
      <c r="AD68" s="30">
        <f t="shared" si="27"/>
        <v>93</v>
      </c>
      <c r="AE68" s="30">
        <f t="shared" si="27"/>
        <v>79</v>
      </c>
      <c r="AF68" s="30">
        <f t="shared" si="27"/>
        <v>11</v>
      </c>
      <c r="AG68" s="30">
        <f t="shared" si="25"/>
        <v>1565</v>
      </c>
    </row>
    <row r="69" spans="1:35" ht="14.5" customHeight="1">
      <c r="A69" s="2"/>
      <c r="B69" s="2"/>
      <c r="C69" s="532" t="s">
        <v>22</v>
      </c>
      <c r="D69" s="501"/>
      <c r="E69" s="30">
        <f t="shared" ref="E69:AF69" si="28">E27-D27</f>
        <v>0</v>
      </c>
      <c r="F69" s="30">
        <f t="shared" si="28"/>
        <v>0</v>
      </c>
      <c r="G69" s="30">
        <f t="shared" si="28"/>
        <v>0</v>
      </c>
      <c r="H69" s="30">
        <f t="shared" si="28"/>
        <v>0</v>
      </c>
      <c r="I69" s="30">
        <f t="shared" si="28"/>
        <v>0</v>
      </c>
      <c r="J69" s="30">
        <f t="shared" si="28"/>
        <v>0</v>
      </c>
      <c r="K69" s="30">
        <f t="shared" si="28"/>
        <v>0</v>
      </c>
      <c r="L69" s="30">
        <f t="shared" si="28"/>
        <v>3</v>
      </c>
      <c r="M69" s="30">
        <f t="shared" si="28"/>
        <v>0</v>
      </c>
      <c r="N69" s="30">
        <f t="shared" si="28"/>
        <v>0</v>
      </c>
      <c r="O69" s="30">
        <f t="shared" si="28"/>
        <v>0</v>
      </c>
      <c r="P69" s="30">
        <f t="shared" si="28"/>
        <v>0</v>
      </c>
      <c r="Q69" s="30">
        <f t="shared" si="28"/>
        <v>0</v>
      </c>
      <c r="R69" s="30">
        <f t="shared" si="28"/>
        <v>0</v>
      </c>
      <c r="S69" s="30">
        <f t="shared" si="28"/>
        <v>0</v>
      </c>
      <c r="T69" s="30">
        <f t="shared" si="28"/>
        <v>0</v>
      </c>
      <c r="U69" s="30">
        <f t="shared" si="28"/>
        <v>0</v>
      </c>
      <c r="V69" s="30">
        <f t="shared" si="28"/>
        <v>0</v>
      </c>
      <c r="W69" s="30">
        <f t="shared" si="28"/>
        <v>0</v>
      </c>
      <c r="X69" s="30">
        <f t="shared" si="28"/>
        <v>0</v>
      </c>
      <c r="Y69" s="30">
        <f t="shared" si="28"/>
        <v>0</v>
      </c>
      <c r="Z69" s="30">
        <f t="shared" si="28"/>
        <v>0</v>
      </c>
      <c r="AA69" s="30">
        <f t="shared" si="28"/>
        <v>0</v>
      </c>
      <c r="AB69" s="30">
        <f t="shared" si="28"/>
        <v>0</v>
      </c>
      <c r="AC69" s="30">
        <f t="shared" si="28"/>
        <v>0</v>
      </c>
      <c r="AD69" s="30">
        <f t="shared" si="28"/>
        <v>0</v>
      </c>
      <c r="AE69" s="30">
        <f t="shared" si="28"/>
        <v>0</v>
      </c>
      <c r="AF69" s="30">
        <f t="shared" si="28"/>
        <v>0</v>
      </c>
      <c r="AG69" s="30">
        <f t="shared" si="25"/>
        <v>3</v>
      </c>
    </row>
    <row r="70" spans="1:35" ht="14.5" customHeight="1">
      <c r="A70" s="2">
        <v>3</v>
      </c>
      <c r="B70" s="2" t="s">
        <v>129</v>
      </c>
      <c r="C70" s="506" t="s">
        <v>121</v>
      </c>
      <c r="D70" s="501"/>
      <c r="E70" s="30">
        <f t="shared" ref="E70:AF70" si="29">E28-D28</f>
        <v>71</v>
      </c>
      <c r="F70" s="30">
        <f t="shared" si="29"/>
        <v>0</v>
      </c>
      <c r="G70" s="30">
        <f t="shared" si="29"/>
        <v>60</v>
      </c>
      <c r="H70" s="30">
        <f t="shared" si="29"/>
        <v>47</v>
      </c>
      <c r="I70" s="30">
        <f t="shared" si="29"/>
        <v>47</v>
      </c>
      <c r="J70" s="30">
        <f t="shared" si="29"/>
        <v>82</v>
      </c>
      <c r="K70" s="30">
        <f t="shared" si="29"/>
        <v>47</v>
      </c>
      <c r="L70" s="30">
        <f t="shared" si="29"/>
        <v>24</v>
      </c>
      <c r="M70" s="30">
        <f t="shared" si="29"/>
        <v>0</v>
      </c>
      <c r="N70" s="30">
        <f t="shared" si="29"/>
        <v>117</v>
      </c>
      <c r="O70" s="30">
        <f t="shared" si="29"/>
        <v>49</v>
      </c>
      <c r="P70" s="30">
        <f t="shared" si="29"/>
        <v>73</v>
      </c>
      <c r="Q70" s="30">
        <f t="shared" si="29"/>
        <v>55</v>
      </c>
      <c r="R70" s="30">
        <f t="shared" si="29"/>
        <v>89</v>
      </c>
      <c r="S70" s="30">
        <f t="shared" si="29"/>
        <v>24</v>
      </c>
      <c r="T70" s="30">
        <f t="shared" si="29"/>
        <v>0</v>
      </c>
      <c r="U70" s="30">
        <f t="shared" si="29"/>
        <v>64</v>
      </c>
      <c r="V70" s="30">
        <f t="shared" si="29"/>
        <v>122</v>
      </c>
      <c r="W70" s="30">
        <f t="shared" si="29"/>
        <v>131</v>
      </c>
      <c r="X70" s="30">
        <f t="shared" si="29"/>
        <v>139</v>
      </c>
      <c r="Y70" s="30">
        <f t="shared" si="29"/>
        <v>128</v>
      </c>
      <c r="Z70" s="30">
        <f t="shared" si="29"/>
        <v>70</v>
      </c>
      <c r="AA70" s="30">
        <f t="shared" si="29"/>
        <v>0</v>
      </c>
      <c r="AB70" s="30">
        <f t="shared" si="29"/>
        <v>126</v>
      </c>
      <c r="AC70" s="30">
        <f t="shared" si="29"/>
        <v>124</v>
      </c>
      <c r="AD70" s="30">
        <f t="shared" si="29"/>
        <v>62</v>
      </c>
      <c r="AE70" s="30">
        <f t="shared" si="29"/>
        <v>181</v>
      </c>
      <c r="AF70" s="30">
        <f t="shared" si="29"/>
        <v>21</v>
      </c>
      <c r="AG70" s="30">
        <f t="shared" si="25"/>
        <v>1953</v>
      </c>
    </row>
    <row r="71" spans="1:35" ht="14.5" customHeight="1">
      <c r="A71" s="2"/>
      <c r="B71" s="2"/>
      <c r="C71" s="532" t="s">
        <v>22</v>
      </c>
      <c r="D71" s="501"/>
      <c r="E71" s="30">
        <f t="shared" ref="E71:AF71" si="30">E29-D29</f>
        <v>0</v>
      </c>
      <c r="F71" s="30">
        <f t="shared" si="30"/>
        <v>0</v>
      </c>
      <c r="G71" s="30">
        <f t="shared" si="30"/>
        <v>0</v>
      </c>
      <c r="H71" s="30">
        <f t="shared" si="30"/>
        <v>0</v>
      </c>
      <c r="I71" s="30">
        <f t="shared" si="30"/>
        <v>0</v>
      </c>
      <c r="J71" s="30">
        <f t="shared" si="30"/>
        <v>0</v>
      </c>
      <c r="K71" s="30">
        <f t="shared" si="30"/>
        <v>0</v>
      </c>
      <c r="L71" s="30">
        <f t="shared" si="30"/>
        <v>2</v>
      </c>
      <c r="M71" s="30">
        <f t="shared" si="30"/>
        <v>0</v>
      </c>
      <c r="N71" s="30">
        <f t="shared" si="30"/>
        <v>0</v>
      </c>
      <c r="O71" s="30">
        <f t="shared" si="30"/>
        <v>0</v>
      </c>
      <c r="P71" s="30">
        <f t="shared" si="30"/>
        <v>0</v>
      </c>
      <c r="Q71" s="30">
        <f t="shared" si="30"/>
        <v>0</v>
      </c>
      <c r="R71" s="30">
        <f t="shared" si="30"/>
        <v>0</v>
      </c>
      <c r="S71" s="30">
        <f t="shared" si="30"/>
        <v>0</v>
      </c>
      <c r="T71" s="30">
        <f t="shared" si="30"/>
        <v>0</v>
      </c>
      <c r="U71" s="30">
        <f t="shared" si="30"/>
        <v>0</v>
      </c>
      <c r="V71" s="30">
        <f t="shared" si="30"/>
        <v>0</v>
      </c>
      <c r="W71" s="30">
        <f t="shared" si="30"/>
        <v>0</v>
      </c>
      <c r="X71" s="30">
        <f t="shared" si="30"/>
        <v>0</v>
      </c>
      <c r="Y71" s="30">
        <f t="shared" si="30"/>
        <v>0</v>
      </c>
      <c r="Z71" s="30">
        <f t="shared" si="30"/>
        <v>0</v>
      </c>
      <c r="AA71" s="30">
        <f t="shared" si="30"/>
        <v>0</v>
      </c>
      <c r="AB71" s="30">
        <f t="shared" si="30"/>
        <v>0</v>
      </c>
      <c r="AC71" s="30">
        <f t="shared" si="30"/>
        <v>0</v>
      </c>
      <c r="AD71" s="30">
        <f t="shared" si="30"/>
        <v>0</v>
      </c>
      <c r="AE71" s="30">
        <f t="shared" si="30"/>
        <v>0</v>
      </c>
      <c r="AF71" s="30">
        <f t="shared" si="30"/>
        <v>0</v>
      </c>
      <c r="AG71" s="30">
        <f t="shared" si="25"/>
        <v>2</v>
      </c>
    </row>
    <row r="72" spans="1:35" ht="14.5" customHeight="1">
      <c r="A72" s="2">
        <v>4</v>
      </c>
      <c r="B72" s="2" t="s">
        <v>129</v>
      </c>
      <c r="C72" s="506" t="s">
        <v>122</v>
      </c>
      <c r="D72" s="501"/>
      <c r="E72" s="30">
        <f t="shared" ref="E72:AF72" si="31">E30-D30</f>
        <v>38</v>
      </c>
      <c r="F72" s="30">
        <f t="shared" si="31"/>
        <v>0</v>
      </c>
      <c r="G72" s="30">
        <f t="shared" si="31"/>
        <v>53</v>
      </c>
      <c r="H72" s="30">
        <f t="shared" si="31"/>
        <v>54</v>
      </c>
      <c r="I72" s="30">
        <f t="shared" si="31"/>
        <v>53</v>
      </c>
      <c r="J72" s="30">
        <f t="shared" si="31"/>
        <v>58</v>
      </c>
      <c r="K72" s="30">
        <f t="shared" si="31"/>
        <v>51</v>
      </c>
      <c r="L72" s="30">
        <f t="shared" si="31"/>
        <v>27</v>
      </c>
      <c r="M72" s="30">
        <f t="shared" si="31"/>
        <v>0</v>
      </c>
      <c r="N72" s="30">
        <f t="shared" si="31"/>
        <v>65</v>
      </c>
      <c r="O72" s="30">
        <f t="shared" si="31"/>
        <v>53</v>
      </c>
      <c r="P72" s="30">
        <f t="shared" si="31"/>
        <v>61</v>
      </c>
      <c r="Q72" s="30">
        <f t="shared" si="31"/>
        <v>57</v>
      </c>
      <c r="R72" s="30">
        <f t="shared" si="31"/>
        <v>49</v>
      </c>
      <c r="S72" s="30">
        <f t="shared" si="31"/>
        <v>28</v>
      </c>
      <c r="T72" s="30">
        <f t="shared" si="31"/>
        <v>0</v>
      </c>
      <c r="U72" s="30">
        <f t="shared" si="31"/>
        <v>66</v>
      </c>
      <c r="V72" s="30">
        <f t="shared" si="31"/>
        <v>71</v>
      </c>
      <c r="W72" s="30">
        <f t="shared" si="31"/>
        <v>64</v>
      </c>
      <c r="X72" s="30">
        <f t="shared" si="31"/>
        <v>69</v>
      </c>
      <c r="Y72" s="30">
        <f t="shared" si="31"/>
        <v>61</v>
      </c>
      <c r="Z72" s="30">
        <f t="shared" si="31"/>
        <v>31</v>
      </c>
      <c r="AA72" s="30">
        <f t="shared" si="31"/>
        <v>0</v>
      </c>
      <c r="AB72" s="30">
        <f t="shared" si="31"/>
        <v>54</v>
      </c>
      <c r="AC72" s="30">
        <f t="shared" si="31"/>
        <v>53</v>
      </c>
      <c r="AD72" s="30">
        <f t="shared" si="31"/>
        <v>59</v>
      </c>
      <c r="AE72" s="30">
        <f t="shared" si="31"/>
        <v>52</v>
      </c>
      <c r="AF72" s="30">
        <f t="shared" si="31"/>
        <v>12</v>
      </c>
      <c r="AG72" s="30">
        <f t="shared" si="25"/>
        <v>1239</v>
      </c>
    </row>
    <row r="73" spans="1:35" ht="14.5" customHeight="1">
      <c r="A73" s="2"/>
      <c r="B73" s="2"/>
      <c r="C73" s="532" t="s">
        <v>22</v>
      </c>
      <c r="D73" s="501"/>
      <c r="E73" s="30">
        <f t="shared" ref="E73:AF73" si="32">E31-D31</f>
        <v>0</v>
      </c>
      <c r="F73" s="30">
        <f t="shared" si="32"/>
        <v>0</v>
      </c>
      <c r="G73" s="30">
        <f t="shared" si="32"/>
        <v>0</v>
      </c>
      <c r="H73" s="30">
        <f t="shared" si="32"/>
        <v>0</v>
      </c>
      <c r="I73" s="30">
        <f t="shared" si="32"/>
        <v>0</v>
      </c>
      <c r="J73" s="30">
        <f t="shared" si="32"/>
        <v>0</v>
      </c>
      <c r="K73" s="30">
        <f t="shared" si="32"/>
        <v>0</v>
      </c>
      <c r="L73" s="30">
        <f t="shared" si="32"/>
        <v>3</v>
      </c>
      <c r="M73" s="30">
        <f t="shared" si="32"/>
        <v>0</v>
      </c>
      <c r="N73" s="30">
        <f t="shared" si="32"/>
        <v>0</v>
      </c>
      <c r="O73" s="30">
        <f t="shared" si="32"/>
        <v>0</v>
      </c>
      <c r="P73" s="30">
        <f t="shared" si="32"/>
        <v>0</v>
      </c>
      <c r="Q73" s="30">
        <f t="shared" si="32"/>
        <v>0</v>
      </c>
      <c r="R73" s="30">
        <f t="shared" si="32"/>
        <v>0</v>
      </c>
      <c r="S73" s="30">
        <f t="shared" si="32"/>
        <v>0</v>
      </c>
      <c r="T73" s="30">
        <f t="shared" si="32"/>
        <v>0</v>
      </c>
      <c r="U73" s="30">
        <f t="shared" si="32"/>
        <v>0</v>
      </c>
      <c r="V73" s="30">
        <f t="shared" si="32"/>
        <v>0</v>
      </c>
      <c r="W73" s="30">
        <f t="shared" si="32"/>
        <v>0</v>
      </c>
      <c r="X73" s="30">
        <f t="shared" si="32"/>
        <v>0</v>
      </c>
      <c r="Y73" s="30">
        <f t="shared" si="32"/>
        <v>0</v>
      </c>
      <c r="Z73" s="30">
        <f t="shared" si="32"/>
        <v>0</v>
      </c>
      <c r="AA73" s="30">
        <f t="shared" si="32"/>
        <v>0</v>
      </c>
      <c r="AB73" s="30">
        <f t="shared" si="32"/>
        <v>0</v>
      </c>
      <c r="AC73" s="30">
        <f t="shared" si="32"/>
        <v>0</v>
      </c>
      <c r="AD73" s="30">
        <f t="shared" si="32"/>
        <v>0</v>
      </c>
      <c r="AE73" s="30">
        <f t="shared" si="32"/>
        <v>0</v>
      </c>
      <c r="AF73" s="30">
        <f t="shared" si="32"/>
        <v>0</v>
      </c>
      <c r="AG73" s="30">
        <f t="shared" si="25"/>
        <v>3</v>
      </c>
    </row>
    <row r="74" spans="1:35" ht="25.5" customHeight="1">
      <c r="A74" s="99"/>
      <c r="B74" s="99"/>
      <c r="C74" s="500" t="s">
        <v>134</v>
      </c>
      <c r="D74" s="501"/>
      <c r="E74" s="23">
        <f t="shared" ref="E74:AF74" si="33">SUM(E66,E68,E70,E72)</f>
        <v>197</v>
      </c>
      <c r="F74" s="23">
        <f t="shared" si="33"/>
        <v>0</v>
      </c>
      <c r="G74" s="23">
        <f t="shared" si="33"/>
        <v>223</v>
      </c>
      <c r="H74" s="23">
        <f t="shared" si="33"/>
        <v>182</v>
      </c>
      <c r="I74" s="23">
        <f t="shared" si="33"/>
        <v>180</v>
      </c>
      <c r="J74" s="23">
        <f t="shared" si="33"/>
        <v>234</v>
      </c>
      <c r="K74" s="23">
        <f t="shared" si="33"/>
        <v>180</v>
      </c>
      <c r="L74" s="23">
        <f t="shared" si="33"/>
        <v>116</v>
      </c>
      <c r="M74" s="23">
        <f t="shared" si="33"/>
        <v>0</v>
      </c>
      <c r="N74" s="23">
        <f t="shared" si="33"/>
        <v>315</v>
      </c>
      <c r="O74" s="23">
        <f t="shared" si="33"/>
        <v>193</v>
      </c>
      <c r="P74" s="23">
        <f t="shared" si="33"/>
        <v>261</v>
      </c>
      <c r="Q74" s="23">
        <f t="shared" si="33"/>
        <v>255</v>
      </c>
      <c r="R74" s="23">
        <f t="shared" si="33"/>
        <v>292</v>
      </c>
      <c r="S74" s="23">
        <f t="shared" si="33"/>
        <v>94</v>
      </c>
      <c r="T74" s="23">
        <f t="shared" si="33"/>
        <v>0</v>
      </c>
      <c r="U74" s="23">
        <f t="shared" si="33"/>
        <v>243</v>
      </c>
      <c r="V74" s="23">
        <f t="shared" si="33"/>
        <v>349</v>
      </c>
      <c r="W74" s="23">
        <f t="shared" si="33"/>
        <v>347</v>
      </c>
      <c r="X74" s="23">
        <f t="shared" si="33"/>
        <v>359</v>
      </c>
      <c r="Y74" s="23">
        <f t="shared" si="33"/>
        <v>339</v>
      </c>
      <c r="Z74" s="23">
        <f t="shared" si="33"/>
        <v>146</v>
      </c>
      <c r="AA74" s="23">
        <f t="shared" si="33"/>
        <v>0</v>
      </c>
      <c r="AB74" s="23">
        <f t="shared" si="33"/>
        <v>321</v>
      </c>
      <c r="AC74" s="23">
        <f t="shared" si="33"/>
        <v>340</v>
      </c>
      <c r="AD74" s="23">
        <f t="shared" si="33"/>
        <v>272</v>
      </c>
      <c r="AE74" s="23">
        <f t="shared" si="33"/>
        <v>359</v>
      </c>
      <c r="AF74" s="23">
        <f t="shared" si="33"/>
        <v>53</v>
      </c>
      <c r="AG74" s="24">
        <f t="shared" si="25"/>
        <v>5850</v>
      </c>
      <c r="AH74" s="78"/>
      <c r="AI74" s="78"/>
    </row>
    <row r="75" spans="1:35" ht="25.5" customHeight="1">
      <c r="A75" s="99"/>
      <c r="B75" s="99"/>
      <c r="C75" s="513" t="s">
        <v>135</v>
      </c>
      <c r="D75" s="501"/>
      <c r="E75" s="23">
        <f t="shared" ref="E75:AF75" si="34">SUM(E67,E69,E71,E73)</f>
        <v>0</v>
      </c>
      <c r="F75" s="23">
        <f t="shared" si="34"/>
        <v>0</v>
      </c>
      <c r="G75" s="23">
        <f t="shared" si="34"/>
        <v>0</v>
      </c>
      <c r="H75" s="23">
        <f t="shared" si="34"/>
        <v>0</v>
      </c>
      <c r="I75" s="23">
        <f t="shared" si="34"/>
        <v>0</v>
      </c>
      <c r="J75" s="23">
        <f t="shared" si="34"/>
        <v>0</v>
      </c>
      <c r="K75" s="23">
        <f t="shared" si="34"/>
        <v>0</v>
      </c>
      <c r="L75" s="23">
        <f t="shared" si="34"/>
        <v>10</v>
      </c>
      <c r="M75" s="23">
        <f t="shared" si="34"/>
        <v>0</v>
      </c>
      <c r="N75" s="23">
        <f t="shared" si="34"/>
        <v>0</v>
      </c>
      <c r="O75" s="23">
        <f t="shared" si="34"/>
        <v>0</v>
      </c>
      <c r="P75" s="23">
        <f t="shared" si="34"/>
        <v>0</v>
      </c>
      <c r="Q75" s="23">
        <f t="shared" si="34"/>
        <v>0</v>
      </c>
      <c r="R75" s="23">
        <f t="shared" si="34"/>
        <v>0</v>
      </c>
      <c r="S75" s="23">
        <f t="shared" si="34"/>
        <v>0</v>
      </c>
      <c r="T75" s="23">
        <f t="shared" si="34"/>
        <v>0</v>
      </c>
      <c r="U75" s="23">
        <f t="shared" si="34"/>
        <v>0</v>
      </c>
      <c r="V75" s="23">
        <f t="shared" si="34"/>
        <v>0</v>
      </c>
      <c r="W75" s="23">
        <f t="shared" si="34"/>
        <v>0</v>
      </c>
      <c r="X75" s="23">
        <f t="shared" si="34"/>
        <v>0</v>
      </c>
      <c r="Y75" s="23">
        <f t="shared" si="34"/>
        <v>0</v>
      </c>
      <c r="Z75" s="23">
        <f t="shared" si="34"/>
        <v>0</v>
      </c>
      <c r="AA75" s="23">
        <f t="shared" si="34"/>
        <v>0</v>
      </c>
      <c r="AB75" s="23">
        <f t="shared" si="34"/>
        <v>0</v>
      </c>
      <c r="AC75" s="23">
        <f t="shared" si="34"/>
        <v>0</v>
      </c>
      <c r="AD75" s="23">
        <f t="shared" si="34"/>
        <v>0</v>
      </c>
      <c r="AE75" s="23">
        <f t="shared" si="34"/>
        <v>0</v>
      </c>
      <c r="AF75" s="23">
        <f t="shared" si="34"/>
        <v>0</v>
      </c>
      <c r="AG75" s="24">
        <f t="shared" si="25"/>
        <v>10</v>
      </c>
      <c r="AH75" s="78"/>
      <c r="AI75" s="78"/>
    </row>
    <row r="76" spans="1:35" ht="14.5" customHeight="1">
      <c r="A76" s="2">
        <v>1</v>
      </c>
      <c r="B76" s="2" t="s">
        <v>129</v>
      </c>
      <c r="C76" s="503" t="s">
        <v>123</v>
      </c>
      <c r="D76" s="501"/>
      <c r="E76" s="30">
        <f t="shared" ref="E76:AF76" si="35">E33-D33</f>
        <v>288</v>
      </c>
      <c r="F76" s="30">
        <f t="shared" si="35"/>
        <v>0</v>
      </c>
      <c r="G76" s="30">
        <f t="shared" si="35"/>
        <v>575</v>
      </c>
      <c r="H76" s="30">
        <f t="shared" si="35"/>
        <v>599</v>
      </c>
      <c r="I76" s="30">
        <f t="shared" si="35"/>
        <v>539</v>
      </c>
      <c r="J76" s="30">
        <f t="shared" si="35"/>
        <v>529</v>
      </c>
      <c r="K76" s="30">
        <f t="shared" si="35"/>
        <v>467</v>
      </c>
      <c r="L76" s="30">
        <f t="shared" si="35"/>
        <v>50</v>
      </c>
      <c r="M76" s="30">
        <f t="shared" si="35"/>
        <v>0</v>
      </c>
      <c r="N76" s="30">
        <f t="shared" si="35"/>
        <v>691</v>
      </c>
      <c r="O76" s="30">
        <f t="shared" si="35"/>
        <v>610</v>
      </c>
      <c r="P76" s="30">
        <f t="shared" si="35"/>
        <v>575</v>
      </c>
      <c r="Q76" s="30">
        <f t="shared" si="35"/>
        <v>496</v>
      </c>
      <c r="R76" s="30">
        <f t="shared" si="35"/>
        <v>502</v>
      </c>
      <c r="S76" s="30">
        <f t="shared" si="35"/>
        <v>225</v>
      </c>
      <c r="T76" s="30">
        <f t="shared" si="35"/>
        <v>0</v>
      </c>
      <c r="U76" s="30">
        <f t="shared" si="35"/>
        <v>803</v>
      </c>
      <c r="V76" s="30">
        <f t="shared" si="35"/>
        <v>704</v>
      </c>
      <c r="W76" s="30">
        <f t="shared" si="35"/>
        <v>822</v>
      </c>
      <c r="X76" s="30">
        <f t="shared" si="35"/>
        <v>1010</v>
      </c>
      <c r="Y76" s="30">
        <f t="shared" si="35"/>
        <v>732</v>
      </c>
      <c r="Z76" s="30">
        <f t="shared" si="35"/>
        <v>132</v>
      </c>
      <c r="AA76" s="30">
        <f t="shared" si="35"/>
        <v>0</v>
      </c>
      <c r="AB76" s="30">
        <f t="shared" si="35"/>
        <v>861</v>
      </c>
      <c r="AC76" s="30">
        <f t="shared" si="35"/>
        <v>776</v>
      </c>
      <c r="AD76" s="30">
        <f t="shared" si="35"/>
        <v>648</v>
      </c>
      <c r="AE76" s="30">
        <f t="shared" si="35"/>
        <v>653</v>
      </c>
      <c r="AF76" s="30">
        <f t="shared" si="35"/>
        <v>264</v>
      </c>
      <c r="AG76" s="30">
        <f t="shared" si="25"/>
        <v>13551</v>
      </c>
      <c r="AI76" s="78"/>
    </row>
    <row r="77" spans="1:35" ht="14.5" customHeight="1">
      <c r="A77" s="2">
        <v>2</v>
      </c>
      <c r="B77" s="2" t="s">
        <v>129</v>
      </c>
      <c r="C77" s="503" t="s">
        <v>124</v>
      </c>
      <c r="D77" s="501"/>
      <c r="E77" s="30">
        <f t="shared" ref="E77:AF77" si="36">E34-D34</f>
        <v>272</v>
      </c>
      <c r="F77" s="30">
        <f t="shared" si="36"/>
        <v>0</v>
      </c>
      <c r="G77" s="30">
        <f t="shared" si="36"/>
        <v>547</v>
      </c>
      <c r="H77" s="30">
        <f t="shared" si="36"/>
        <v>461</v>
      </c>
      <c r="I77" s="30">
        <f t="shared" si="36"/>
        <v>454</v>
      </c>
      <c r="J77" s="30">
        <f t="shared" si="36"/>
        <v>394</v>
      </c>
      <c r="K77" s="30">
        <f t="shared" si="36"/>
        <v>388</v>
      </c>
      <c r="L77" s="30">
        <f t="shared" si="36"/>
        <v>30</v>
      </c>
      <c r="M77" s="30">
        <f t="shared" si="36"/>
        <v>0</v>
      </c>
      <c r="N77" s="30">
        <f t="shared" si="36"/>
        <v>612</v>
      </c>
      <c r="O77" s="30">
        <f t="shared" si="36"/>
        <v>553</v>
      </c>
      <c r="P77" s="30">
        <f t="shared" si="36"/>
        <v>493</v>
      </c>
      <c r="Q77" s="30">
        <f t="shared" si="36"/>
        <v>450</v>
      </c>
      <c r="R77" s="30">
        <f t="shared" si="36"/>
        <v>353</v>
      </c>
      <c r="S77" s="30">
        <f t="shared" si="36"/>
        <v>186</v>
      </c>
      <c r="T77" s="30">
        <f t="shared" si="36"/>
        <v>0</v>
      </c>
      <c r="U77" s="30">
        <f t="shared" si="36"/>
        <v>672</v>
      </c>
      <c r="V77" s="30">
        <f t="shared" si="36"/>
        <v>622</v>
      </c>
      <c r="W77" s="30">
        <f t="shared" si="36"/>
        <v>602</v>
      </c>
      <c r="X77" s="30">
        <f t="shared" si="36"/>
        <v>679</v>
      </c>
      <c r="Y77" s="30">
        <f t="shared" si="36"/>
        <v>508</v>
      </c>
      <c r="Z77" s="30">
        <f t="shared" si="36"/>
        <v>85</v>
      </c>
      <c r="AA77" s="30">
        <f t="shared" si="36"/>
        <v>0</v>
      </c>
      <c r="AB77" s="30">
        <f t="shared" si="36"/>
        <v>648</v>
      </c>
      <c r="AC77" s="30">
        <f t="shared" si="36"/>
        <v>594</v>
      </c>
      <c r="AD77" s="30">
        <f t="shared" si="36"/>
        <v>545</v>
      </c>
      <c r="AE77" s="30">
        <f t="shared" si="36"/>
        <v>476</v>
      </c>
      <c r="AF77" s="30">
        <f t="shared" si="36"/>
        <v>197</v>
      </c>
      <c r="AG77" s="30">
        <f t="shared" si="25"/>
        <v>10821</v>
      </c>
    </row>
    <row r="78" spans="1:35" ht="14.5" customHeight="1">
      <c r="A78" s="2">
        <v>3</v>
      </c>
      <c r="B78" s="2" t="s">
        <v>129</v>
      </c>
      <c r="C78" s="503" t="s">
        <v>125</v>
      </c>
      <c r="D78" s="501"/>
      <c r="E78" s="30">
        <f t="shared" ref="E78:AF78" si="37">E35-D35</f>
        <v>295</v>
      </c>
      <c r="F78" s="30">
        <f t="shared" si="37"/>
        <v>0</v>
      </c>
      <c r="G78" s="30">
        <f t="shared" si="37"/>
        <v>456</v>
      </c>
      <c r="H78" s="30">
        <f t="shared" si="37"/>
        <v>313</v>
      </c>
      <c r="I78" s="30">
        <f t="shared" si="37"/>
        <v>360</v>
      </c>
      <c r="J78" s="30">
        <f t="shared" si="37"/>
        <v>315</v>
      </c>
      <c r="K78" s="30">
        <f t="shared" si="37"/>
        <v>245</v>
      </c>
      <c r="L78" s="30">
        <f t="shared" si="37"/>
        <v>32</v>
      </c>
      <c r="M78" s="30">
        <f t="shared" si="37"/>
        <v>0</v>
      </c>
      <c r="N78" s="30">
        <f t="shared" si="37"/>
        <v>466</v>
      </c>
      <c r="O78" s="30">
        <f t="shared" si="37"/>
        <v>393</v>
      </c>
      <c r="P78" s="30">
        <f t="shared" si="37"/>
        <v>470</v>
      </c>
      <c r="Q78" s="30">
        <f t="shared" si="37"/>
        <v>399</v>
      </c>
      <c r="R78" s="30">
        <f t="shared" si="37"/>
        <v>259</v>
      </c>
      <c r="S78" s="30">
        <f t="shared" si="37"/>
        <v>82</v>
      </c>
      <c r="T78" s="30">
        <f t="shared" si="37"/>
        <v>0</v>
      </c>
      <c r="U78" s="30">
        <f t="shared" si="37"/>
        <v>430</v>
      </c>
      <c r="V78" s="30">
        <f t="shared" si="37"/>
        <v>396</v>
      </c>
      <c r="W78" s="30">
        <f t="shared" si="37"/>
        <v>363</v>
      </c>
      <c r="X78" s="30">
        <f t="shared" si="37"/>
        <v>513</v>
      </c>
      <c r="Y78" s="30">
        <f t="shared" si="37"/>
        <v>357</v>
      </c>
      <c r="Z78" s="30">
        <f t="shared" si="37"/>
        <v>88</v>
      </c>
      <c r="AA78" s="30">
        <f t="shared" si="37"/>
        <v>0</v>
      </c>
      <c r="AB78" s="30">
        <f t="shared" si="37"/>
        <v>359</v>
      </c>
      <c r="AC78" s="30">
        <f t="shared" si="37"/>
        <v>409</v>
      </c>
      <c r="AD78" s="30">
        <f t="shared" si="37"/>
        <v>406</v>
      </c>
      <c r="AE78" s="30">
        <f t="shared" si="37"/>
        <v>400</v>
      </c>
      <c r="AF78" s="30">
        <f t="shared" si="37"/>
        <v>195</v>
      </c>
      <c r="AG78" s="30">
        <f t="shared" si="25"/>
        <v>8001</v>
      </c>
    </row>
    <row r="79" spans="1:35" ht="14.5" customHeight="1">
      <c r="A79" s="2">
        <v>4</v>
      </c>
      <c r="B79" s="2" t="s">
        <v>129</v>
      </c>
      <c r="C79" s="503" t="s">
        <v>126</v>
      </c>
      <c r="D79" s="501"/>
      <c r="E79" s="30">
        <f t="shared" ref="E79:AF79" si="38">E36-D36</f>
        <v>267</v>
      </c>
      <c r="F79" s="30">
        <f t="shared" si="38"/>
        <v>0</v>
      </c>
      <c r="G79" s="30">
        <f t="shared" si="38"/>
        <v>562</v>
      </c>
      <c r="H79" s="30">
        <f t="shared" si="38"/>
        <v>573</v>
      </c>
      <c r="I79" s="30">
        <f t="shared" si="38"/>
        <v>518</v>
      </c>
      <c r="J79" s="30">
        <f t="shared" si="38"/>
        <v>517</v>
      </c>
      <c r="K79" s="30">
        <f t="shared" si="38"/>
        <v>389</v>
      </c>
      <c r="L79" s="30">
        <f t="shared" si="38"/>
        <v>66</v>
      </c>
      <c r="M79" s="30">
        <f t="shared" si="38"/>
        <v>0</v>
      </c>
      <c r="N79" s="30">
        <f t="shared" si="38"/>
        <v>579</v>
      </c>
      <c r="O79" s="30">
        <f t="shared" si="38"/>
        <v>570</v>
      </c>
      <c r="P79" s="30">
        <f t="shared" si="38"/>
        <v>496</v>
      </c>
      <c r="Q79" s="30">
        <f t="shared" si="38"/>
        <v>418</v>
      </c>
      <c r="R79" s="30">
        <f t="shared" si="38"/>
        <v>456</v>
      </c>
      <c r="S79" s="30">
        <f t="shared" si="38"/>
        <v>203</v>
      </c>
      <c r="T79" s="30">
        <f t="shared" si="38"/>
        <v>0</v>
      </c>
      <c r="U79" s="30">
        <f t="shared" si="38"/>
        <v>595</v>
      </c>
      <c r="V79" s="30">
        <f t="shared" si="38"/>
        <v>609</v>
      </c>
      <c r="W79" s="30">
        <f t="shared" si="38"/>
        <v>766</v>
      </c>
      <c r="X79" s="30">
        <f t="shared" si="38"/>
        <v>754</v>
      </c>
      <c r="Y79" s="30">
        <f t="shared" si="38"/>
        <v>668</v>
      </c>
      <c r="Z79" s="30">
        <f t="shared" si="38"/>
        <v>125</v>
      </c>
      <c r="AA79" s="30">
        <f t="shared" si="38"/>
        <v>0</v>
      </c>
      <c r="AB79" s="30">
        <f t="shared" si="38"/>
        <v>662</v>
      </c>
      <c r="AC79" s="30">
        <f t="shared" si="38"/>
        <v>443</v>
      </c>
      <c r="AD79" s="30">
        <f t="shared" si="38"/>
        <v>531</v>
      </c>
      <c r="AE79" s="30">
        <f t="shared" si="38"/>
        <v>584</v>
      </c>
      <c r="AF79" s="30">
        <f t="shared" si="38"/>
        <v>236</v>
      </c>
      <c r="AG79" s="30">
        <f t="shared" si="25"/>
        <v>11587</v>
      </c>
    </row>
    <row r="80" spans="1:35" ht="15" customHeight="1">
      <c r="A80" s="99"/>
      <c r="B80" s="99"/>
      <c r="C80" s="500" t="s">
        <v>136</v>
      </c>
      <c r="D80" s="501"/>
      <c r="E80" s="23">
        <f t="shared" ref="E80:AG80" si="39">SUM(E76:E79)</f>
        <v>1122</v>
      </c>
      <c r="F80" s="23">
        <f t="shared" si="39"/>
        <v>0</v>
      </c>
      <c r="G80" s="23">
        <f t="shared" si="39"/>
        <v>2140</v>
      </c>
      <c r="H80" s="23">
        <f t="shared" si="39"/>
        <v>1946</v>
      </c>
      <c r="I80" s="23">
        <f t="shared" si="39"/>
        <v>1871</v>
      </c>
      <c r="J80" s="23">
        <f t="shared" si="39"/>
        <v>1755</v>
      </c>
      <c r="K80" s="23">
        <f t="shared" si="39"/>
        <v>1489</v>
      </c>
      <c r="L80" s="23">
        <f t="shared" si="39"/>
        <v>178</v>
      </c>
      <c r="M80" s="23">
        <f t="shared" si="39"/>
        <v>0</v>
      </c>
      <c r="N80" s="23">
        <f t="shared" si="39"/>
        <v>2348</v>
      </c>
      <c r="O80" s="23">
        <f t="shared" si="39"/>
        <v>2126</v>
      </c>
      <c r="P80" s="23">
        <f t="shared" si="39"/>
        <v>2034</v>
      </c>
      <c r="Q80" s="23">
        <f t="shared" si="39"/>
        <v>1763</v>
      </c>
      <c r="R80" s="23">
        <f t="shared" si="39"/>
        <v>1570</v>
      </c>
      <c r="S80" s="23">
        <f t="shared" si="39"/>
        <v>696</v>
      </c>
      <c r="T80" s="23">
        <f t="shared" si="39"/>
        <v>0</v>
      </c>
      <c r="U80" s="23">
        <f t="shared" si="39"/>
        <v>2500</v>
      </c>
      <c r="V80" s="23">
        <f t="shared" si="39"/>
        <v>2331</v>
      </c>
      <c r="W80" s="23">
        <f t="shared" si="39"/>
        <v>2553</v>
      </c>
      <c r="X80" s="23">
        <f t="shared" si="39"/>
        <v>2956</v>
      </c>
      <c r="Y80" s="23">
        <f t="shared" si="39"/>
        <v>2265</v>
      </c>
      <c r="Z80" s="23">
        <f t="shared" si="39"/>
        <v>430</v>
      </c>
      <c r="AA80" s="23">
        <f t="shared" si="39"/>
        <v>0</v>
      </c>
      <c r="AB80" s="23">
        <f t="shared" si="39"/>
        <v>2530</v>
      </c>
      <c r="AC80" s="23">
        <f t="shared" si="39"/>
        <v>2222</v>
      </c>
      <c r="AD80" s="23">
        <f t="shared" si="39"/>
        <v>2130</v>
      </c>
      <c r="AE80" s="23">
        <f t="shared" si="39"/>
        <v>2113</v>
      </c>
      <c r="AF80" s="23">
        <f t="shared" si="39"/>
        <v>892</v>
      </c>
      <c r="AG80" s="24">
        <f t="shared" si="39"/>
        <v>43960</v>
      </c>
      <c r="AH80" s="78"/>
    </row>
  </sheetData>
  <mergeCells count="49">
    <mergeCell ref="E2:AF2"/>
    <mergeCell ref="C58:D58"/>
    <mergeCell ref="AG3:AG6"/>
    <mergeCell ref="A2:D2"/>
    <mergeCell ref="B40:D40"/>
    <mergeCell ref="C78:D78"/>
    <mergeCell ref="C77:D77"/>
    <mergeCell ref="AG41:AG44"/>
    <mergeCell ref="C68:D68"/>
    <mergeCell ref="C45:D45"/>
    <mergeCell ref="C74:D74"/>
    <mergeCell ref="C79:D79"/>
    <mergeCell ref="C73:D73"/>
    <mergeCell ref="C47:D47"/>
    <mergeCell ref="C54:D54"/>
    <mergeCell ref="C63:D63"/>
    <mergeCell ref="C65:D65"/>
    <mergeCell ref="A3:A6"/>
    <mergeCell ref="A41:A44"/>
    <mergeCell ref="C50:D50"/>
    <mergeCell ref="C75:D75"/>
    <mergeCell ref="C55:D55"/>
    <mergeCell ref="D3:D6"/>
    <mergeCell ref="C67:D67"/>
    <mergeCell ref="C57:D57"/>
    <mergeCell ref="C3:C6"/>
    <mergeCell ref="C66:D66"/>
    <mergeCell ref="C41:D44"/>
    <mergeCell ref="C53:D53"/>
    <mergeCell ref="B39:D39"/>
    <mergeCell ref="C69:D69"/>
    <mergeCell ref="C49:D49"/>
    <mergeCell ref="B3:B6"/>
    <mergeCell ref="C80:D80"/>
    <mergeCell ref="C56:D56"/>
    <mergeCell ref="A23:AG23"/>
    <mergeCell ref="A32:AG32"/>
    <mergeCell ref="C59:D59"/>
    <mergeCell ref="C46:D46"/>
    <mergeCell ref="C60:D60"/>
    <mergeCell ref="C51:D51"/>
    <mergeCell ref="C76:D76"/>
    <mergeCell ref="C71:D71"/>
    <mergeCell ref="C61:D61"/>
    <mergeCell ref="C52:D52"/>
    <mergeCell ref="C70:D70"/>
    <mergeCell ref="C48:D48"/>
    <mergeCell ref="B41:B44"/>
    <mergeCell ref="C72:D7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AL80"/>
  <sheetViews>
    <sheetView topLeftCell="Z1" zoomScaleNormal="100" workbookViewId="0">
      <selection activeCell="AI8" sqref="AI8"/>
    </sheetView>
  </sheetViews>
  <sheetFormatPr defaultColWidth="18" defaultRowHeight="14.5"/>
  <cols>
    <col min="1" max="1" width="14" style="70" bestFit="1" customWidth="1"/>
    <col min="2" max="2" width="27" style="70" bestFit="1" customWidth="1"/>
    <col min="3" max="3" width="32" style="143" bestFit="1" customWidth="1"/>
    <col min="4" max="4" width="20" style="110" bestFit="1" customWidth="1"/>
    <col min="5" max="5" width="23" style="70" bestFit="1" customWidth="1"/>
    <col min="6" max="7" width="23" customWidth="1"/>
    <col min="8" max="11" width="23" style="70" bestFit="1" customWidth="1"/>
    <col min="12" max="19" width="23" customWidth="1"/>
    <col min="20" max="22" width="23" style="70" bestFit="1" customWidth="1"/>
    <col min="23" max="26" width="23" customWidth="1"/>
    <col min="27" max="28" width="23" style="70" bestFit="1" customWidth="1"/>
    <col min="29" max="29" width="23" customWidth="1"/>
    <col min="30" max="30" width="23" style="70" bestFit="1" customWidth="1"/>
    <col min="31" max="31" width="23" style="70" customWidth="1"/>
    <col min="32" max="33" width="23" style="70" bestFit="1" customWidth="1"/>
    <col min="34" max="34" width="23" style="70" customWidth="1"/>
    <col min="35" max="35" width="23" style="70" bestFit="1" customWidth="1"/>
    <col min="36" max="36" width="18" style="70" bestFit="1" customWidth="1"/>
    <col min="37" max="37" width="14" style="70" customWidth="1"/>
    <col min="38" max="39" width="18" style="70" customWidth="1"/>
    <col min="40" max="16384" width="18" style="70"/>
  </cols>
  <sheetData>
    <row r="2" spans="1:37" ht="16.5" customHeight="1">
      <c r="A2" s="573"/>
      <c r="B2" s="526"/>
      <c r="C2" s="526"/>
      <c r="D2" s="527"/>
      <c r="E2" s="602" t="s">
        <v>144</v>
      </c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26"/>
      <c r="AG2" s="526"/>
      <c r="AH2" s="526"/>
      <c r="AI2" s="527"/>
      <c r="AJ2" s="50"/>
    </row>
    <row r="3" spans="1:37" ht="12.75" customHeight="1">
      <c r="A3" s="510" t="s">
        <v>99</v>
      </c>
      <c r="B3" s="510" t="s">
        <v>100</v>
      </c>
      <c r="C3" s="580" t="s">
        <v>101</v>
      </c>
      <c r="D3" s="572" t="s">
        <v>102</v>
      </c>
      <c r="E3" s="51">
        <v>45658</v>
      </c>
      <c r="F3" s="51">
        <v>45659</v>
      </c>
      <c r="G3" s="51">
        <v>45660</v>
      </c>
      <c r="H3" s="51">
        <v>45661</v>
      </c>
      <c r="I3" s="51">
        <v>45662</v>
      </c>
      <c r="J3" s="51">
        <v>45663</v>
      </c>
      <c r="K3" s="51">
        <v>45664</v>
      </c>
      <c r="L3" s="51">
        <v>45665</v>
      </c>
      <c r="M3" s="51">
        <v>45666</v>
      </c>
      <c r="N3" s="51">
        <v>45667</v>
      </c>
      <c r="O3" s="51">
        <v>45668</v>
      </c>
      <c r="P3" s="51">
        <v>45669</v>
      </c>
      <c r="Q3" s="51">
        <v>45670</v>
      </c>
      <c r="R3" s="51">
        <v>45671</v>
      </c>
      <c r="S3" s="51">
        <v>45672</v>
      </c>
      <c r="T3" s="51">
        <v>45673</v>
      </c>
      <c r="U3" s="51">
        <v>45674</v>
      </c>
      <c r="V3" s="51">
        <v>45675</v>
      </c>
      <c r="W3" s="51">
        <v>45676</v>
      </c>
      <c r="X3" s="51">
        <v>45677</v>
      </c>
      <c r="Y3" s="51">
        <v>45678</v>
      </c>
      <c r="Z3" s="51">
        <v>45679</v>
      </c>
      <c r="AA3" s="51">
        <v>45680</v>
      </c>
      <c r="AB3" s="51">
        <v>45681</v>
      </c>
      <c r="AC3" s="51">
        <v>45682</v>
      </c>
      <c r="AD3" s="51">
        <v>45683</v>
      </c>
      <c r="AE3" s="51">
        <v>45684</v>
      </c>
      <c r="AF3" s="51">
        <v>45685</v>
      </c>
      <c r="AG3" s="51">
        <v>45686</v>
      </c>
      <c r="AH3" s="51">
        <v>45687</v>
      </c>
      <c r="AI3" s="51">
        <v>45688</v>
      </c>
      <c r="AJ3" s="514" t="s">
        <v>1</v>
      </c>
    </row>
    <row r="4" spans="1:37" ht="14.5" customHeight="1">
      <c r="A4" s="511"/>
      <c r="B4" s="511"/>
      <c r="C4" s="511"/>
      <c r="D4" s="511"/>
      <c r="E4" s="52" t="s">
        <v>170</v>
      </c>
      <c r="F4" s="52" t="s">
        <v>171</v>
      </c>
      <c r="G4" s="52" t="s">
        <v>172</v>
      </c>
      <c r="H4" s="52" t="s">
        <v>173</v>
      </c>
      <c r="I4" s="52" t="s">
        <v>174</v>
      </c>
      <c r="J4" s="52" t="s">
        <v>175</v>
      </c>
      <c r="K4" s="52" t="s">
        <v>169</v>
      </c>
      <c r="L4" s="52" t="s">
        <v>170</v>
      </c>
      <c r="M4" s="52" t="s">
        <v>171</v>
      </c>
      <c r="N4" s="52" t="s">
        <v>172</v>
      </c>
      <c r="O4" s="52" t="s">
        <v>173</v>
      </c>
      <c r="P4" s="52" t="s">
        <v>174</v>
      </c>
      <c r="Q4" s="52" t="s">
        <v>175</v>
      </c>
      <c r="R4" s="52" t="s">
        <v>169</v>
      </c>
      <c r="S4" s="52" t="s">
        <v>170</v>
      </c>
      <c r="T4" s="52" t="s">
        <v>171</v>
      </c>
      <c r="U4" s="52" t="s">
        <v>172</v>
      </c>
      <c r="V4" s="52" t="s">
        <v>173</v>
      </c>
      <c r="W4" s="52" t="s">
        <v>174</v>
      </c>
      <c r="X4" s="52" t="s">
        <v>175</v>
      </c>
      <c r="Y4" s="52" t="s">
        <v>169</v>
      </c>
      <c r="Z4" s="52" t="s">
        <v>170</v>
      </c>
      <c r="AA4" s="52" t="s">
        <v>171</v>
      </c>
      <c r="AB4" s="52" t="s">
        <v>172</v>
      </c>
      <c r="AC4" s="52" t="s">
        <v>173</v>
      </c>
      <c r="AD4" s="52" t="s">
        <v>174</v>
      </c>
      <c r="AE4" s="52" t="s">
        <v>175</v>
      </c>
      <c r="AF4" s="52" t="s">
        <v>169</v>
      </c>
      <c r="AG4" s="52" t="s">
        <v>170</v>
      </c>
      <c r="AH4" s="52" t="s">
        <v>171</v>
      </c>
      <c r="AI4" s="52" t="s">
        <v>172</v>
      </c>
      <c r="AJ4" s="511"/>
    </row>
    <row r="5" spans="1:37" ht="14.5" customHeight="1">
      <c r="A5" s="511"/>
      <c r="B5" s="511"/>
      <c r="C5" s="511"/>
      <c r="D5" s="511"/>
      <c r="E5" s="52" t="s">
        <v>110</v>
      </c>
      <c r="F5" s="52" t="s">
        <v>110</v>
      </c>
      <c r="G5" s="52" t="s">
        <v>110</v>
      </c>
      <c r="H5" s="52" t="s">
        <v>110</v>
      </c>
      <c r="I5" s="52" t="s">
        <v>110</v>
      </c>
      <c r="J5" s="52" t="s">
        <v>110</v>
      </c>
      <c r="K5" s="52" t="s">
        <v>110</v>
      </c>
      <c r="L5" s="52" t="s">
        <v>110</v>
      </c>
      <c r="M5" s="52" t="s">
        <v>110</v>
      </c>
      <c r="N5" s="52" t="s">
        <v>110</v>
      </c>
      <c r="O5" s="52" t="s">
        <v>110</v>
      </c>
      <c r="P5" s="52" t="s">
        <v>110</v>
      </c>
      <c r="Q5" s="52" t="s">
        <v>110</v>
      </c>
      <c r="R5" s="52" t="s">
        <v>110</v>
      </c>
      <c r="S5" s="52" t="s">
        <v>110</v>
      </c>
      <c r="T5" s="52" t="s">
        <v>110</v>
      </c>
      <c r="U5" s="52" t="s">
        <v>110</v>
      </c>
      <c r="V5" s="52" t="s">
        <v>110</v>
      </c>
      <c r="W5" s="52" t="s">
        <v>110</v>
      </c>
      <c r="X5" s="52" t="s">
        <v>110</v>
      </c>
      <c r="Y5" s="52" t="s">
        <v>110</v>
      </c>
      <c r="Z5" s="52" t="s">
        <v>110</v>
      </c>
      <c r="AA5" s="52" t="s">
        <v>110</v>
      </c>
      <c r="AB5" s="52" t="s">
        <v>110</v>
      </c>
      <c r="AC5" s="52" t="s">
        <v>110</v>
      </c>
      <c r="AD5" s="52" t="s">
        <v>110</v>
      </c>
      <c r="AE5" s="52" t="s">
        <v>110</v>
      </c>
      <c r="AF5" s="52" t="s">
        <v>110</v>
      </c>
      <c r="AG5" s="52" t="s">
        <v>110</v>
      </c>
      <c r="AH5" s="52" t="s">
        <v>110</v>
      </c>
      <c r="AI5" s="52" t="s">
        <v>110</v>
      </c>
      <c r="AJ5" s="511"/>
    </row>
    <row r="6" spans="1:37" ht="14.5" customHeight="1">
      <c r="A6" s="512"/>
      <c r="B6" s="512"/>
      <c r="C6" s="512"/>
      <c r="D6" s="512"/>
      <c r="E6" s="53">
        <v>0.33333333333333331</v>
      </c>
      <c r="F6" s="53">
        <v>0.33333333333333331</v>
      </c>
      <c r="G6" s="53">
        <v>0.33333333333333331</v>
      </c>
      <c r="H6" s="53">
        <v>0.33333333333333331</v>
      </c>
      <c r="I6" s="53">
        <v>0.33333333333333331</v>
      </c>
      <c r="J6" s="53">
        <v>0.33333333333333331</v>
      </c>
      <c r="K6" s="53">
        <v>0.33333333333333331</v>
      </c>
      <c r="L6" s="53">
        <v>0.33333333333333331</v>
      </c>
      <c r="M6" s="53">
        <v>0.33333333333333331</v>
      </c>
      <c r="N6" s="53">
        <v>0.33333333333333331</v>
      </c>
      <c r="O6" s="53">
        <v>0.33333333333333331</v>
      </c>
      <c r="P6" s="53">
        <v>0.33333333333333331</v>
      </c>
      <c r="Q6" s="53">
        <v>0.33333333333333331</v>
      </c>
      <c r="R6" s="53">
        <v>0.33333333333333331</v>
      </c>
      <c r="S6" s="53">
        <v>0.33333333333333331</v>
      </c>
      <c r="T6" s="53">
        <v>0.33333333333333331</v>
      </c>
      <c r="U6" s="53">
        <v>0.33333333333333331</v>
      </c>
      <c r="V6" s="53">
        <v>0.33333333333333331</v>
      </c>
      <c r="W6" s="53">
        <v>0.33333333333333331</v>
      </c>
      <c r="X6" s="53">
        <v>0.33333333333333331</v>
      </c>
      <c r="Y6" s="53">
        <v>0.33333333333333331</v>
      </c>
      <c r="Z6" s="53">
        <v>0.33333333333333331</v>
      </c>
      <c r="AA6" s="53">
        <v>0.33333333333333331</v>
      </c>
      <c r="AB6" s="53">
        <v>0.33333333333333331</v>
      </c>
      <c r="AC6" s="53">
        <v>0.33333333333333331</v>
      </c>
      <c r="AD6" s="53">
        <v>0.33333333333333331</v>
      </c>
      <c r="AE6" s="53">
        <v>0.33333333333333331</v>
      </c>
      <c r="AF6" s="53">
        <v>0.33333333333333331</v>
      </c>
      <c r="AG6" s="53">
        <v>0.33333333333333331</v>
      </c>
      <c r="AH6" s="53">
        <v>0.33333333333333331</v>
      </c>
      <c r="AI6" s="53">
        <v>0.33333333333333331</v>
      </c>
      <c r="AJ6" s="512"/>
    </row>
    <row r="7" spans="1:37" ht="20.149999999999999" customHeight="1">
      <c r="A7" s="48">
        <v>1</v>
      </c>
      <c r="B7" s="48" t="s">
        <v>129</v>
      </c>
      <c r="C7" s="139" t="s">
        <v>111</v>
      </c>
      <c r="D7" s="55">
        <v>76944</v>
      </c>
      <c r="E7" s="4">
        <v>77277</v>
      </c>
      <c r="F7" s="4">
        <v>77495</v>
      </c>
      <c r="G7" s="8">
        <v>77717</v>
      </c>
      <c r="H7" s="5">
        <v>77950</v>
      </c>
      <c r="I7" s="4">
        <v>78153</v>
      </c>
      <c r="J7" s="4">
        <v>78415</v>
      </c>
      <c r="K7" s="4">
        <v>78684</v>
      </c>
      <c r="L7" s="58">
        <v>78951</v>
      </c>
      <c r="M7" s="48">
        <v>79208</v>
      </c>
      <c r="N7" s="59">
        <v>79459</v>
      </c>
      <c r="O7" s="4">
        <v>79678</v>
      </c>
      <c r="P7" s="58">
        <v>79898</v>
      </c>
      <c r="Q7" s="48">
        <v>80134</v>
      </c>
      <c r="R7" s="59">
        <v>80382</v>
      </c>
      <c r="S7" s="4">
        <v>80665</v>
      </c>
      <c r="T7" s="4">
        <v>80928</v>
      </c>
      <c r="U7" s="4">
        <v>81192</v>
      </c>
      <c r="V7" s="125">
        <v>81413</v>
      </c>
      <c r="W7" s="4">
        <v>81640</v>
      </c>
      <c r="X7" s="4">
        <v>81911</v>
      </c>
      <c r="Y7" s="4">
        <v>82182</v>
      </c>
      <c r="Z7" s="4">
        <v>82432</v>
      </c>
      <c r="AA7" s="4">
        <v>82692</v>
      </c>
      <c r="AB7" s="4">
        <v>82938</v>
      </c>
      <c r="AC7" s="4">
        <v>83170</v>
      </c>
      <c r="AD7" s="4">
        <v>83390</v>
      </c>
      <c r="AE7" s="4">
        <v>83637</v>
      </c>
      <c r="AF7" s="4">
        <v>83900</v>
      </c>
      <c r="AG7" s="48">
        <v>84177</v>
      </c>
      <c r="AH7" s="48">
        <v>84536</v>
      </c>
      <c r="AI7" s="48">
        <v>84669</v>
      </c>
      <c r="AJ7" s="57">
        <f t="shared" ref="AJ7:AJ22" si="0">AI7-D7</f>
        <v>7725</v>
      </c>
      <c r="AK7" s="78"/>
    </row>
    <row r="8" spans="1:37" ht="20.149999999999999" customHeight="1">
      <c r="A8" s="8"/>
      <c r="B8" s="8"/>
      <c r="C8" s="140" t="s">
        <v>22</v>
      </c>
      <c r="D8" s="45">
        <v>3801</v>
      </c>
      <c r="E8" s="8">
        <v>3801</v>
      </c>
      <c r="F8" s="8">
        <v>3801</v>
      </c>
      <c r="G8" s="8">
        <v>3801</v>
      </c>
      <c r="H8" s="8">
        <v>3801</v>
      </c>
      <c r="I8" s="8">
        <v>3801</v>
      </c>
      <c r="J8" s="8">
        <v>3801</v>
      </c>
      <c r="K8" s="8">
        <v>3801</v>
      </c>
      <c r="L8" s="8">
        <v>3801</v>
      </c>
      <c r="M8" s="8">
        <v>3801</v>
      </c>
      <c r="N8" s="8">
        <v>3801</v>
      </c>
      <c r="O8" s="8">
        <v>3801</v>
      </c>
      <c r="P8" s="8">
        <v>3801</v>
      </c>
      <c r="Q8" s="8">
        <v>3839</v>
      </c>
      <c r="R8" s="8">
        <v>3839</v>
      </c>
      <c r="S8" s="8">
        <v>3839</v>
      </c>
      <c r="T8" s="8">
        <v>3839</v>
      </c>
      <c r="U8" s="8">
        <v>3839</v>
      </c>
      <c r="V8" s="8">
        <v>3839</v>
      </c>
      <c r="W8" s="4">
        <v>3842</v>
      </c>
      <c r="X8" s="4">
        <v>3853</v>
      </c>
      <c r="Y8" s="8">
        <v>3853</v>
      </c>
      <c r="Z8" s="8">
        <v>3872</v>
      </c>
      <c r="AA8" s="8">
        <v>3872</v>
      </c>
      <c r="AB8" s="8">
        <v>3872</v>
      </c>
      <c r="AC8" s="8">
        <v>3872</v>
      </c>
      <c r="AD8" s="8">
        <v>3872</v>
      </c>
      <c r="AE8" s="8">
        <v>3872</v>
      </c>
      <c r="AF8" s="8">
        <v>3872</v>
      </c>
      <c r="AG8" s="8">
        <v>3872</v>
      </c>
      <c r="AH8" s="8">
        <v>3872</v>
      </c>
      <c r="AI8" s="8">
        <v>3872</v>
      </c>
      <c r="AJ8" s="57">
        <f t="shared" si="0"/>
        <v>71</v>
      </c>
      <c r="AK8" s="78"/>
    </row>
    <row r="9" spans="1:37" ht="20.149999999999999" customHeight="1">
      <c r="A9" s="4">
        <v>2</v>
      </c>
      <c r="B9" s="4" t="s">
        <v>129</v>
      </c>
      <c r="C9" s="141" t="s">
        <v>112</v>
      </c>
      <c r="D9" s="3">
        <v>1956</v>
      </c>
      <c r="E9" s="4">
        <v>1956</v>
      </c>
      <c r="F9" s="4">
        <v>1956</v>
      </c>
      <c r="G9" s="4">
        <v>1956</v>
      </c>
      <c r="H9" s="4">
        <v>1956</v>
      </c>
      <c r="I9" s="4">
        <v>1956</v>
      </c>
      <c r="J9" s="4">
        <v>1956</v>
      </c>
      <c r="K9" s="4">
        <v>1956</v>
      </c>
      <c r="L9" s="4">
        <v>1956</v>
      </c>
      <c r="M9" s="4">
        <v>1956</v>
      </c>
      <c r="N9" s="4">
        <v>1956</v>
      </c>
      <c r="O9" s="4">
        <v>1956</v>
      </c>
      <c r="P9" s="4">
        <v>1956</v>
      </c>
      <c r="Q9" s="4">
        <v>1956</v>
      </c>
      <c r="R9" s="4">
        <v>1956</v>
      </c>
      <c r="S9" s="4">
        <v>1956</v>
      </c>
      <c r="T9" s="4">
        <v>1956</v>
      </c>
      <c r="U9" s="4">
        <v>1956</v>
      </c>
      <c r="V9" s="4">
        <v>1956</v>
      </c>
      <c r="W9" s="4">
        <v>1956</v>
      </c>
      <c r="X9" s="4">
        <v>1956</v>
      </c>
      <c r="Y9" s="4">
        <v>1956</v>
      </c>
      <c r="Z9" s="4">
        <v>1956</v>
      </c>
      <c r="AA9" s="4">
        <v>1956</v>
      </c>
      <c r="AB9" s="4">
        <v>1956</v>
      </c>
      <c r="AC9" s="4">
        <v>1956</v>
      </c>
      <c r="AD9" s="4">
        <v>1956</v>
      </c>
      <c r="AE9" s="4">
        <v>1956</v>
      </c>
      <c r="AF9" s="4">
        <v>1956</v>
      </c>
      <c r="AG9" s="4">
        <v>1956</v>
      </c>
      <c r="AH9" s="4">
        <v>1956</v>
      </c>
      <c r="AI9" s="4">
        <v>1956</v>
      </c>
      <c r="AJ9" s="57">
        <f t="shared" si="0"/>
        <v>0</v>
      </c>
    </row>
    <row r="10" spans="1:37" ht="20.149999999999999" customHeight="1">
      <c r="A10" s="4"/>
      <c r="B10" s="4"/>
      <c r="C10" s="140" t="s">
        <v>22</v>
      </c>
      <c r="D10" s="3">
        <v>28.6</v>
      </c>
      <c r="E10" s="4">
        <v>28.6</v>
      </c>
      <c r="F10" s="4">
        <v>28.6</v>
      </c>
      <c r="G10" s="4">
        <v>28.6</v>
      </c>
      <c r="H10" s="4">
        <v>28.6</v>
      </c>
      <c r="I10" s="4">
        <v>28.6</v>
      </c>
      <c r="J10" s="4">
        <v>28.6</v>
      </c>
      <c r="K10" s="4">
        <v>28.6</v>
      </c>
      <c r="L10" s="4">
        <v>28.6</v>
      </c>
      <c r="M10" s="4">
        <v>28.6</v>
      </c>
      <c r="N10" s="4">
        <v>28.6</v>
      </c>
      <c r="O10" s="4">
        <v>28.6</v>
      </c>
      <c r="P10" s="4">
        <v>28.6</v>
      </c>
      <c r="Q10" s="4">
        <v>28.6</v>
      </c>
      <c r="R10" s="4">
        <v>28.6</v>
      </c>
      <c r="S10" s="4">
        <v>28.6</v>
      </c>
      <c r="T10" s="4">
        <v>28.6</v>
      </c>
      <c r="U10" s="4">
        <v>28.6</v>
      </c>
      <c r="V10" s="4">
        <v>28.6</v>
      </c>
      <c r="W10" s="4">
        <v>28.6</v>
      </c>
      <c r="X10" s="4">
        <v>28.6</v>
      </c>
      <c r="Y10" s="4">
        <v>28.6</v>
      </c>
      <c r="Z10" s="4">
        <v>28.6</v>
      </c>
      <c r="AA10" s="4">
        <v>28.6</v>
      </c>
      <c r="AB10" s="4">
        <v>28.6</v>
      </c>
      <c r="AC10" s="4">
        <v>28.6</v>
      </c>
      <c r="AD10" s="4">
        <v>28.6</v>
      </c>
      <c r="AE10" s="4">
        <v>28.6</v>
      </c>
      <c r="AF10" s="4">
        <v>28.6</v>
      </c>
      <c r="AG10" s="4">
        <v>28.6</v>
      </c>
      <c r="AH10" s="4">
        <v>28.6</v>
      </c>
      <c r="AI10" s="4">
        <v>28.6</v>
      </c>
      <c r="AJ10" s="57">
        <f t="shared" si="0"/>
        <v>0</v>
      </c>
    </row>
    <row r="11" spans="1:37" ht="20.149999999999999" customHeight="1">
      <c r="A11" s="4">
        <v>3</v>
      </c>
      <c r="B11" s="4" t="s">
        <v>129</v>
      </c>
      <c r="C11" s="141" t="s">
        <v>113</v>
      </c>
      <c r="D11" s="45">
        <v>113760</v>
      </c>
      <c r="E11" s="4">
        <v>114205</v>
      </c>
      <c r="F11" s="4">
        <v>114499</v>
      </c>
      <c r="G11" s="4">
        <v>114807</v>
      </c>
      <c r="H11" s="4">
        <v>115107</v>
      </c>
      <c r="I11" s="4">
        <v>115375</v>
      </c>
      <c r="J11" s="4">
        <v>115754</v>
      </c>
      <c r="K11" s="4">
        <v>116208</v>
      </c>
      <c r="L11" s="4">
        <v>116591</v>
      </c>
      <c r="M11" s="4">
        <v>116962</v>
      </c>
      <c r="N11" s="4">
        <v>117320</v>
      </c>
      <c r="O11" s="4">
        <v>117614</v>
      </c>
      <c r="P11" s="4">
        <v>117905</v>
      </c>
      <c r="Q11" s="4">
        <v>118250</v>
      </c>
      <c r="R11" s="4">
        <v>118609</v>
      </c>
      <c r="S11" s="4">
        <v>119016</v>
      </c>
      <c r="T11" s="4">
        <v>119557</v>
      </c>
      <c r="U11" s="4">
        <v>119938</v>
      </c>
      <c r="V11" s="4">
        <v>120235</v>
      </c>
      <c r="W11" s="4">
        <v>120534</v>
      </c>
      <c r="X11" s="4">
        <v>120905</v>
      </c>
      <c r="Y11" s="4">
        <v>121297</v>
      </c>
      <c r="Z11" s="4">
        <v>121661</v>
      </c>
      <c r="AA11" s="8">
        <v>122041</v>
      </c>
      <c r="AB11" s="8">
        <v>122388</v>
      </c>
      <c r="AC11" s="4">
        <v>122699</v>
      </c>
      <c r="AD11" s="4">
        <v>122981</v>
      </c>
      <c r="AE11" s="8">
        <v>123348</v>
      </c>
      <c r="AF11" s="8">
        <v>123721</v>
      </c>
      <c r="AG11" s="8">
        <v>124131</v>
      </c>
      <c r="AH11" s="8">
        <v>124527</v>
      </c>
      <c r="AI11" s="8">
        <v>124715</v>
      </c>
      <c r="AJ11" s="57">
        <f t="shared" si="0"/>
        <v>10955</v>
      </c>
    </row>
    <row r="12" spans="1:37" ht="20.149999999999999" customHeight="1">
      <c r="A12" s="4"/>
      <c r="B12" s="4"/>
      <c r="C12" s="140" t="s">
        <v>22</v>
      </c>
      <c r="D12" s="3">
        <v>5702</v>
      </c>
      <c r="E12" s="4">
        <v>5702</v>
      </c>
      <c r="F12" s="4">
        <v>5702</v>
      </c>
      <c r="G12" s="4">
        <v>5702</v>
      </c>
      <c r="H12" s="4">
        <v>5702</v>
      </c>
      <c r="I12" s="4">
        <v>5702</v>
      </c>
      <c r="J12" s="4">
        <v>5702</v>
      </c>
      <c r="K12" s="4">
        <v>5702</v>
      </c>
      <c r="L12" s="4">
        <v>5702</v>
      </c>
      <c r="M12" s="4">
        <v>5702</v>
      </c>
      <c r="N12" s="4">
        <v>5702</v>
      </c>
      <c r="O12" s="4">
        <v>5702</v>
      </c>
      <c r="P12" s="4">
        <v>5702</v>
      </c>
      <c r="Q12" s="4">
        <v>5751</v>
      </c>
      <c r="R12" s="4">
        <v>5751</v>
      </c>
      <c r="S12" s="4">
        <v>5751</v>
      </c>
      <c r="T12" s="4">
        <v>5751</v>
      </c>
      <c r="U12" s="4">
        <v>5751</v>
      </c>
      <c r="V12" s="4">
        <v>5751</v>
      </c>
      <c r="W12" s="4">
        <v>5755</v>
      </c>
      <c r="X12" s="4">
        <v>5772</v>
      </c>
      <c r="Y12" s="4">
        <v>5772</v>
      </c>
      <c r="Z12" s="4">
        <v>5799</v>
      </c>
      <c r="AA12" s="4">
        <v>5799</v>
      </c>
      <c r="AB12" s="4">
        <v>5799</v>
      </c>
      <c r="AC12" s="4">
        <v>5799</v>
      </c>
      <c r="AD12" s="4">
        <v>5799</v>
      </c>
      <c r="AE12" s="4">
        <v>5799</v>
      </c>
      <c r="AF12" s="4">
        <v>5799</v>
      </c>
      <c r="AG12" s="4">
        <v>5799</v>
      </c>
      <c r="AH12" s="4">
        <v>5799</v>
      </c>
      <c r="AI12" s="4">
        <v>5799</v>
      </c>
      <c r="AJ12" s="57">
        <f t="shared" si="0"/>
        <v>97</v>
      </c>
    </row>
    <row r="13" spans="1:37" ht="20.149999999999999" customHeight="1">
      <c r="A13" s="4">
        <v>4</v>
      </c>
      <c r="B13" s="4" t="s">
        <v>129</v>
      </c>
      <c r="C13" s="141" t="s">
        <v>114</v>
      </c>
      <c r="D13" s="3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57">
        <f t="shared" si="0"/>
        <v>0</v>
      </c>
    </row>
    <row r="14" spans="1:37" ht="20.149999999999999" customHeight="1">
      <c r="A14" s="4"/>
      <c r="B14" s="4"/>
      <c r="C14" s="140" t="s">
        <v>22</v>
      </c>
      <c r="D14" s="3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57">
        <f t="shared" si="0"/>
        <v>0</v>
      </c>
    </row>
    <row r="15" spans="1:37" ht="20.149999999999999" customHeight="1">
      <c r="A15" s="4">
        <v>5</v>
      </c>
      <c r="B15" s="4" t="s">
        <v>129</v>
      </c>
      <c r="C15" s="141" t="s">
        <v>115</v>
      </c>
      <c r="D15" s="45">
        <v>50207</v>
      </c>
      <c r="E15" s="4">
        <v>50396</v>
      </c>
      <c r="F15" s="4">
        <v>50555</v>
      </c>
      <c r="G15" s="4">
        <v>50714</v>
      </c>
      <c r="H15" s="4">
        <v>50843</v>
      </c>
      <c r="I15" s="4">
        <v>50956</v>
      </c>
      <c r="J15" s="4">
        <v>51189</v>
      </c>
      <c r="K15" s="4">
        <v>51412</v>
      </c>
      <c r="L15" s="4">
        <v>51646</v>
      </c>
      <c r="M15" s="4">
        <v>51876</v>
      </c>
      <c r="N15" s="4">
        <v>52136</v>
      </c>
      <c r="O15" s="4">
        <v>52284</v>
      </c>
      <c r="P15" s="4">
        <v>52415</v>
      </c>
      <c r="Q15" s="4">
        <v>52635</v>
      </c>
      <c r="R15" s="4">
        <v>52868</v>
      </c>
      <c r="S15" s="4">
        <v>53117</v>
      </c>
      <c r="T15" s="4">
        <v>53360</v>
      </c>
      <c r="U15" s="33">
        <v>53604</v>
      </c>
      <c r="V15" s="4">
        <v>53749</v>
      </c>
      <c r="W15" s="4">
        <v>53892</v>
      </c>
      <c r="X15" s="4">
        <v>54134</v>
      </c>
      <c r="Y15" s="4">
        <v>54391</v>
      </c>
      <c r="Z15" s="4">
        <v>54637</v>
      </c>
      <c r="AA15" s="8">
        <v>54880</v>
      </c>
      <c r="AB15" s="8">
        <v>55101</v>
      </c>
      <c r="AC15" s="4">
        <v>55229</v>
      </c>
      <c r="AD15" s="4">
        <v>55385</v>
      </c>
      <c r="AE15" s="8">
        <v>55624</v>
      </c>
      <c r="AF15" s="8">
        <v>55859</v>
      </c>
      <c r="AG15" s="8">
        <v>56105</v>
      </c>
      <c r="AH15" s="8">
        <v>56363</v>
      </c>
      <c r="AI15" s="8">
        <v>56491</v>
      </c>
      <c r="AJ15" s="57">
        <f t="shared" si="0"/>
        <v>6284</v>
      </c>
    </row>
    <row r="16" spans="1:37" ht="20.149999999999999" customHeight="1">
      <c r="A16" s="4"/>
      <c r="B16" s="4"/>
      <c r="C16" s="140" t="s">
        <v>22</v>
      </c>
      <c r="D16" s="3">
        <v>2892</v>
      </c>
      <c r="E16" s="60">
        <v>2892</v>
      </c>
      <c r="F16" s="60">
        <v>2892</v>
      </c>
      <c r="G16" s="60">
        <v>2892</v>
      </c>
      <c r="H16" s="60">
        <v>2892</v>
      </c>
      <c r="I16" s="60">
        <v>2892</v>
      </c>
      <c r="J16" s="60">
        <v>2892</v>
      </c>
      <c r="K16" s="60">
        <v>2892</v>
      </c>
      <c r="L16" s="60">
        <v>2892</v>
      </c>
      <c r="M16" s="60">
        <v>2892</v>
      </c>
      <c r="N16" s="60">
        <v>2892</v>
      </c>
      <c r="O16" s="60">
        <v>2892</v>
      </c>
      <c r="P16" s="60">
        <v>2892</v>
      </c>
      <c r="Q16" s="60">
        <v>2914</v>
      </c>
      <c r="R16" s="60">
        <v>2914</v>
      </c>
      <c r="S16" s="60">
        <v>2914</v>
      </c>
      <c r="T16" s="60">
        <v>2914</v>
      </c>
      <c r="U16" s="60">
        <v>2914</v>
      </c>
      <c r="V16" s="60">
        <v>2914</v>
      </c>
      <c r="W16" s="4">
        <v>2917</v>
      </c>
      <c r="X16" s="4">
        <v>2927</v>
      </c>
      <c r="Y16" s="4">
        <v>2927</v>
      </c>
      <c r="Z16" s="4">
        <v>2944</v>
      </c>
      <c r="AA16" s="4">
        <v>2944</v>
      </c>
      <c r="AB16" s="4">
        <v>2944</v>
      </c>
      <c r="AC16" s="4">
        <v>2944</v>
      </c>
      <c r="AD16" s="4">
        <v>2944</v>
      </c>
      <c r="AE16" s="4">
        <v>2944</v>
      </c>
      <c r="AF16" s="4">
        <v>2944</v>
      </c>
      <c r="AG16" s="4">
        <v>2944</v>
      </c>
      <c r="AH16" s="4">
        <v>2944</v>
      </c>
      <c r="AI16" s="4">
        <v>2944</v>
      </c>
      <c r="AJ16" s="57">
        <f t="shared" si="0"/>
        <v>52</v>
      </c>
    </row>
    <row r="17" spans="1:36" ht="20.149999999999999" customHeight="1">
      <c r="A17" s="4">
        <v>6</v>
      </c>
      <c r="B17" s="4" t="s">
        <v>129</v>
      </c>
      <c r="C17" s="141" t="s">
        <v>142</v>
      </c>
      <c r="D17" s="130">
        <v>64448</v>
      </c>
      <c r="E17" s="131">
        <v>64614</v>
      </c>
      <c r="F17" s="4">
        <v>64745</v>
      </c>
      <c r="G17" s="4">
        <v>64881</v>
      </c>
      <c r="H17" s="4">
        <v>64987</v>
      </c>
      <c r="I17" s="4">
        <v>65080</v>
      </c>
      <c r="J17" s="4">
        <v>65301</v>
      </c>
      <c r="K17" s="58">
        <v>65547</v>
      </c>
      <c r="L17" s="127">
        <v>65793</v>
      </c>
      <c r="M17" s="132">
        <v>65999</v>
      </c>
      <c r="N17" s="132">
        <v>66206</v>
      </c>
      <c r="O17" s="132">
        <v>66310</v>
      </c>
      <c r="P17" s="132">
        <v>66405</v>
      </c>
      <c r="Q17" s="133">
        <v>66619</v>
      </c>
      <c r="R17" s="132">
        <v>66829</v>
      </c>
      <c r="S17" s="59">
        <v>67072</v>
      </c>
      <c r="T17" s="4">
        <v>67301</v>
      </c>
      <c r="U17" s="4">
        <v>67538</v>
      </c>
      <c r="V17" s="4">
        <v>67632</v>
      </c>
      <c r="W17" s="4">
        <v>67751</v>
      </c>
      <c r="X17" s="4">
        <v>68016</v>
      </c>
      <c r="Y17" s="4">
        <v>68288</v>
      </c>
      <c r="Z17" s="4">
        <v>68542</v>
      </c>
      <c r="AA17" s="4">
        <v>68818</v>
      </c>
      <c r="AB17" s="8">
        <v>69067</v>
      </c>
      <c r="AC17" s="4">
        <v>69211</v>
      </c>
      <c r="AD17" s="4">
        <v>69300</v>
      </c>
      <c r="AE17" s="8">
        <v>69566</v>
      </c>
      <c r="AF17" s="8">
        <v>69788</v>
      </c>
      <c r="AG17" s="4">
        <v>70046</v>
      </c>
      <c r="AH17" s="8">
        <v>70296</v>
      </c>
      <c r="AI17" s="8">
        <v>70440</v>
      </c>
      <c r="AJ17" s="57">
        <f t="shared" si="0"/>
        <v>5992</v>
      </c>
    </row>
    <row r="18" spans="1:36" ht="20.149999999999999" customHeight="1">
      <c r="A18" s="4"/>
      <c r="B18" s="4"/>
      <c r="C18" s="140" t="s">
        <v>22</v>
      </c>
      <c r="D18" s="3">
        <v>3800</v>
      </c>
      <c r="E18" s="8">
        <v>3800</v>
      </c>
      <c r="F18" s="8">
        <v>3800</v>
      </c>
      <c r="G18" s="8">
        <v>3800</v>
      </c>
      <c r="H18" s="8">
        <v>3800</v>
      </c>
      <c r="I18" s="8">
        <v>3800</v>
      </c>
      <c r="J18" s="8">
        <v>3800</v>
      </c>
      <c r="K18" s="8">
        <v>3800</v>
      </c>
      <c r="L18" s="8">
        <v>3800</v>
      </c>
      <c r="M18" s="8">
        <v>3800</v>
      </c>
      <c r="N18" s="8">
        <v>3800</v>
      </c>
      <c r="O18" s="8">
        <v>3800</v>
      </c>
      <c r="P18" s="8">
        <v>3800</v>
      </c>
      <c r="Q18" s="128">
        <v>3821</v>
      </c>
      <c r="R18" s="48">
        <v>3821</v>
      </c>
      <c r="S18" s="129">
        <v>3821</v>
      </c>
      <c r="T18" s="8">
        <v>3821</v>
      </c>
      <c r="U18" s="8">
        <v>3821</v>
      </c>
      <c r="V18" s="8">
        <v>3821</v>
      </c>
      <c r="W18" s="4">
        <v>3823</v>
      </c>
      <c r="X18" s="4">
        <v>3835</v>
      </c>
      <c r="Y18" s="4">
        <v>3835</v>
      </c>
      <c r="Z18" s="4">
        <v>3848</v>
      </c>
      <c r="AA18" s="4">
        <v>3848</v>
      </c>
      <c r="AB18" s="4">
        <v>3848</v>
      </c>
      <c r="AC18" s="4">
        <v>3848</v>
      </c>
      <c r="AD18" s="4">
        <v>3848</v>
      </c>
      <c r="AE18" s="4">
        <v>3848</v>
      </c>
      <c r="AF18" s="4">
        <v>3848</v>
      </c>
      <c r="AG18" s="4">
        <v>3848</v>
      </c>
      <c r="AH18" s="4">
        <v>3848</v>
      </c>
      <c r="AI18" s="4">
        <v>3848</v>
      </c>
      <c r="AJ18" s="57">
        <f t="shared" si="0"/>
        <v>48</v>
      </c>
    </row>
    <row r="19" spans="1:36" ht="20.149999999999999" customHeight="1">
      <c r="A19" s="4">
        <v>7</v>
      </c>
      <c r="B19" s="4" t="s">
        <v>129</v>
      </c>
      <c r="C19" s="141" t="s">
        <v>117</v>
      </c>
      <c r="D19" s="45">
        <v>217622</v>
      </c>
      <c r="E19" s="4">
        <v>218306</v>
      </c>
      <c r="F19" s="4">
        <v>218837</v>
      </c>
      <c r="G19" s="4">
        <v>219434</v>
      </c>
      <c r="H19" s="4">
        <v>219880</v>
      </c>
      <c r="I19" s="4">
        <v>220289</v>
      </c>
      <c r="J19" s="4">
        <v>221010</v>
      </c>
      <c r="K19" s="4">
        <v>221753</v>
      </c>
      <c r="L19" s="4">
        <v>222497</v>
      </c>
      <c r="M19" s="4">
        <v>223201</v>
      </c>
      <c r="N19" s="5">
        <v>223908</v>
      </c>
      <c r="O19" s="4">
        <v>224521</v>
      </c>
      <c r="P19" s="4">
        <v>224967</v>
      </c>
      <c r="Q19" s="4">
        <v>225615</v>
      </c>
      <c r="R19" s="8">
        <v>226304</v>
      </c>
      <c r="S19" s="5">
        <v>227060</v>
      </c>
      <c r="T19" s="4">
        <v>227779</v>
      </c>
      <c r="U19" s="4">
        <v>228501</v>
      </c>
      <c r="V19" s="4">
        <v>229044</v>
      </c>
      <c r="W19" s="4">
        <v>229473</v>
      </c>
      <c r="X19" s="33">
        <v>230165</v>
      </c>
      <c r="Y19" s="4">
        <v>230880</v>
      </c>
      <c r="Z19" s="4">
        <v>231544</v>
      </c>
      <c r="AA19" s="8">
        <v>232214</v>
      </c>
      <c r="AB19" s="8">
        <v>232885</v>
      </c>
      <c r="AC19" s="4">
        <v>233482</v>
      </c>
      <c r="AD19" s="4">
        <v>233863</v>
      </c>
      <c r="AE19" s="8">
        <v>234519</v>
      </c>
      <c r="AF19" s="8">
        <v>235231</v>
      </c>
      <c r="AG19" s="8">
        <v>235956</v>
      </c>
      <c r="AH19" s="8">
        <v>236711</v>
      </c>
      <c r="AI19" s="8">
        <v>237024</v>
      </c>
      <c r="AJ19" s="57">
        <f t="shared" si="0"/>
        <v>19402</v>
      </c>
    </row>
    <row r="20" spans="1:36" ht="20.149999999999999" customHeight="1">
      <c r="A20" s="4"/>
      <c r="B20" s="4"/>
      <c r="C20" s="140" t="s">
        <v>22</v>
      </c>
      <c r="D20" s="3">
        <v>10322</v>
      </c>
      <c r="E20" s="4">
        <v>10322</v>
      </c>
      <c r="F20" s="4">
        <v>10322</v>
      </c>
      <c r="G20" s="4">
        <v>10322</v>
      </c>
      <c r="H20" s="4">
        <v>10322</v>
      </c>
      <c r="I20" s="4">
        <v>10322</v>
      </c>
      <c r="J20" s="4">
        <v>10322</v>
      </c>
      <c r="K20" s="4">
        <v>10322</v>
      </c>
      <c r="L20" s="4">
        <v>10322</v>
      </c>
      <c r="M20" s="4">
        <v>10322</v>
      </c>
      <c r="N20" s="4">
        <v>10322</v>
      </c>
      <c r="O20" s="4">
        <v>10322</v>
      </c>
      <c r="P20" s="4">
        <v>10322</v>
      </c>
      <c r="Q20" s="4">
        <v>10389</v>
      </c>
      <c r="R20" s="4">
        <v>10389</v>
      </c>
      <c r="S20" s="4">
        <v>10389</v>
      </c>
      <c r="T20" s="4">
        <v>10389</v>
      </c>
      <c r="U20" s="4">
        <v>10389</v>
      </c>
      <c r="V20" s="4">
        <v>10389</v>
      </c>
      <c r="W20" s="4">
        <v>10395</v>
      </c>
      <c r="X20" s="4">
        <v>10420</v>
      </c>
      <c r="Y20" s="4">
        <v>10420</v>
      </c>
      <c r="Z20" s="4">
        <v>10460</v>
      </c>
      <c r="AA20" s="4">
        <v>10460</v>
      </c>
      <c r="AB20" s="4">
        <v>10460</v>
      </c>
      <c r="AC20" s="4">
        <v>10460</v>
      </c>
      <c r="AD20" s="4">
        <v>10460</v>
      </c>
      <c r="AE20" s="4">
        <v>10460</v>
      </c>
      <c r="AF20" s="4">
        <v>10460</v>
      </c>
      <c r="AG20" s="4">
        <v>10460</v>
      </c>
      <c r="AH20" s="4">
        <v>10460</v>
      </c>
      <c r="AI20" s="4">
        <v>10460</v>
      </c>
      <c r="AJ20" s="57">
        <f t="shared" si="0"/>
        <v>138</v>
      </c>
    </row>
    <row r="21" spans="1:36" ht="20.149999999999999" customHeight="1">
      <c r="A21" s="4">
        <v>8</v>
      </c>
      <c r="B21" s="4" t="s">
        <v>129</v>
      </c>
      <c r="C21" s="141" t="s">
        <v>118</v>
      </c>
      <c r="D21" s="45">
        <v>45289</v>
      </c>
      <c r="E21" s="4">
        <v>45401</v>
      </c>
      <c r="F21" s="4">
        <v>45482</v>
      </c>
      <c r="G21" s="4">
        <v>45568</v>
      </c>
      <c r="H21" s="4">
        <v>45656</v>
      </c>
      <c r="I21" s="4">
        <v>45725</v>
      </c>
      <c r="J21" s="4">
        <v>45810</v>
      </c>
      <c r="K21" s="4">
        <v>45884</v>
      </c>
      <c r="L21" s="4">
        <v>45963</v>
      </c>
      <c r="M21" s="4">
        <v>46033</v>
      </c>
      <c r="N21" s="4">
        <v>46115</v>
      </c>
      <c r="O21" s="4">
        <v>46186</v>
      </c>
      <c r="P21" s="4">
        <v>46266</v>
      </c>
      <c r="Q21" s="4">
        <v>46332</v>
      </c>
      <c r="R21" s="4">
        <v>46419</v>
      </c>
      <c r="S21" s="4">
        <v>46502</v>
      </c>
      <c r="T21" s="4">
        <v>46595</v>
      </c>
      <c r="U21" s="4">
        <v>46704</v>
      </c>
      <c r="V21" s="4">
        <v>46797</v>
      </c>
      <c r="W21" s="4">
        <v>46899</v>
      </c>
      <c r="X21" s="4">
        <v>47038</v>
      </c>
      <c r="Y21" s="4">
        <v>47165</v>
      </c>
      <c r="Z21" s="4">
        <v>47281</v>
      </c>
      <c r="AA21" s="8">
        <v>47404</v>
      </c>
      <c r="AB21" s="8">
        <v>47548</v>
      </c>
      <c r="AC21" s="4">
        <v>47645</v>
      </c>
      <c r="AD21" s="4">
        <v>47743</v>
      </c>
      <c r="AE21" s="8">
        <v>47834</v>
      </c>
      <c r="AF21" s="8">
        <v>47940</v>
      </c>
      <c r="AG21" s="8">
        <v>48034</v>
      </c>
      <c r="AH21" s="8">
        <v>48133</v>
      </c>
      <c r="AI21" s="8">
        <v>48163</v>
      </c>
      <c r="AJ21" s="57">
        <f t="shared" si="0"/>
        <v>2874</v>
      </c>
    </row>
    <row r="22" spans="1:36" ht="20.149999999999999" customHeight="1">
      <c r="A22" s="4"/>
      <c r="B22" s="4"/>
      <c r="C22" s="140" t="s">
        <v>22</v>
      </c>
      <c r="D22" s="3">
        <v>1985</v>
      </c>
      <c r="E22" s="4">
        <v>1985</v>
      </c>
      <c r="F22" s="4">
        <v>1985</v>
      </c>
      <c r="G22" s="4">
        <v>1985</v>
      </c>
      <c r="H22" s="4">
        <v>1985</v>
      </c>
      <c r="I22" s="4">
        <v>1985</v>
      </c>
      <c r="J22" s="4">
        <v>1985</v>
      </c>
      <c r="K22" s="4">
        <v>1985</v>
      </c>
      <c r="L22" s="4">
        <v>1985</v>
      </c>
      <c r="M22" s="4">
        <v>1985</v>
      </c>
      <c r="N22" s="4">
        <v>1985</v>
      </c>
      <c r="O22" s="4">
        <v>1985</v>
      </c>
      <c r="P22" s="4">
        <v>1985</v>
      </c>
      <c r="Q22" s="4">
        <v>1992</v>
      </c>
      <c r="R22" s="4">
        <v>1992</v>
      </c>
      <c r="S22" s="4">
        <v>1992</v>
      </c>
      <c r="T22" s="4">
        <v>1992</v>
      </c>
      <c r="U22" s="4">
        <v>1992</v>
      </c>
      <c r="V22" s="4">
        <v>1992</v>
      </c>
      <c r="W22" s="4">
        <v>1993</v>
      </c>
      <c r="X22" s="4">
        <v>1998</v>
      </c>
      <c r="Y22" s="4">
        <v>1998</v>
      </c>
      <c r="Z22" s="4">
        <v>2007</v>
      </c>
      <c r="AA22" s="4">
        <v>2007</v>
      </c>
      <c r="AB22" s="4">
        <v>2007</v>
      </c>
      <c r="AC22" s="4">
        <v>2007</v>
      </c>
      <c r="AD22" s="4">
        <v>2007</v>
      </c>
      <c r="AE22" s="4">
        <v>2007</v>
      </c>
      <c r="AF22" s="4">
        <v>2007</v>
      </c>
      <c r="AG22" s="4">
        <v>2007</v>
      </c>
      <c r="AH22" s="4">
        <v>2007</v>
      </c>
      <c r="AI22" s="4">
        <v>2007</v>
      </c>
      <c r="AJ22" s="57">
        <f t="shared" si="0"/>
        <v>22</v>
      </c>
    </row>
    <row r="23" spans="1:36" ht="14.5" customHeight="1">
      <c r="A23" s="503"/>
      <c r="B23" s="504"/>
      <c r="C23" s="504"/>
      <c r="D23" s="504"/>
      <c r="E23" s="504"/>
      <c r="F23" s="504"/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504"/>
      <c r="T23" s="504"/>
      <c r="U23" s="504"/>
      <c r="V23" s="504"/>
      <c r="W23" s="504"/>
      <c r="X23" s="504"/>
      <c r="Y23" s="504"/>
      <c r="Z23" s="504"/>
      <c r="AA23" s="504"/>
      <c r="AB23" s="504"/>
      <c r="AC23" s="504"/>
      <c r="AD23" s="504"/>
      <c r="AE23" s="504"/>
      <c r="AF23" s="504"/>
      <c r="AG23" s="504"/>
      <c r="AH23" s="504"/>
      <c r="AI23" s="504"/>
      <c r="AJ23" s="501"/>
    </row>
    <row r="24" spans="1:36" ht="14.5" customHeight="1">
      <c r="A24" s="4">
        <v>1</v>
      </c>
      <c r="B24" s="4" t="s">
        <v>129</v>
      </c>
      <c r="C24" s="141" t="s">
        <v>119</v>
      </c>
      <c r="D24" s="45">
        <v>21831</v>
      </c>
      <c r="E24" s="4">
        <v>21831</v>
      </c>
      <c r="F24" s="4">
        <v>21887</v>
      </c>
      <c r="G24" s="4">
        <v>21926</v>
      </c>
      <c r="H24" s="4">
        <v>21932</v>
      </c>
      <c r="I24" s="4">
        <v>21932</v>
      </c>
      <c r="J24" s="4">
        <v>21980</v>
      </c>
      <c r="K24" s="4">
        <v>22015</v>
      </c>
      <c r="L24" s="4">
        <v>22049</v>
      </c>
      <c r="M24" s="4">
        <v>22085</v>
      </c>
      <c r="N24" s="4">
        <v>22124</v>
      </c>
      <c r="O24" s="4">
        <v>22156</v>
      </c>
      <c r="P24" s="4">
        <v>22156</v>
      </c>
      <c r="Q24" s="4">
        <v>22196</v>
      </c>
      <c r="R24" s="4">
        <v>22249</v>
      </c>
      <c r="S24" s="4">
        <v>22302</v>
      </c>
      <c r="T24" s="4">
        <v>22351</v>
      </c>
      <c r="U24" s="4">
        <v>22399</v>
      </c>
      <c r="V24" s="4">
        <v>22417</v>
      </c>
      <c r="W24" s="4">
        <v>22417</v>
      </c>
      <c r="X24" s="4">
        <v>22488</v>
      </c>
      <c r="Y24" s="4">
        <v>22545</v>
      </c>
      <c r="Z24" s="4">
        <v>22600</v>
      </c>
      <c r="AA24" s="4">
        <v>22662</v>
      </c>
      <c r="AB24" s="4">
        <v>22707</v>
      </c>
      <c r="AC24" s="4">
        <v>22728</v>
      </c>
      <c r="AD24" s="4">
        <v>22728</v>
      </c>
      <c r="AE24" s="4">
        <v>22769</v>
      </c>
      <c r="AF24" s="4">
        <v>22806</v>
      </c>
      <c r="AG24" s="4">
        <v>22842</v>
      </c>
      <c r="AH24" s="8">
        <v>22892</v>
      </c>
      <c r="AI24" s="8">
        <v>22927</v>
      </c>
      <c r="AJ24" s="7">
        <f t="shared" ref="AJ24:AJ31" si="1">AI24-D24</f>
        <v>1096</v>
      </c>
    </row>
    <row r="25" spans="1:36" ht="14.5" customHeight="1">
      <c r="A25" s="4"/>
      <c r="B25" s="4"/>
      <c r="C25" s="142" t="s">
        <v>22</v>
      </c>
      <c r="D25" s="3">
        <v>1811</v>
      </c>
      <c r="E25" s="4">
        <v>1811</v>
      </c>
      <c r="F25" s="4">
        <v>1811</v>
      </c>
      <c r="G25" s="4">
        <v>1811</v>
      </c>
      <c r="H25" s="4">
        <v>1811</v>
      </c>
      <c r="I25" s="4">
        <v>1811</v>
      </c>
      <c r="J25" s="4">
        <v>1811</v>
      </c>
      <c r="K25" s="4">
        <v>1811</v>
      </c>
      <c r="L25" s="4">
        <v>1811</v>
      </c>
      <c r="M25" s="4">
        <v>1811</v>
      </c>
      <c r="N25" s="4">
        <v>1811</v>
      </c>
      <c r="O25" s="4">
        <v>1811</v>
      </c>
      <c r="P25" s="4">
        <v>1811</v>
      </c>
      <c r="Q25" s="4">
        <v>1811</v>
      </c>
      <c r="R25" s="4">
        <v>1811</v>
      </c>
      <c r="S25" s="4">
        <v>1811</v>
      </c>
      <c r="T25" s="4">
        <v>1811</v>
      </c>
      <c r="U25" s="4">
        <v>1811</v>
      </c>
      <c r="V25" s="4">
        <v>1811</v>
      </c>
      <c r="W25" s="4">
        <v>1811</v>
      </c>
      <c r="X25" s="4">
        <v>1815</v>
      </c>
      <c r="Y25" s="4">
        <v>1815</v>
      </c>
      <c r="Z25" s="4">
        <v>1819</v>
      </c>
      <c r="AA25" s="4">
        <v>1819</v>
      </c>
      <c r="AB25" s="4">
        <v>1819</v>
      </c>
      <c r="AC25" s="4">
        <v>1819</v>
      </c>
      <c r="AD25" s="4">
        <v>1819</v>
      </c>
      <c r="AE25" s="4">
        <v>1819</v>
      </c>
      <c r="AF25" s="4">
        <v>1819</v>
      </c>
      <c r="AG25" s="4">
        <v>1819</v>
      </c>
      <c r="AH25" s="4">
        <v>1819</v>
      </c>
      <c r="AI25" s="4">
        <v>1819</v>
      </c>
      <c r="AJ25" s="7">
        <f t="shared" si="1"/>
        <v>8</v>
      </c>
    </row>
    <row r="26" spans="1:36" ht="14.5" customHeight="1">
      <c r="A26" s="4">
        <v>2</v>
      </c>
      <c r="B26" s="4" t="s">
        <v>129</v>
      </c>
      <c r="C26" s="141" t="s">
        <v>120</v>
      </c>
      <c r="D26" s="45">
        <v>21457</v>
      </c>
      <c r="E26" s="4">
        <v>21457</v>
      </c>
      <c r="F26" s="4">
        <v>21507</v>
      </c>
      <c r="G26" s="4">
        <v>21554</v>
      </c>
      <c r="H26" s="4">
        <v>21559</v>
      </c>
      <c r="I26" s="4">
        <v>21559</v>
      </c>
      <c r="J26" s="4">
        <v>21602</v>
      </c>
      <c r="K26" s="4">
        <v>21630</v>
      </c>
      <c r="L26" s="4">
        <v>21660</v>
      </c>
      <c r="M26" s="4">
        <v>21699</v>
      </c>
      <c r="N26" s="4">
        <v>21731</v>
      </c>
      <c r="O26" s="4">
        <v>21754</v>
      </c>
      <c r="P26" s="4">
        <v>21754</v>
      </c>
      <c r="Q26" s="4">
        <v>21784</v>
      </c>
      <c r="R26" s="4">
        <v>21818</v>
      </c>
      <c r="S26" s="4">
        <v>21881</v>
      </c>
      <c r="T26" s="4">
        <v>21926</v>
      </c>
      <c r="U26" s="4">
        <v>21974</v>
      </c>
      <c r="V26" s="4">
        <v>21989</v>
      </c>
      <c r="W26" s="4">
        <v>21989</v>
      </c>
      <c r="X26" s="4">
        <v>22057</v>
      </c>
      <c r="Y26" s="4">
        <v>22099</v>
      </c>
      <c r="Z26" s="4">
        <v>22132</v>
      </c>
      <c r="AA26" s="8">
        <v>22195</v>
      </c>
      <c r="AB26" s="8">
        <v>22243</v>
      </c>
      <c r="AC26" s="4">
        <v>22268</v>
      </c>
      <c r="AD26" s="4">
        <v>22268</v>
      </c>
      <c r="AE26" s="8">
        <v>22318</v>
      </c>
      <c r="AF26" s="8">
        <v>22365</v>
      </c>
      <c r="AG26" s="8">
        <v>22445</v>
      </c>
      <c r="AH26" s="8">
        <v>22547</v>
      </c>
      <c r="AI26" s="8">
        <v>22592</v>
      </c>
      <c r="AJ26" s="7">
        <f t="shared" si="1"/>
        <v>1135</v>
      </c>
    </row>
    <row r="27" spans="1:36" ht="14.5" customHeight="1">
      <c r="A27" s="4"/>
      <c r="B27" s="4"/>
      <c r="C27" s="142" t="s">
        <v>22</v>
      </c>
      <c r="D27" s="3">
        <v>1765</v>
      </c>
      <c r="E27" s="4">
        <v>1765</v>
      </c>
      <c r="F27" s="4">
        <v>1765</v>
      </c>
      <c r="G27" s="4">
        <v>1765</v>
      </c>
      <c r="H27" s="4">
        <v>1765</v>
      </c>
      <c r="I27" s="4">
        <v>1765</v>
      </c>
      <c r="J27" s="4">
        <v>1765</v>
      </c>
      <c r="K27" s="4">
        <v>1765</v>
      </c>
      <c r="L27" s="4">
        <v>1765</v>
      </c>
      <c r="M27" s="4">
        <v>1765</v>
      </c>
      <c r="N27" s="4">
        <v>1765</v>
      </c>
      <c r="O27" s="4">
        <v>1765</v>
      </c>
      <c r="P27" s="4">
        <v>1765</v>
      </c>
      <c r="Q27" s="4">
        <v>1765</v>
      </c>
      <c r="R27" s="4">
        <v>1765</v>
      </c>
      <c r="S27" s="4">
        <v>1765</v>
      </c>
      <c r="T27" s="4">
        <v>1765</v>
      </c>
      <c r="U27" s="4">
        <v>1765</v>
      </c>
      <c r="V27" s="4">
        <v>1765</v>
      </c>
      <c r="W27" s="4">
        <v>1765</v>
      </c>
      <c r="X27" s="4">
        <v>1767</v>
      </c>
      <c r="Y27" s="4">
        <v>1767</v>
      </c>
      <c r="Z27" s="4">
        <v>1767</v>
      </c>
      <c r="AA27" s="4">
        <v>1767</v>
      </c>
      <c r="AB27" s="4">
        <v>1767</v>
      </c>
      <c r="AC27" s="4">
        <v>1767</v>
      </c>
      <c r="AD27" s="4">
        <v>1767</v>
      </c>
      <c r="AE27" s="4">
        <v>1767</v>
      </c>
      <c r="AF27" s="4">
        <v>1767</v>
      </c>
      <c r="AG27" s="4">
        <v>1767</v>
      </c>
      <c r="AH27" s="4">
        <v>1767</v>
      </c>
      <c r="AI27" s="4">
        <v>1767</v>
      </c>
      <c r="AJ27" s="7">
        <f t="shared" si="1"/>
        <v>2</v>
      </c>
    </row>
    <row r="28" spans="1:36" ht="14.5" customHeight="1">
      <c r="A28" s="4">
        <v>3</v>
      </c>
      <c r="B28" s="4" t="s">
        <v>129</v>
      </c>
      <c r="C28" s="141" t="s">
        <v>121</v>
      </c>
      <c r="D28" s="3">
        <v>21190</v>
      </c>
      <c r="E28" s="4">
        <v>21190</v>
      </c>
      <c r="F28" s="4">
        <v>21222</v>
      </c>
      <c r="G28" s="4">
        <v>21233</v>
      </c>
      <c r="H28" s="4">
        <v>21243</v>
      </c>
      <c r="I28" s="4">
        <v>21243</v>
      </c>
      <c r="J28" s="4">
        <v>21306</v>
      </c>
      <c r="K28" s="4">
        <v>21352</v>
      </c>
      <c r="L28" s="4">
        <v>21397</v>
      </c>
      <c r="M28" s="4">
        <v>21442</v>
      </c>
      <c r="N28" s="4">
        <v>21491</v>
      </c>
      <c r="O28" s="4">
        <v>21530</v>
      </c>
      <c r="P28" s="4">
        <v>21530</v>
      </c>
      <c r="Q28" s="4">
        <v>21578</v>
      </c>
      <c r="R28" s="4">
        <v>21647</v>
      </c>
      <c r="S28" s="4">
        <v>21740</v>
      </c>
      <c r="T28" s="4">
        <v>21802</v>
      </c>
      <c r="U28" s="4">
        <v>21886</v>
      </c>
      <c r="V28" s="4">
        <v>21889</v>
      </c>
      <c r="W28" s="4">
        <v>21889</v>
      </c>
      <c r="X28" s="4">
        <v>21950</v>
      </c>
      <c r="Y28" s="4">
        <v>21951</v>
      </c>
      <c r="Z28" s="4">
        <v>22034</v>
      </c>
      <c r="AA28" s="4">
        <v>22078</v>
      </c>
      <c r="AB28" s="4">
        <v>22119</v>
      </c>
      <c r="AC28" s="4">
        <v>22143</v>
      </c>
      <c r="AD28" s="4">
        <v>22143</v>
      </c>
      <c r="AE28" s="4">
        <v>22187</v>
      </c>
      <c r="AF28" s="4">
        <v>22229</v>
      </c>
      <c r="AG28" s="4">
        <v>22301</v>
      </c>
      <c r="AH28" s="4">
        <v>22416</v>
      </c>
      <c r="AI28" s="4">
        <v>22468</v>
      </c>
      <c r="AJ28" s="7">
        <f t="shared" si="1"/>
        <v>1278</v>
      </c>
    </row>
    <row r="29" spans="1:36" ht="14.5" customHeight="1">
      <c r="A29" s="4"/>
      <c r="B29" s="4"/>
      <c r="C29" s="142" t="s">
        <v>22</v>
      </c>
      <c r="D29" s="4">
        <v>1859</v>
      </c>
      <c r="E29" s="4">
        <v>1859</v>
      </c>
      <c r="F29" s="4">
        <v>1859</v>
      </c>
      <c r="G29" s="4">
        <v>1859</v>
      </c>
      <c r="H29" s="4">
        <v>1859</v>
      </c>
      <c r="I29" s="4">
        <v>1859</v>
      </c>
      <c r="J29" s="4">
        <v>1859</v>
      </c>
      <c r="K29" s="4">
        <v>1859</v>
      </c>
      <c r="L29" s="4">
        <v>1859</v>
      </c>
      <c r="M29" s="4">
        <v>1859</v>
      </c>
      <c r="N29" s="4">
        <v>1859</v>
      </c>
      <c r="O29" s="4">
        <v>1859</v>
      </c>
      <c r="P29" s="4">
        <v>1859</v>
      </c>
      <c r="Q29" s="4">
        <v>1859</v>
      </c>
      <c r="R29" s="4">
        <v>1859</v>
      </c>
      <c r="S29" s="4">
        <v>1859</v>
      </c>
      <c r="T29" s="4">
        <v>1859</v>
      </c>
      <c r="U29" s="4">
        <v>1859</v>
      </c>
      <c r="V29" s="4">
        <v>1859</v>
      </c>
      <c r="W29" s="4">
        <v>1859</v>
      </c>
      <c r="X29" s="4">
        <v>1861</v>
      </c>
      <c r="Y29" s="4">
        <v>1861</v>
      </c>
      <c r="Z29" s="4">
        <v>1864</v>
      </c>
      <c r="AA29" s="4">
        <v>1864</v>
      </c>
      <c r="AB29" s="4">
        <v>1864</v>
      </c>
      <c r="AC29" s="4">
        <v>1864</v>
      </c>
      <c r="AD29" s="4">
        <v>1864</v>
      </c>
      <c r="AE29" s="4">
        <v>1864</v>
      </c>
      <c r="AF29" s="4">
        <v>1864</v>
      </c>
      <c r="AG29" s="4">
        <v>1864</v>
      </c>
      <c r="AH29" s="4">
        <v>1864</v>
      </c>
      <c r="AI29" s="4">
        <v>1864</v>
      </c>
      <c r="AJ29" s="7">
        <f t="shared" si="1"/>
        <v>5</v>
      </c>
    </row>
    <row r="30" spans="1:36" ht="14.5" customHeight="1">
      <c r="A30" s="4">
        <v>4</v>
      </c>
      <c r="B30" s="4" t="s">
        <v>129</v>
      </c>
      <c r="C30" s="141" t="s">
        <v>122</v>
      </c>
      <c r="D30" s="45">
        <v>19720</v>
      </c>
      <c r="E30" s="4">
        <v>19720</v>
      </c>
      <c r="F30" s="4">
        <v>19722</v>
      </c>
      <c r="G30" s="4">
        <v>19722</v>
      </c>
      <c r="H30" s="4">
        <v>19727</v>
      </c>
      <c r="I30" s="4">
        <v>19727</v>
      </c>
      <c r="J30" s="4">
        <v>19775</v>
      </c>
      <c r="K30" s="4">
        <v>19817</v>
      </c>
      <c r="L30" s="4">
        <v>19858</v>
      </c>
      <c r="M30" s="4">
        <v>19899</v>
      </c>
      <c r="N30" s="4">
        <v>19945</v>
      </c>
      <c r="O30" s="4">
        <v>19960</v>
      </c>
      <c r="P30" s="4">
        <v>19960</v>
      </c>
      <c r="Q30" s="4">
        <v>20004</v>
      </c>
      <c r="R30" s="4">
        <v>20072</v>
      </c>
      <c r="S30" s="4">
        <v>20142</v>
      </c>
      <c r="T30" s="4">
        <v>20198</v>
      </c>
      <c r="U30" s="4">
        <v>20251</v>
      </c>
      <c r="V30" s="4">
        <v>20263</v>
      </c>
      <c r="W30" s="4">
        <v>20263</v>
      </c>
      <c r="X30" s="4">
        <v>20325</v>
      </c>
      <c r="Y30" s="4">
        <v>20365</v>
      </c>
      <c r="Z30" s="4">
        <v>20410</v>
      </c>
      <c r="AA30" s="4">
        <v>20454</v>
      </c>
      <c r="AB30" s="4">
        <v>20496</v>
      </c>
      <c r="AC30" s="4">
        <v>20500</v>
      </c>
      <c r="AD30" s="4">
        <v>20500</v>
      </c>
      <c r="AE30" s="4">
        <v>20534</v>
      </c>
      <c r="AF30" s="4">
        <v>20567</v>
      </c>
      <c r="AG30" s="4">
        <v>20626</v>
      </c>
      <c r="AH30" s="8">
        <v>20680</v>
      </c>
      <c r="AI30" s="8">
        <v>20730</v>
      </c>
      <c r="AJ30" s="7">
        <f t="shared" si="1"/>
        <v>1010</v>
      </c>
    </row>
    <row r="31" spans="1:36" ht="14.5" customHeight="1">
      <c r="A31" s="4"/>
      <c r="B31" s="4"/>
      <c r="C31" s="142" t="s">
        <v>22</v>
      </c>
      <c r="D31" s="4">
        <v>1668</v>
      </c>
      <c r="E31" s="4">
        <v>1668</v>
      </c>
      <c r="F31" s="4">
        <v>1668</v>
      </c>
      <c r="G31" s="4">
        <v>1668</v>
      </c>
      <c r="H31" s="4">
        <v>1668</v>
      </c>
      <c r="I31" s="4">
        <v>1668</v>
      </c>
      <c r="J31" s="4">
        <v>1668</v>
      </c>
      <c r="K31" s="4">
        <v>1668</v>
      </c>
      <c r="L31" s="4">
        <v>1668</v>
      </c>
      <c r="M31" s="4">
        <v>1668</v>
      </c>
      <c r="N31" s="4">
        <v>1668</v>
      </c>
      <c r="O31" s="4">
        <v>1668</v>
      </c>
      <c r="P31" s="4">
        <v>1668</v>
      </c>
      <c r="Q31" s="4">
        <v>1668</v>
      </c>
      <c r="R31" s="4">
        <v>1668</v>
      </c>
      <c r="S31" s="4">
        <v>1668</v>
      </c>
      <c r="T31" s="4">
        <v>1668</v>
      </c>
      <c r="U31" s="4">
        <v>1668</v>
      </c>
      <c r="V31" s="4">
        <v>1668</v>
      </c>
      <c r="W31" s="4">
        <v>1668</v>
      </c>
      <c r="X31" s="4">
        <v>1671</v>
      </c>
      <c r="Y31" s="4">
        <v>1671</v>
      </c>
      <c r="Z31" s="4">
        <v>1673</v>
      </c>
      <c r="AA31" s="4">
        <v>1673</v>
      </c>
      <c r="AB31" s="4">
        <v>1673</v>
      </c>
      <c r="AC31" s="4">
        <v>1673</v>
      </c>
      <c r="AD31" s="4">
        <v>1673</v>
      </c>
      <c r="AE31" s="4">
        <v>1673</v>
      </c>
      <c r="AF31" s="4">
        <v>1673</v>
      </c>
      <c r="AG31" s="4">
        <v>1673</v>
      </c>
      <c r="AH31" s="4">
        <v>1673</v>
      </c>
      <c r="AI31" s="4">
        <v>1673</v>
      </c>
      <c r="AJ31" s="7">
        <f t="shared" si="1"/>
        <v>5</v>
      </c>
    </row>
    <row r="32" spans="1:36" ht="14.5" customHeight="1">
      <c r="A32" s="564"/>
      <c r="B32" s="504"/>
      <c r="C32" s="504"/>
      <c r="D32" s="504"/>
      <c r="E32" s="504"/>
      <c r="F32" s="504"/>
      <c r="G32" s="504"/>
      <c r="H32" s="504"/>
      <c r="I32" s="504"/>
      <c r="J32" s="504"/>
      <c r="K32" s="504"/>
      <c r="L32" s="504"/>
      <c r="M32" s="504"/>
      <c r="N32" s="504"/>
      <c r="O32" s="504"/>
      <c r="P32" s="504"/>
      <c r="Q32" s="504"/>
      <c r="R32" s="504"/>
      <c r="S32" s="504"/>
      <c r="T32" s="504"/>
      <c r="U32" s="504"/>
      <c r="V32" s="504"/>
      <c r="W32" s="504"/>
      <c r="X32" s="504"/>
      <c r="Y32" s="504"/>
      <c r="Z32" s="504"/>
      <c r="AA32" s="504"/>
      <c r="AB32" s="504"/>
      <c r="AC32" s="504"/>
      <c r="AD32" s="504"/>
      <c r="AE32" s="504"/>
      <c r="AF32" s="504"/>
      <c r="AG32" s="504"/>
      <c r="AH32" s="504"/>
      <c r="AI32" s="504"/>
      <c r="AJ32" s="501"/>
    </row>
    <row r="33" spans="1:36" ht="14.5" customHeight="1">
      <c r="A33" s="4">
        <v>1</v>
      </c>
      <c r="B33" s="4" t="s">
        <v>129</v>
      </c>
      <c r="C33" s="141" t="s">
        <v>123</v>
      </c>
      <c r="D33" s="46">
        <v>180287</v>
      </c>
      <c r="E33" s="40">
        <v>180287</v>
      </c>
      <c r="F33" s="10">
        <v>180602</v>
      </c>
      <c r="G33" s="10">
        <v>180739</v>
      </c>
      <c r="H33" s="10">
        <v>180806</v>
      </c>
      <c r="I33" s="10">
        <v>180806</v>
      </c>
      <c r="J33" s="10">
        <v>181385</v>
      </c>
      <c r="K33" s="10">
        <v>181840</v>
      </c>
      <c r="L33" s="10">
        <v>182294</v>
      </c>
      <c r="M33" s="10">
        <v>182720</v>
      </c>
      <c r="N33" s="11">
        <v>183099</v>
      </c>
      <c r="O33" s="11">
        <v>183223</v>
      </c>
      <c r="P33" s="11">
        <v>183223</v>
      </c>
      <c r="Q33" s="11">
        <v>183613</v>
      </c>
      <c r="R33" s="11">
        <v>184044</v>
      </c>
      <c r="S33" s="11">
        <v>184481</v>
      </c>
      <c r="T33" s="11">
        <v>184780</v>
      </c>
      <c r="U33" s="11">
        <v>185168</v>
      </c>
      <c r="V33" s="11">
        <v>185300</v>
      </c>
      <c r="W33" s="11">
        <v>185300</v>
      </c>
      <c r="X33" s="11">
        <v>185975</v>
      </c>
      <c r="Y33" s="11">
        <v>186606</v>
      </c>
      <c r="Z33" s="11">
        <v>187122</v>
      </c>
      <c r="AA33" s="11">
        <v>187723</v>
      </c>
      <c r="AB33" s="11">
        <v>188169</v>
      </c>
      <c r="AC33" s="11">
        <v>188342</v>
      </c>
      <c r="AD33" s="11">
        <v>188342</v>
      </c>
      <c r="AE33" s="11">
        <v>188941</v>
      </c>
      <c r="AF33" s="11">
        <v>189477</v>
      </c>
      <c r="AG33" s="11">
        <v>190008</v>
      </c>
      <c r="AH33" s="40">
        <v>190510</v>
      </c>
      <c r="AI33" s="40">
        <v>190977</v>
      </c>
      <c r="AJ33" s="7">
        <f>AI33-D33</f>
        <v>10690</v>
      </c>
    </row>
    <row r="34" spans="1:36" ht="14.5" customHeight="1">
      <c r="A34" s="4">
        <v>2</v>
      </c>
      <c r="B34" s="4" t="s">
        <v>129</v>
      </c>
      <c r="C34" s="141" t="s">
        <v>124</v>
      </c>
      <c r="D34" s="46">
        <v>192836</v>
      </c>
      <c r="E34" s="10">
        <v>192836</v>
      </c>
      <c r="F34" s="10">
        <v>192959</v>
      </c>
      <c r="G34" s="10">
        <v>193151</v>
      </c>
      <c r="H34" s="10">
        <v>193177</v>
      </c>
      <c r="I34" s="10">
        <v>193177</v>
      </c>
      <c r="J34" s="10">
        <v>193510</v>
      </c>
      <c r="K34" s="10">
        <v>193787</v>
      </c>
      <c r="L34" s="10">
        <v>194107</v>
      </c>
      <c r="M34" s="10">
        <v>194529</v>
      </c>
      <c r="N34" s="10">
        <v>194760</v>
      </c>
      <c r="O34" s="11">
        <v>194877</v>
      </c>
      <c r="P34" s="11">
        <v>194877</v>
      </c>
      <c r="Q34" s="11">
        <v>195116</v>
      </c>
      <c r="R34" s="11">
        <v>195338</v>
      </c>
      <c r="S34" s="11">
        <v>195619</v>
      </c>
      <c r="T34" s="11">
        <v>195891</v>
      </c>
      <c r="U34" s="11">
        <v>196174</v>
      </c>
      <c r="V34" s="11">
        <v>196321</v>
      </c>
      <c r="W34" s="11">
        <v>196321</v>
      </c>
      <c r="X34" s="11">
        <v>196795</v>
      </c>
      <c r="Y34" s="11">
        <v>197253</v>
      </c>
      <c r="Z34" s="11">
        <v>197689</v>
      </c>
      <c r="AA34" s="11">
        <v>198155</v>
      </c>
      <c r="AB34" s="11">
        <v>198556</v>
      </c>
      <c r="AC34" s="11">
        <v>198704</v>
      </c>
      <c r="AD34" s="11">
        <v>198704</v>
      </c>
      <c r="AE34" s="11">
        <v>199202</v>
      </c>
      <c r="AF34" s="11">
        <v>199722</v>
      </c>
      <c r="AG34" s="11">
        <v>200149</v>
      </c>
      <c r="AH34" s="40">
        <v>200595</v>
      </c>
      <c r="AI34" s="40">
        <v>200908</v>
      </c>
      <c r="AJ34" s="7">
        <f>AI34-D34</f>
        <v>8072</v>
      </c>
    </row>
    <row r="35" spans="1:36" ht="14.5" customHeight="1">
      <c r="A35" s="4">
        <v>3</v>
      </c>
      <c r="B35" s="4" t="s">
        <v>129</v>
      </c>
      <c r="C35" s="141" t="s">
        <v>125</v>
      </c>
      <c r="D35" s="46">
        <v>194316</v>
      </c>
      <c r="E35" s="10">
        <v>194316</v>
      </c>
      <c r="F35" s="10">
        <v>194345</v>
      </c>
      <c r="G35" s="10">
        <v>194364</v>
      </c>
      <c r="H35" s="10">
        <v>194385</v>
      </c>
      <c r="I35" s="10">
        <v>194385</v>
      </c>
      <c r="J35" s="10">
        <v>194540</v>
      </c>
      <c r="K35" s="10">
        <v>194818</v>
      </c>
      <c r="L35" s="10">
        <v>195282</v>
      </c>
      <c r="M35" s="10">
        <v>195767</v>
      </c>
      <c r="N35" s="10">
        <v>196021</v>
      </c>
      <c r="O35" s="11">
        <v>196145</v>
      </c>
      <c r="P35" s="11">
        <v>196145</v>
      </c>
      <c r="Q35" s="11">
        <v>196448</v>
      </c>
      <c r="R35" s="11">
        <v>196567</v>
      </c>
      <c r="S35" s="11">
        <v>196746</v>
      </c>
      <c r="T35" s="11">
        <v>196947</v>
      </c>
      <c r="U35" s="11">
        <v>197284</v>
      </c>
      <c r="V35" s="11">
        <v>197484</v>
      </c>
      <c r="W35" s="11">
        <v>197484</v>
      </c>
      <c r="X35" s="11">
        <v>197852</v>
      </c>
      <c r="Y35" s="11">
        <v>198113</v>
      </c>
      <c r="Z35" s="11">
        <v>198544</v>
      </c>
      <c r="AA35" s="11">
        <v>199084</v>
      </c>
      <c r="AB35" s="11">
        <v>199311</v>
      </c>
      <c r="AC35" s="11">
        <v>199405</v>
      </c>
      <c r="AD35" s="11">
        <v>199705</v>
      </c>
      <c r="AE35" s="11">
        <v>199679</v>
      </c>
      <c r="AF35" s="11">
        <v>199959</v>
      </c>
      <c r="AG35" s="11">
        <v>200249</v>
      </c>
      <c r="AH35" s="40">
        <v>200612</v>
      </c>
      <c r="AI35" s="40">
        <v>200887</v>
      </c>
      <c r="AJ35" s="7">
        <f>AI35-D35</f>
        <v>6571</v>
      </c>
    </row>
    <row r="36" spans="1:36" ht="14.5" customHeight="1">
      <c r="A36" s="4">
        <v>4</v>
      </c>
      <c r="B36" s="4" t="s">
        <v>129</v>
      </c>
      <c r="C36" s="141" t="s">
        <v>126</v>
      </c>
      <c r="D36" s="46">
        <v>211795</v>
      </c>
      <c r="E36" s="10">
        <v>211806</v>
      </c>
      <c r="F36" s="10">
        <v>211812</v>
      </c>
      <c r="G36" s="10">
        <v>211815</v>
      </c>
      <c r="H36" s="10">
        <v>211820</v>
      </c>
      <c r="I36" s="10">
        <v>211820</v>
      </c>
      <c r="J36" s="10">
        <v>212056</v>
      </c>
      <c r="K36" s="10">
        <v>212229</v>
      </c>
      <c r="L36" s="10">
        <v>212560</v>
      </c>
      <c r="M36" s="10">
        <v>212999</v>
      </c>
      <c r="N36" s="11">
        <v>213101</v>
      </c>
      <c r="O36" s="11">
        <v>213107</v>
      </c>
      <c r="P36" s="11">
        <v>213107</v>
      </c>
      <c r="Q36" s="11">
        <v>213261</v>
      </c>
      <c r="R36" s="11">
        <v>213434</v>
      </c>
      <c r="S36" s="11">
        <v>213615</v>
      </c>
      <c r="T36" s="11">
        <v>213825</v>
      </c>
      <c r="U36" s="11">
        <v>214148</v>
      </c>
      <c r="V36" s="11">
        <v>214227</v>
      </c>
      <c r="W36" s="11">
        <v>214227</v>
      </c>
      <c r="X36" s="11">
        <v>214826</v>
      </c>
      <c r="Y36" s="11">
        <v>215348</v>
      </c>
      <c r="Z36" s="11">
        <v>215793</v>
      </c>
      <c r="AA36" s="11">
        <v>216288</v>
      </c>
      <c r="AB36" s="11">
        <v>216693</v>
      </c>
      <c r="AC36" s="11">
        <v>216778</v>
      </c>
      <c r="AD36" s="11">
        <v>216778</v>
      </c>
      <c r="AE36" s="11">
        <v>217299</v>
      </c>
      <c r="AF36" s="11">
        <v>217763</v>
      </c>
      <c r="AG36" s="11">
        <v>218251</v>
      </c>
      <c r="AH36" s="40">
        <v>218678</v>
      </c>
      <c r="AI36" s="40">
        <v>219082</v>
      </c>
      <c r="AJ36" s="7">
        <f>AI36-D36</f>
        <v>7287</v>
      </c>
    </row>
    <row r="37" spans="1:36" ht="14.5" customHeight="1">
      <c r="A37" s="134"/>
      <c r="B37" s="134"/>
      <c r="D37" s="135"/>
      <c r="E37" s="13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  <c r="V37" s="134"/>
      <c r="W37" s="134"/>
      <c r="X37" s="134"/>
      <c r="Y37" s="134"/>
      <c r="Z37" s="134"/>
      <c r="AA37" s="134"/>
      <c r="AB37" s="134"/>
      <c r="AC37" s="6"/>
      <c r="AD37" s="134"/>
      <c r="AE37" s="134"/>
      <c r="AF37" s="134"/>
      <c r="AG37" s="134"/>
      <c r="AH37" s="134"/>
      <c r="AI37" s="134"/>
      <c r="AJ37" s="136"/>
    </row>
    <row r="38" spans="1:36" ht="14.5" customHeight="1">
      <c r="A38" s="14"/>
      <c r="B38" s="137"/>
      <c r="C38" s="144"/>
      <c r="D38" s="138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spans="1:36" ht="14.5" customHeight="1">
      <c r="A39" s="93"/>
      <c r="B39" s="534" t="s">
        <v>127</v>
      </c>
      <c r="C39" s="504"/>
      <c r="D39" s="501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</row>
    <row r="40" spans="1:36" ht="14.5" customHeight="1">
      <c r="A40" s="94"/>
      <c r="B40" s="538" t="s">
        <v>128</v>
      </c>
      <c r="C40" s="504"/>
      <c r="D40" s="501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</row>
    <row r="41" spans="1:36" ht="13" customHeight="1">
      <c r="A41" s="529" t="s">
        <v>99</v>
      </c>
      <c r="B41" s="529" t="s">
        <v>100</v>
      </c>
      <c r="C41" s="529" t="s">
        <v>101</v>
      </c>
      <c r="D41" s="517"/>
      <c r="E41" s="95">
        <f t="shared" ref="E41:AI41" si="2">E3</f>
        <v>45658</v>
      </c>
      <c r="F41" s="95">
        <f t="shared" si="2"/>
        <v>45659</v>
      </c>
      <c r="G41" s="95">
        <f t="shared" si="2"/>
        <v>45660</v>
      </c>
      <c r="H41" s="95">
        <f t="shared" si="2"/>
        <v>45661</v>
      </c>
      <c r="I41" s="95">
        <f t="shared" si="2"/>
        <v>45662</v>
      </c>
      <c r="J41" s="95">
        <f t="shared" si="2"/>
        <v>45663</v>
      </c>
      <c r="K41" s="95">
        <f t="shared" si="2"/>
        <v>45664</v>
      </c>
      <c r="L41" s="95">
        <f t="shared" si="2"/>
        <v>45665</v>
      </c>
      <c r="M41" s="95">
        <f t="shared" si="2"/>
        <v>45666</v>
      </c>
      <c r="N41" s="95">
        <f t="shared" si="2"/>
        <v>45667</v>
      </c>
      <c r="O41" s="95">
        <f t="shared" si="2"/>
        <v>45668</v>
      </c>
      <c r="P41" s="95">
        <f t="shared" si="2"/>
        <v>45669</v>
      </c>
      <c r="Q41" s="95">
        <f t="shared" si="2"/>
        <v>45670</v>
      </c>
      <c r="R41" s="95">
        <f t="shared" si="2"/>
        <v>45671</v>
      </c>
      <c r="S41" s="95">
        <f t="shared" si="2"/>
        <v>45672</v>
      </c>
      <c r="T41" s="95">
        <f t="shared" si="2"/>
        <v>45673</v>
      </c>
      <c r="U41" s="95">
        <f t="shared" si="2"/>
        <v>45674</v>
      </c>
      <c r="V41" s="95">
        <f t="shared" si="2"/>
        <v>45675</v>
      </c>
      <c r="W41" s="95">
        <f t="shared" si="2"/>
        <v>45676</v>
      </c>
      <c r="X41" s="95">
        <f t="shared" si="2"/>
        <v>45677</v>
      </c>
      <c r="Y41" s="95">
        <f t="shared" si="2"/>
        <v>45678</v>
      </c>
      <c r="Z41" s="95">
        <f t="shared" si="2"/>
        <v>45679</v>
      </c>
      <c r="AA41" s="95">
        <f t="shared" si="2"/>
        <v>45680</v>
      </c>
      <c r="AB41" s="95">
        <f t="shared" si="2"/>
        <v>45681</v>
      </c>
      <c r="AC41" s="95">
        <f t="shared" si="2"/>
        <v>45682</v>
      </c>
      <c r="AD41" s="95">
        <f t="shared" si="2"/>
        <v>45683</v>
      </c>
      <c r="AE41" s="95">
        <f t="shared" si="2"/>
        <v>45684</v>
      </c>
      <c r="AF41" s="95">
        <f t="shared" si="2"/>
        <v>45685</v>
      </c>
      <c r="AG41" s="95">
        <f t="shared" si="2"/>
        <v>45686</v>
      </c>
      <c r="AH41" s="95">
        <f t="shared" si="2"/>
        <v>45687</v>
      </c>
      <c r="AI41" s="95">
        <f t="shared" si="2"/>
        <v>45688</v>
      </c>
      <c r="AJ41" s="529" t="s">
        <v>1</v>
      </c>
    </row>
    <row r="42" spans="1:36" ht="13" customHeight="1">
      <c r="A42" s="508"/>
      <c r="B42" s="508"/>
      <c r="C42" s="518"/>
      <c r="D42" s="519"/>
      <c r="E42" s="96" t="str">
        <f t="shared" ref="E42:AI42" si="3">E4</f>
        <v>WED</v>
      </c>
      <c r="F42" s="96" t="str">
        <f t="shared" si="3"/>
        <v>THU</v>
      </c>
      <c r="G42" s="96" t="str">
        <f t="shared" si="3"/>
        <v>FRI</v>
      </c>
      <c r="H42" s="96" t="str">
        <f t="shared" si="3"/>
        <v>SAT</v>
      </c>
      <c r="I42" s="96" t="str">
        <f t="shared" si="3"/>
        <v>SUN</v>
      </c>
      <c r="J42" s="96" t="str">
        <f t="shared" si="3"/>
        <v>MON</v>
      </c>
      <c r="K42" s="96" t="str">
        <f t="shared" si="3"/>
        <v>TUE</v>
      </c>
      <c r="L42" s="96" t="str">
        <f t="shared" si="3"/>
        <v>WED</v>
      </c>
      <c r="M42" s="96" t="str">
        <f t="shared" si="3"/>
        <v>THU</v>
      </c>
      <c r="N42" s="96" t="str">
        <f t="shared" si="3"/>
        <v>FRI</v>
      </c>
      <c r="O42" s="96" t="str">
        <f t="shared" si="3"/>
        <v>SAT</v>
      </c>
      <c r="P42" s="96" t="str">
        <f t="shared" si="3"/>
        <v>SUN</v>
      </c>
      <c r="Q42" s="96" t="str">
        <f t="shared" si="3"/>
        <v>MON</v>
      </c>
      <c r="R42" s="96" t="str">
        <f t="shared" si="3"/>
        <v>TUE</v>
      </c>
      <c r="S42" s="96" t="str">
        <f t="shared" si="3"/>
        <v>WED</v>
      </c>
      <c r="T42" s="96" t="str">
        <f t="shared" si="3"/>
        <v>THU</v>
      </c>
      <c r="U42" s="96" t="str">
        <f t="shared" si="3"/>
        <v>FRI</v>
      </c>
      <c r="V42" s="96" t="str">
        <f t="shared" si="3"/>
        <v>SAT</v>
      </c>
      <c r="W42" s="96" t="str">
        <f t="shared" si="3"/>
        <v>SUN</v>
      </c>
      <c r="X42" s="96" t="str">
        <f t="shared" si="3"/>
        <v>MON</v>
      </c>
      <c r="Y42" s="96" t="str">
        <f t="shared" si="3"/>
        <v>TUE</v>
      </c>
      <c r="Z42" s="96" t="str">
        <f t="shared" si="3"/>
        <v>WED</v>
      </c>
      <c r="AA42" s="96" t="str">
        <f t="shared" si="3"/>
        <v>THU</v>
      </c>
      <c r="AB42" s="96" t="str">
        <f t="shared" si="3"/>
        <v>FRI</v>
      </c>
      <c r="AC42" s="96" t="str">
        <f t="shared" si="3"/>
        <v>SAT</v>
      </c>
      <c r="AD42" s="96" t="str">
        <f t="shared" si="3"/>
        <v>SUN</v>
      </c>
      <c r="AE42" s="96" t="str">
        <f t="shared" si="3"/>
        <v>MON</v>
      </c>
      <c r="AF42" s="96" t="str">
        <f t="shared" si="3"/>
        <v>TUE</v>
      </c>
      <c r="AG42" s="96" t="str">
        <f t="shared" si="3"/>
        <v>WED</v>
      </c>
      <c r="AH42" s="96" t="str">
        <f t="shared" si="3"/>
        <v>THU</v>
      </c>
      <c r="AI42" s="96" t="str">
        <f t="shared" si="3"/>
        <v>FRI</v>
      </c>
      <c r="AJ42" s="508"/>
    </row>
    <row r="43" spans="1:36" ht="13" customHeight="1">
      <c r="A43" s="508"/>
      <c r="B43" s="508"/>
      <c r="C43" s="518"/>
      <c r="D43" s="519"/>
      <c r="E43" s="97" t="s">
        <v>110</v>
      </c>
      <c r="F43" s="97" t="s">
        <v>110</v>
      </c>
      <c r="G43" s="97" t="s">
        <v>110</v>
      </c>
      <c r="H43" s="97" t="s">
        <v>110</v>
      </c>
      <c r="I43" s="97" t="s">
        <v>110</v>
      </c>
      <c r="J43" s="97" t="s">
        <v>110</v>
      </c>
      <c r="K43" s="97" t="s">
        <v>110</v>
      </c>
      <c r="L43" s="97" t="s">
        <v>110</v>
      </c>
      <c r="M43" s="97" t="s">
        <v>110</v>
      </c>
      <c r="N43" s="97" t="s">
        <v>110</v>
      </c>
      <c r="O43" s="97" t="s">
        <v>110</v>
      </c>
      <c r="P43" s="97" t="s">
        <v>110</v>
      </c>
      <c r="Q43" s="97" t="s">
        <v>110</v>
      </c>
      <c r="R43" s="97" t="s">
        <v>110</v>
      </c>
      <c r="S43" s="97" t="s">
        <v>110</v>
      </c>
      <c r="T43" s="97" t="s">
        <v>110</v>
      </c>
      <c r="U43" s="97" t="s">
        <v>110</v>
      </c>
      <c r="V43" s="97" t="s">
        <v>110</v>
      </c>
      <c r="W43" s="97" t="s">
        <v>110</v>
      </c>
      <c r="X43" s="97" t="s">
        <v>110</v>
      </c>
      <c r="Y43" s="97" t="s">
        <v>110</v>
      </c>
      <c r="Z43" s="97" t="s">
        <v>110</v>
      </c>
      <c r="AA43" s="97" t="s">
        <v>110</v>
      </c>
      <c r="AB43" s="97" t="s">
        <v>110</v>
      </c>
      <c r="AC43" s="97" t="s">
        <v>110</v>
      </c>
      <c r="AD43" s="97" t="s">
        <v>110</v>
      </c>
      <c r="AE43" s="97" t="s">
        <v>110</v>
      </c>
      <c r="AF43" s="97" t="s">
        <v>110</v>
      </c>
      <c r="AG43" s="97" t="s">
        <v>110</v>
      </c>
      <c r="AH43" s="95" t="str">
        <f>AH5</f>
        <v>Time</v>
      </c>
      <c r="AI43" s="97" t="s">
        <v>110</v>
      </c>
      <c r="AJ43" s="508"/>
    </row>
    <row r="44" spans="1:36" ht="13" customHeight="1">
      <c r="A44" s="509"/>
      <c r="B44" s="509"/>
      <c r="C44" s="520"/>
      <c r="D44" s="521"/>
      <c r="E44" s="98">
        <v>0.33333333333333331</v>
      </c>
      <c r="F44" s="98">
        <v>0.33333333333333331</v>
      </c>
      <c r="G44" s="98">
        <v>0.33333333333333331</v>
      </c>
      <c r="H44" s="98">
        <v>0.33333333333333331</v>
      </c>
      <c r="I44" s="98">
        <v>0.33333333333333331</v>
      </c>
      <c r="J44" s="98">
        <v>0.33333333333333331</v>
      </c>
      <c r="K44" s="98">
        <v>0.33333333333333331</v>
      </c>
      <c r="L44" s="98">
        <v>0.33333333333333331</v>
      </c>
      <c r="M44" s="98">
        <v>0.33333333333333331</v>
      </c>
      <c r="N44" s="98">
        <v>0.33333333333333331</v>
      </c>
      <c r="O44" s="98">
        <v>0.33333333333333331</v>
      </c>
      <c r="P44" s="98">
        <v>0.33333333333333331</v>
      </c>
      <c r="Q44" s="98">
        <v>0.33333333333333331</v>
      </c>
      <c r="R44" s="98">
        <v>0.33333333333333331</v>
      </c>
      <c r="S44" s="98">
        <v>0.33333333333333331</v>
      </c>
      <c r="T44" s="98">
        <v>0.33333333333333331</v>
      </c>
      <c r="U44" s="98">
        <v>0.33333333333333331</v>
      </c>
      <c r="V44" s="98">
        <v>0.33333333333333331</v>
      </c>
      <c r="W44" s="98">
        <v>0.33333333333333331</v>
      </c>
      <c r="X44" s="98">
        <v>0.33333333333333331</v>
      </c>
      <c r="Y44" s="98">
        <v>0.33333333333333331</v>
      </c>
      <c r="Z44" s="98">
        <v>0.33333333333333331</v>
      </c>
      <c r="AA44" s="98">
        <v>0.33333333333333331</v>
      </c>
      <c r="AB44" s="98">
        <v>0.33333333333333331</v>
      </c>
      <c r="AC44" s="98">
        <v>0.33333333333333331</v>
      </c>
      <c r="AD44" s="98">
        <v>0.33333333333333331</v>
      </c>
      <c r="AE44" s="98">
        <v>0.33333333333333331</v>
      </c>
      <c r="AF44" s="98">
        <v>0.33333333333333331</v>
      </c>
      <c r="AG44" s="98">
        <v>0.33333333333333331</v>
      </c>
      <c r="AH44" s="98">
        <v>0.33333333333333331</v>
      </c>
      <c r="AI44" s="98">
        <v>0.33333333333333331</v>
      </c>
      <c r="AJ44" s="509"/>
    </row>
    <row r="45" spans="1:36" ht="15" customHeight="1">
      <c r="A45" s="2">
        <v>1</v>
      </c>
      <c r="B45" s="2" t="s">
        <v>129</v>
      </c>
      <c r="C45" s="503" t="s">
        <v>111</v>
      </c>
      <c r="D45" s="501"/>
      <c r="E45" s="20">
        <f t="shared" ref="E45:AI45" si="4">E7-D7</f>
        <v>333</v>
      </c>
      <c r="F45" s="20">
        <f t="shared" si="4"/>
        <v>218</v>
      </c>
      <c r="G45" s="20">
        <f t="shared" si="4"/>
        <v>222</v>
      </c>
      <c r="H45" s="20">
        <f t="shared" si="4"/>
        <v>233</v>
      </c>
      <c r="I45" s="20">
        <f t="shared" si="4"/>
        <v>203</v>
      </c>
      <c r="J45" s="20">
        <f t="shared" si="4"/>
        <v>262</v>
      </c>
      <c r="K45" s="20">
        <f t="shared" si="4"/>
        <v>269</v>
      </c>
      <c r="L45" s="20">
        <f t="shared" si="4"/>
        <v>267</v>
      </c>
      <c r="M45" s="20">
        <f t="shared" si="4"/>
        <v>257</v>
      </c>
      <c r="N45" s="20">
        <f t="shared" si="4"/>
        <v>251</v>
      </c>
      <c r="O45" s="20">
        <f t="shared" si="4"/>
        <v>219</v>
      </c>
      <c r="P45" s="20">
        <f t="shared" si="4"/>
        <v>220</v>
      </c>
      <c r="Q45" s="20">
        <f t="shared" si="4"/>
        <v>236</v>
      </c>
      <c r="R45" s="20">
        <f t="shared" si="4"/>
        <v>248</v>
      </c>
      <c r="S45" s="20">
        <f t="shared" si="4"/>
        <v>283</v>
      </c>
      <c r="T45" s="20">
        <f t="shared" si="4"/>
        <v>263</v>
      </c>
      <c r="U45" s="20">
        <f t="shared" si="4"/>
        <v>264</v>
      </c>
      <c r="V45" s="20">
        <f t="shared" si="4"/>
        <v>221</v>
      </c>
      <c r="W45" s="20">
        <f t="shared" si="4"/>
        <v>227</v>
      </c>
      <c r="X45" s="20">
        <f t="shared" si="4"/>
        <v>271</v>
      </c>
      <c r="Y45" s="20">
        <f t="shared" si="4"/>
        <v>271</v>
      </c>
      <c r="Z45" s="20">
        <f t="shared" si="4"/>
        <v>250</v>
      </c>
      <c r="AA45" s="20">
        <f t="shared" si="4"/>
        <v>260</v>
      </c>
      <c r="AB45" s="20">
        <f t="shared" si="4"/>
        <v>246</v>
      </c>
      <c r="AC45" s="20">
        <f t="shared" si="4"/>
        <v>232</v>
      </c>
      <c r="AD45" s="20">
        <f t="shared" si="4"/>
        <v>220</v>
      </c>
      <c r="AE45" s="20">
        <f t="shared" si="4"/>
        <v>247</v>
      </c>
      <c r="AF45" s="20">
        <f t="shared" si="4"/>
        <v>263</v>
      </c>
      <c r="AG45" s="20">
        <f t="shared" si="4"/>
        <v>277</v>
      </c>
      <c r="AH45" s="20">
        <f t="shared" si="4"/>
        <v>359</v>
      </c>
      <c r="AI45" s="20">
        <f t="shared" si="4"/>
        <v>133</v>
      </c>
      <c r="AJ45" s="21">
        <f t="shared" ref="AJ45:AJ62" si="5">SUM(E45:AI45)</f>
        <v>7725</v>
      </c>
    </row>
    <row r="46" spans="1:36" ht="15" customHeight="1">
      <c r="A46" s="2"/>
      <c r="B46" s="2"/>
      <c r="C46" s="531" t="s">
        <v>22</v>
      </c>
      <c r="D46" s="501"/>
      <c r="E46" s="20">
        <f t="shared" ref="E46:AI46" si="6">E8-D8</f>
        <v>0</v>
      </c>
      <c r="F46" s="20">
        <f t="shared" si="6"/>
        <v>0</v>
      </c>
      <c r="G46" s="20">
        <f t="shared" si="6"/>
        <v>0</v>
      </c>
      <c r="H46" s="20">
        <f t="shared" si="6"/>
        <v>0</v>
      </c>
      <c r="I46" s="20">
        <f t="shared" si="6"/>
        <v>0</v>
      </c>
      <c r="J46" s="20">
        <f t="shared" si="6"/>
        <v>0</v>
      </c>
      <c r="K46" s="20">
        <f t="shared" si="6"/>
        <v>0</v>
      </c>
      <c r="L46" s="20">
        <f t="shared" si="6"/>
        <v>0</v>
      </c>
      <c r="M46" s="20">
        <f t="shared" si="6"/>
        <v>0</v>
      </c>
      <c r="N46" s="20">
        <f t="shared" si="6"/>
        <v>0</v>
      </c>
      <c r="O46" s="20">
        <f t="shared" si="6"/>
        <v>0</v>
      </c>
      <c r="P46" s="20">
        <f t="shared" si="6"/>
        <v>0</v>
      </c>
      <c r="Q46" s="20">
        <f t="shared" si="6"/>
        <v>38</v>
      </c>
      <c r="R46" s="20">
        <f t="shared" si="6"/>
        <v>0</v>
      </c>
      <c r="S46" s="20">
        <f t="shared" si="6"/>
        <v>0</v>
      </c>
      <c r="T46" s="20">
        <f t="shared" si="6"/>
        <v>0</v>
      </c>
      <c r="U46" s="20">
        <f t="shared" si="6"/>
        <v>0</v>
      </c>
      <c r="V46" s="20">
        <f t="shared" si="6"/>
        <v>0</v>
      </c>
      <c r="W46" s="20">
        <f t="shared" si="6"/>
        <v>3</v>
      </c>
      <c r="X46" s="20">
        <f t="shared" si="6"/>
        <v>11</v>
      </c>
      <c r="Y46" s="20">
        <f t="shared" si="6"/>
        <v>0</v>
      </c>
      <c r="Z46" s="20">
        <f t="shared" si="6"/>
        <v>19</v>
      </c>
      <c r="AA46" s="20">
        <f t="shared" si="6"/>
        <v>0</v>
      </c>
      <c r="AB46" s="20">
        <f t="shared" si="6"/>
        <v>0</v>
      </c>
      <c r="AC46" s="20">
        <f t="shared" si="6"/>
        <v>0</v>
      </c>
      <c r="AD46" s="20">
        <f t="shared" si="6"/>
        <v>0</v>
      </c>
      <c r="AE46" s="20">
        <f t="shared" si="6"/>
        <v>0</v>
      </c>
      <c r="AF46" s="20">
        <f t="shared" si="6"/>
        <v>0</v>
      </c>
      <c r="AG46" s="20">
        <f t="shared" si="6"/>
        <v>0</v>
      </c>
      <c r="AH46" s="20">
        <f t="shared" si="6"/>
        <v>0</v>
      </c>
      <c r="AI46" s="20">
        <f t="shared" si="6"/>
        <v>0</v>
      </c>
      <c r="AJ46" s="21">
        <f t="shared" si="5"/>
        <v>71</v>
      </c>
    </row>
    <row r="47" spans="1:36" ht="15" customHeight="1">
      <c r="A47" s="2">
        <v>2</v>
      </c>
      <c r="B47" s="2" t="s">
        <v>129</v>
      </c>
      <c r="C47" s="503" t="s">
        <v>112</v>
      </c>
      <c r="D47" s="501"/>
      <c r="E47" s="20">
        <f t="shared" ref="E47:AI47" si="7">E9-D9</f>
        <v>0</v>
      </c>
      <c r="F47" s="20">
        <f t="shared" si="7"/>
        <v>0</v>
      </c>
      <c r="G47" s="20">
        <f t="shared" si="7"/>
        <v>0</v>
      </c>
      <c r="H47" s="20">
        <f t="shared" si="7"/>
        <v>0</v>
      </c>
      <c r="I47" s="20">
        <f t="shared" si="7"/>
        <v>0</v>
      </c>
      <c r="J47" s="20">
        <f t="shared" si="7"/>
        <v>0</v>
      </c>
      <c r="K47" s="20">
        <f t="shared" si="7"/>
        <v>0</v>
      </c>
      <c r="L47" s="20">
        <f t="shared" si="7"/>
        <v>0</v>
      </c>
      <c r="M47" s="20">
        <f t="shared" si="7"/>
        <v>0</v>
      </c>
      <c r="N47" s="20">
        <f t="shared" si="7"/>
        <v>0</v>
      </c>
      <c r="O47" s="20">
        <f t="shared" si="7"/>
        <v>0</v>
      </c>
      <c r="P47" s="20">
        <f t="shared" si="7"/>
        <v>0</v>
      </c>
      <c r="Q47" s="20">
        <f t="shared" si="7"/>
        <v>0</v>
      </c>
      <c r="R47" s="20">
        <f t="shared" si="7"/>
        <v>0</v>
      </c>
      <c r="S47" s="20">
        <f t="shared" si="7"/>
        <v>0</v>
      </c>
      <c r="T47" s="20">
        <f t="shared" si="7"/>
        <v>0</v>
      </c>
      <c r="U47" s="20">
        <f t="shared" si="7"/>
        <v>0</v>
      </c>
      <c r="V47" s="20">
        <f t="shared" si="7"/>
        <v>0</v>
      </c>
      <c r="W47" s="20">
        <f t="shared" si="7"/>
        <v>0</v>
      </c>
      <c r="X47" s="20">
        <f t="shared" si="7"/>
        <v>0</v>
      </c>
      <c r="Y47" s="20">
        <f t="shared" si="7"/>
        <v>0</v>
      </c>
      <c r="Z47" s="20">
        <f t="shared" si="7"/>
        <v>0</v>
      </c>
      <c r="AA47" s="20">
        <f t="shared" si="7"/>
        <v>0</v>
      </c>
      <c r="AB47" s="20">
        <f t="shared" si="7"/>
        <v>0</v>
      </c>
      <c r="AC47" s="20">
        <f t="shared" si="7"/>
        <v>0</v>
      </c>
      <c r="AD47" s="20">
        <f t="shared" si="7"/>
        <v>0</v>
      </c>
      <c r="AE47" s="20">
        <f t="shared" si="7"/>
        <v>0</v>
      </c>
      <c r="AF47" s="20">
        <f t="shared" si="7"/>
        <v>0</v>
      </c>
      <c r="AG47" s="20">
        <f t="shared" si="7"/>
        <v>0</v>
      </c>
      <c r="AH47" s="20">
        <f t="shared" si="7"/>
        <v>0</v>
      </c>
      <c r="AI47" s="20">
        <f t="shared" si="7"/>
        <v>0</v>
      </c>
      <c r="AJ47" s="21">
        <f t="shared" si="5"/>
        <v>0</v>
      </c>
    </row>
    <row r="48" spans="1:36" ht="15" customHeight="1">
      <c r="A48" s="2"/>
      <c r="B48" s="2"/>
      <c r="C48" s="531" t="s">
        <v>22</v>
      </c>
      <c r="D48" s="501"/>
      <c r="E48" s="20">
        <f t="shared" ref="E48:AI48" si="8">E10-D10</f>
        <v>0</v>
      </c>
      <c r="F48" s="20">
        <f t="shared" si="8"/>
        <v>0</v>
      </c>
      <c r="G48" s="20">
        <f t="shared" si="8"/>
        <v>0</v>
      </c>
      <c r="H48" s="20">
        <f t="shared" si="8"/>
        <v>0</v>
      </c>
      <c r="I48" s="20">
        <f t="shared" si="8"/>
        <v>0</v>
      </c>
      <c r="J48" s="20">
        <f t="shared" si="8"/>
        <v>0</v>
      </c>
      <c r="K48" s="20">
        <f t="shared" si="8"/>
        <v>0</v>
      </c>
      <c r="L48" s="20">
        <f t="shared" si="8"/>
        <v>0</v>
      </c>
      <c r="M48" s="20">
        <f t="shared" si="8"/>
        <v>0</v>
      </c>
      <c r="N48" s="20">
        <f t="shared" si="8"/>
        <v>0</v>
      </c>
      <c r="O48" s="20">
        <f t="shared" si="8"/>
        <v>0</v>
      </c>
      <c r="P48" s="20">
        <f t="shared" si="8"/>
        <v>0</v>
      </c>
      <c r="Q48" s="20">
        <f t="shared" si="8"/>
        <v>0</v>
      </c>
      <c r="R48" s="20">
        <f t="shared" si="8"/>
        <v>0</v>
      </c>
      <c r="S48" s="20">
        <f t="shared" si="8"/>
        <v>0</v>
      </c>
      <c r="T48" s="20">
        <f t="shared" si="8"/>
        <v>0</v>
      </c>
      <c r="U48" s="20">
        <f t="shared" si="8"/>
        <v>0</v>
      </c>
      <c r="V48" s="20">
        <f t="shared" si="8"/>
        <v>0</v>
      </c>
      <c r="W48" s="20">
        <f t="shared" si="8"/>
        <v>0</v>
      </c>
      <c r="X48" s="20">
        <f t="shared" si="8"/>
        <v>0</v>
      </c>
      <c r="Y48" s="20">
        <f t="shared" si="8"/>
        <v>0</v>
      </c>
      <c r="Z48" s="20">
        <f t="shared" si="8"/>
        <v>0</v>
      </c>
      <c r="AA48" s="20">
        <f t="shared" si="8"/>
        <v>0</v>
      </c>
      <c r="AB48" s="20">
        <f t="shared" si="8"/>
        <v>0</v>
      </c>
      <c r="AC48" s="20">
        <f t="shared" si="8"/>
        <v>0</v>
      </c>
      <c r="AD48" s="20">
        <f t="shared" si="8"/>
        <v>0</v>
      </c>
      <c r="AE48" s="20">
        <f t="shared" si="8"/>
        <v>0</v>
      </c>
      <c r="AF48" s="20">
        <f t="shared" si="8"/>
        <v>0</v>
      </c>
      <c r="AG48" s="20">
        <f t="shared" si="8"/>
        <v>0</v>
      </c>
      <c r="AH48" s="20">
        <f t="shared" si="8"/>
        <v>0</v>
      </c>
      <c r="AI48" s="20">
        <f t="shared" si="8"/>
        <v>0</v>
      </c>
      <c r="AJ48" s="21">
        <f t="shared" si="5"/>
        <v>0</v>
      </c>
    </row>
    <row r="49" spans="1:38" ht="15" customHeight="1">
      <c r="A49" s="2">
        <v>3</v>
      </c>
      <c r="B49" s="2" t="s">
        <v>129</v>
      </c>
      <c r="C49" s="503" t="s">
        <v>113</v>
      </c>
      <c r="D49" s="501"/>
      <c r="E49" s="20">
        <f t="shared" ref="E49:AI49" si="9">E11-D11</f>
        <v>445</v>
      </c>
      <c r="F49" s="20">
        <f t="shared" si="9"/>
        <v>294</v>
      </c>
      <c r="G49" s="20">
        <f t="shared" si="9"/>
        <v>308</v>
      </c>
      <c r="H49" s="20">
        <f t="shared" si="9"/>
        <v>300</v>
      </c>
      <c r="I49" s="20">
        <f t="shared" si="9"/>
        <v>268</v>
      </c>
      <c r="J49" s="20">
        <f t="shared" si="9"/>
        <v>379</v>
      </c>
      <c r="K49" s="20">
        <f t="shared" si="9"/>
        <v>454</v>
      </c>
      <c r="L49" s="20">
        <f t="shared" si="9"/>
        <v>383</v>
      </c>
      <c r="M49" s="20">
        <f t="shared" si="9"/>
        <v>371</v>
      </c>
      <c r="N49" s="20">
        <f t="shared" si="9"/>
        <v>358</v>
      </c>
      <c r="O49" s="20">
        <f t="shared" si="9"/>
        <v>294</v>
      </c>
      <c r="P49" s="20">
        <f t="shared" si="9"/>
        <v>291</v>
      </c>
      <c r="Q49" s="20">
        <f t="shared" si="9"/>
        <v>345</v>
      </c>
      <c r="R49" s="20">
        <f t="shared" si="9"/>
        <v>359</v>
      </c>
      <c r="S49" s="20">
        <f t="shared" si="9"/>
        <v>407</v>
      </c>
      <c r="T49" s="20">
        <f t="shared" si="9"/>
        <v>541</v>
      </c>
      <c r="U49" s="20">
        <f t="shared" si="9"/>
        <v>381</v>
      </c>
      <c r="V49" s="20">
        <f t="shared" si="9"/>
        <v>297</v>
      </c>
      <c r="W49" s="20">
        <f t="shared" si="9"/>
        <v>299</v>
      </c>
      <c r="X49" s="20">
        <f t="shared" si="9"/>
        <v>371</v>
      </c>
      <c r="Y49" s="20">
        <f t="shared" si="9"/>
        <v>392</v>
      </c>
      <c r="Z49" s="20">
        <f t="shared" si="9"/>
        <v>364</v>
      </c>
      <c r="AA49" s="20">
        <f t="shared" si="9"/>
        <v>380</v>
      </c>
      <c r="AB49" s="20">
        <f t="shared" si="9"/>
        <v>347</v>
      </c>
      <c r="AC49" s="20">
        <f t="shared" si="9"/>
        <v>311</v>
      </c>
      <c r="AD49" s="20">
        <f t="shared" si="9"/>
        <v>282</v>
      </c>
      <c r="AE49" s="20">
        <f t="shared" si="9"/>
        <v>367</v>
      </c>
      <c r="AF49" s="20">
        <f t="shared" si="9"/>
        <v>373</v>
      </c>
      <c r="AG49" s="20">
        <f t="shared" si="9"/>
        <v>410</v>
      </c>
      <c r="AH49" s="20">
        <f t="shared" si="9"/>
        <v>396</v>
      </c>
      <c r="AI49" s="20">
        <f t="shared" si="9"/>
        <v>188</v>
      </c>
      <c r="AJ49" s="21">
        <f t="shared" si="5"/>
        <v>10955</v>
      </c>
    </row>
    <row r="50" spans="1:38" ht="15" customHeight="1">
      <c r="A50" s="2"/>
      <c r="B50" s="2"/>
      <c r="C50" s="531" t="s">
        <v>22</v>
      </c>
      <c r="D50" s="501"/>
      <c r="E50" s="20">
        <f t="shared" ref="E50:AI50" si="10">E12-D12</f>
        <v>0</v>
      </c>
      <c r="F50" s="20">
        <f t="shared" si="10"/>
        <v>0</v>
      </c>
      <c r="G50" s="20">
        <f t="shared" si="10"/>
        <v>0</v>
      </c>
      <c r="H50" s="20">
        <f t="shared" si="10"/>
        <v>0</v>
      </c>
      <c r="I50" s="20">
        <f t="shared" si="10"/>
        <v>0</v>
      </c>
      <c r="J50" s="20">
        <f t="shared" si="10"/>
        <v>0</v>
      </c>
      <c r="K50" s="20">
        <f t="shared" si="10"/>
        <v>0</v>
      </c>
      <c r="L50" s="20">
        <f t="shared" si="10"/>
        <v>0</v>
      </c>
      <c r="M50" s="20">
        <f t="shared" si="10"/>
        <v>0</v>
      </c>
      <c r="N50" s="20">
        <f t="shared" si="10"/>
        <v>0</v>
      </c>
      <c r="O50" s="20">
        <f t="shared" si="10"/>
        <v>0</v>
      </c>
      <c r="P50" s="20">
        <f t="shared" si="10"/>
        <v>0</v>
      </c>
      <c r="Q50" s="20">
        <f t="shared" si="10"/>
        <v>49</v>
      </c>
      <c r="R50" s="20">
        <f t="shared" si="10"/>
        <v>0</v>
      </c>
      <c r="S50" s="20">
        <f t="shared" si="10"/>
        <v>0</v>
      </c>
      <c r="T50" s="20">
        <f t="shared" si="10"/>
        <v>0</v>
      </c>
      <c r="U50" s="20">
        <f t="shared" si="10"/>
        <v>0</v>
      </c>
      <c r="V50" s="20">
        <f t="shared" si="10"/>
        <v>0</v>
      </c>
      <c r="W50" s="20">
        <f t="shared" si="10"/>
        <v>4</v>
      </c>
      <c r="X50" s="20">
        <f t="shared" si="10"/>
        <v>17</v>
      </c>
      <c r="Y50" s="20">
        <f t="shared" si="10"/>
        <v>0</v>
      </c>
      <c r="Z50" s="20">
        <f t="shared" si="10"/>
        <v>27</v>
      </c>
      <c r="AA50" s="20">
        <f t="shared" si="10"/>
        <v>0</v>
      </c>
      <c r="AB50" s="20">
        <f t="shared" si="10"/>
        <v>0</v>
      </c>
      <c r="AC50" s="20">
        <f t="shared" si="10"/>
        <v>0</v>
      </c>
      <c r="AD50" s="20">
        <f t="shared" si="10"/>
        <v>0</v>
      </c>
      <c r="AE50" s="20">
        <f t="shared" si="10"/>
        <v>0</v>
      </c>
      <c r="AF50" s="20">
        <f t="shared" si="10"/>
        <v>0</v>
      </c>
      <c r="AG50" s="20">
        <f t="shared" si="10"/>
        <v>0</v>
      </c>
      <c r="AH50" s="20">
        <f t="shared" si="10"/>
        <v>0</v>
      </c>
      <c r="AI50" s="20">
        <f t="shared" si="10"/>
        <v>0</v>
      </c>
      <c r="AJ50" s="21">
        <f t="shared" si="5"/>
        <v>97</v>
      </c>
    </row>
    <row r="51" spans="1:38" ht="15" customHeight="1">
      <c r="A51" s="2">
        <v>4</v>
      </c>
      <c r="B51" s="2" t="s">
        <v>129</v>
      </c>
      <c r="C51" s="503" t="s">
        <v>114</v>
      </c>
      <c r="D51" s="501"/>
      <c r="E51" s="20">
        <f t="shared" ref="E51:AI51" si="11">E13-D13</f>
        <v>0</v>
      </c>
      <c r="F51" s="20">
        <f t="shared" si="11"/>
        <v>0</v>
      </c>
      <c r="G51" s="20">
        <f t="shared" si="11"/>
        <v>0</v>
      </c>
      <c r="H51" s="20">
        <f t="shared" si="11"/>
        <v>0</v>
      </c>
      <c r="I51" s="20">
        <f t="shared" si="11"/>
        <v>0</v>
      </c>
      <c r="J51" s="20">
        <f t="shared" si="11"/>
        <v>0</v>
      </c>
      <c r="K51" s="20">
        <f t="shared" si="11"/>
        <v>0</v>
      </c>
      <c r="L51" s="20">
        <f t="shared" si="11"/>
        <v>0</v>
      </c>
      <c r="M51" s="20">
        <f t="shared" si="11"/>
        <v>0</v>
      </c>
      <c r="N51" s="20">
        <f t="shared" si="11"/>
        <v>0</v>
      </c>
      <c r="O51" s="20">
        <f t="shared" si="11"/>
        <v>0</v>
      </c>
      <c r="P51" s="20">
        <f t="shared" si="11"/>
        <v>0</v>
      </c>
      <c r="Q51" s="20">
        <f t="shared" si="11"/>
        <v>0</v>
      </c>
      <c r="R51" s="20">
        <f t="shared" si="11"/>
        <v>0</v>
      </c>
      <c r="S51" s="20">
        <f t="shared" si="11"/>
        <v>0</v>
      </c>
      <c r="T51" s="20">
        <f t="shared" si="11"/>
        <v>0</v>
      </c>
      <c r="U51" s="20">
        <f t="shared" si="11"/>
        <v>0</v>
      </c>
      <c r="V51" s="20">
        <f t="shared" si="11"/>
        <v>0</v>
      </c>
      <c r="W51" s="20">
        <f t="shared" si="11"/>
        <v>0</v>
      </c>
      <c r="X51" s="20">
        <f t="shared" si="11"/>
        <v>0</v>
      </c>
      <c r="Y51" s="20">
        <f t="shared" si="11"/>
        <v>0</v>
      </c>
      <c r="Z51" s="20">
        <f t="shared" si="11"/>
        <v>0</v>
      </c>
      <c r="AA51" s="20">
        <f t="shared" si="11"/>
        <v>0</v>
      </c>
      <c r="AB51" s="20">
        <f t="shared" si="11"/>
        <v>0</v>
      </c>
      <c r="AC51" s="20">
        <f t="shared" si="11"/>
        <v>0</v>
      </c>
      <c r="AD51" s="20">
        <f t="shared" si="11"/>
        <v>0</v>
      </c>
      <c r="AE51" s="20">
        <f t="shared" si="11"/>
        <v>0</v>
      </c>
      <c r="AF51" s="20">
        <f t="shared" si="11"/>
        <v>0</v>
      </c>
      <c r="AG51" s="20">
        <f t="shared" si="11"/>
        <v>0</v>
      </c>
      <c r="AH51" s="20">
        <f t="shared" si="11"/>
        <v>0</v>
      </c>
      <c r="AI51" s="20">
        <f t="shared" si="11"/>
        <v>0</v>
      </c>
      <c r="AJ51" s="21">
        <f t="shared" si="5"/>
        <v>0</v>
      </c>
    </row>
    <row r="52" spans="1:38" ht="15" customHeight="1">
      <c r="A52" s="2"/>
      <c r="B52" s="2"/>
      <c r="C52" s="531" t="s">
        <v>22</v>
      </c>
      <c r="D52" s="501"/>
      <c r="E52" s="20">
        <f t="shared" ref="E52:AI52" si="12">E14-D14</f>
        <v>0</v>
      </c>
      <c r="F52" s="20">
        <f t="shared" si="12"/>
        <v>0</v>
      </c>
      <c r="G52" s="20">
        <f t="shared" si="12"/>
        <v>0</v>
      </c>
      <c r="H52" s="20">
        <f t="shared" si="12"/>
        <v>0</v>
      </c>
      <c r="I52" s="20">
        <f t="shared" si="12"/>
        <v>0</v>
      </c>
      <c r="J52" s="20">
        <f t="shared" si="12"/>
        <v>0</v>
      </c>
      <c r="K52" s="20">
        <f t="shared" si="12"/>
        <v>0</v>
      </c>
      <c r="L52" s="20">
        <f t="shared" si="12"/>
        <v>0</v>
      </c>
      <c r="M52" s="20">
        <f t="shared" si="12"/>
        <v>0</v>
      </c>
      <c r="N52" s="20">
        <f t="shared" si="12"/>
        <v>0</v>
      </c>
      <c r="O52" s="20">
        <f t="shared" si="12"/>
        <v>0</v>
      </c>
      <c r="P52" s="20">
        <f t="shared" si="12"/>
        <v>0</v>
      </c>
      <c r="Q52" s="20">
        <f t="shared" si="12"/>
        <v>0</v>
      </c>
      <c r="R52" s="20">
        <f t="shared" si="12"/>
        <v>0</v>
      </c>
      <c r="S52" s="20">
        <f t="shared" si="12"/>
        <v>0</v>
      </c>
      <c r="T52" s="20">
        <f t="shared" si="12"/>
        <v>0</v>
      </c>
      <c r="U52" s="20">
        <f t="shared" si="12"/>
        <v>0</v>
      </c>
      <c r="V52" s="20">
        <f t="shared" si="12"/>
        <v>0</v>
      </c>
      <c r="W52" s="20">
        <f t="shared" si="12"/>
        <v>0</v>
      </c>
      <c r="X52" s="20">
        <f t="shared" si="12"/>
        <v>0</v>
      </c>
      <c r="Y52" s="20">
        <f t="shared" si="12"/>
        <v>0</v>
      </c>
      <c r="Z52" s="20">
        <f t="shared" si="12"/>
        <v>0</v>
      </c>
      <c r="AA52" s="20">
        <f t="shared" si="12"/>
        <v>0</v>
      </c>
      <c r="AB52" s="20">
        <f t="shared" si="12"/>
        <v>0</v>
      </c>
      <c r="AC52" s="20">
        <f t="shared" si="12"/>
        <v>0</v>
      </c>
      <c r="AD52" s="20">
        <f t="shared" si="12"/>
        <v>0</v>
      </c>
      <c r="AE52" s="20">
        <f t="shared" si="12"/>
        <v>0</v>
      </c>
      <c r="AF52" s="20">
        <f t="shared" si="12"/>
        <v>0</v>
      </c>
      <c r="AG52" s="20">
        <f t="shared" si="12"/>
        <v>0</v>
      </c>
      <c r="AH52" s="20">
        <f t="shared" si="12"/>
        <v>0</v>
      </c>
      <c r="AI52" s="20">
        <f t="shared" si="12"/>
        <v>0</v>
      </c>
      <c r="AJ52" s="21">
        <f t="shared" si="5"/>
        <v>0</v>
      </c>
    </row>
    <row r="53" spans="1:38" ht="15" customHeight="1">
      <c r="A53" s="2">
        <v>5</v>
      </c>
      <c r="B53" s="2" t="s">
        <v>129</v>
      </c>
      <c r="C53" s="503" t="s">
        <v>115</v>
      </c>
      <c r="D53" s="501"/>
      <c r="E53" s="20">
        <f t="shared" ref="E53:AI53" si="13">E15-D15</f>
        <v>189</v>
      </c>
      <c r="F53" s="20">
        <f t="shared" si="13"/>
        <v>159</v>
      </c>
      <c r="G53" s="20">
        <f t="shared" si="13"/>
        <v>159</v>
      </c>
      <c r="H53" s="20">
        <f t="shared" si="13"/>
        <v>129</v>
      </c>
      <c r="I53" s="20">
        <f t="shared" si="13"/>
        <v>113</v>
      </c>
      <c r="J53" s="20">
        <f t="shared" si="13"/>
        <v>233</v>
      </c>
      <c r="K53" s="20">
        <f t="shared" si="13"/>
        <v>223</v>
      </c>
      <c r="L53" s="20">
        <f t="shared" si="13"/>
        <v>234</v>
      </c>
      <c r="M53" s="20">
        <f t="shared" si="13"/>
        <v>230</v>
      </c>
      <c r="N53" s="20">
        <f t="shared" si="13"/>
        <v>260</v>
      </c>
      <c r="O53" s="20">
        <f t="shared" si="13"/>
        <v>148</v>
      </c>
      <c r="P53" s="20">
        <f t="shared" si="13"/>
        <v>131</v>
      </c>
      <c r="Q53" s="20">
        <f t="shared" si="13"/>
        <v>220</v>
      </c>
      <c r="R53" s="20">
        <f t="shared" si="13"/>
        <v>233</v>
      </c>
      <c r="S53" s="20">
        <f t="shared" si="13"/>
        <v>249</v>
      </c>
      <c r="T53" s="20">
        <f t="shared" si="13"/>
        <v>243</v>
      </c>
      <c r="U53" s="20">
        <f t="shared" si="13"/>
        <v>244</v>
      </c>
      <c r="V53" s="20">
        <f t="shared" si="13"/>
        <v>145</v>
      </c>
      <c r="W53" s="20">
        <f t="shared" si="13"/>
        <v>143</v>
      </c>
      <c r="X53" s="20">
        <f t="shared" si="13"/>
        <v>242</v>
      </c>
      <c r="Y53" s="20">
        <f t="shared" si="13"/>
        <v>257</v>
      </c>
      <c r="Z53" s="20">
        <f t="shared" si="13"/>
        <v>246</v>
      </c>
      <c r="AA53" s="20">
        <f t="shared" si="13"/>
        <v>243</v>
      </c>
      <c r="AB53" s="20">
        <f t="shared" si="13"/>
        <v>221</v>
      </c>
      <c r="AC53" s="20">
        <f t="shared" si="13"/>
        <v>128</v>
      </c>
      <c r="AD53" s="20">
        <f t="shared" si="13"/>
        <v>156</v>
      </c>
      <c r="AE53" s="20">
        <f t="shared" si="13"/>
        <v>239</v>
      </c>
      <c r="AF53" s="20">
        <f t="shared" si="13"/>
        <v>235</v>
      </c>
      <c r="AG53" s="20">
        <f t="shared" si="13"/>
        <v>246</v>
      </c>
      <c r="AH53" s="20">
        <f t="shared" si="13"/>
        <v>258</v>
      </c>
      <c r="AI53" s="20">
        <f t="shared" si="13"/>
        <v>128</v>
      </c>
      <c r="AJ53" s="21">
        <f t="shared" si="5"/>
        <v>6284</v>
      </c>
    </row>
    <row r="54" spans="1:38" ht="15" customHeight="1">
      <c r="A54" s="2"/>
      <c r="B54" s="2"/>
      <c r="C54" s="531" t="s">
        <v>22</v>
      </c>
      <c r="D54" s="501"/>
      <c r="E54" s="20">
        <f t="shared" ref="E54:AI54" si="14">E16-D16</f>
        <v>0</v>
      </c>
      <c r="F54" s="20">
        <f t="shared" si="14"/>
        <v>0</v>
      </c>
      <c r="G54" s="20">
        <f t="shared" si="14"/>
        <v>0</v>
      </c>
      <c r="H54" s="20">
        <f t="shared" si="14"/>
        <v>0</v>
      </c>
      <c r="I54" s="20">
        <f t="shared" si="14"/>
        <v>0</v>
      </c>
      <c r="J54" s="20">
        <f t="shared" si="14"/>
        <v>0</v>
      </c>
      <c r="K54" s="20">
        <f t="shared" si="14"/>
        <v>0</v>
      </c>
      <c r="L54" s="20">
        <f t="shared" si="14"/>
        <v>0</v>
      </c>
      <c r="M54" s="20">
        <f t="shared" si="14"/>
        <v>0</v>
      </c>
      <c r="N54" s="20">
        <f t="shared" si="14"/>
        <v>0</v>
      </c>
      <c r="O54" s="20">
        <f t="shared" si="14"/>
        <v>0</v>
      </c>
      <c r="P54" s="20">
        <f t="shared" si="14"/>
        <v>0</v>
      </c>
      <c r="Q54" s="20">
        <f t="shared" si="14"/>
        <v>22</v>
      </c>
      <c r="R54" s="20">
        <f t="shared" si="14"/>
        <v>0</v>
      </c>
      <c r="S54" s="20">
        <f t="shared" si="14"/>
        <v>0</v>
      </c>
      <c r="T54" s="20">
        <f t="shared" si="14"/>
        <v>0</v>
      </c>
      <c r="U54" s="20">
        <f t="shared" si="14"/>
        <v>0</v>
      </c>
      <c r="V54" s="20">
        <f t="shared" si="14"/>
        <v>0</v>
      </c>
      <c r="W54" s="20">
        <f t="shared" si="14"/>
        <v>3</v>
      </c>
      <c r="X54" s="20">
        <f t="shared" si="14"/>
        <v>10</v>
      </c>
      <c r="Y54" s="20">
        <f t="shared" si="14"/>
        <v>0</v>
      </c>
      <c r="Z54" s="20">
        <f t="shared" si="14"/>
        <v>17</v>
      </c>
      <c r="AA54" s="20">
        <f t="shared" si="14"/>
        <v>0</v>
      </c>
      <c r="AB54" s="20">
        <f t="shared" si="14"/>
        <v>0</v>
      </c>
      <c r="AC54" s="20">
        <f t="shared" si="14"/>
        <v>0</v>
      </c>
      <c r="AD54" s="20">
        <f t="shared" si="14"/>
        <v>0</v>
      </c>
      <c r="AE54" s="20">
        <f t="shared" si="14"/>
        <v>0</v>
      </c>
      <c r="AF54" s="20">
        <f t="shared" si="14"/>
        <v>0</v>
      </c>
      <c r="AG54" s="20">
        <f t="shared" si="14"/>
        <v>0</v>
      </c>
      <c r="AH54" s="20">
        <f t="shared" si="14"/>
        <v>0</v>
      </c>
      <c r="AI54" s="20">
        <f t="shared" si="14"/>
        <v>0</v>
      </c>
      <c r="AJ54" s="105">
        <f t="shared" si="5"/>
        <v>52</v>
      </c>
      <c r="AK54" s="115" t="s">
        <v>20</v>
      </c>
      <c r="AL54" s="116">
        <f>SUM(AJ7,AJ9,AJ11,AJ13,AJ15,AJ17,AJ19,AJ21)</f>
        <v>53232</v>
      </c>
    </row>
    <row r="55" spans="1:38" ht="15" customHeight="1">
      <c r="A55" s="2">
        <v>6</v>
      </c>
      <c r="B55" s="2" t="s">
        <v>129</v>
      </c>
      <c r="C55" s="503" t="s">
        <v>116</v>
      </c>
      <c r="D55" s="501"/>
      <c r="E55" s="20">
        <f t="shared" ref="E55:AI55" si="15">E17-D17</f>
        <v>166</v>
      </c>
      <c r="F55" s="20">
        <f t="shared" si="15"/>
        <v>131</v>
      </c>
      <c r="G55" s="20">
        <f t="shared" si="15"/>
        <v>136</v>
      </c>
      <c r="H55" s="20">
        <f t="shared" si="15"/>
        <v>106</v>
      </c>
      <c r="I55" s="20">
        <f t="shared" si="15"/>
        <v>93</v>
      </c>
      <c r="J55" s="20">
        <f t="shared" si="15"/>
        <v>221</v>
      </c>
      <c r="K55" s="20">
        <f t="shared" si="15"/>
        <v>246</v>
      </c>
      <c r="L55" s="20">
        <f t="shared" si="15"/>
        <v>246</v>
      </c>
      <c r="M55" s="20">
        <f t="shared" si="15"/>
        <v>206</v>
      </c>
      <c r="N55" s="20">
        <f t="shared" si="15"/>
        <v>207</v>
      </c>
      <c r="O55" s="20">
        <f t="shared" si="15"/>
        <v>104</v>
      </c>
      <c r="P55" s="20">
        <f t="shared" si="15"/>
        <v>95</v>
      </c>
      <c r="Q55" s="20">
        <f t="shared" si="15"/>
        <v>214</v>
      </c>
      <c r="R55" s="20">
        <f t="shared" si="15"/>
        <v>210</v>
      </c>
      <c r="S55" s="20">
        <f t="shared" si="15"/>
        <v>243</v>
      </c>
      <c r="T55" s="20">
        <f t="shared" si="15"/>
        <v>229</v>
      </c>
      <c r="U55" s="20">
        <f t="shared" si="15"/>
        <v>237</v>
      </c>
      <c r="V55" s="20">
        <f t="shared" si="15"/>
        <v>94</v>
      </c>
      <c r="W55" s="20">
        <f t="shared" si="15"/>
        <v>119</v>
      </c>
      <c r="X55" s="20">
        <f t="shared" si="15"/>
        <v>265</v>
      </c>
      <c r="Y55" s="20">
        <f t="shared" si="15"/>
        <v>272</v>
      </c>
      <c r="Z55" s="20">
        <f t="shared" si="15"/>
        <v>254</v>
      </c>
      <c r="AA55" s="20">
        <f t="shared" si="15"/>
        <v>276</v>
      </c>
      <c r="AB55" s="20">
        <f t="shared" si="15"/>
        <v>249</v>
      </c>
      <c r="AC55" s="20">
        <f t="shared" si="15"/>
        <v>144</v>
      </c>
      <c r="AD55" s="20">
        <f t="shared" si="15"/>
        <v>89</v>
      </c>
      <c r="AE55" s="20">
        <f t="shared" si="15"/>
        <v>266</v>
      </c>
      <c r="AF55" s="20">
        <f t="shared" si="15"/>
        <v>222</v>
      </c>
      <c r="AG55" s="20">
        <f t="shared" si="15"/>
        <v>258</v>
      </c>
      <c r="AH55" s="20">
        <f t="shared" si="15"/>
        <v>250</v>
      </c>
      <c r="AI55" s="20">
        <f t="shared" si="15"/>
        <v>144</v>
      </c>
      <c r="AJ55" s="105">
        <f t="shared" si="5"/>
        <v>5992</v>
      </c>
      <c r="AK55" s="115" t="s">
        <v>21</v>
      </c>
      <c r="AL55" s="116">
        <f>SUM(AJ24,AJ26,AJ28,AJ30)</f>
        <v>4519</v>
      </c>
    </row>
    <row r="56" spans="1:38" ht="15" customHeight="1">
      <c r="A56" s="2"/>
      <c r="B56" s="2"/>
      <c r="C56" s="531" t="s">
        <v>22</v>
      </c>
      <c r="D56" s="501"/>
      <c r="E56" s="20">
        <f t="shared" ref="E56:AI56" si="16">E18-D18</f>
        <v>0</v>
      </c>
      <c r="F56" s="20">
        <f t="shared" si="16"/>
        <v>0</v>
      </c>
      <c r="G56" s="20">
        <f t="shared" si="16"/>
        <v>0</v>
      </c>
      <c r="H56" s="20">
        <f t="shared" si="16"/>
        <v>0</v>
      </c>
      <c r="I56" s="20">
        <f t="shared" si="16"/>
        <v>0</v>
      </c>
      <c r="J56" s="20">
        <f t="shared" si="16"/>
        <v>0</v>
      </c>
      <c r="K56" s="20">
        <f t="shared" si="16"/>
        <v>0</v>
      </c>
      <c r="L56" s="20">
        <f t="shared" si="16"/>
        <v>0</v>
      </c>
      <c r="M56" s="20">
        <f t="shared" si="16"/>
        <v>0</v>
      </c>
      <c r="N56" s="20">
        <f t="shared" si="16"/>
        <v>0</v>
      </c>
      <c r="O56" s="20">
        <f t="shared" si="16"/>
        <v>0</v>
      </c>
      <c r="P56" s="20">
        <f t="shared" si="16"/>
        <v>0</v>
      </c>
      <c r="Q56" s="20">
        <f t="shared" si="16"/>
        <v>21</v>
      </c>
      <c r="R56" s="20">
        <f t="shared" si="16"/>
        <v>0</v>
      </c>
      <c r="S56" s="20">
        <f t="shared" si="16"/>
        <v>0</v>
      </c>
      <c r="T56" s="20">
        <f t="shared" si="16"/>
        <v>0</v>
      </c>
      <c r="U56" s="20">
        <f t="shared" si="16"/>
        <v>0</v>
      </c>
      <c r="V56" s="20">
        <f t="shared" si="16"/>
        <v>0</v>
      </c>
      <c r="W56" s="20">
        <f t="shared" si="16"/>
        <v>2</v>
      </c>
      <c r="X56" s="20">
        <f t="shared" si="16"/>
        <v>12</v>
      </c>
      <c r="Y56" s="20">
        <f t="shared" si="16"/>
        <v>0</v>
      </c>
      <c r="Z56" s="20">
        <f t="shared" si="16"/>
        <v>13</v>
      </c>
      <c r="AA56" s="20">
        <f t="shared" si="16"/>
        <v>0</v>
      </c>
      <c r="AB56" s="20">
        <f t="shared" si="16"/>
        <v>0</v>
      </c>
      <c r="AC56" s="20">
        <f t="shared" si="16"/>
        <v>0</v>
      </c>
      <c r="AD56" s="20">
        <f t="shared" si="16"/>
        <v>0</v>
      </c>
      <c r="AE56" s="20">
        <f t="shared" si="16"/>
        <v>0</v>
      </c>
      <c r="AF56" s="20">
        <f t="shared" si="16"/>
        <v>0</v>
      </c>
      <c r="AG56" s="20">
        <f t="shared" si="16"/>
        <v>0</v>
      </c>
      <c r="AH56" s="20">
        <f t="shared" si="16"/>
        <v>0</v>
      </c>
      <c r="AI56" s="20">
        <f t="shared" si="16"/>
        <v>0</v>
      </c>
      <c r="AJ56" s="105">
        <f t="shared" si="5"/>
        <v>48</v>
      </c>
      <c r="AK56" s="115" t="s">
        <v>23</v>
      </c>
      <c r="AL56" s="116">
        <f>AJ80*40%</f>
        <v>13048</v>
      </c>
    </row>
    <row r="57" spans="1:38" ht="15" customHeight="1">
      <c r="A57" s="2">
        <v>7</v>
      </c>
      <c r="B57" s="2" t="s">
        <v>129</v>
      </c>
      <c r="C57" s="503" t="s">
        <v>117</v>
      </c>
      <c r="D57" s="501"/>
      <c r="E57" s="20">
        <f t="shared" ref="E57:AI57" si="17">E19-D19</f>
        <v>684</v>
      </c>
      <c r="F57" s="20">
        <f t="shared" si="17"/>
        <v>531</v>
      </c>
      <c r="G57" s="20">
        <f t="shared" si="17"/>
        <v>597</v>
      </c>
      <c r="H57" s="20">
        <f t="shared" si="17"/>
        <v>446</v>
      </c>
      <c r="I57" s="20">
        <f t="shared" si="17"/>
        <v>409</v>
      </c>
      <c r="J57" s="20">
        <f t="shared" si="17"/>
        <v>721</v>
      </c>
      <c r="K57" s="20">
        <f t="shared" si="17"/>
        <v>743</v>
      </c>
      <c r="L57" s="20">
        <f t="shared" si="17"/>
        <v>744</v>
      </c>
      <c r="M57" s="20">
        <f t="shared" si="17"/>
        <v>704</v>
      </c>
      <c r="N57" s="20">
        <f t="shared" si="17"/>
        <v>707</v>
      </c>
      <c r="O57" s="20">
        <f t="shared" si="17"/>
        <v>613</v>
      </c>
      <c r="P57" s="20">
        <f t="shared" si="17"/>
        <v>446</v>
      </c>
      <c r="Q57" s="20">
        <f t="shared" si="17"/>
        <v>648</v>
      </c>
      <c r="R57" s="20">
        <f t="shared" si="17"/>
        <v>689</v>
      </c>
      <c r="S57" s="20">
        <f t="shared" si="17"/>
        <v>756</v>
      </c>
      <c r="T57" s="20">
        <f t="shared" si="17"/>
        <v>719</v>
      </c>
      <c r="U57" s="20">
        <f t="shared" si="17"/>
        <v>722</v>
      </c>
      <c r="V57" s="20">
        <f t="shared" si="17"/>
        <v>543</v>
      </c>
      <c r="W57" s="20">
        <f t="shared" si="17"/>
        <v>429</v>
      </c>
      <c r="X57" s="20">
        <f t="shared" si="17"/>
        <v>692</v>
      </c>
      <c r="Y57" s="20">
        <f t="shared" si="17"/>
        <v>715</v>
      </c>
      <c r="Z57" s="20">
        <f t="shared" si="17"/>
        <v>664</v>
      </c>
      <c r="AA57" s="20">
        <f t="shared" si="17"/>
        <v>670</v>
      </c>
      <c r="AB57" s="20">
        <f t="shared" si="17"/>
        <v>671</v>
      </c>
      <c r="AC57" s="20">
        <f t="shared" si="17"/>
        <v>597</v>
      </c>
      <c r="AD57" s="20">
        <f t="shared" si="17"/>
        <v>381</v>
      </c>
      <c r="AE57" s="20">
        <f t="shared" si="17"/>
        <v>656</v>
      </c>
      <c r="AF57" s="20">
        <f t="shared" si="17"/>
        <v>712</v>
      </c>
      <c r="AG57" s="20">
        <f t="shared" si="17"/>
        <v>725</v>
      </c>
      <c r="AH57" s="20">
        <f t="shared" si="17"/>
        <v>755</v>
      </c>
      <c r="AI57" s="20">
        <f t="shared" si="17"/>
        <v>313</v>
      </c>
      <c r="AJ57" s="105">
        <f t="shared" si="5"/>
        <v>19402</v>
      </c>
      <c r="AK57" s="117" t="s">
        <v>22</v>
      </c>
      <c r="AL57" s="118">
        <f>SUM(AJ8,AJ10,AJ12,AJ14,AJ16,AJ18,AJ20,AJ22,AJ25,AJ27,AJ29,AJ31)</f>
        <v>448</v>
      </c>
    </row>
    <row r="58" spans="1:38" ht="15" customHeight="1">
      <c r="A58" s="2"/>
      <c r="B58" s="2"/>
      <c r="C58" s="531" t="s">
        <v>22</v>
      </c>
      <c r="D58" s="501"/>
      <c r="E58" s="20">
        <f t="shared" ref="E58:AI58" si="18">E20-D20</f>
        <v>0</v>
      </c>
      <c r="F58" s="20">
        <f t="shared" si="18"/>
        <v>0</v>
      </c>
      <c r="G58" s="20">
        <f t="shared" si="18"/>
        <v>0</v>
      </c>
      <c r="H58" s="20">
        <f t="shared" si="18"/>
        <v>0</v>
      </c>
      <c r="I58" s="20">
        <f t="shared" si="18"/>
        <v>0</v>
      </c>
      <c r="J58" s="20">
        <f t="shared" si="18"/>
        <v>0</v>
      </c>
      <c r="K58" s="20">
        <f t="shared" si="18"/>
        <v>0</v>
      </c>
      <c r="L58" s="20">
        <f t="shared" si="18"/>
        <v>0</v>
      </c>
      <c r="M58" s="20">
        <f t="shared" si="18"/>
        <v>0</v>
      </c>
      <c r="N58" s="20">
        <f t="shared" si="18"/>
        <v>0</v>
      </c>
      <c r="O58" s="20">
        <f t="shared" si="18"/>
        <v>0</v>
      </c>
      <c r="P58" s="20">
        <f t="shared" si="18"/>
        <v>0</v>
      </c>
      <c r="Q58" s="20">
        <f t="shared" si="18"/>
        <v>67</v>
      </c>
      <c r="R58" s="20">
        <f t="shared" si="18"/>
        <v>0</v>
      </c>
      <c r="S58" s="20">
        <f t="shared" si="18"/>
        <v>0</v>
      </c>
      <c r="T58" s="20">
        <f t="shared" si="18"/>
        <v>0</v>
      </c>
      <c r="U58" s="20">
        <f t="shared" si="18"/>
        <v>0</v>
      </c>
      <c r="V58" s="20">
        <f t="shared" si="18"/>
        <v>0</v>
      </c>
      <c r="W58" s="20">
        <f t="shared" si="18"/>
        <v>6</v>
      </c>
      <c r="X58" s="20">
        <f t="shared" si="18"/>
        <v>25</v>
      </c>
      <c r="Y58" s="20">
        <f t="shared" si="18"/>
        <v>0</v>
      </c>
      <c r="Z58" s="20">
        <f t="shared" si="18"/>
        <v>40</v>
      </c>
      <c r="AA58" s="20">
        <f t="shared" si="18"/>
        <v>0</v>
      </c>
      <c r="AB58" s="20">
        <f t="shared" si="18"/>
        <v>0</v>
      </c>
      <c r="AC58" s="20">
        <f t="shared" si="18"/>
        <v>0</v>
      </c>
      <c r="AD58" s="20">
        <f t="shared" si="18"/>
        <v>0</v>
      </c>
      <c r="AE58" s="20">
        <f t="shared" si="18"/>
        <v>0</v>
      </c>
      <c r="AF58" s="20">
        <f t="shared" si="18"/>
        <v>0</v>
      </c>
      <c r="AG58" s="20">
        <f t="shared" si="18"/>
        <v>0</v>
      </c>
      <c r="AH58" s="20">
        <f t="shared" si="18"/>
        <v>0</v>
      </c>
      <c r="AI58" s="20">
        <f t="shared" si="18"/>
        <v>0</v>
      </c>
      <c r="AJ58" s="21">
        <f t="shared" si="5"/>
        <v>138</v>
      </c>
    </row>
    <row r="59" spans="1:38" ht="15" customHeight="1">
      <c r="A59" s="2">
        <v>8</v>
      </c>
      <c r="B59" s="2" t="s">
        <v>129</v>
      </c>
      <c r="C59" s="503" t="s">
        <v>118</v>
      </c>
      <c r="D59" s="501"/>
      <c r="E59" s="20">
        <f t="shared" ref="E59:AI59" si="19">E21-D21</f>
        <v>112</v>
      </c>
      <c r="F59" s="20">
        <f t="shared" si="19"/>
        <v>81</v>
      </c>
      <c r="G59" s="20">
        <f t="shared" si="19"/>
        <v>86</v>
      </c>
      <c r="H59" s="20">
        <f t="shared" si="19"/>
        <v>88</v>
      </c>
      <c r="I59" s="20">
        <f t="shared" si="19"/>
        <v>69</v>
      </c>
      <c r="J59" s="20">
        <f t="shared" si="19"/>
        <v>85</v>
      </c>
      <c r="K59" s="20">
        <f t="shared" si="19"/>
        <v>74</v>
      </c>
      <c r="L59" s="20">
        <f t="shared" si="19"/>
        <v>79</v>
      </c>
      <c r="M59" s="20">
        <f t="shared" si="19"/>
        <v>70</v>
      </c>
      <c r="N59" s="20">
        <f t="shared" si="19"/>
        <v>82</v>
      </c>
      <c r="O59" s="20">
        <f t="shared" si="19"/>
        <v>71</v>
      </c>
      <c r="P59" s="20">
        <f t="shared" si="19"/>
        <v>80</v>
      </c>
      <c r="Q59" s="20">
        <f t="shared" si="19"/>
        <v>66</v>
      </c>
      <c r="R59" s="20">
        <f t="shared" si="19"/>
        <v>87</v>
      </c>
      <c r="S59" s="20">
        <f t="shared" si="19"/>
        <v>83</v>
      </c>
      <c r="T59" s="20">
        <f t="shared" si="19"/>
        <v>93</v>
      </c>
      <c r="U59" s="20">
        <f t="shared" si="19"/>
        <v>109</v>
      </c>
      <c r="V59" s="20">
        <f t="shared" si="19"/>
        <v>93</v>
      </c>
      <c r="W59" s="20">
        <f t="shared" si="19"/>
        <v>102</v>
      </c>
      <c r="X59" s="20">
        <f t="shared" si="19"/>
        <v>139</v>
      </c>
      <c r="Y59" s="20">
        <f t="shared" si="19"/>
        <v>127</v>
      </c>
      <c r="Z59" s="20">
        <f t="shared" si="19"/>
        <v>116</v>
      </c>
      <c r="AA59" s="20">
        <f t="shared" si="19"/>
        <v>123</v>
      </c>
      <c r="AB59" s="20">
        <f t="shared" si="19"/>
        <v>144</v>
      </c>
      <c r="AC59" s="20">
        <f t="shared" si="19"/>
        <v>97</v>
      </c>
      <c r="AD59" s="20">
        <f t="shared" si="19"/>
        <v>98</v>
      </c>
      <c r="AE59" s="20">
        <f t="shared" si="19"/>
        <v>91</v>
      </c>
      <c r="AF59" s="20">
        <f t="shared" si="19"/>
        <v>106</v>
      </c>
      <c r="AG59" s="20">
        <f t="shared" si="19"/>
        <v>94</v>
      </c>
      <c r="AH59" s="20">
        <f t="shared" si="19"/>
        <v>99</v>
      </c>
      <c r="AI59" s="20">
        <f t="shared" si="19"/>
        <v>30</v>
      </c>
      <c r="AJ59" s="21">
        <f t="shared" si="5"/>
        <v>2874</v>
      </c>
    </row>
    <row r="60" spans="1:38" ht="15" customHeight="1">
      <c r="A60" s="2"/>
      <c r="B60" s="2"/>
      <c r="C60" s="531" t="s">
        <v>22</v>
      </c>
      <c r="D60" s="501"/>
      <c r="E60" s="20">
        <f t="shared" ref="E60:AI60" si="20">E22-D22</f>
        <v>0</v>
      </c>
      <c r="F60" s="20">
        <f t="shared" si="20"/>
        <v>0</v>
      </c>
      <c r="G60" s="20">
        <f t="shared" si="20"/>
        <v>0</v>
      </c>
      <c r="H60" s="20">
        <f t="shared" si="20"/>
        <v>0</v>
      </c>
      <c r="I60" s="20">
        <f t="shared" si="20"/>
        <v>0</v>
      </c>
      <c r="J60" s="20">
        <f t="shared" si="20"/>
        <v>0</v>
      </c>
      <c r="K60" s="20">
        <f t="shared" si="20"/>
        <v>0</v>
      </c>
      <c r="L60" s="20">
        <f t="shared" si="20"/>
        <v>0</v>
      </c>
      <c r="M60" s="20">
        <f t="shared" si="20"/>
        <v>0</v>
      </c>
      <c r="N60" s="20">
        <f t="shared" si="20"/>
        <v>0</v>
      </c>
      <c r="O60" s="20">
        <f t="shared" si="20"/>
        <v>0</v>
      </c>
      <c r="P60" s="20">
        <f t="shared" si="20"/>
        <v>0</v>
      </c>
      <c r="Q60" s="20">
        <f t="shared" si="20"/>
        <v>7</v>
      </c>
      <c r="R60" s="20">
        <f t="shared" si="20"/>
        <v>0</v>
      </c>
      <c r="S60" s="20">
        <f t="shared" si="20"/>
        <v>0</v>
      </c>
      <c r="T60" s="20">
        <f t="shared" si="20"/>
        <v>0</v>
      </c>
      <c r="U60" s="20">
        <f t="shared" si="20"/>
        <v>0</v>
      </c>
      <c r="V60" s="20">
        <f t="shared" si="20"/>
        <v>0</v>
      </c>
      <c r="W60" s="20">
        <f t="shared" si="20"/>
        <v>1</v>
      </c>
      <c r="X60" s="20">
        <f t="shared" si="20"/>
        <v>5</v>
      </c>
      <c r="Y60" s="20">
        <f t="shared" si="20"/>
        <v>0</v>
      </c>
      <c r="Z60" s="20">
        <f t="shared" si="20"/>
        <v>9</v>
      </c>
      <c r="AA60" s="20">
        <f t="shared" si="20"/>
        <v>0</v>
      </c>
      <c r="AB60" s="20">
        <f t="shared" si="20"/>
        <v>0</v>
      </c>
      <c r="AC60" s="20">
        <f t="shared" si="20"/>
        <v>0</v>
      </c>
      <c r="AD60" s="20">
        <f t="shared" si="20"/>
        <v>0</v>
      </c>
      <c r="AE60" s="20">
        <f t="shared" si="20"/>
        <v>0</v>
      </c>
      <c r="AF60" s="20">
        <f t="shared" si="20"/>
        <v>0</v>
      </c>
      <c r="AG60" s="20">
        <f t="shared" si="20"/>
        <v>0</v>
      </c>
      <c r="AH60" s="20">
        <f t="shared" si="20"/>
        <v>0</v>
      </c>
      <c r="AI60" s="20">
        <f t="shared" si="20"/>
        <v>0</v>
      </c>
      <c r="AJ60" s="21">
        <f t="shared" si="5"/>
        <v>22</v>
      </c>
    </row>
    <row r="61" spans="1:38" ht="15" customHeight="1">
      <c r="A61" s="99"/>
      <c r="B61" s="99"/>
      <c r="C61" s="500" t="s">
        <v>130</v>
      </c>
      <c r="D61" s="501"/>
      <c r="E61" s="23">
        <f t="shared" ref="E61:AI61" si="21">SUM(E59,E57,E55,E53,E51,E49,E47,E45)</f>
        <v>1929</v>
      </c>
      <c r="F61" s="23">
        <f t="shared" si="21"/>
        <v>1414</v>
      </c>
      <c r="G61" s="23">
        <f t="shared" si="21"/>
        <v>1508</v>
      </c>
      <c r="H61" s="23">
        <f t="shared" si="21"/>
        <v>1302</v>
      </c>
      <c r="I61" s="23">
        <f t="shared" si="21"/>
        <v>1155</v>
      </c>
      <c r="J61" s="23">
        <f t="shared" si="21"/>
        <v>1901</v>
      </c>
      <c r="K61" s="23">
        <f t="shared" si="21"/>
        <v>2009</v>
      </c>
      <c r="L61" s="23">
        <f t="shared" si="21"/>
        <v>1953</v>
      </c>
      <c r="M61" s="23">
        <f t="shared" si="21"/>
        <v>1838</v>
      </c>
      <c r="N61" s="23">
        <f t="shared" si="21"/>
        <v>1865</v>
      </c>
      <c r="O61" s="23">
        <f t="shared" si="21"/>
        <v>1449</v>
      </c>
      <c r="P61" s="23">
        <f t="shared" si="21"/>
        <v>1263</v>
      </c>
      <c r="Q61" s="23">
        <f t="shared" si="21"/>
        <v>1729</v>
      </c>
      <c r="R61" s="23">
        <f t="shared" si="21"/>
        <v>1826</v>
      </c>
      <c r="S61" s="23">
        <f t="shared" si="21"/>
        <v>2021</v>
      </c>
      <c r="T61" s="23">
        <f t="shared" si="21"/>
        <v>2088</v>
      </c>
      <c r="U61" s="23">
        <f t="shared" si="21"/>
        <v>1957</v>
      </c>
      <c r="V61" s="23">
        <f t="shared" si="21"/>
        <v>1393</v>
      </c>
      <c r="W61" s="23">
        <f t="shared" si="21"/>
        <v>1319</v>
      </c>
      <c r="X61" s="23">
        <f t="shared" si="21"/>
        <v>1980</v>
      </c>
      <c r="Y61" s="23">
        <f t="shared" si="21"/>
        <v>2034</v>
      </c>
      <c r="Z61" s="23">
        <f t="shared" si="21"/>
        <v>1894</v>
      </c>
      <c r="AA61" s="23">
        <f t="shared" si="21"/>
        <v>1952</v>
      </c>
      <c r="AB61" s="23">
        <f t="shared" si="21"/>
        <v>1878</v>
      </c>
      <c r="AC61" s="23">
        <f t="shared" si="21"/>
        <v>1509</v>
      </c>
      <c r="AD61" s="23">
        <f t="shared" si="21"/>
        <v>1226</v>
      </c>
      <c r="AE61" s="23">
        <f t="shared" si="21"/>
        <v>1866</v>
      </c>
      <c r="AF61" s="23">
        <f t="shared" si="21"/>
        <v>1911</v>
      </c>
      <c r="AG61" s="23">
        <f t="shared" si="21"/>
        <v>2010</v>
      </c>
      <c r="AH61" s="23">
        <f t="shared" si="21"/>
        <v>2117</v>
      </c>
      <c r="AI61" s="23">
        <f t="shared" si="21"/>
        <v>936</v>
      </c>
      <c r="AJ61" s="24">
        <f t="shared" si="5"/>
        <v>53232</v>
      </c>
      <c r="AK61" s="78"/>
    </row>
    <row r="62" spans="1:38" ht="15" customHeight="1">
      <c r="A62" s="99"/>
      <c r="B62" s="99"/>
      <c r="C62" s="145" t="s">
        <v>131</v>
      </c>
      <c r="D62" s="108"/>
      <c r="E62" s="23">
        <f t="shared" ref="E62:AI62" si="22">SUM(E46,E48,E50,E52,E54,E56,E58,E60)</f>
        <v>0</v>
      </c>
      <c r="F62" s="23">
        <f t="shared" si="22"/>
        <v>0</v>
      </c>
      <c r="G62" s="23">
        <f t="shared" si="22"/>
        <v>0</v>
      </c>
      <c r="H62" s="23">
        <f t="shared" si="22"/>
        <v>0</v>
      </c>
      <c r="I62" s="23">
        <f t="shared" si="22"/>
        <v>0</v>
      </c>
      <c r="J62" s="23">
        <f t="shared" si="22"/>
        <v>0</v>
      </c>
      <c r="K62" s="23">
        <f t="shared" si="22"/>
        <v>0</v>
      </c>
      <c r="L62" s="23">
        <f t="shared" si="22"/>
        <v>0</v>
      </c>
      <c r="M62" s="23">
        <f t="shared" si="22"/>
        <v>0</v>
      </c>
      <c r="N62" s="23">
        <f t="shared" si="22"/>
        <v>0</v>
      </c>
      <c r="O62" s="23">
        <f t="shared" si="22"/>
        <v>0</v>
      </c>
      <c r="P62" s="23">
        <f t="shared" si="22"/>
        <v>0</v>
      </c>
      <c r="Q62" s="23">
        <f t="shared" si="22"/>
        <v>204</v>
      </c>
      <c r="R62" s="23">
        <f t="shared" si="22"/>
        <v>0</v>
      </c>
      <c r="S62" s="23">
        <f t="shared" si="22"/>
        <v>0</v>
      </c>
      <c r="T62" s="23">
        <f t="shared" si="22"/>
        <v>0</v>
      </c>
      <c r="U62" s="23">
        <f t="shared" si="22"/>
        <v>0</v>
      </c>
      <c r="V62" s="23">
        <f t="shared" si="22"/>
        <v>0</v>
      </c>
      <c r="W62" s="23">
        <f t="shared" si="22"/>
        <v>19</v>
      </c>
      <c r="X62" s="23">
        <f t="shared" si="22"/>
        <v>80</v>
      </c>
      <c r="Y62" s="23">
        <f t="shared" si="22"/>
        <v>0</v>
      </c>
      <c r="Z62" s="23">
        <f t="shared" si="22"/>
        <v>125</v>
      </c>
      <c r="AA62" s="23">
        <f t="shared" si="22"/>
        <v>0</v>
      </c>
      <c r="AB62" s="23">
        <f t="shared" si="22"/>
        <v>0</v>
      </c>
      <c r="AC62" s="23">
        <f t="shared" si="22"/>
        <v>0</v>
      </c>
      <c r="AD62" s="23">
        <f t="shared" si="22"/>
        <v>0</v>
      </c>
      <c r="AE62" s="23">
        <f t="shared" si="22"/>
        <v>0</v>
      </c>
      <c r="AF62" s="23">
        <f t="shared" si="22"/>
        <v>0</v>
      </c>
      <c r="AG62" s="23">
        <f t="shared" si="22"/>
        <v>0</v>
      </c>
      <c r="AH62" s="23">
        <f t="shared" si="22"/>
        <v>0</v>
      </c>
      <c r="AI62" s="23">
        <f t="shared" si="22"/>
        <v>0</v>
      </c>
      <c r="AJ62" s="24">
        <f t="shared" si="5"/>
        <v>428</v>
      </c>
    </row>
    <row r="63" spans="1:38" ht="14.5" customHeight="1">
      <c r="A63" s="101"/>
      <c r="B63" s="101"/>
      <c r="C63" s="539" t="s">
        <v>132</v>
      </c>
      <c r="D63" s="501"/>
      <c r="E63" s="102">
        <f t="shared" ref="E63:AJ63" si="23">E61</f>
        <v>1929</v>
      </c>
      <c r="F63" s="102">
        <f t="shared" si="23"/>
        <v>1414</v>
      </c>
      <c r="G63" s="102">
        <f t="shared" si="23"/>
        <v>1508</v>
      </c>
      <c r="H63" s="102">
        <f t="shared" si="23"/>
        <v>1302</v>
      </c>
      <c r="I63" s="102">
        <f t="shared" si="23"/>
        <v>1155</v>
      </c>
      <c r="J63" s="102">
        <f t="shared" si="23"/>
        <v>1901</v>
      </c>
      <c r="K63" s="102">
        <f t="shared" si="23"/>
        <v>2009</v>
      </c>
      <c r="L63" s="102">
        <f t="shared" si="23"/>
        <v>1953</v>
      </c>
      <c r="M63" s="102">
        <f t="shared" si="23"/>
        <v>1838</v>
      </c>
      <c r="N63" s="102">
        <f t="shared" si="23"/>
        <v>1865</v>
      </c>
      <c r="O63" s="102">
        <f t="shared" si="23"/>
        <v>1449</v>
      </c>
      <c r="P63" s="102">
        <f t="shared" si="23"/>
        <v>1263</v>
      </c>
      <c r="Q63" s="102">
        <f t="shared" si="23"/>
        <v>1729</v>
      </c>
      <c r="R63" s="102">
        <f t="shared" si="23"/>
        <v>1826</v>
      </c>
      <c r="S63" s="102">
        <f t="shared" si="23"/>
        <v>2021</v>
      </c>
      <c r="T63" s="102">
        <f t="shared" si="23"/>
        <v>2088</v>
      </c>
      <c r="U63" s="102">
        <f t="shared" si="23"/>
        <v>1957</v>
      </c>
      <c r="V63" s="102">
        <f t="shared" si="23"/>
        <v>1393</v>
      </c>
      <c r="W63" s="102">
        <f t="shared" si="23"/>
        <v>1319</v>
      </c>
      <c r="X63" s="102">
        <f t="shared" si="23"/>
        <v>1980</v>
      </c>
      <c r="Y63" s="102">
        <f t="shared" si="23"/>
        <v>2034</v>
      </c>
      <c r="Z63" s="102">
        <f t="shared" si="23"/>
        <v>1894</v>
      </c>
      <c r="AA63" s="102">
        <f t="shared" si="23"/>
        <v>1952</v>
      </c>
      <c r="AB63" s="102">
        <f t="shared" si="23"/>
        <v>1878</v>
      </c>
      <c r="AC63" s="102">
        <f t="shared" si="23"/>
        <v>1509</v>
      </c>
      <c r="AD63" s="102">
        <f t="shared" si="23"/>
        <v>1226</v>
      </c>
      <c r="AE63" s="102">
        <f t="shared" si="23"/>
        <v>1866</v>
      </c>
      <c r="AF63" s="102">
        <f t="shared" si="23"/>
        <v>1911</v>
      </c>
      <c r="AG63" s="102">
        <f t="shared" si="23"/>
        <v>2010</v>
      </c>
      <c r="AH63" s="102">
        <f t="shared" si="23"/>
        <v>2117</v>
      </c>
      <c r="AI63" s="102">
        <f t="shared" si="23"/>
        <v>936</v>
      </c>
      <c r="AJ63" s="102">
        <f t="shared" si="23"/>
        <v>53232</v>
      </c>
    </row>
    <row r="64" spans="1:38" ht="13" customHeight="1">
      <c r="A64" s="94"/>
      <c r="B64" s="27"/>
      <c r="C64" s="146"/>
      <c r="D64" s="10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</row>
    <row r="65" spans="1:38" ht="14.5" customHeight="1">
      <c r="A65" s="28" t="s">
        <v>133</v>
      </c>
      <c r="B65" s="28" t="s">
        <v>100</v>
      </c>
      <c r="C65" s="523" t="s">
        <v>101</v>
      </c>
      <c r="D65" s="501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103"/>
    </row>
    <row r="66" spans="1:38" ht="14.5" customHeight="1">
      <c r="A66" s="2">
        <v>1</v>
      </c>
      <c r="B66" s="2" t="s">
        <v>129</v>
      </c>
      <c r="C66" s="506" t="s">
        <v>119</v>
      </c>
      <c r="D66" s="501"/>
      <c r="E66" s="30">
        <f t="shared" ref="E66:AI66" si="24">E24-D24</f>
        <v>0</v>
      </c>
      <c r="F66" s="30">
        <f t="shared" si="24"/>
        <v>56</v>
      </c>
      <c r="G66" s="30">
        <f t="shared" si="24"/>
        <v>39</v>
      </c>
      <c r="H66" s="30">
        <f t="shared" si="24"/>
        <v>6</v>
      </c>
      <c r="I66" s="30">
        <f t="shared" si="24"/>
        <v>0</v>
      </c>
      <c r="J66" s="30">
        <f t="shared" si="24"/>
        <v>48</v>
      </c>
      <c r="K66" s="30">
        <f t="shared" si="24"/>
        <v>35</v>
      </c>
      <c r="L66" s="30">
        <f t="shared" si="24"/>
        <v>34</v>
      </c>
      <c r="M66" s="30">
        <f t="shared" si="24"/>
        <v>36</v>
      </c>
      <c r="N66" s="30">
        <f t="shared" si="24"/>
        <v>39</v>
      </c>
      <c r="O66" s="30">
        <f t="shared" si="24"/>
        <v>32</v>
      </c>
      <c r="P66" s="30">
        <f t="shared" si="24"/>
        <v>0</v>
      </c>
      <c r="Q66" s="30">
        <f t="shared" si="24"/>
        <v>40</v>
      </c>
      <c r="R66" s="30">
        <f t="shared" si="24"/>
        <v>53</v>
      </c>
      <c r="S66" s="30">
        <f t="shared" si="24"/>
        <v>53</v>
      </c>
      <c r="T66" s="30">
        <f t="shared" si="24"/>
        <v>49</v>
      </c>
      <c r="U66" s="30">
        <f t="shared" si="24"/>
        <v>48</v>
      </c>
      <c r="V66" s="30">
        <f t="shared" si="24"/>
        <v>18</v>
      </c>
      <c r="W66" s="30">
        <f t="shared" si="24"/>
        <v>0</v>
      </c>
      <c r="X66" s="30">
        <f t="shared" si="24"/>
        <v>71</v>
      </c>
      <c r="Y66" s="30">
        <f t="shared" si="24"/>
        <v>57</v>
      </c>
      <c r="Z66" s="30">
        <f t="shared" si="24"/>
        <v>55</v>
      </c>
      <c r="AA66" s="30">
        <f t="shared" si="24"/>
        <v>62</v>
      </c>
      <c r="AB66" s="30">
        <f t="shared" si="24"/>
        <v>45</v>
      </c>
      <c r="AC66" s="30">
        <f t="shared" si="24"/>
        <v>21</v>
      </c>
      <c r="AD66" s="30">
        <f t="shared" si="24"/>
        <v>0</v>
      </c>
      <c r="AE66" s="30">
        <f t="shared" si="24"/>
        <v>41</v>
      </c>
      <c r="AF66" s="30">
        <f t="shared" si="24"/>
        <v>37</v>
      </c>
      <c r="AG66" s="30">
        <f t="shared" si="24"/>
        <v>36</v>
      </c>
      <c r="AH66" s="30">
        <f t="shared" si="24"/>
        <v>50</v>
      </c>
      <c r="AI66" s="30">
        <f t="shared" si="24"/>
        <v>35</v>
      </c>
      <c r="AJ66" s="30">
        <f t="shared" ref="AJ66:AJ79" si="25">SUM(E66:AI66)</f>
        <v>1096</v>
      </c>
      <c r="AL66" s="78"/>
    </row>
    <row r="67" spans="1:38" ht="14.5" customHeight="1">
      <c r="A67" s="2"/>
      <c r="B67" s="2"/>
      <c r="C67" s="532" t="s">
        <v>22</v>
      </c>
      <c r="D67" s="501"/>
      <c r="E67" s="30">
        <f t="shared" ref="E67:AI67" si="26">E25-D25</f>
        <v>0</v>
      </c>
      <c r="F67" s="30">
        <f t="shared" si="26"/>
        <v>0</v>
      </c>
      <c r="G67" s="30">
        <f t="shared" si="26"/>
        <v>0</v>
      </c>
      <c r="H67" s="30">
        <f t="shared" si="26"/>
        <v>0</v>
      </c>
      <c r="I67" s="30">
        <f t="shared" si="26"/>
        <v>0</v>
      </c>
      <c r="J67" s="30">
        <f t="shared" si="26"/>
        <v>0</v>
      </c>
      <c r="K67" s="30">
        <f t="shared" si="26"/>
        <v>0</v>
      </c>
      <c r="L67" s="30">
        <f t="shared" si="26"/>
        <v>0</v>
      </c>
      <c r="M67" s="30">
        <f t="shared" si="26"/>
        <v>0</v>
      </c>
      <c r="N67" s="30">
        <f t="shared" si="26"/>
        <v>0</v>
      </c>
      <c r="O67" s="30">
        <f t="shared" si="26"/>
        <v>0</v>
      </c>
      <c r="P67" s="30">
        <f t="shared" si="26"/>
        <v>0</v>
      </c>
      <c r="Q67" s="30">
        <f t="shared" si="26"/>
        <v>0</v>
      </c>
      <c r="R67" s="30">
        <f t="shared" si="26"/>
        <v>0</v>
      </c>
      <c r="S67" s="30">
        <f t="shared" si="26"/>
        <v>0</v>
      </c>
      <c r="T67" s="30">
        <f t="shared" si="26"/>
        <v>0</v>
      </c>
      <c r="U67" s="30">
        <f t="shared" si="26"/>
        <v>0</v>
      </c>
      <c r="V67" s="30">
        <f t="shared" si="26"/>
        <v>0</v>
      </c>
      <c r="W67" s="30">
        <f t="shared" si="26"/>
        <v>0</v>
      </c>
      <c r="X67" s="30">
        <f t="shared" si="26"/>
        <v>4</v>
      </c>
      <c r="Y67" s="30">
        <f t="shared" si="26"/>
        <v>0</v>
      </c>
      <c r="Z67" s="30">
        <f t="shared" si="26"/>
        <v>4</v>
      </c>
      <c r="AA67" s="30">
        <f t="shared" si="26"/>
        <v>0</v>
      </c>
      <c r="AB67" s="30">
        <f t="shared" si="26"/>
        <v>0</v>
      </c>
      <c r="AC67" s="30">
        <f t="shared" si="26"/>
        <v>0</v>
      </c>
      <c r="AD67" s="30">
        <f t="shared" si="26"/>
        <v>0</v>
      </c>
      <c r="AE67" s="30">
        <f t="shared" si="26"/>
        <v>0</v>
      </c>
      <c r="AF67" s="30">
        <f t="shared" si="26"/>
        <v>0</v>
      </c>
      <c r="AG67" s="30">
        <f t="shared" si="26"/>
        <v>0</v>
      </c>
      <c r="AH67" s="30">
        <f t="shared" si="26"/>
        <v>0</v>
      </c>
      <c r="AI67" s="30">
        <f t="shared" si="26"/>
        <v>0</v>
      </c>
      <c r="AJ67" s="30">
        <f t="shared" si="25"/>
        <v>8</v>
      </c>
    </row>
    <row r="68" spans="1:38" ht="14.5" customHeight="1">
      <c r="A68" s="2">
        <v>2</v>
      </c>
      <c r="B68" s="2" t="s">
        <v>129</v>
      </c>
      <c r="C68" s="506" t="s">
        <v>120</v>
      </c>
      <c r="D68" s="501"/>
      <c r="E68" s="30">
        <f t="shared" ref="E68:AI68" si="27">E26-D26</f>
        <v>0</v>
      </c>
      <c r="F68" s="30">
        <f t="shared" si="27"/>
        <v>50</v>
      </c>
      <c r="G68" s="30">
        <f t="shared" si="27"/>
        <v>47</v>
      </c>
      <c r="H68" s="30">
        <f t="shared" si="27"/>
        <v>5</v>
      </c>
      <c r="I68" s="30">
        <f t="shared" si="27"/>
        <v>0</v>
      </c>
      <c r="J68" s="30">
        <f t="shared" si="27"/>
        <v>43</v>
      </c>
      <c r="K68" s="30">
        <f t="shared" si="27"/>
        <v>28</v>
      </c>
      <c r="L68" s="30">
        <f t="shared" si="27"/>
        <v>30</v>
      </c>
      <c r="M68" s="30">
        <f t="shared" si="27"/>
        <v>39</v>
      </c>
      <c r="N68" s="30">
        <f t="shared" si="27"/>
        <v>32</v>
      </c>
      <c r="O68" s="30">
        <f t="shared" si="27"/>
        <v>23</v>
      </c>
      <c r="P68" s="30">
        <f t="shared" si="27"/>
        <v>0</v>
      </c>
      <c r="Q68" s="30">
        <f t="shared" si="27"/>
        <v>30</v>
      </c>
      <c r="R68" s="30">
        <f t="shared" si="27"/>
        <v>34</v>
      </c>
      <c r="S68" s="30">
        <f t="shared" si="27"/>
        <v>63</v>
      </c>
      <c r="T68" s="30">
        <f t="shared" si="27"/>
        <v>45</v>
      </c>
      <c r="U68" s="30">
        <f t="shared" si="27"/>
        <v>48</v>
      </c>
      <c r="V68" s="30">
        <f t="shared" si="27"/>
        <v>15</v>
      </c>
      <c r="W68" s="30">
        <f t="shared" si="27"/>
        <v>0</v>
      </c>
      <c r="X68" s="30">
        <f t="shared" si="27"/>
        <v>68</v>
      </c>
      <c r="Y68" s="30">
        <f t="shared" si="27"/>
        <v>42</v>
      </c>
      <c r="Z68" s="30">
        <f t="shared" si="27"/>
        <v>33</v>
      </c>
      <c r="AA68" s="30">
        <f t="shared" si="27"/>
        <v>63</v>
      </c>
      <c r="AB68" s="30">
        <f t="shared" si="27"/>
        <v>48</v>
      </c>
      <c r="AC68" s="30">
        <f t="shared" si="27"/>
        <v>25</v>
      </c>
      <c r="AD68" s="30">
        <f t="shared" si="27"/>
        <v>0</v>
      </c>
      <c r="AE68" s="30">
        <f t="shared" si="27"/>
        <v>50</v>
      </c>
      <c r="AF68" s="30">
        <f t="shared" si="27"/>
        <v>47</v>
      </c>
      <c r="AG68" s="30">
        <f t="shared" si="27"/>
        <v>80</v>
      </c>
      <c r="AH68" s="30">
        <f t="shared" si="27"/>
        <v>102</v>
      </c>
      <c r="AI68" s="30">
        <f t="shared" si="27"/>
        <v>45</v>
      </c>
      <c r="AJ68" s="30">
        <f t="shared" si="25"/>
        <v>1135</v>
      </c>
    </row>
    <row r="69" spans="1:38" ht="14.5" customHeight="1">
      <c r="A69" s="2"/>
      <c r="B69" s="2"/>
      <c r="C69" s="532" t="s">
        <v>22</v>
      </c>
      <c r="D69" s="501"/>
      <c r="E69" s="30">
        <f t="shared" ref="E69:AI69" si="28">E27-D27</f>
        <v>0</v>
      </c>
      <c r="F69" s="30">
        <f t="shared" si="28"/>
        <v>0</v>
      </c>
      <c r="G69" s="30">
        <f t="shared" si="28"/>
        <v>0</v>
      </c>
      <c r="H69" s="30">
        <f t="shared" si="28"/>
        <v>0</v>
      </c>
      <c r="I69" s="30">
        <f t="shared" si="28"/>
        <v>0</v>
      </c>
      <c r="J69" s="30">
        <f t="shared" si="28"/>
        <v>0</v>
      </c>
      <c r="K69" s="30">
        <f t="shared" si="28"/>
        <v>0</v>
      </c>
      <c r="L69" s="30">
        <f t="shared" si="28"/>
        <v>0</v>
      </c>
      <c r="M69" s="30">
        <f t="shared" si="28"/>
        <v>0</v>
      </c>
      <c r="N69" s="30">
        <f t="shared" si="28"/>
        <v>0</v>
      </c>
      <c r="O69" s="30">
        <f t="shared" si="28"/>
        <v>0</v>
      </c>
      <c r="P69" s="30">
        <f t="shared" si="28"/>
        <v>0</v>
      </c>
      <c r="Q69" s="30">
        <f t="shared" si="28"/>
        <v>0</v>
      </c>
      <c r="R69" s="30">
        <f t="shared" si="28"/>
        <v>0</v>
      </c>
      <c r="S69" s="30">
        <f t="shared" si="28"/>
        <v>0</v>
      </c>
      <c r="T69" s="30">
        <f t="shared" si="28"/>
        <v>0</v>
      </c>
      <c r="U69" s="30">
        <f t="shared" si="28"/>
        <v>0</v>
      </c>
      <c r="V69" s="30">
        <f t="shared" si="28"/>
        <v>0</v>
      </c>
      <c r="W69" s="30">
        <f t="shared" si="28"/>
        <v>0</v>
      </c>
      <c r="X69" s="30">
        <f t="shared" si="28"/>
        <v>2</v>
      </c>
      <c r="Y69" s="30">
        <f t="shared" si="28"/>
        <v>0</v>
      </c>
      <c r="Z69" s="30">
        <f t="shared" si="28"/>
        <v>0</v>
      </c>
      <c r="AA69" s="30">
        <f t="shared" si="28"/>
        <v>0</v>
      </c>
      <c r="AB69" s="30">
        <f t="shared" si="28"/>
        <v>0</v>
      </c>
      <c r="AC69" s="30">
        <f t="shared" si="28"/>
        <v>0</v>
      </c>
      <c r="AD69" s="30">
        <f t="shared" si="28"/>
        <v>0</v>
      </c>
      <c r="AE69" s="30">
        <f t="shared" si="28"/>
        <v>0</v>
      </c>
      <c r="AF69" s="30">
        <f t="shared" si="28"/>
        <v>0</v>
      </c>
      <c r="AG69" s="30">
        <f t="shared" si="28"/>
        <v>0</v>
      </c>
      <c r="AH69" s="30">
        <f t="shared" si="28"/>
        <v>0</v>
      </c>
      <c r="AI69" s="30">
        <f t="shared" si="28"/>
        <v>0</v>
      </c>
      <c r="AJ69" s="30">
        <f t="shared" si="25"/>
        <v>2</v>
      </c>
    </row>
    <row r="70" spans="1:38" ht="14.5" customHeight="1">
      <c r="A70" s="2">
        <v>3</v>
      </c>
      <c r="B70" s="2" t="s">
        <v>129</v>
      </c>
      <c r="C70" s="506" t="s">
        <v>121</v>
      </c>
      <c r="D70" s="501"/>
      <c r="E70" s="30">
        <f t="shared" ref="E70:AI70" si="29">E28-D28</f>
        <v>0</v>
      </c>
      <c r="F70" s="30">
        <f t="shared" si="29"/>
        <v>32</v>
      </c>
      <c r="G70" s="30">
        <f t="shared" si="29"/>
        <v>11</v>
      </c>
      <c r="H70" s="30">
        <f t="shared" si="29"/>
        <v>10</v>
      </c>
      <c r="I70" s="30">
        <f t="shared" si="29"/>
        <v>0</v>
      </c>
      <c r="J70" s="30">
        <f t="shared" si="29"/>
        <v>63</v>
      </c>
      <c r="K70" s="30">
        <f t="shared" si="29"/>
        <v>46</v>
      </c>
      <c r="L70" s="30">
        <f t="shared" si="29"/>
        <v>45</v>
      </c>
      <c r="M70" s="30">
        <f t="shared" si="29"/>
        <v>45</v>
      </c>
      <c r="N70" s="30">
        <f t="shared" si="29"/>
        <v>49</v>
      </c>
      <c r="O70" s="30">
        <f t="shared" si="29"/>
        <v>39</v>
      </c>
      <c r="P70" s="30">
        <f t="shared" si="29"/>
        <v>0</v>
      </c>
      <c r="Q70" s="30">
        <f t="shared" si="29"/>
        <v>48</v>
      </c>
      <c r="R70" s="30">
        <f t="shared" si="29"/>
        <v>69</v>
      </c>
      <c r="S70" s="30">
        <f t="shared" si="29"/>
        <v>93</v>
      </c>
      <c r="T70" s="30">
        <f t="shared" si="29"/>
        <v>62</v>
      </c>
      <c r="U70" s="30">
        <f t="shared" si="29"/>
        <v>84</v>
      </c>
      <c r="V70" s="30">
        <f t="shared" si="29"/>
        <v>3</v>
      </c>
      <c r="W70" s="30">
        <f t="shared" si="29"/>
        <v>0</v>
      </c>
      <c r="X70" s="30">
        <f t="shared" si="29"/>
        <v>61</v>
      </c>
      <c r="Y70" s="30">
        <f t="shared" si="29"/>
        <v>1</v>
      </c>
      <c r="Z70" s="30">
        <f t="shared" si="29"/>
        <v>83</v>
      </c>
      <c r="AA70" s="30">
        <f t="shared" si="29"/>
        <v>44</v>
      </c>
      <c r="AB70" s="30">
        <f t="shared" si="29"/>
        <v>41</v>
      </c>
      <c r="AC70" s="30">
        <f t="shared" si="29"/>
        <v>24</v>
      </c>
      <c r="AD70" s="30">
        <f t="shared" si="29"/>
        <v>0</v>
      </c>
      <c r="AE70" s="30">
        <f t="shared" si="29"/>
        <v>44</v>
      </c>
      <c r="AF70" s="30">
        <f t="shared" si="29"/>
        <v>42</v>
      </c>
      <c r="AG70" s="30">
        <f t="shared" si="29"/>
        <v>72</v>
      </c>
      <c r="AH70" s="30">
        <f t="shared" si="29"/>
        <v>115</v>
      </c>
      <c r="AI70" s="30">
        <f t="shared" si="29"/>
        <v>52</v>
      </c>
      <c r="AJ70" s="30">
        <f t="shared" si="25"/>
        <v>1278</v>
      </c>
    </row>
    <row r="71" spans="1:38" ht="14.5" customHeight="1">
      <c r="A71" s="2"/>
      <c r="B71" s="2"/>
      <c r="C71" s="532" t="s">
        <v>22</v>
      </c>
      <c r="D71" s="501"/>
      <c r="E71" s="30">
        <f t="shared" ref="E71:AI71" si="30">E29-D29</f>
        <v>0</v>
      </c>
      <c r="F71" s="30">
        <f t="shared" si="30"/>
        <v>0</v>
      </c>
      <c r="G71" s="30">
        <f t="shared" si="30"/>
        <v>0</v>
      </c>
      <c r="H71" s="30">
        <f t="shared" si="30"/>
        <v>0</v>
      </c>
      <c r="I71" s="30">
        <f t="shared" si="30"/>
        <v>0</v>
      </c>
      <c r="J71" s="30">
        <f t="shared" si="30"/>
        <v>0</v>
      </c>
      <c r="K71" s="30">
        <f t="shared" si="30"/>
        <v>0</v>
      </c>
      <c r="L71" s="30">
        <f t="shared" si="30"/>
        <v>0</v>
      </c>
      <c r="M71" s="30">
        <f t="shared" si="30"/>
        <v>0</v>
      </c>
      <c r="N71" s="30">
        <f t="shared" si="30"/>
        <v>0</v>
      </c>
      <c r="O71" s="30">
        <f t="shared" si="30"/>
        <v>0</v>
      </c>
      <c r="P71" s="30">
        <f t="shared" si="30"/>
        <v>0</v>
      </c>
      <c r="Q71" s="30">
        <f t="shared" si="30"/>
        <v>0</v>
      </c>
      <c r="R71" s="30">
        <f t="shared" si="30"/>
        <v>0</v>
      </c>
      <c r="S71" s="30">
        <f t="shared" si="30"/>
        <v>0</v>
      </c>
      <c r="T71" s="30">
        <f t="shared" si="30"/>
        <v>0</v>
      </c>
      <c r="U71" s="30">
        <f t="shared" si="30"/>
        <v>0</v>
      </c>
      <c r="V71" s="30">
        <f t="shared" si="30"/>
        <v>0</v>
      </c>
      <c r="W71" s="30">
        <f t="shared" si="30"/>
        <v>0</v>
      </c>
      <c r="X71" s="30">
        <f t="shared" si="30"/>
        <v>2</v>
      </c>
      <c r="Y71" s="30">
        <f t="shared" si="30"/>
        <v>0</v>
      </c>
      <c r="Z71" s="30">
        <f t="shared" si="30"/>
        <v>3</v>
      </c>
      <c r="AA71" s="30">
        <f t="shared" si="30"/>
        <v>0</v>
      </c>
      <c r="AB71" s="30">
        <f t="shared" si="30"/>
        <v>0</v>
      </c>
      <c r="AC71" s="30">
        <f t="shared" si="30"/>
        <v>0</v>
      </c>
      <c r="AD71" s="30">
        <f t="shared" si="30"/>
        <v>0</v>
      </c>
      <c r="AE71" s="30">
        <f t="shared" si="30"/>
        <v>0</v>
      </c>
      <c r="AF71" s="30">
        <f t="shared" si="30"/>
        <v>0</v>
      </c>
      <c r="AG71" s="30">
        <f t="shared" si="30"/>
        <v>0</v>
      </c>
      <c r="AH71" s="30">
        <f t="shared" si="30"/>
        <v>0</v>
      </c>
      <c r="AI71" s="30">
        <f t="shared" si="30"/>
        <v>0</v>
      </c>
      <c r="AJ71" s="30">
        <f t="shared" si="25"/>
        <v>5</v>
      </c>
    </row>
    <row r="72" spans="1:38" ht="14.5" customHeight="1">
      <c r="A72" s="2">
        <v>4</v>
      </c>
      <c r="B72" s="2" t="s">
        <v>129</v>
      </c>
      <c r="C72" s="506" t="s">
        <v>122</v>
      </c>
      <c r="D72" s="501"/>
      <c r="E72" s="30">
        <f t="shared" ref="E72:AI72" si="31">E30-D30</f>
        <v>0</v>
      </c>
      <c r="F72" s="30">
        <f t="shared" si="31"/>
        <v>2</v>
      </c>
      <c r="G72" s="30">
        <f t="shared" si="31"/>
        <v>0</v>
      </c>
      <c r="H72" s="30">
        <f t="shared" si="31"/>
        <v>5</v>
      </c>
      <c r="I72" s="30">
        <f t="shared" si="31"/>
        <v>0</v>
      </c>
      <c r="J72" s="30">
        <f t="shared" si="31"/>
        <v>48</v>
      </c>
      <c r="K72" s="30">
        <f t="shared" si="31"/>
        <v>42</v>
      </c>
      <c r="L72" s="30">
        <f t="shared" si="31"/>
        <v>41</v>
      </c>
      <c r="M72" s="30">
        <f t="shared" si="31"/>
        <v>41</v>
      </c>
      <c r="N72" s="30">
        <f t="shared" si="31"/>
        <v>46</v>
      </c>
      <c r="O72" s="30">
        <f t="shared" si="31"/>
        <v>15</v>
      </c>
      <c r="P72" s="30">
        <f t="shared" si="31"/>
        <v>0</v>
      </c>
      <c r="Q72" s="30">
        <f t="shared" si="31"/>
        <v>44</v>
      </c>
      <c r="R72" s="30">
        <f t="shared" si="31"/>
        <v>68</v>
      </c>
      <c r="S72" s="30">
        <f t="shared" si="31"/>
        <v>70</v>
      </c>
      <c r="T72" s="30">
        <f t="shared" si="31"/>
        <v>56</v>
      </c>
      <c r="U72" s="30">
        <f t="shared" si="31"/>
        <v>53</v>
      </c>
      <c r="V72" s="30">
        <f t="shared" si="31"/>
        <v>12</v>
      </c>
      <c r="W72" s="30">
        <f t="shared" si="31"/>
        <v>0</v>
      </c>
      <c r="X72" s="30">
        <f t="shared" si="31"/>
        <v>62</v>
      </c>
      <c r="Y72" s="30">
        <f t="shared" si="31"/>
        <v>40</v>
      </c>
      <c r="Z72" s="30">
        <f t="shared" si="31"/>
        <v>45</v>
      </c>
      <c r="AA72" s="30">
        <f t="shared" si="31"/>
        <v>44</v>
      </c>
      <c r="AB72" s="30">
        <f t="shared" si="31"/>
        <v>42</v>
      </c>
      <c r="AC72" s="30">
        <f t="shared" si="31"/>
        <v>4</v>
      </c>
      <c r="AD72" s="30">
        <f t="shared" si="31"/>
        <v>0</v>
      </c>
      <c r="AE72" s="30">
        <f t="shared" si="31"/>
        <v>34</v>
      </c>
      <c r="AF72" s="30">
        <f t="shared" si="31"/>
        <v>33</v>
      </c>
      <c r="AG72" s="30">
        <f t="shared" si="31"/>
        <v>59</v>
      </c>
      <c r="AH72" s="30">
        <f t="shared" si="31"/>
        <v>54</v>
      </c>
      <c r="AI72" s="30">
        <f t="shared" si="31"/>
        <v>50</v>
      </c>
      <c r="AJ72" s="30">
        <f t="shared" si="25"/>
        <v>1010</v>
      </c>
    </row>
    <row r="73" spans="1:38" ht="14.5" customHeight="1">
      <c r="A73" s="2"/>
      <c r="B73" s="2"/>
      <c r="C73" s="532" t="s">
        <v>22</v>
      </c>
      <c r="D73" s="501"/>
      <c r="E73" s="30">
        <f t="shared" ref="E73:AI73" si="32">E31-D31</f>
        <v>0</v>
      </c>
      <c r="F73" s="30">
        <f t="shared" si="32"/>
        <v>0</v>
      </c>
      <c r="G73" s="30">
        <f t="shared" si="32"/>
        <v>0</v>
      </c>
      <c r="H73" s="30">
        <f t="shared" si="32"/>
        <v>0</v>
      </c>
      <c r="I73" s="30">
        <f t="shared" si="32"/>
        <v>0</v>
      </c>
      <c r="J73" s="30">
        <f t="shared" si="32"/>
        <v>0</v>
      </c>
      <c r="K73" s="30">
        <f t="shared" si="32"/>
        <v>0</v>
      </c>
      <c r="L73" s="30">
        <f t="shared" si="32"/>
        <v>0</v>
      </c>
      <c r="M73" s="30">
        <f t="shared" si="32"/>
        <v>0</v>
      </c>
      <c r="N73" s="30">
        <f t="shared" si="32"/>
        <v>0</v>
      </c>
      <c r="O73" s="30">
        <f t="shared" si="32"/>
        <v>0</v>
      </c>
      <c r="P73" s="30">
        <f t="shared" si="32"/>
        <v>0</v>
      </c>
      <c r="Q73" s="30">
        <f t="shared" si="32"/>
        <v>0</v>
      </c>
      <c r="R73" s="30">
        <f t="shared" si="32"/>
        <v>0</v>
      </c>
      <c r="S73" s="30">
        <f t="shared" si="32"/>
        <v>0</v>
      </c>
      <c r="T73" s="30">
        <f t="shared" si="32"/>
        <v>0</v>
      </c>
      <c r="U73" s="30">
        <f t="shared" si="32"/>
        <v>0</v>
      </c>
      <c r="V73" s="30">
        <f t="shared" si="32"/>
        <v>0</v>
      </c>
      <c r="W73" s="30">
        <f t="shared" si="32"/>
        <v>0</v>
      </c>
      <c r="X73" s="30">
        <f t="shared" si="32"/>
        <v>3</v>
      </c>
      <c r="Y73" s="30">
        <f t="shared" si="32"/>
        <v>0</v>
      </c>
      <c r="Z73" s="30">
        <f t="shared" si="32"/>
        <v>2</v>
      </c>
      <c r="AA73" s="30">
        <f t="shared" si="32"/>
        <v>0</v>
      </c>
      <c r="AB73" s="30">
        <f t="shared" si="32"/>
        <v>0</v>
      </c>
      <c r="AC73" s="30">
        <f t="shared" si="32"/>
        <v>0</v>
      </c>
      <c r="AD73" s="30">
        <f t="shared" si="32"/>
        <v>0</v>
      </c>
      <c r="AE73" s="30">
        <f t="shared" si="32"/>
        <v>0</v>
      </c>
      <c r="AF73" s="30">
        <f t="shared" si="32"/>
        <v>0</v>
      </c>
      <c r="AG73" s="30">
        <f t="shared" si="32"/>
        <v>0</v>
      </c>
      <c r="AH73" s="30">
        <f t="shared" si="32"/>
        <v>0</v>
      </c>
      <c r="AI73" s="30">
        <f t="shared" si="32"/>
        <v>0</v>
      </c>
      <c r="AJ73" s="30">
        <f t="shared" si="25"/>
        <v>5</v>
      </c>
    </row>
    <row r="74" spans="1:38" ht="25.5" customHeight="1">
      <c r="A74" s="99"/>
      <c r="B74" s="99"/>
      <c r="C74" s="500" t="s">
        <v>134</v>
      </c>
      <c r="D74" s="501"/>
      <c r="E74" s="23">
        <f t="shared" ref="E74:AI74" si="33">SUM(E66,E68,E70,E72)</f>
        <v>0</v>
      </c>
      <c r="F74" s="23">
        <f t="shared" si="33"/>
        <v>140</v>
      </c>
      <c r="G74" s="23">
        <f t="shared" si="33"/>
        <v>97</v>
      </c>
      <c r="H74" s="23">
        <f t="shared" si="33"/>
        <v>26</v>
      </c>
      <c r="I74" s="23">
        <f t="shared" si="33"/>
        <v>0</v>
      </c>
      <c r="J74" s="23">
        <f t="shared" si="33"/>
        <v>202</v>
      </c>
      <c r="K74" s="23">
        <f t="shared" si="33"/>
        <v>151</v>
      </c>
      <c r="L74" s="23">
        <f t="shared" si="33"/>
        <v>150</v>
      </c>
      <c r="M74" s="23">
        <f t="shared" si="33"/>
        <v>161</v>
      </c>
      <c r="N74" s="23">
        <f t="shared" si="33"/>
        <v>166</v>
      </c>
      <c r="O74" s="23">
        <f t="shared" si="33"/>
        <v>109</v>
      </c>
      <c r="P74" s="23">
        <f t="shared" si="33"/>
        <v>0</v>
      </c>
      <c r="Q74" s="23">
        <f t="shared" si="33"/>
        <v>162</v>
      </c>
      <c r="R74" s="23">
        <f t="shared" si="33"/>
        <v>224</v>
      </c>
      <c r="S74" s="23">
        <f t="shared" si="33"/>
        <v>279</v>
      </c>
      <c r="T74" s="23">
        <f t="shared" si="33"/>
        <v>212</v>
      </c>
      <c r="U74" s="23">
        <f t="shared" si="33"/>
        <v>233</v>
      </c>
      <c r="V74" s="23">
        <f t="shared" si="33"/>
        <v>48</v>
      </c>
      <c r="W74" s="23">
        <f t="shared" si="33"/>
        <v>0</v>
      </c>
      <c r="X74" s="23">
        <f t="shared" si="33"/>
        <v>262</v>
      </c>
      <c r="Y74" s="23">
        <f t="shared" si="33"/>
        <v>140</v>
      </c>
      <c r="Z74" s="23">
        <f t="shared" si="33"/>
        <v>216</v>
      </c>
      <c r="AA74" s="23">
        <f t="shared" si="33"/>
        <v>213</v>
      </c>
      <c r="AB74" s="23">
        <f t="shared" si="33"/>
        <v>176</v>
      </c>
      <c r="AC74" s="23">
        <f t="shared" si="33"/>
        <v>74</v>
      </c>
      <c r="AD74" s="23">
        <f t="shared" si="33"/>
        <v>0</v>
      </c>
      <c r="AE74" s="23">
        <f t="shared" si="33"/>
        <v>169</v>
      </c>
      <c r="AF74" s="23">
        <f t="shared" si="33"/>
        <v>159</v>
      </c>
      <c r="AG74" s="23">
        <f t="shared" si="33"/>
        <v>247</v>
      </c>
      <c r="AH74" s="23">
        <f t="shared" si="33"/>
        <v>321</v>
      </c>
      <c r="AI74" s="23">
        <f t="shared" si="33"/>
        <v>182</v>
      </c>
      <c r="AJ74" s="24">
        <f t="shared" si="25"/>
        <v>4519</v>
      </c>
      <c r="AK74" s="78"/>
      <c r="AL74" s="78"/>
    </row>
    <row r="75" spans="1:38" ht="25.5" customHeight="1">
      <c r="A75" s="99"/>
      <c r="B75" s="99"/>
      <c r="C75" s="513" t="s">
        <v>135</v>
      </c>
      <c r="D75" s="501"/>
      <c r="E75" s="23">
        <f t="shared" ref="E75:AI75" si="34">SUM(E67,E69,E71,E73)</f>
        <v>0</v>
      </c>
      <c r="F75" s="23">
        <f t="shared" si="34"/>
        <v>0</v>
      </c>
      <c r="G75" s="23">
        <f t="shared" si="34"/>
        <v>0</v>
      </c>
      <c r="H75" s="23">
        <f t="shared" si="34"/>
        <v>0</v>
      </c>
      <c r="I75" s="23">
        <f t="shared" si="34"/>
        <v>0</v>
      </c>
      <c r="J75" s="23">
        <f t="shared" si="34"/>
        <v>0</v>
      </c>
      <c r="K75" s="23">
        <f t="shared" si="34"/>
        <v>0</v>
      </c>
      <c r="L75" s="23">
        <f t="shared" si="34"/>
        <v>0</v>
      </c>
      <c r="M75" s="23">
        <f t="shared" si="34"/>
        <v>0</v>
      </c>
      <c r="N75" s="23">
        <f t="shared" si="34"/>
        <v>0</v>
      </c>
      <c r="O75" s="23">
        <f t="shared" si="34"/>
        <v>0</v>
      </c>
      <c r="P75" s="23">
        <f t="shared" si="34"/>
        <v>0</v>
      </c>
      <c r="Q75" s="23">
        <f t="shared" si="34"/>
        <v>0</v>
      </c>
      <c r="R75" s="23">
        <f t="shared" si="34"/>
        <v>0</v>
      </c>
      <c r="S75" s="23">
        <f t="shared" si="34"/>
        <v>0</v>
      </c>
      <c r="T75" s="23">
        <f t="shared" si="34"/>
        <v>0</v>
      </c>
      <c r="U75" s="23">
        <f t="shared" si="34"/>
        <v>0</v>
      </c>
      <c r="V75" s="23">
        <f t="shared" si="34"/>
        <v>0</v>
      </c>
      <c r="W75" s="23">
        <f t="shared" si="34"/>
        <v>0</v>
      </c>
      <c r="X75" s="23">
        <f t="shared" si="34"/>
        <v>11</v>
      </c>
      <c r="Y75" s="23">
        <f t="shared" si="34"/>
        <v>0</v>
      </c>
      <c r="Z75" s="23">
        <f t="shared" si="34"/>
        <v>9</v>
      </c>
      <c r="AA75" s="23">
        <f t="shared" si="34"/>
        <v>0</v>
      </c>
      <c r="AB75" s="23">
        <f t="shared" si="34"/>
        <v>0</v>
      </c>
      <c r="AC75" s="23">
        <f t="shared" si="34"/>
        <v>0</v>
      </c>
      <c r="AD75" s="23">
        <f t="shared" si="34"/>
        <v>0</v>
      </c>
      <c r="AE75" s="23">
        <f t="shared" si="34"/>
        <v>0</v>
      </c>
      <c r="AF75" s="23">
        <f t="shared" si="34"/>
        <v>0</v>
      </c>
      <c r="AG75" s="23">
        <f t="shared" si="34"/>
        <v>0</v>
      </c>
      <c r="AH75" s="23">
        <f t="shared" si="34"/>
        <v>0</v>
      </c>
      <c r="AI75" s="23">
        <f t="shared" si="34"/>
        <v>0</v>
      </c>
      <c r="AJ75" s="24">
        <f t="shared" si="25"/>
        <v>20</v>
      </c>
      <c r="AK75" s="78"/>
      <c r="AL75" s="78"/>
    </row>
    <row r="76" spans="1:38" ht="14.5" customHeight="1">
      <c r="A76" s="2">
        <v>1</v>
      </c>
      <c r="B76" s="2" t="s">
        <v>129</v>
      </c>
      <c r="C76" s="503" t="s">
        <v>123</v>
      </c>
      <c r="D76" s="501"/>
      <c r="E76" s="30">
        <f t="shared" ref="E76:AI76" si="35">E33-D33</f>
        <v>0</v>
      </c>
      <c r="F76" s="30">
        <f t="shared" si="35"/>
        <v>315</v>
      </c>
      <c r="G76" s="30">
        <f t="shared" si="35"/>
        <v>137</v>
      </c>
      <c r="H76" s="30">
        <f t="shared" si="35"/>
        <v>67</v>
      </c>
      <c r="I76" s="30">
        <f t="shared" si="35"/>
        <v>0</v>
      </c>
      <c r="J76" s="30">
        <f t="shared" si="35"/>
        <v>579</v>
      </c>
      <c r="K76" s="30">
        <f t="shared" si="35"/>
        <v>455</v>
      </c>
      <c r="L76" s="30">
        <f t="shared" si="35"/>
        <v>454</v>
      </c>
      <c r="M76" s="30">
        <f t="shared" si="35"/>
        <v>426</v>
      </c>
      <c r="N76" s="30">
        <f t="shared" si="35"/>
        <v>379</v>
      </c>
      <c r="O76" s="30">
        <f t="shared" si="35"/>
        <v>124</v>
      </c>
      <c r="P76" s="30">
        <f t="shared" si="35"/>
        <v>0</v>
      </c>
      <c r="Q76" s="30">
        <f t="shared" si="35"/>
        <v>390</v>
      </c>
      <c r="R76" s="30">
        <f t="shared" si="35"/>
        <v>431</v>
      </c>
      <c r="S76" s="30">
        <f t="shared" si="35"/>
        <v>437</v>
      </c>
      <c r="T76" s="30">
        <f t="shared" si="35"/>
        <v>299</v>
      </c>
      <c r="U76" s="30">
        <f t="shared" si="35"/>
        <v>388</v>
      </c>
      <c r="V76" s="30">
        <f t="shared" si="35"/>
        <v>132</v>
      </c>
      <c r="W76" s="30">
        <f t="shared" si="35"/>
        <v>0</v>
      </c>
      <c r="X76" s="30">
        <f t="shared" si="35"/>
        <v>675</v>
      </c>
      <c r="Y76" s="30">
        <f t="shared" si="35"/>
        <v>631</v>
      </c>
      <c r="Z76" s="30">
        <f t="shared" si="35"/>
        <v>516</v>
      </c>
      <c r="AA76" s="30">
        <f t="shared" si="35"/>
        <v>601</v>
      </c>
      <c r="AB76" s="30">
        <f t="shared" si="35"/>
        <v>446</v>
      </c>
      <c r="AC76" s="30">
        <f t="shared" si="35"/>
        <v>173</v>
      </c>
      <c r="AD76" s="30">
        <f t="shared" si="35"/>
        <v>0</v>
      </c>
      <c r="AE76" s="30">
        <f t="shared" si="35"/>
        <v>599</v>
      </c>
      <c r="AF76" s="30">
        <f t="shared" si="35"/>
        <v>536</v>
      </c>
      <c r="AG76" s="30">
        <f t="shared" si="35"/>
        <v>531</v>
      </c>
      <c r="AH76" s="30">
        <f t="shared" si="35"/>
        <v>502</v>
      </c>
      <c r="AI76" s="30">
        <f t="shared" si="35"/>
        <v>467</v>
      </c>
      <c r="AJ76" s="30">
        <f t="shared" si="25"/>
        <v>10690</v>
      </c>
      <c r="AL76" s="78"/>
    </row>
    <row r="77" spans="1:38" ht="14.5" customHeight="1">
      <c r="A77" s="2">
        <v>2</v>
      </c>
      <c r="B77" s="2" t="s">
        <v>129</v>
      </c>
      <c r="C77" s="503" t="s">
        <v>124</v>
      </c>
      <c r="D77" s="501"/>
      <c r="E77" s="30">
        <f t="shared" ref="E77:AI77" si="36">E34-D34</f>
        <v>0</v>
      </c>
      <c r="F77" s="30">
        <f t="shared" si="36"/>
        <v>123</v>
      </c>
      <c r="G77" s="30">
        <f t="shared" si="36"/>
        <v>192</v>
      </c>
      <c r="H77" s="30">
        <f t="shared" si="36"/>
        <v>26</v>
      </c>
      <c r="I77" s="30">
        <f t="shared" si="36"/>
        <v>0</v>
      </c>
      <c r="J77" s="30">
        <f t="shared" si="36"/>
        <v>333</v>
      </c>
      <c r="K77" s="30">
        <f t="shared" si="36"/>
        <v>277</v>
      </c>
      <c r="L77" s="30">
        <f t="shared" si="36"/>
        <v>320</v>
      </c>
      <c r="M77" s="30">
        <f t="shared" si="36"/>
        <v>422</v>
      </c>
      <c r="N77" s="30">
        <f t="shared" si="36"/>
        <v>231</v>
      </c>
      <c r="O77" s="30">
        <f t="shared" si="36"/>
        <v>117</v>
      </c>
      <c r="P77" s="30">
        <f t="shared" si="36"/>
        <v>0</v>
      </c>
      <c r="Q77" s="30">
        <f t="shared" si="36"/>
        <v>239</v>
      </c>
      <c r="R77" s="30">
        <f t="shared" si="36"/>
        <v>222</v>
      </c>
      <c r="S77" s="30">
        <f t="shared" si="36"/>
        <v>281</v>
      </c>
      <c r="T77" s="30">
        <f t="shared" si="36"/>
        <v>272</v>
      </c>
      <c r="U77" s="30">
        <f t="shared" si="36"/>
        <v>283</v>
      </c>
      <c r="V77" s="30">
        <f t="shared" si="36"/>
        <v>147</v>
      </c>
      <c r="W77" s="30">
        <f t="shared" si="36"/>
        <v>0</v>
      </c>
      <c r="X77" s="30">
        <f t="shared" si="36"/>
        <v>474</v>
      </c>
      <c r="Y77" s="30">
        <f t="shared" si="36"/>
        <v>458</v>
      </c>
      <c r="Z77" s="30">
        <f t="shared" si="36"/>
        <v>436</v>
      </c>
      <c r="AA77" s="30">
        <f t="shared" si="36"/>
        <v>466</v>
      </c>
      <c r="AB77" s="30">
        <f t="shared" si="36"/>
        <v>401</v>
      </c>
      <c r="AC77" s="30">
        <f t="shared" si="36"/>
        <v>148</v>
      </c>
      <c r="AD77" s="30">
        <f t="shared" si="36"/>
        <v>0</v>
      </c>
      <c r="AE77" s="30">
        <f t="shared" si="36"/>
        <v>498</v>
      </c>
      <c r="AF77" s="30">
        <f t="shared" si="36"/>
        <v>520</v>
      </c>
      <c r="AG77" s="30">
        <f t="shared" si="36"/>
        <v>427</v>
      </c>
      <c r="AH77" s="30">
        <f t="shared" si="36"/>
        <v>446</v>
      </c>
      <c r="AI77" s="30">
        <f t="shared" si="36"/>
        <v>313</v>
      </c>
      <c r="AJ77" s="30">
        <f t="shared" si="25"/>
        <v>8072</v>
      </c>
    </row>
    <row r="78" spans="1:38" ht="14.5" customHeight="1">
      <c r="A78" s="2">
        <v>3</v>
      </c>
      <c r="B78" s="2" t="s">
        <v>129</v>
      </c>
      <c r="C78" s="503" t="s">
        <v>125</v>
      </c>
      <c r="D78" s="501"/>
      <c r="E78" s="30">
        <f t="shared" ref="E78:AI78" si="37">E35-D35</f>
        <v>0</v>
      </c>
      <c r="F78" s="30">
        <f t="shared" si="37"/>
        <v>29</v>
      </c>
      <c r="G78" s="30">
        <f t="shared" si="37"/>
        <v>19</v>
      </c>
      <c r="H78" s="30">
        <f t="shared" si="37"/>
        <v>21</v>
      </c>
      <c r="I78" s="30">
        <f t="shared" si="37"/>
        <v>0</v>
      </c>
      <c r="J78" s="30">
        <f t="shared" si="37"/>
        <v>155</v>
      </c>
      <c r="K78" s="30">
        <f t="shared" si="37"/>
        <v>278</v>
      </c>
      <c r="L78" s="30">
        <f t="shared" si="37"/>
        <v>464</v>
      </c>
      <c r="M78" s="30">
        <f t="shared" si="37"/>
        <v>485</v>
      </c>
      <c r="N78" s="30">
        <f t="shared" si="37"/>
        <v>254</v>
      </c>
      <c r="O78" s="30">
        <f t="shared" si="37"/>
        <v>124</v>
      </c>
      <c r="P78" s="30">
        <f t="shared" si="37"/>
        <v>0</v>
      </c>
      <c r="Q78" s="30">
        <f t="shared" si="37"/>
        <v>303</v>
      </c>
      <c r="R78" s="30">
        <f t="shared" si="37"/>
        <v>119</v>
      </c>
      <c r="S78" s="30">
        <f t="shared" si="37"/>
        <v>179</v>
      </c>
      <c r="T78" s="30">
        <f t="shared" si="37"/>
        <v>201</v>
      </c>
      <c r="U78" s="30">
        <f t="shared" si="37"/>
        <v>337</v>
      </c>
      <c r="V78" s="30">
        <f t="shared" si="37"/>
        <v>200</v>
      </c>
      <c r="W78" s="30">
        <f t="shared" si="37"/>
        <v>0</v>
      </c>
      <c r="X78" s="30">
        <f t="shared" si="37"/>
        <v>368</v>
      </c>
      <c r="Y78" s="30">
        <f t="shared" si="37"/>
        <v>261</v>
      </c>
      <c r="Z78" s="30">
        <f t="shared" si="37"/>
        <v>431</v>
      </c>
      <c r="AA78" s="30">
        <f t="shared" si="37"/>
        <v>540</v>
      </c>
      <c r="AB78" s="30">
        <f t="shared" si="37"/>
        <v>227</v>
      </c>
      <c r="AC78" s="30">
        <f t="shared" si="37"/>
        <v>94</v>
      </c>
      <c r="AD78" s="30">
        <f t="shared" si="37"/>
        <v>300</v>
      </c>
      <c r="AE78" s="30">
        <f t="shared" si="37"/>
        <v>-26</v>
      </c>
      <c r="AF78" s="30">
        <f t="shared" si="37"/>
        <v>280</v>
      </c>
      <c r="AG78" s="30">
        <f t="shared" si="37"/>
        <v>290</v>
      </c>
      <c r="AH78" s="30">
        <f t="shared" si="37"/>
        <v>363</v>
      </c>
      <c r="AI78" s="30">
        <f t="shared" si="37"/>
        <v>275</v>
      </c>
      <c r="AJ78" s="30">
        <f t="shared" si="25"/>
        <v>6571</v>
      </c>
    </row>
    <row r="79" spans="1:38" ht="14.5" customHeight="1">
      <c r="A79" s="2">
        <v>4</v>
      </c>
      <c r="B79" s="2" t="s">
        <v>129</v>
      </c>
      <c r="C79" s="503" t="s">
        <v>126</v>
      </c>
      <c r="D79" s="501"/>
      <c r="E79" s="30">
        <f t="shared" ref="E79:AI79" si="38">E36-D36</f>
        <v>11</v>
      </c>
      <c r="F79" s="30">
        <f t="shared" si="38"/>
        <v>6</v>
      </c>
      <c r="G79" s="30">
        <f t="shared" si="38"/>
        <v>3</v>
      </c>
      <c r="H79" s="30">
        <f t="shared" si="38"/>
        <v>5</v>
      </c>
      <c r="I79" s="30">
        <f t="shared" si="38"/>
        <v>0</v>
      </c>
      <c r="J79" s="30">
        <f t="shared" si="38"/>
        <v>236</v>
      </c>
      <c r="K79" s="30">
        <f t="shared" si="38"/>
        <v>173</v>
      </c>
      <c r="L79" s="30">
        <f t="shared" si="38"/>
        <v>331</v>
      </c>
      <c r="M79" s="30">
        <f t="shared" si="38"/>
        <v>439</v>
      </c>
      <c r="N79" s="30">
        <f t="shared" si="38"/>
        <v>102</v>
      </c>
      <c r="O79" s="30">
        <f t="shared" si="38"/>
        <v>6</v>
      </c>
      <c r="P79" s="30">
        <f t="shared" si="38"/>
        <v>0</v>
      </c>
      <c r="Q79" s="30">
        <f t="shared" si="38"/>
        <v>154</v>
      </c>
      <c r="R79" s="30">
        <f t="shared" si="38"/>
        <v>173</v>
      </c>
      <c r="S79" s="30">
        <f t="shared" si="38"/>
        <v>181</v>
      </c>
      <c r="T79" s="30">
        <f t="shared" si="38"/>
        <v>210</v>
      </c>
      <c r="U79" s="30">
        <f t="shared" si="38"/>
        <v>323</v>
      </c>
      <c r="V79" s="30">
        <f t="shared" si="38"/>
        <v>79</v>
      </c>
      <c r="W79" s="30">
        <f t="shared" si="38"/>
        <v>0</v>
      </c>
      <c r="X79" s="30">
        <f t="shared" si="38"/>
        <v>599</v>
      </c>
      <c r="Y79" s="30">
        <f t="shared" si="38"/>
        <v>522</v>
      </c>
      <c r="Z79" s="30">
        <f t="shared" si="38"/>
        <v>445</v>
      </c>
      <c r="AA79" s="30">
        <f t="shared" si="38"/>
        <v>495</v>
      </c>
      <c r="AB79" s="30">
        <f t="shared" si="38"/>
        <v>405</v>
      </c>
      <c r="AC79" s="30">
        <f t="shared" si="38"/>
        <v>85</v>
      </c>
      <c r="AD79" s="30">
        <f t="shared" si="38"/>
        <v>0</v>
      </c>
      <c r="AE79" s="30">
        <f t="shared" si="38"/>
        <v>521</v>
      </c>
      <c r="AF79" s="30">
        <f t="shared" si="38"/>
        <v>464</v>
      </c>
      <c r="AG79" s="30">
        <f t="shared" si="38"/>
        <v>488</v>
      </c>
      <c r="AH79" s="30">
        <f t="shared" si="38"/>
        <v>427</v>
      </c>
      <c r="AI79" s="30">
        <f t="shared" si="38"/>
        <v>404</v>
      </c>
      <c r="AJ79" s="30">
        <f t="shared" si="25"/>
        <v>7287</v>
      </c>
    </row>
    <row r="80" spans="1:38" ht="15" customHeight="1">
      <c r="A80" s="99"/>
      <c r="B80" s="99"/>
      <c r="C80" s="500" t="s">
        <v>136</v>
      </c>
      <c r="D80" s="501"/>
      <c r="E80" s="23">
        <f t="shared" ref="E80:AJ80" si="39">SUM(E76:E79)</f>
        <v>11</v>
      </c>
      <c r="F80" s="23">
        <f t="shared" si="39"/>
        <v>473</v>
      </c>
      <c r="G80" s="23">
        <f t="shared" si="39"/>
        <v>351</v>
      </c>
      <c r="H80" s="23">
        <f t="shared" si="39"/>
        <v>119</v>
      </c>
      <c r="I80" s="23">
        <f t="shared" si="39"/>
        <v>0</v>
      </c>
      <c r="J80" s="23">
        <f t="shared" si="39"/>
        <v>1303</v>
      </c>
      <c r="K80" s="23">
        <f t="shared" si="39"/>
        <v>1183</v>
      </c>
      <c r="L80" s="23">
        <f t="shared" si="39"/>
        <v>1569</v>
      </c>
      <c r="M80" s="23">
        <f t="shared" si="39"/>
        <v>1772</v>
      </c>
      <c r="N80" s="23">
        <f t="shared" si="39"/>
        <v>966</v>
      </c>
      <c r="O80" s="23">
        <f t="shared" si="39"/>
        <v>371</v>
      </c>
      <c r="P80" s="23">
        <f t="shared" si="39"/>
        <v>0</v>
      </c>
      <c r="Q80" s="23">
        <f t="shared" si="39"/>
        <v>1086</v>
      </c>
      <c r="R80" s="23">
        <f t="shared" si="39"/>
        <v>945</v>
      </c>
      <c r="S80" s="23">
        <f t="shared" si="39"/>
        <v>1078</v>
      </c>
      <c r="T80" s="23">
        <f t="shared" si="39"/>
        <v>982</v>
      </c>
      <c r="U80" s="23">
        <f t="shared" si="39"/>
        <v>1331</v>
      </c>
      <c r="V80" s="23">
        <f t="shared" si="39"/>
        <v>558</v>
      </c>
      <c r="W80" s="23">
        <f t="shared" si="39"/>
        <v>0</v>
      </c>
      <c r="X80" s="23">
        <f t="shared" si="39"/>
        <v>2116</v>
      </c>
      <c r="Y80" s="23">
        <f t="shared" si="39"/>
        <v>1872</v>
      </c>
      <c r="Z80" s="23">
        <f t="shared" si="39"/>
        <v>1828</v>
      </c>
      <c r="AA80" s="23">
        <f t="shared" si="39"/>
        <v>2102</v>
      </c>
      <c r="AB80" s="23">
        <f t="shared" si="39"/>
        <v>1479</v>
      </c>
      <c r="AC80" s="23">
        <f t="shared" si="39"/>
        <v>500</v>
      </c>
      <c r="AD80" s="23">
        <f t="shared" si="39"/>
        <v>300</v>
      </c>
      <c r="AE80" s="23">
        <f t="shared" si="39"/>
        <v>1592</v>
      </c>
      <c r="AF80" s="23">
        <f t="shared" si="39"/>
        <v>1800</v>
      </c>
      <c r="AG80" s="23">
        <f t="shared" si="39"/>
        <v>1736</v>
      </c>
      <c r="AH80" s="23">
        <f t="shared" si="39"/>
        <v>1738</v>
      </c>
      <c r="AI80" s="23">
        <f t="shared" si="39"/>
        <v>1459</v>
      </c>
      <c r="AJ80" s="24">
        <f t="shared" si="39"/>
        <v>32620</v>
      </c>
      <c r="AK80" s="78"/>
    </row>
  </sheetData>
  <mergeCells count="49">
    <mergeCell ref="E2:AI2"/>
    <mergeCell ref="C58:D58"/>
    <mergeCell ref="B3:B6"/>
    <mergeCell ref="C45:D45"/>
    <mergeCell ref="C74:D74"/>
    <mergeCell ref="B40:D40"/>
    <mergeCell ref="A2:D2"/>
    <mergeCell ref="C79:D79"/>
    <mergeCell ref="C73:D73"/>
    <mergeCell ref="C47:D47"/>
    <mergeCell ref="C54:D54"/>
    <mergeCell ref="C63:D63"/>
    <mergeCell ref="C65:D65"/>
    <mergeCell ref="C78:D78"/>
    <mergeCell ref="C49:D49"/>
    <mergeCell ref="C77:D77"/>
    <mergeCell ref="C68:D68"/>
    <mergeCell ref="A41:A44"/>
    <mergeCell ref="A3:A6"/>
    <mergeCell ref="C50:D50"/>
    <mergeCell ref="AJ3:AJ6"/>
    <mergeCell ref="C75:D75"/>
    <mergeCell ref="C55:D55"/>
    <mergeCell ref="D3:D6"/>
    <mergeCell ref="C72:D72"/>
    <mergeCell ref="C67:D67"/>
    <mergeCell ref="C57:D57"/>
    <mergeCell ref="C3:C6"/>
    <mergeCell ref="C66:D66"/>
    <mergeCell ref="C41:D44"/>
    <mergeCell ref="C53:D53"/>
    <mergeCell ref="B39:D39"/>
    <mergeCell ref="C69:D69"/>
    <mergeCell ref="C80:D80"/>
    <mergeCell ref="C56:D56"/>
    <mergeCell ref="C59:D59"/>
    <mergeCell ref="A23:AJ23"/>
    <mergeCell ref="A32:AJ32"/>
    <mergeCell ref="AJ41:AJ44"/>
    <mergeCell ref="C46:D46"/>
    <mergeCell ref="C60:D60"/>
    <mergeCell ref="C51:D51"/>
    <mergeCell ref="C76:D76"/>
    <mergeCell ref="C71:D71"/>
    <mergeCell ref="C61:D61"/>
    <mergeCell ref="C52:D52"/>
    <mergeCell ref="C70:D70"/>
    <mergeCell ref="C48:D48"/>
    <mergeCell ref="B41:B4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Dashboard</vt:lpstr>
      <vt:lpstr>Mar-24</vt:lpstr>
      <vt:lpstr>Apr-24</vt:lpstr>
      <vt:lpstr>May-24</vt:lpstr>
      <vt:lpstr>June-24</vt:lpstr>
      <vt:lpstr>July 24</vt:lpstr>
      <vt:lpstr>August 24</vt:lpstr>
      <vt:lpstr>September 24</vt:lpstr>
      <vt:lpstr>Oct 24</vt:lpstr>
      <vt:lpstr>Nov 24</vt:lpstr>
      <vt:lpstr>DEC - 2024</vt:lpstr>
      <vt:lpstr>summary</vt:lpstr>
      <vt:lpstr>July-2026</vt:lpstr>
      <vt:lpstr>Jun-2026</vt:lpstr>
      <vt:lpstr>May-2026</vt:lpstr>
      <vt:lpstr>April-2026</vt:lpstr>
      <vt:lpstr>Mar-2026</vt:lpstr>
      <vt:lpstr>Feb-2026</vt:lpstr>
      <vt:lpstr>Jan-2026</vt:lpstr>
      <vt:lpstr>Dec-25</vt:lpstr>
      <vt:lpstr>Nov-25</vt:lpstr>
      <vt:lpstr>Oct-25</vt:lpstr>
      <vt:lpstr>Sep-2025</vt:lpstr>
      <vt:lpstr>Aug-25</vt:lpstr>
      <vt:lpstr>July-2025</vt:lpstr>
      <vt:lpstr>June - 2025</vt:lpstr>
      <vt:lpstr>May-2025</vt:lpstr>
      <vt:lpstr>April-2025</vt:lpstr>
      <vt:lpstr>March-25</vt:lpstr>
      <vt:lpstr>Feb-2025</vt:lpstr>
      <vt:lpstr>Jan-2025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Mohanty, Satyabrata @ Gurgaon</cp:lastModifiedBy>
  <cp:lastPrinted>2026-04-18T04:50:15Z</cp:lastPrinted>
  <dcterms:created xsi:type="dcterms:W3CDTF">2022-07-01T08:17:08Z</dcterms:created>
  <dcterms:modified xsi:type="dcterms:W3CDTF">2026-09-01T14:11:04Z</dcterms:modified>
</cp:coreProperties>
</file>
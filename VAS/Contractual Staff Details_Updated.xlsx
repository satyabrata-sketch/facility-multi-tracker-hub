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ontractual Staff Details" sheetId="2" r:id="rId2"/>
  </sheets>
  <definedNames>
    <definedName name="_xlnm._FilterDatabase" localSheetId="1" hidden="1">'Contractual Staff Details'!$A$2:$Y$451</definedName>
  </definedNames>
  <calcPr calcId="124519" fullCalcOnLoad="1"/>
</workbook>
</file>

<file path=xl/sharedStrings.xml><?xml version="1.0" encoding="utf-8"?>
<sst xmlns="http://schemas.openxmlformats.org/spreadsheetml/2006/main" count="9954" uniqueCount="3292">
  <si>
    <t xml:space="preserve">  CBRE | CONTRACTUAL STAFF MANAGEMENT DASHBOARD</t>
  </si>
  <si>
    <t>TOTAL HEADCOUNT</t>
  </si>
  <si>
    <t>ACTIVE STAFF</t>
  </si>
  <si>
    <t>IN-ACTIVE STAFF</t>
  </si>
  <si>
    <t>PERMANENT</t>
  </si>
  <si>
    <t>RELIEVER</t>
  </si>
  <si>
    <t>BGV COMPLIANT</t>
  </si>
  <si>
    <t>🏢 AGENCY-WISE STAFF BREAKDOWN (AUTOMATED SUMMARY TABLE)</t>
  </si>
  <si>
    <t>Click any Agency Navigation Switch below to filter &amp; view staff details:</t>
  </si>
  <si>
    <t>Agency Name</t>
  </si>
  <si>
    <t>Total Staff</t>
  </si>
  <si>
    <t>Active</t>
  </si>
  <si>
    <t>In-Active</t>
  </si>
  <si>
    <t>Permanent</t>
  </si>
  <si>
    <t>Reliever</t>
  </si>
  <si>
    <t>DT3 Loc</t>
  </si>
  <si>
    <t>DT4 Loc</t>
  </si>
  <si>
    <t>BGV Done</t>
  </si>
  <si>
    <t>ID Issued</t>
  </si>
  <si>
    <t>Active %</t>
  </si>
  <si>
    <t>CBRE</t>
  </si>
  <si>
    <t>EHK</t>
  </si>
  <si>
    <t>SKFM</t>
  </si>
  <si>
    <t>COMPASS</t>
  </si>
  <si>
    <t>PIHU FOODS</t>
  </si>
  <si>
    <t>I-con</t>
  </si>
  <si>
    <t>TOTAL / ALL AGENCIES</t>
  </si>
  <si>
    <t>📍 LOCATION-WISE DISTRIBUTION</t>
  </si>
  <si>
    <t>Location</t>
  </si>
  <si>
    <t>Headcount</t>
  </si>
  <si>
    <t>Share %</t>
  </si>
  <si>
    <t>NAB DT 3</t>
  </si>
  <si>
    <t>NAB DT 4</t>
  </si>
  <si>
    <t>DT4/DT3 &amp; Dual</t>
  </si>
  <si>
    <t>Other / Unassigned</t>
  </si>
  <si>
    <t>Total</t>
  </si>
  <si>
    <t>🛡️ COMPLIANCE &amp; VERIFICATION STATUS</t>
  </si>
  <si>
    <t>Compliance Item</t>
  </si>
  <si>
    <t>Target</t>
  </si>
  <si>
    <t>Completed</t>
  </si>
  <si>
    <t>Pending</t>
  </si>
  <si>
    <t>Compliance %</t>
  </si>
  <si>
    <t>BGV Verification</t>
  </si>
  <si>
    <t>Vendor ID Card</t>
  </si>
  <si>
    <t>PF / UAN Available</t>
  </si>
  <si>
    <t>ESIC No Available</t>
  </si>
  <si>
    <t>S. No.</t>
  </si>
  <si>
    <t>IPC Partner Name</t>
  </si>
  <si>
    <t xml:space="preserve">Agency Name </t>
  </si>
  <si>
    <t>Emp ID</t>
  </si>
  <si>
    <t>Name</t>
  </si>
  <si>
    <t>Father Name</t>
  </si>
  <si>
    <t>Contact Number</t>
  </si>
  <si>
    <t>Address</t>
  </si>
  <si>
    <t>Gender</t>
  </si>
  <si>
    <t>NAB Location</t>
  </si>
  <si>
    <t>DOJ</t>
  </si>
  <si>
    <t>Aging As Of Today</t>
  </si>
  <si>
    <t>Designation</t>
  </si>
  <si>
    <t>NAB ID</t>
  </si>
  <si>
    <t>NAB Line Manager</t>
  </si>
  <si>
    <t>NAB Manager Email ID</t>
  </si>
  <si>
    <t>LM ID</t>
  </si>
  <si>
    <t>Line Manager Name</t>
  </si>
  <si>
    <t>Status</t>
  </si>
  <si>
    <t>BGV Status</t>
  </si>
  <si>
    <t>PF -UAN No</t>
  </si>
  <si>
    <t>ESIC No</t>
  </si>
  <si>
    <t>Permanent / Reliever</t>
  </si>
  <si>
    <t>DOE</t>
  </si>
  <si>
    <t>2070412</t>
  </si>
  <si>
    <t>Shishir Tiwari</t>
  </si>
  <si>
    <t>Mr. KS Tiwari</t>
  </si>
  <si>
    <t>9871768697</t>
  </si>
  <si>
    <t>849b, I Block, Palam Vihar, Gurgaon</t>
  </si>
  <si>
    <t>Male</t>
  </si>
  <si>
    <t>DT4</t>
  </si>
  <si>
    <t>04-Oct-2025</t>
  </si>
  <si>
    <t>AGM</t>
  </si>
  <si>
    <t>40027440</t>
  </si>
  <si>
    <t>Hitesh Kumar</t>
  </si>
  <si>
    <t>Hitesh.Kumar2@nab.com.au</t>
  </si>
  <si>
    <t>N/A</t>
  </si>
  <si>
    <t>Shishir</t>
  </si>
  <si>
    <t>shared</t>
  </si>
  <si>
    <t>Yes</t>
  </si>
  <si>
    <t>100351167375</t>
  </si>
  <si>
    <t>1756544</t>
  </si>
  <si>
    <t>Naveen Rai</t>
  </si>
  <si>
    <t>Late Balmiki Rai</t>
  </si>
  <si>
    <t>8010743686</t>
  </si>
  <si>
    <t>We-95, Second Floor, Mohan Gardan, Uttam Nagar, New Delhi</t>
  </si>
  <si>
    <t>DT3</t>
  </si>
  <si>
    <t>01-Oct-2025</t>
  </si>
  <si>
    <t>AFM-Soft</t>
  </si>
  <si>
    <t>40027449</t>
  </si>
  <si>
    <t>100262850880</t>
  </si>
  <si>
    <t>2059197</t>
  </si>
  <si>
    <t>Aditya Kumar</t>
  </si>
  <si>
    <t>Mr.Shiv Shankar Prasad</t>
  </si>
  <si>
    <t>7503345712</t>
  </si>
  <si>
    <t>A-8 Gali Number 01, Siddhantri Enclave Bhagwati Garden Uttam Nagar New Delhi-110059</t>
  </si>
  <si>
    <t>02-Sep-2025</t>
  </si>
  <si>
    <t>40027441</t>
  </si>
  <si>
    <t>101136770356</t>
  </si>
  <si>
    <t>2064661</t>
  </si>
  <si>
    <t>Sunil Yadav</t>
  </si>
  <si>
    <t>Mr. Attar Singh Yadav</t>
  </si>
  <si>
    <t>9873609474</t>
  </si>
  <si>
    <t>H.No. 83, Village -Silokhra, Yadav Street, Gurgaon Haryana-122001</t>
  </si>
  <si>
    <t>Sr. Executive</t>
  </si>
  <si>
    <t>Latika Chauhan</t>
  </si>
  <si>
    <t>Latika.Chauhan1@nab.com.au</t>
  </si>
  <si>
    <t>Shared</t>
  </si>
  <si>
    <t>100371400244</t>
  </si>
  <si>
    <t>1944108</t>
  </si>
  <si>
    <t>Arjun Grewal</t>
  </si>
  <si>
    <t>Mr Sundeep Grewal</t>
  </si>
  <si>
    <t>7982567412</t>
  </si>
  <si>
    <t>H.No 5 Shivani Enclave Phase 3 Kakrola New Delhi-110078</t>
  </si>
  <si>
    <t>Executive</t>
  </si>
  <si>
    <t>Under Process</t>
  </si>
  <si>
    <t>101789388453</t>
  </si>
  <si>
    <t>1645923</t>
  </si>
  <si>
    <t>Diksha  Chhabra</t>
  </si>
  <si>
    <t>Mr.Ashok Kumar Malik</t>
  </si>
  <si>
    <t>9999693534</t>
  </si>
  <si>
    <t>Flat No. 903 Tower C9 The Pranayam Sector 82 Neharpar Faridabad</t>
  </si>
  <si>
    <t>Female</t>
  </si>
  <si>
    <t>08-Aug-2025</t>
  </si>
  <si>
    <t>40027418</t>
  </si>
  <si>
    <t>100540211551</t>
  </si>
  <si>
    <t>1882295</t>
  </si>
  <si>
    <t>Shashank Tripathi</t>
  </si>
  <si>
    <t>Narendra Mani Tripathi</t>
  </si>
  <si>
    <t>9999153888</t>
  </si>
  <si>
    <t>H No. 54, Swaroop Garden, Rajendra Park, Gurugram Haryana.</t>
  </si>
  <si>
    <t>100472064203</t>
  </si>
  <si>
    <t>1940878</t>
  </si>
  <si>
    <t>Santosh</t>
  </si>
  <si>
    <t>Ramjee Mishra</t>
  </si>
  <si>
    <t>8595293708</t>
  </si>
  <si>
    <t>H.No 23, Gali No 4, Sheetla Colony Ashok Vihar Phase 3 Near Global Hospital Sector-5, Gurgaon Haryana-122001</t>
  </si>
  <si>
    <t>30-Oct-2025</t>
  </si>
  <si>
    <t>100952459430</t>
  </si>
  <si>
    <t>1933589</t>
  </si>
  <si>
    <t>Ayush</t>
  </si>
  <si>
    <t>Pawan Kumar</t>
  </si>
  <si>
    <t>7018492048</t>
  </si>
  <si>
    <t>Vill Garoru, Tehsil Joginder Nagar, Distt Mandi Himachal-175015</t>
  </si>
  <si>
    <t>20-Nov-2025</t>
  </si>
  <si>
    <t>40027448</t>
  </si>
  <si>
    <t>101896315616</t>
  </si>
  <si>
    <t>2064660</t>
  </si>
  <si>
    <t>Satyabrata Mohanty</t>
  </si>
  <si>
    <t>Ramesh Chandra Mohanty</t>
  </si>
  <si>
    <t>7008952166</t>
  </si>
  <si>
    <t>Sec 21, Sonarwali Gali, Dundahera, Gurgaon</t>
  </si>
  <si>
    <t>40027445</t>
  </si>
  <si>
    <t>101199207916</t>
  </si>
  <si>
    <t>1894401</t>
  </si>
  <si>
    <t>Raman</t>
  </si>
  <si>
    <t>Mr.Ram Mehar</t>
  </si>
  <si>
    <t>9992299747</t>
  </si>
  <si>
    <t>Pyramid Elite, Sector 86, Gurgaon</t>
  </si>
  <si>
    <t>40027438</t>
  </si>
  <si>
    <t>100458160803</t>
  </si>
  <si>
    <t>2056224</t>
  </si>
  <si>
    <t>Sunil  Kumar</t>
  </si>
  <si>
    <t>Mr. Ram Garib</t>
  </si>
  <si>
    <t>8821860330</t>
  </si>
  <si>
    <t>Village -Purkhipur Post- Kurebhar  Dist-Sultanpur(Up) 228151</t>
  </si>
  <si>
    <t>40027419</t>
  </si>
  <si>
    <t>101181082596</t>
  </si>
  <si>
    <t>2058160</t>
  </si>
  <si>
    <t>Priya</t>
  </si>
  <si>
    <t>Mr.Surender Kumar</t>
  </si>
  <si>
    <t>7210166110</t>
  </si>
  <si>
    <t>Rzf -756/48 , Rajnagar , Palam Colony , New Delhi -110077</t>
  </si>
  <si>
    <t>26-Aug-2025</t>
  </si>
  <si>
    <t>Helpdesk Executive</t>
  </si>
  <si>
    <t>102238294884</t>
  </si>
  <si>
    <t>2058161</t>
  </si>
  <si>
    <t>Riya Singh</t>
  </si>
  <si>
    <t>Mr Arvind</t>
  </si>
  <si>
    <t>8287998016</t>
  </si>
  <si>
    <t>Rz 88a Deepak Vihar, Najafgarh New Delhi-43</t>
  </si>
  <si>
    <t>102238011277</t>
  </si>
  <si>
    <t>2058123</t>
  </si>
  <si>
    <t>Alwajid</t>
  </si>
  <si>
    <t>Mr. Shakeel Ahmed</t>
  </si>
  <si>
    <t>9711402679</t>
  </si>
  <si>
    <t>A9, New Brij Puri Delhi 51</t>
  </si>
  <si>
    <t>40027422</t>
  </si>
  <si>
    <t>102238564272</t>
  </si>
  <si>
    <t>2054811</t>
  </si>
  <si>
    <t>Gunjan  Mahajan</t>
  </si>
  <si>
    <t>Kapil Mahajan</t>
  </si>
  <si>
    <t>9899559576</t>
  </si>
  <si>
    <t>Bs 42 Malibu Town Gurugram Sector 47</t>
  </si>
  <si>
    <t>FOE</t>
  </si>
  <si>
    <t>100788825519</t>
  </si>
  <si>
    <t>1972202</t>
  </si>
  <si>
    <t>Akim  Wijunamai</t>
  </si>
  <si>
    <t>W.Timothy</t>
  </si>
  <si>
    <t>8826411171</t>
  </si>
  <si>
    <t>C/O: W.Timothy Flat No 1.3rd Floor ,Prop ,No,266/P/20.Kh No 1668 Ward No 2.110030,</t>
  </si>
  <si>
    <t>40027450</t>
  </si>
  <si>
    <t>10170958437</t>
  </si>
  <si>
    <t>2054807</t>
  </si>
  <si>
    <t>Harpreet</t>
  </si>
  <si>
    <t>Randhir Singh</t>
  </si>
  <si>
    <t>8929115302</t>
  </si>
  <si>
    <t>B-21-Y Dda Flats, North Delhi-110033</t>
  </si>
  <si>
    <t>40027417</t>
  </si>
  <si>
    <t>101956596393</t>
  </si>
  <si>
    <t>2064457</t>
  </si>
  <si>
    <t>Amit Raj</t>
  </si>
  <si>
    <t>Mr. Vijay Kumar Singh</t>
  </si>
  <si>
    <t>7992339009</t>
  </si>
  <si>
    <t>Vill- Shekhpur, Akharaghat , Muzaffarpur- Bihar</t>
  </si>
  <si>
    <t>Executive Transport</t>
  </si>
  <si>
    <t>40027423</t>
  </si>
  <si>
    <t>101495501979</t>
  </si>
  <si>
    <t>2062876</t>
  </si>
  <si>
    <t>Umesh  Chandra</t>
  </si>
  <si>
    <t>Mr. Bali Ram</t>
  </si>
  <si>
    <t>7217366618</t>
  </si>
  <si>
    <t>Rzg116b, Raj Nager, Part 2 Palam, New Delhi -110077</t>
  </si>
  <si>
    <t>23-Sep-2025</t>
  </si>
  <si>
    <t>40027444</t>
  </si>
  <si>
    <t>100426521960</t>
  </si>
  <si>
    <t>2082341</t>
  </si>
  <si>
    <t>Sushant Dutta</t>
  </si>
  <si>
    <t>S.K Dutta</t>
  </si>
  <si>
    <t>7847817853</t>
  </si>
  <si>
    <t>Tulip Sec 69 Gurugram</t>
  </si>
  <si>
    <t>13-Jan-2026</t>
  </si>
  <si>
    <t>Afm-F&amp;B</t>
  </si>
  <si>
    <t>2027695</t>
  </si>
  <si>
    <t>Navdeep Singh</t>
  </si>
  <si>
    <t>Mr. Nafe Singh</t>
  </si>
  <si>
    <t>9910689698</t>
  </si>
  <si>
    <t>160 veena enclave nangloi Delhi-41</t>
  </si>
  <si>
    <t>04-Jun-2026</t>
  </si>
  <si>
    <t>Facility Manager</t>
  </si>
  <si>
    <t>101185000000</t>
  </si>
  <si>
    <t>22417</t>
  </si>
  <si>
    <t>Sandeep</t>
  </si>
  <si>
    <t>Devender</t>
  </si>
  <si>
    <t>7027008682</t>
  </si>
  <si>
    <t>Vill-Ferozepur Rajput , Dist Hathin, Palwal Haryana</t>
  </si>
  <si>
    <t>Bms Operator</t>
  </si>
  <si>
    <t>101445714436</t>
  </si>
  <si>
    <t>22424</t>
  </si>
  <si>
    <t>Durgesh Kumar Jha</t>
  </si>
  <si>
    <t>Ghuran Jha</t>
  </si>
  <si>
    <t>9711697836</t>
  </si>
  <si>
    <t>Ho.No 497, Mandir Wali Gali, Nr. Yadav Chaupal Kapashera New Delhi</t>
  </si>
  <si>
    <t>100784184959</t>
  </si>
  <si>
    <t>22416</t>
  </si>
  <si>
    <t>Sanjay Kumar</t>
  </si>
  <si>
    <t>Surajbhan</t>
  </si>
  <si>
    <t>9560184825</t>
  </si>
  <si>
    <t>Vill- Devshar Bhiwani Haryana</t>
  </si>
  <si>
    <t>100333250692</t>
  </si>
  <si>
    <t>22425</t>
  </si>
  <si>
    <t>Raju Kumar</t>
  </si>
  <si>
    <t>Anil Kumar</t>
  </si>
  <si>
    <t>7042436024</t>
  </si>
  <si>
    <t>Vill- Laxmipur, Sakrola, Patna Bihar</t>
  </si>
  <si>
    <t>100894822891</t>
  </si>
  <si>
    <t>22420</t>
  </si>
  <si>
    <t>Manmohan Singh</t>
  </si>
  <si>
    <t>Nannu Singh</t>
  </si>
  <si>
    <t>8383098855</t>
  </si>
  <si>
    <t>Vill- Pidaura, Etah, Up</t>
  </si>
  <si>
    <t>MST</t>
  </si>
  <si>
    <t>101250453136</t>
  </si>
  <si>
    <t>22422</t>
  </si>
  <si>
    <t>Vikas Mishra</t>
  </si>
  <si>
    <t>Premchandra Mishra</t>
  </si>
  <si>
    <t>7530816479</t>
  </si>
  <si>
    <t>Vill - Nikasput, Ambdedkar Nagar Up</t>
  </si>
  <si>
    <t>100526134030</t>
  </si>
  <si>
    <t>22421</t>
  </si>
  <si>
    <t>Darshan Kumar Giri</t>
  </si>
  <si>
    <t>Suresh Giri</t>
  </si>
  <si>
    <t>9334369687</t>
  </si>
  <si>
    <t>Vill- Mathiya, Siwan, Bihar</t>
  </si>
  <si>
    <t>101823214173</t>
  </si>
  <si>
    <t>22621</t>
  </si>
  <si>
    <t>Anuj Kumar</t>
  </si>
  <si>
    <t>Priyapal Chaudhary</t>
  </si>
  <si>
    <t>7500296999</t>
  </si>
  <si>
    <t>Vill - Bahsuna, Meerut Up</t>
  </si>
  <si>
    <t>26-Nov-2025</t>
  </si>
  <si>
    <t>102171573784</t>
  </si>
  <si>
    <t>22418</t>
  </si>
  <si>
    <t>Ranjit Kumar</t>
  </si>
  <si>
    <t>Lakhan Mahto</t>
  </si>
  <si>
    <t>8826380040</t>
  </si>
  <si>
    <t>Vill- Kthan, Hazaribagh, Jharkhand</t>
  </si>
  <si>
    <t>Painter</t>
  </si>
  <si>
    <t>100490303341</t>
  </si>
  <si>
    <t>22455</t>
  </si>
  <si>
    <t>Rohit Kumar</t>
  </si>
  <si>
    <t>Raja Ram</t>
  </si>
  <si>
    <t>9773831750</t>
  </si>
  <si>
    <t>Vill- Chhawla, Pachhaya Mohalla, New Delhi</t>
  </si>
  <si>
    <t>Carpenter</t>
  </si>
  <si>
    <t>102063433500</t>
  </si>
  <si>
    <t>22410</t>
  </si>
  <si>
    <t>Sangram Das</t>
  </si>
  <si>
    <t>Golakh Das</t>
  </si>
  <si>
    <t>8447265276</t>
  </si>
  <si>
    <t>Vill- Shyamsunderpur, Tihidi, Bhadrak Odisha</t>
  </si>
  <si>
    <t>Plumber</t>
  </si>
  <si>
    <t>100567484399</t>
  </si>
  <si>
    <t>6936579999</t>
  </si>
  <si>
    <t>22097</t>
  </si>
  <si>
    <t>Rahul Kumar Ray</t>
  </si>
  <si>
    <t>Ashok Ray</t>
  </si>
  <si>
    <t>7277251996</t>
  </si>
  <si>
    <t>Naraon Dharmbagi  Saran Bihar</t>
  </si>
  <si>
    <t>101826808744</t>
  </si>
  <si>
    <t>6936399690</t>
  </si>
  <si>
    <t>22099</t>
  </si>
  <si>
    <t>Tapan Barik</t>
  </si>
  <si>
    <t>Satyananda Barik</t>
  </si>
  <si>
    <t>7703915909</t>
  </si>
  <si>
    <t>Khalagaon  Jagatsinghpur Orissa</t>
  </si>
  <si>
    <t>101136161313</t>
  </si>
  <si>
    <t>6936399840</t>
  </si>
  <si>
    <t>22140</t>
  </si>
  <si>
    <t>Govind Singh</t>
  </si>
  <si>
    <t>Veer Singh</t>
  </si>
  <si>
    <t>8707221347</t>
  </si>
  <si>
    <t>Vill- Post Bandhur Khurd, Bandhur Khurd Farooq Hussain, Hamirpur, Bewar</t>
  </si>
  <si>
    <t>18-Aug-2025</t>
  </si>
  <si>
    <t>101089037216</t>
  </si>
  <si>
    <t>6935995240</t>
  </si>
  <si>
    <t>22142</t>
  </si>
  <si>
    <t>Kishan Singh</t>
  </si>
  <si>
    <t>Ran Singbh</t>
  </si>
  <si>
    <t>7827664233</t>
  </si>
  <si>
    <t>Mullhaheeda Sec-22 Ggn</t>
  </si>
  <si>
    <t>100967212237</t>
  </si>
  <si>
    <t>6932820466</t>
  </si>
  <si>
    <t>22150</t>
  </si>
  <si>
    <t>Debprosad Bhattacharya</t>
  </si>
  <si>
    <t>Nirmal Bhattacharya</t>
  </si>
  <si>
    <t>8972504767</t>
  </si>
  <si>
    <t>Vill- Akundi Po- Ekpaharia Ps-Burwan  Murshidabad West Bengal</t>
  </si>
  <si>
    <t>17-Aug-2025</t>
  </si>
  <si>
    <t>102030769250</t>
  </si>
  <si>
    <t>6934205450</t>
  </si>
  <si>
    <t>22151</t>
  </si>
  <si>
    <t>Suman Das</t>
  </si>
  <si>
    <t>Jiten Das</t>
  </si>
  <si>
    <t>9749638740</t>
  </si>
  <si>
    <t>Sec-33, Rajiv Chauk, Hans Enclave Gali No6, Plot 156, Gurgaon</t>
  </si>
  <si>
    <t>21-Aug-2025</t>
  </si>
  <si>
    <t>Tech Supervisor</t>
  </si>
  <si>
    <t>101647707961</t>
  </si>
  <si>
    <t>6930721484</t>
  </si>
  <si>
    <t>22154</t>
  </si>
  <si>
    <t>Rinku Singh</t>
  </si>
  <si>
    <t>Banvar Singh</t>
  </si>
  <si>
    <t>8114403910</t>
  </si>
  <si>
    <t>Nagla Nathuram  Bharatpur Rajasthan</t>
  </si>
  <si>
    <t>15-Aug-2025</t>
  </si>
  <si>
    <t>101733531977</t>
  </si>
  <si>
    <t>6932440730</t>
  </si>
  <si>
    <t>22156</t>
  </si>
  <si>
    <t>Baboo Ram</t>
  </si>
  <si>
    <t>Lalchand</t>
  </si>
  <si>
    <t>9643939674</t>
  </si>
  <si>
    <t>Ledaura Gahaji  Azamgarh Uttar Pradesh</t>
  </si>
  <si>
    <t>101230879183</t>
  </si>
  <si>
    <t>6936423306</t>
  </si>
  <si>
    <t>22378</t>
  </si>
  <si>
    <t>Ritik Shrivastva</t>
  </si>
  <si>
    <t>Virendra Prasad</t>
  </si>
  <si>
    <t>7322882142</t>
  </si>
  <si>
    <t>Near Shiv Mandir, Durga Colony, Sarurpur(27), Po: Gonchhi, Dist: Faridabad Faridabad Haryana</t>
  </si>
  <si>
    <t>21-Sep-2025</t>
  </si>
  <si>
    <t>101895838144</t>
  </si>
  <si>
    <t>6936558683</t>
  </si>
  <si>
    <t>22517</t>
  </si>
  <si>
    <t>Sombir Sharma</t>
  </si>
  <si>
    <t>Rajesh Sharma</t>
  </si>
  <si>
    <t>8745816421</t>
  </si>
  <si>
    <t>Alampur(78), Bhwani, Haryana  Gurgaon Haryana</t>
  </si>
  <si>
    <t>25-Oct-2025</t>
  </si>
  <si>
    <t>101164063445</t>
  </si>
  <si>
    <t>6931756745</t>
  </si>
  <si>
    <t>22509</t>
  </si>
  <si>
    <t>Suraj Kumar</t>
  </si>
  <si>
    <t>Suresh Pandit</t>
  </si>
  <si>
    <t>8085747119</t>
  </si>
  <si>
    <t>Village- Pakri Post- Mahual  Siwan Bihar</t>
  </si>
  <si>
    <t>01-Sep-2025</t>
  </si>
  <si>
    <t>101278295970</t>
  </si>
  <si>
    <t>6936622126</t>
  </si>
  <si>
    <t>22525</t>
  </si>
  <si>
    <t>Md Shahid</t>
  </si>
  <si>
    <t>Md Habib Ansari</t>
  </si>
  <si>
    <t>9060088545</t>
  </si>
  <si>
    <t>Sihuli , Rafiganj Sihuli, Aurangabad Bihar Aurangabad Bihar</t>
  </si>
  <si>
    <t>24-Oct-2025</t>
  </si>
  <si>
    <t>102278493310</t>
  </si>
  <si>
    <t>6936628797</t>
  </si>
  <si>
    <t>22526</t>
  </si>
  <si>
    <t>Sujeet Kumar</t>
  </si>
  <si>
    <t>Devalal Sav</t>
  </si>
  <si>
    <t>9818823100</t>
  </si>
  <si>
    <t>Village- Firoji,Firoji,Po: Kako , Dist : Jehanabad , Bihar, Jehanabad Bihar</t>
  </si>
  <si>
    <t>101151400041</t>
  </si>
  <si>
    <t>6936628808</t>
  </si>
  <si>
    <t>22537</t>
  </si>
  <si>
    <t>Ramesh Jena</t>
  </si>
  <si>
    <t>Duryodhan Jena</t>
  </si>
  <si>
    <t>Chhandamunda Jari  Jajpur Orissa</t>
  </si>
  <si>
    <t>24-Nov-2025</t>
  </si>
  <si>
    <t>101306143531</t>
  </si>
  <si>
    <t>6928657530</t>
  </si>
  <si>
    <t>22571</t>
  </si>
  <si>
    <t>Pramod Vishwakarma</t>
  </si>
  <si>
    <t>Jai Ram Viswkarma</t>
  </si>
  <si>
    <t>9910164282</t>
  </si>
  <si>
    <t>Village- Karma Thana Dumariya Goti Bandh Gaya Bihar</t>
  </si>
  <si>
    <t>06-Nov-2025</t>
  </si>
  <si>
    <t>101251884600</t>
  </si>
  <si>
    <t>6936658559</t>
  </si>
  <si>
    <t>22600</t>
  </si>
  <si>
    <t>Sultan Yogi</t>
  </si>
  <si>
    <t>Jay Kishan Yogi</t>
  </si>
  <si>
    <t>8130835015</t>
  </si>
  <si>
    <t>Yogi Mohalla Kootooki Po- Syaluta  Alwar Rajasthan</t>
  </si>
  <si>
    <t>16-Nov-2025</t>
  </si>
  <si>
    <t>101468104121</t>
  </si>
  <si>
    <t>6933533023</t>
  </si>
  <si>
    <t>22601</t>
  </si>
  <si>
    <t>Sumit Dhiman</t>
  </si>
  <si>
    <t>Subhash Chand</t>
  </si>
  <si>
    <t>8569857876</t>
  </si>
  <si>
    <t>692/16,  Kumar Mohalla Rani Talab  Jind Haryana</t>
  </si>
  <si>
    <t>17-Nov-2025</t>
  </si>
  <si>
    <t>102031678719</t>
  </si>
  <si>
    <t>6936682186</t>
  </si>
  <si>
    <t>21476</t>
  </si>
  <si>
    <t>Raviranjan Kumar</t>
  </si>
  <si>
    <t>Pancham Ray</t>
  </si>
  <si>
    <t>9504661387</t>
  </si>
  <si>
    <t>Naryana-V56, Ring Road New Delhi</t>
  </si>
  <si>
    <t>19-Aug-2025</t>
  </si>
  <si>
    <t>101851252743</t>
  </si>
  <si>
    <t>53820</t>
  </si>
  <si>
    <t>Rani Devi</t>
  </si>
  <si>
    <t>7250161865</t>
  </si>
  <si>
    <t>Ward No-11 Purani Durga Asthan  Supaul Supaul Bihar-852131</t>
  </si>
  <si>
    <t>Dishwasher</t>
  </si>
  <si>
    <t>102268063627</t>
  </si>
  <si>
    <t>6936500492</t>
  </si>
  <si>
    <t>52697</t>
  </si>
  <si>
    <t>Nisha Devi</t>
  </si>
  <si>
    <t>Dharamvir Singh</t>
  </si>
  <si>
    <t>7819878973</t>
  </si>
  <si>
    <t>Gram- Mumiya Kheda Nagala Khilli Etah Nagla Khilli Uttar Pradesh-207001</t>
  </si>
  <si>
    <t>102226051354</t>
  </si>
  <si>
    <t>6936295494</t>
  </si>
  <si>
    <t>52116</t>
  </si>
  <si>
    <t>Sarita Devi</t>
  </si>
  <si>
    <t>Kapil Das</t>
  </si>
  <si>
    <t>9939685453</t>
  </si>
  <si>
    <t>Lipta Humajong, Pratap Pur Chatra Jharkhand,Lipta Humajong, Pratap Pur Chatra Jharkhand,825404</t>
  </si>
  <si>
    <t>101258099075</t>
  </si>
  <si>
    <t>6936343477</t>
  </si>
  <si>
    <t>53985</t>
  </si>
  <si>
    <t>Anita Devi</t>
  </si>
  <si>
    <t>Sunil Mandal</t>
  </si>
  <si>
    <t>9220195238</t>
  </si>
  <si>
    <t>N-28/C-60/1 Chandra Shekhar Azad Colony Wazirpur Industrial Area,Ashok Vihar North Delhi,110052</t>
  </si>
  <si>
    <t>29-Aug-2025</t>
  </si>
  <si>
    <t>102179804629</t>
  </si>
  <si>
    <t>6936461729</t>
  </si>
  <si>
    <t>53836</t>
  </si>
  <si>
    <t>Sugi Devi</t>
  </si>
  <si>
    <t>Tuntun</t>
  </si>
  <si>
    <t>7482949929</t>
  </si>
  <si>
    <t>Village Miyan Gundi, Mian Gundi,Siwan Daraila Bihar,841239</t>
  </si>
  <si>
    <t>102268068985</t>
  </si>
  <si>
    <t>6936500560</t>
  </si>
  <si>
    <t>53823</t>
  </si>
  <si>
    <t>Babita Devi</t>
  </si>
  <si>
    <t>Virendra Giri</t>
  </si>
  <si>
    <t>9109502480</t>
  </si>
  <si>
    <t>Chatwan Kara,Manikpura Siban  Bihar,841220</t>
  </si>
  <si>
    <t>28-Aug-2025</t>
  </si>
  <si>
    <t>101685520508</t>
  </si>
  <si>
    <t>6933804013</t>
  </si>
  <si>
    <t>51037</t>
  </si>
  <si>
    <t>Alok Mandal</t>
  </si>
  <si>
    <t>Ananda Mandal</t>
  </si>
  <si>
    <t>9734933646</t>
  </si>
  <si>
    <t>Panjaripara Panjarpara Dakshin Dinajpur West Bengal-733121</t>
  </si>
  <si>
    <t>Hk Supervisor</t>
  </si>
  <si>
    <t>101318540382</t>
  </si>
  <si>
    <t>6929631503</t>
  </si>
  <si>
    <t>55064</t>
  </si>
  <si>
    <t>Ashraful Alom Shaikh</t>
  </si>
  <si>
    <t>Abdul Barek Shaikh</t>
  </si>
  <si>
    <t>8802623922</t>
  </si>
  <si>
    <t>Sharol Sec -18 Gurgaon Haryana-122015</t>
  </si>
  <si>
    <t>25-Sep-2025</t>
  </si>
  <si>
    <t>100432650591</t>
  </si>
  <si>
    <t>2019720178</t>
  </si>
  <si>
    <t>53833</t>
  </si>
  <si>
    <t>Akhilesh Kumar</t>
  </si>
  <si>
    <t>Ram Sundar</t>
  </si>
  <si>
    <t>9958677029</t>
  </si>
  <si>
    <t>Village Sakra Bazar,,Devkali, Pratapgarh, Uttar Pradesh,230405</t>
  </si>
  <si>
    <t>100077136149</t>
  </si>
  <si>
    <t>6930461362</t>
  </si>
  <si>
    <t>55508</t>
  </si>
  <si>
    <t>Rakesh Sardar</t>
  </si>
  <si>
    <t>Rabin Sardar</t>
  </si>
  <si>
    <t>8116009056</t>
  </si>
  <si>
    <t>Majhir Gram Nakashipara Nadia West Bengal-741137</t>
  </si>
  <si>
    <t>22-Sep-2025</t>
  </si>
  <si>
    <t>101017061782</t>
  </si>
  <si>
    <t>6926427367</t>
  </si>
  <si>
    <t>52067</t>
  </si>
  <si>
    <t>Kanchan Kumari</t>
  </si>
  <si>
    <t>Pramanand Mochi</t>
  </si>
  <si>
    <t>8595067166</t>
  </si>
  <si>
    <t>Balipakar,Dharahra,Balipakar Patna Bihar,Balipakar,Dharahra,Balipakar Patna Bihar,801110</t>
  </si>
  <si>
    <t>101791670624</t>
  </si>
  <si>
    <t>6931721302</t>
  </si>
  <si>
    <t>41814</t>
  </si>
  <si>
    <t>Tarun Ahirawar</t>
  </si>
  <si>
    <t>Suresh</t>
  </si>
  <si>
    <t>9354869929</t>
  </si>
  <si>
    <t>Purani Police Chokki K Paas Kakaganj Vard Sagar Sagar Madhya Pradesh-470002</t>
  </si>
  <si>
    <t>101242096934</t>
  </si>
  <si>
    <t>6927637063</t>
  </si>
  <si>
    <t>54821</t>
  </si>
  <si>
    <t>Dipak Kumar</t>
  </si>
  <si>
    <t>Dinanath Gupta</t>
  </si>
  <si>
    <t>7303531478</t>
  </si>
  <si>
    <t>Samadh Akhara Oposite  Shiv Mandir Rajapur Full Gali Budda Colony Po-Patna G.P Patna Bihar-800001</t>
  </si>
  <si>
    <t>09-Sep-2025</t>
  </si>
  <si>
    <t>House Boy</t>
  </si>
  <si>
    <t>102086185013</t>
  </si>
  <si>
    <t>6935707022</t>
  </si>
  <si>
    <t>55795</t>
  </si>
  <si>
    <t>Karan</t>
  </si>
  <si>
    <t>SUBHASH</t>
  </si>
  <si>
    <t>7817015863</t>
  </si>
  <si>
    <t>Surehra (Mut) Agra Uttar Pradesh-283302</t>
  </si>
  <si>
    <t>15-Oct-2025</t>
  </si>
  <si>
    <t>102232870207</t>
  </si>
  <si>
    <t>6936408664</t>
  </si>
  <si>
    <t>56588</t>
  </si>
  <si>
    <t>Khushboo Devi</t>
  </si>
  <si>
    <t>Jitendra</t>
  </si>
  <si>
    <t>9354343254</t>
  </si>
  <si>
    <t>Same Above,,110043</t>
  </si>
  <si>
    <t>21-Nov-2025</t>
  </si>
  <si>
    <t>101922351875</t>
  </si>
  <si>
    <t>6933531099</t>
  </si>
  <si>
    <t>56636</t>
  </si>
  <si>
    <t>Mitra Bahadur Khatri</t>
  </si>
  <si>
    <t>Yam Bahadur Khatri</t>
  </si>
  <si>
    <t>8527317392</t>
  </si>
  <si>
    <t>House No -153 Village Sarhaul Gaon Sec 18 Gurgaon,,122015</t>
  </si>
  <si>
    <t>101288521474</t>
  </si>
  <si>
    <t>6927876204</t>
  </si>
  <si>
    <t>45900</t>
  </si>
  <si>
    <t>Dinesh Bauri</t>
  </si>
  <si>
    <t>Madan Bauri</t>
  </si>
  <si>
    <t>9641810417</t>
  </si>
  <si>
    <t>Parsundi Birbhum Pursundi West Bengal-731125</t>
  </si>
  <si>
    <t>102148802671</t>
  </si>
  <si>
    <t>6935571352</t>
  </si>
  <si>
    <t>54021</t>
  </si>
  <si>
    <t>Aktar Ali</t>
  </si>
  <si>
    <t>Zahirul Haque</t>
  </si>
  <si>
    <t>8860329212</t>
  </si>
  <si>
    <t>Village Mirachagach Bata Mircha,North,Dinajpur West Bengal,733207</t>
  </si>
  <si>
    <t>27-Aug-2025</t>
  </si>
  <si>
    <t>100788143671</t>
  </si>
  <si>
    <t>5220530064</t>
  </si>
  <si>
    <t>54562</t>
  </si>
  <si>
    <t>Nripen Das</t>
  </si>
  <si>
    <t>Sanatan Das</t>
  </si>
  <si>
    <t>7407011625</t>
  </si>
  <si>
    <t>Barachandghar Kaliganj West Bengal-741156</t>
  </si>
  <si>
    <t>22-Aug-2025</t>
  </si>
  <si>
    <t>101228639047</t>
  </si>
  <si>
    <t>6936050470</t>
  </si>
  <si>
    <t>56586</t>
  </si>
  <si>
    <t>Shabnam Parween</t>
  </si>
  <si>
    <t>Md Badre Alam</t>
  </si>
  <si>
    <t>8434538944</t>
  </si>
  <si>
    <t>Bahuara Buzurg, Hariharpur,,Darbhanga Bihar,847306</t>
  </si>
  <si>
    <t>07-Nov-2025</t>
  </si>
  <si>
    <t>House Maid</t>
  </si>
  <si>
    <t>102057836055</t>
  </si>
  <si>
    <t>6934590539</t>
  </si>
  <si>
    <t>56608</t>
  </si>
  <si>
    <t>Ruvi Kumari</t>
  </si>
  <si>
    <t>Rajesh Paswan</t>
  </si>
  <si>
    <t>7982775807</t>
  </si>
  <si>
    <t>Jamuara Kalan Jamuara Kalan Gaya Bihar,Jamuara Kalan Jamuara Kalan Gaya Bihar,824217</t>
  </si>
  <si>
    <t>03-Nov-2025</t>
  </si>
  <si>
    <t>102138407333</t>
  </si>
  <si>
    <t>6936733481</t>
  </si>
  <si>
    <t>56753</t>
  </si>
  <si>
    <t>Anil Minj</t>
  </si>
  <si>
    <t>Chhotsay Minj</t>
  </si>
  <si>
    <t>7291935314</t>
  </si>
  <si>
    <t>Vill Navwgali Ps Dumri Akasi,Gumla Jharkhand,835206</t>
  </si>
  <si>
    <t>10-Nov-2025</t>
  </si>
  <si>
    <t>101183416884</t>
  </si>
  <si>
    <t>6933094237</t>
  </si>
  <si>
    <t>56740</t>
  </si>
  <si>
    <t>Sujit Das</t>
  </si>
  <si>
    <t>Swapan Das</t>
  </si>
  <si>
    <t>8509659470</t>
  </si>
  <si>
    <t>Baharan Daspara, Nisha Hintapur,Po Nischintapur District Murshidabad West Bengal,742165</t>
  </si>
  <si>
    <t>102224165732</t>
  </si>
  <si>
    <t>6936400849</t>
  </si>
  <si>
    <t>52679</t>
  </si>
  <si>
    <t>Barsha Barman</t>
  </si>
  <si>
    <t>Jagdish Sarkar</t>
  </si>
  <si>
    <t>9810801382</t>
  </si>
  <si>
    <t>Barman Gopalpur Dakshin Dinajpur West Bengal-733142</t>
  </si>
  <si>
    <t>102184313712</t>
  </si>
  <si>
    <t>6724533202</t>
  </si>
  <si>
    <t>51733</t>
  </si>
  <si>
    <t>Oscar Toppo</t>
  </si>
  <si>
    <t>Johan Toppo</t>
  </si>
  <si>
    <t>7448219027</t>
  </si>
  <si>
    <t>Village- Kalaibari Dakshin Dinajpur West Bengal-733128</t>
  </si>
  <si>
    <t>101114619750</t>
  </si>
  <si>
    <t>6928421923</t>
  </si>
  <si>
    <t>56606</t>
  </si>
  <si>
    <t>Amlesh</t>
  </si>
  <si>
    <t>ARJUN</t>
  </si>
  <si>
    <t>9990398115</t>
  </si>
  <si>
    <t>Vpo Nathupur Dlf Phase 3 Gurgaon Haryana,Vpo Nathupur Dlf Phase 3 Gurgaon Haryana,122001</t>
  </si>
  <si>
    <t>04-Nov-2025</t>
  </si>
  <si>
    <t>102279919212</t>
  </si>
  <si>
    <t>6936733389</t>
  </si>
  <si>
    <t>56752</t>
  </si>
  <si>
    <t>Abdul Sekh</t>
  </si>
  <si>
    <t>Abutaleb Sk</t>
  </si>
  <si>
    <t>9315729609</t>
  </si>
  <si>
    <t>Jalsaka, Bandbelgaon, Nakashipara,West Bengal,741126</t>
  </si>
  <si>
    <t>100653195953</t>
  </si>
  <si>
    <t>6928815322</t>
  </si>
  <si>
    <t>56739</t>
  </si>
  <si>
    <t>Suchit Lakada</t>
  </si>
  <si>
    <t>Leyos Lakada</t>
  </si>
  <si>
    <t>9250865327</t>
  </si>
  <si>
    <t>Tigra Gumla Jharkhand,,835230</t>
  </si>
  <si>
    <t>13-Nov-2025</t>
  </si>
  <si>
    <t>100722786545</t>
  </si>
  <si>
    <t>6936742896</t>
  </si>
  <si>
    <t>52701</t>
  </si>
  <si>
    <t>Proja Sarkar</t>
  </si>
  <si>
    <t>Ripon Mondal</t>
  </si>
  <si>
    <t>7047849415</t>
  </si>
  <si>
    <t>Nowga Kardaha Naogan Naogon Dakshin Dinajpur West Bengal-733149</t>
  </si>
  <si>
    <t>101465769608</t>
  </si>
  <si>
    <t>6934667941</t>
  </si>
  <si>
    <t>52732</t>
  </si>
  <si>
    <t>Neeraj</t>
  </si>
  <si>
    <t>RAKESH</t>
  </si>
  <si>
    <t>8303452770</t>
  </si>
  <si>
    <t>Nagla Asanand Gunjdundwara Patiyali Uttar Pradesh-207242</t>
  </si>
  <si>
    <t>101377481179</t>
  </si>
  <si>
    <t>6936230602</t>
  </si>
  <si>
    <t>56579</t>
  </si>
  <si>
    <t>Mousumi Khatun</t>
  </si>
  <si>
    <t>Rabiul Mandal</t>
  </si>
  <si>
    <t>9883436291</t>
  </si>
  <si>
    <t>Dhaparia Paschim Para Dhaparia Mejpota Nadia West Bengal,Dhaparia Paschim Para Dhaparia Mejpota Nadia West Bengal,741124</t>
  </si>
  <si>
    <t>101446525784</t>
  </si>
  <si>
    <t>6936716501</t>
  </si>
  <si>
    <t>56589</t>
  </si>
  <si>
    <t>Roppa Mandal</t>
  </si>
  <si>
    <t>Minaj Mandal</t>
  </si>
  <si>
    <t>9711939543</t>
  </si>
  <si>
    <t>Keutipara, Murighala, North 24 Pargana,West Bengal,743251</t>
  </si>
  <si>
    <t>101492607297</t>
  </si>
  <si>
    <t>1115732576</t>
  </si>
  <si>
    <t>56624</t>
  </si>
  <si>
    <t>Chotu Kumar</t>
  </si>
  <si>
    <t>Gopal Das</t>
  </si>
  <si>
    <t>8092793960</t>
  </si>
  <si>
    <t>Word No.04 Bilaspur Bande Dharmpurdharmpur Bandey Samasti Pur Bihar,Word No.04 Bilaspur Bande Dharmpurdharmpur Bandey Samasti Pur Bihar,848504</t>
  </si>
  <si>
    <t>11-Nov-2025</t>
  </si>
  <si>
    <t>102261227249</t>
  </si>
  <si>
    <t>6936736322</t>
  </si>
  <si>
    <t>56639</t>
  </si>
  <si>
    <t>Parbhu Paswan</t>
  </si>
  <si>
    <t>Santosh Paswan</t>
  </si>
  <si>
    <t>8252521254</t>
  </si>
  <si>
    <t>Chiraiya Laxmi Pur Chiraiya Bakka Bihar,,813127</t>
  </si>
  <si>
    <t>18-Nov-2025</t>
  </si>
  <si>
    <t>101664154882</t>
  </si>
  <si>
    <t>6931710279</t>
  </si>
  <si>
    <t>56736</t>
  </si>
  <si>
    <t>Sumit Minj</t>
  </si>
  <si>
    <t>Nirmal Minj</t>
  </si>
  <si>
    <t>9933983597</t>
  </si>
  <si>
    <t>Karkay Majhatoli Gumla Jharkhand,,835232</t>
  </si>
  <si>
    <t>14-Nov-2025</t>
  </si>
  <si>
    <t>101432069555</t>
  </si>
  <si>
    <t>6928907056</t>
  </si>
  <si>
    <t>52705</t>
  </si>
  <si>
    <t>Sikha Sarkar Das</t>
  </si>
  <si>
    <t>Tapas Das</t>
  </si>
  <si>
    <t>7501305201</t>
  </si>
  <si>
    <t>Chakbharigur Chamta Po- Chakvrigu Dakshin Dinajpur West Bengal</t>
  </si>
  <si>
    <t>102179085909</t>
  </si>
  <si>
    <t>6724460191</t>
  </si>
  <si>
    <t>56585</t>
  </si>
  <si>
    <t>Reena Devi</t>
  </si>
  <si>
    <t>Sunil Kumar</t>
  </si>
  <si>
    <t>9540747793</t>
  </si>
  <si>
    <t>Mahesh Pur Thakran,,Bareilly Uttar Pradesh,243001</t>
  </si>
  <si>
    <t>101524442736</t>
  </si>
  <si>
    <t>2018144575</t>
  </si>
  <si>
    <t>56722</t>
  </si>
  <si>
    <t>Vikas Kumar</t>
  </si>
  <si>
    <t>Bhuvan Kumar</t>
  </si>
  <si>
    <t>9992639795</t>
  </si>
  <si>
    <t>House No-475,Modal Town Near License Office,Kamal (Runal)Part(1)Po:Karnal District Karnal Hr,132001</t>
  </si>
  <si>
    <t>23-Oct-2025</t>
  </si>
  <si>
    <t>Mail Boy</t>
  </si>
  <si>
    <t>6936741910</t>
  </si>
  <si>
    <t>55571</t>
  </si>
  <si>
    <t>Ajay Kumar</t>
  </si>
  <si>
    <t>Mukesh Kumar</t>
  </si>
  <si>
    <t>8447771754</t>
  </si>
  <si>
    <t>House No 35 A,Block-D Shyam Vihar,Phase 01 Najafgarh Dindar Pur South West Delhi,110043</t>
  </si>
  <si>
    <t>101013965256</t>
  </si>
  <si>
    <t>6934224260</t>
  </si>
  <si>
    <t>55184</t>
  </si>
  <si>
    <t>Bimal Pailan</t>
  </si>
  <si>
    <t>Amar Pailan</t>
  </si>
  <si>
    <t>9718803799</t>
  </si>
  <si>
    <t>Thana Kultali Purba Sonatikri South 24 Parganas  West Bengal-743349</t>
  </si>
  <si>
    <t>Pantry Boy</t>
  </si>
  <si>
    <t>101182747308</t>
  </si>
  <si>
    <t>2017838098</t>
  </si>
  <si>
    <t>56005</t>
  </si>
  <si>
    <t>Ritik Kumar</t>
  </si>
  <si>
    <t>Anmol Kumar</t>
  </si>
  <si>
    <t>8574141058</t>
  </si>
  <si>
    <t>Mohlla 02 Bard No-07 Agol Gate Bilsi Bilsi Budaun Uttar Pradesh-243633</t>
  </si>
  <si>
    <t>28-Oct-2025</t>
  </si>
  <si>
    <t>6936648526</t>
  </si>
  <si>
    <t>54141</t>
  </si>
  <si>
    <t>Aditya</t>
  </si>
  <si>
    <t>RAMANAND</t>
  </si>
  <si>
    <t>7091161902</t>
  </si>
  <si>
    <t>Dlf Phase 3- Kapashera,Gurgaon Road South West Delhi,110037</t>
  </si>
  <si>
    <t>102072980201</t>
  </si>
  <si>
    <t>6936459309</t>
  </si>
  <si>
    <t>52837</t>
  </si>
  <si>
    <t>Muktar Ali</t>
  </si>
  <si>
    <t>Basiruddin</t>
  </si>
  <si>
    <t>9958736491</t>
  </si>
  <si>
    <t>Village- Islampur  Murshidabad West Bengal-742202</t>
  </si>
  <si>
    <t>Steward</t>
  </si>
  <si>
    <t>101263425783</t>
  </si>
  <si>
    <t>6936399255</t>
  </si>
  <si>
    <t>47697</t>
  </si>
  <si>
    <t>Sunil Bayen</t>
  </si>
  <si>
    <t>Ananda Bayen</t>
  </si>
  <si>
    <t>7003526921</t>
  </si>
  <si>
    <t>Sanakpur Mayureswar -I Birbhum West Bengal-731245</t>
  </si>
  <si>
    <t>102169089743</t>
  </si>
  <si>
    <t>6935727175</t>
  </si>
  <si>
    <t>01-Jul-2026</t>
  </si>
  <si>
    <t>48838</t>
  </si>
  <si>
    <t>Gobinda Bayen</t>
  </si>
  <si>
    <t>Sadai Bayen</t>
  </si>
  <si>
    <t>9883223561</t>
  </si>
  <si>
    <t>Mahishgram  Murshidabad West Bengal -742168</t>
  </si>
  <si>
    <t>101263472322</t>
  </si>
  <si>
    <t>6927596790</t>
  </si>
  <si>
    <t>49215</t>
  </si>
  <si>
    <t>Rabijit Das</t>
  </si>
  <si>
    <t>Bikash Das</t>
  </si>
  <si>
    <t>6295101698</t>
  </si>
  <si>
    <t>Pakhuria Birhum West Bengal-731245</t>
  </si>
  <si>
    <t>101815194725</t>
  </si>
  <si>
    <t>6931930916</t>
  </si>
  <si>
    <t>50205</t>
  </si>
  <si>
    <t>Netai Das</t>
  </si>
  <si>
    <t>Ramkumar Das</t>
  </si>
  <si>
    <t>8145500867</t>
  </si>
  <si>
    <t>Punchthupi Bharwan Murshidabad West Bengal-742161</t>
  </si>
  <si>
    <t>101826772934</t>
  </si>
  <si>
    <t>6932044595</t>
  </si>
  <si>
    <t>52293</t>
  </si>
  <si>
    <t>Biswajit Das</t>
  </si>
  <si>
    <t>Uttam Das</t>
  </si>
  <si>
    <t>7047739644</t>
  </si>
  <si>
    <t>Hno 127 ,Chakkar Pur ,Gurgoan, Haryana,,122001</t>
  </si>
  <si>
    <t>102226051472</t>
  </si>
  <si>
    <t>6936211162</t>
  </si>
  <si>
    <t>53849</t>
  </si>
  <si>
    <t>Krishna Das</t>
  </si>
  <si>
    <t>Goutam Das</t>
  </si>
  <si>
    <t>9510350772</t>
  </si>
  <si>
    <t>Vill-Burwan,  Po-Burwan,Murshidabad ,West Bengal,,742132</t>
  </si>
  <si>
    <t>102251232401</t>
  </si>
  <si>
    <t>6936506753</t>
  </si>
  <si>
    <t>48836</t>
  </si>
  <si>
    <t>Bapun Das</t>
  </si>
  <si>
    <t>Babulal Das</t>
  </si>
  <si>
    <t>9560490147</t>
  </si>
  <si>
    <t>Barakulberiya Purba Hindu Musalman Kaliganj Po-Kaliganj Nadia West Bengal-741150</t>
  </si>
  <si>
    <t>101599214472</t>
  </si>
  <si>
    <t>6935789730</t>
  </si>
  <si>
    <t>48845</t>
  </si>
  <si>
    <t>Shambhu Sant</t>
  </si>
  <si>
    <t>Nanigopal Sant</t>
  </si>
  <si>
    <t>8597689751</t>
  </si>
  <si>
    <t>Jarisaui Jarisai Paschim Medinipur Baita Bazar West Bengal-721420</t>
  </si>
  <si>
    <t>102143872775</t>
  </si>
  <si>
    <t>6724136666</t>
  </si>
  <si>
    <t>50117</t>
  </si>
  <si>
    <t>Subhankar Bayen</t>
  </si>
  <si>
    <t>Ganesh Bayen</t>
  </si>
  <si>
    <t>8097781843</t>
  </si>
  <si>
    <t>Mahishgram Murshidabad West Bengal-742168</t>
  </si>
  <si>
    <t>102196667560</t>
  </si>
  <si>
    <t>6936051490</t>
  </si>
  <si>
    <t>33591</t>
  </si>
  <si>
    <t>Pintu Shil</t>
  </si>
  <si>
    <t>Cheraku Shil</t>
  </si>
  <si>
    <t>9547393559</t>
  </si>
  <si>
    <t>Chakrashail Safa Nagar Dakshin Dinajpur West Bengal-733141</t>
  </si>
  <si>
    <t>101916390444</t>
  </si>
  <si>
    <t>6933137354</t>
  </si>
  <si>
    <t>52292</t>
  </si>
  <si>
    <t>Mohan Das</t>
  </si>
  <si>
    <t>9732836132</t>
  </si>
  <si>
    <t>101832936339</t>
  </si>
  <si>
    <t>6724466758</t>
  </si>
  <si>
    <t>48841</t>
  </si>
  <si>
    <t>Sukdeb Bayen</t>
  </si>
  <si>
    <t>Jamini Bayen</t>
  </si>
  <si>
    <t>7319244360</t>
  </si>
  <si>
    <t>Kurunnarun Kunnarun Murshidabad West Bengal-742161</t>
  </si>
  <si>
    <t>102172507975</t>
  </si>
  <si>
    <t>6935838385</t>
  </si>
  <si>
    <t>50115</t>
  </si>
  <si>
    <t>Subhash Das</t>
  </si>
  <si>
    <t>Dinu Das</t>
  </si>
  <si>
    <t>8927163496</t>
  </si>
  <si>
    <t>Bhrulia Nadia West Bengal-741157</t>
  </si>
  <si>
    <t>101804641186</t>
  </si>
  <si>
    <t>6932449139</t>
  </si>
  <si>
    <t>52519</t>
  </si>
  <si>
    <t>Sukrulla Sekh</t>
  </si>
  <si>
    <t>Kesab Sekh</t>
  </si>
  <si>
    <t>9971378372</t>
  </si>
  <si>
    <t>Chakkar Pur Sec-28 Gurgoan Haryana-122001</t>
  </si>
  <si>
    <t>101174062560</t>
  </si>
  <si>
    <t>6927094595</t>
  </si>
  <si>
    <t>55802</t>
  </si>
  <si>
    <t>Sojal Das</t>
  </si>
  <si>
    <t>Totan Das</t>
  </si>
  <si>
    <t>9883477534</t>
  </si>
  <si>
    <t>Bholanath Pur Chhaku Para Kandi  Murshidabad West Bengal-742137</t>
  </si>
  <si>
    <t>06-Oct-2025</t>
  </si>
  <si>
    <t>101885686430</t>
  </si>
  <si>
    <t>6935546488</t>
  </si>
  <si>
    <t>48839</t>
  </si>
  <si>
    <t>Shayam Das</t>
  </si>
  <si>
    <t>7982974602</t>
  </si>
  <si>
    <t>Barachand Ghar Madhyapara Bara Chandghar Nadia West Bengal-741156</t>
  </si>
  <si>
    <t>102150378641</t>
  </si>
  <si>
    <t>6935663063</t>
  </si>
  <si>
    <t>41803</t>
  </si>
  <si>
    <t>Susanta Karmakar</t>
  </si>
  <si>
    <t>Paresh Karmakar</t>
  </si>
  <si>
    <t>7001437121</t>
  </si>
  <si>
    <t>Kayha Mathpara Kaya Nadia Dignagar West Bengal-741401</t>
  </si>
  <si>
    <t>101514989245</t>
  </si>
  <si>
    <t>6934734203</t>
  </si>
  <si>
    <t>53846</t>
  </si>
  <si>
    <t>Abhijit Das</t>
  </si>
  <si>
    <t>Nitai Das</t>
  </si>
  <si>
    <t>6295606405</t>
  </si>
  <si>
    <t>Panchthupi,Panchthupi ,Murshidabad,West Bengal,,742161</t>
  </si>
  <si>
    <t>11-Aug-2025</t>
  </si>
  <si>
    <t>102023437603</t>
  </si>
  <si>
    <t>2019236306</t>
  </si>
  <si>
    <t>54982</t>
  </si>
  <si>
    <t>Rajib Das</t>
  </si>
  <si>
    <t>Sukhen Das</t>
  </si>
  <si>
    <t>7029418376</t>
  </si>
  <si>
    <t>Mahishgram Murshidabad West Benga-742168</t>
  </si>
  <si>
    <t>102265881865</t>
  </si>
  <si>
    <t>6936576928</t>
  </si>
  <si>
    <t>53847</t>
  </si>
  <si>
    <t>Bishnu Das</t>
  </si>
  <si>
    <t>Labai Das</t>
  </si>
  <si>
    <t>9910357442</t>
  </si>
  <si>
    <t>Marjatpur, Birbhum, Beliakuricha,West Bengal,,731234</t>
  </si>
  <si>
    <t>20-Aug-2025</t>
  </si>
  <si>
    <t>102251237218</t>
  </si>
  <si>
    <t>6936506722</t>
  </si>
  <si>
    <t>25-Jun-2026</t>
  </si>
  <si>
    <t>55787</t>
  </si>
  <si>
    <t>Satyaban Mondal</t>
  </si>
  <si>
    <t>Biswanath Mondal</t>
  </si>
  <si>
    <t>9038876969</t>
  </si>
  <si>
    <t>Haripur Howrah West Bengal-711315</t>
  </si>
  <si>
    <t>102267904759</t>
  </si>
  <si>
    <t>6936627195</t>
  </si>
  <si>
    <t>55392</t>
  </si>
  <si>
    <t>Santosh Kumar Sharma</t>
  </si>
  <si>
    <t>Mishrilal Sharma</t>
  </si>
  <si>
    <t>7654151620</t>
  </si>
  <si>
    <t>Ward -04 Bishanpur Panchayat Paharpur Manahar Chamra Har Vaishali Bihar-844504</t>
  </si>
  <si>
    <t>101818188784</t>
  </si>
  <si>
    <t>6932318448</t>
  </si>
  <si>
    <t>55330</t>
  </si>
  <si>
    <t>Adittya</t>
  </si>
  <si>
    <t>BRAJ KISHOR DUAWEDI</t>
  </si>
  <si>
    <t>9835749632</t>
  </si>
  <si>
    <t>Purani Sahebganj Sahebganj Jharkhand-816109</t>
  </si>
  <si>
    <t>102010478638</t>
  </si>
  <si>
    <t>6934100380</t>
  </si>
  <si>
    <t>56291</t>
  </si>
  <si>
    <t>Pankaj Kumar</t>
  </si>
  <si>
    <t>Rakesh Kumar</t>
  </si>
  <si>
    <t>98216 59754</t>
  </si>
  <si>
    <t>Manipur Rae Bareli Utter Pradesh Manipur Rae Bareli Utter Pradesh-229316</t>
  </si>
  <si>
    <t>29-Oct-2025</t>
  </si>
  <si>
    <t>101116460950</t>
  </si>
  <si>
    <t>1115100564</t>
  </si>
  <si>
    <t>56540</t>
  </si>
  <si>
    <t>Archana Kumari</t>
  </si>
  <si>
    <t>Saurav Kumar</t>
  </si>
  <si>
    <t>9582875392</t>
  </si>
  <si>
    <t>House No -697 Gali No-06 C Chuttan Nagar Bijwasan South West Delhi-110061</t>
  </si>
  <si>
    <t>100926794591</t>
  </si>
  <si>
    <t>6929250003</t>
  </si>
  <si>
    <t>55387</t>
  </si>
  <si>
    <t>Golap Mostufa</t>
  </si>
  <si>
    <t>Sajahan Ali</t>
  </si>
  <si>
    <t>9395518716</t>
  </si>
  <si>
    <t>Vill -Uttar Safakamar Po- Gobardhana Gobardhana Barpeta  Assam-781315</t>
  </si>
  <si>
    <t>102110554081</t>
  </si>
  <si>
    <t>4709266476</t>
  </si>
  <si>
    <t>55653</t>
  </si>
  <si>
    <t>Rana Saha</t>
  </si>
  <si>
    <t>Late Nepal Saha</t>
  </si>
  <si>
    <t>96438 27197</t>
  </si>
  <si>
    <t>Nazirpur Post -Nazir Pur Nadia West Bengal-741165</t>
  </si>
  <si>
    <t>101803310747</t>
  </si>
  <si>
    <t>6932127484</t>
  </si>
  <si>
    <t>56539</t>
  </si>
  <si>
    <t>Santosh Kumar</t>
  </si>
  <si>
    <t>Ramketar</t>
  </si>
  <si>
    <t>7275561194</t>
  </si>
  <si>
    <t>Pure Diktan Kotva Mohmmadbad Rai Bareli Uttar Pradesh-229126</t>
  </si>
  <si>
    <t>01-Nov-2025</t>
  </si>
  <si>
    <t>101901556001</t>
  </si>
  <si>
    <t>6934145748</t>
  </si>
  <si>
    <t>55390</t>
  </si>
  <si>
    <t>Mosharof Ali</t>
  </si>
  <si>
    <t>Noor Islam</t>
  </si>
  <si>
    <t>9864702535</t>
  </si>
  <si>
    <t>Vill- Safakamar Gobardhana Barpeta Assam-781315</t>
  </si>
  <si>
    <t>101698258496</t>
  </si>
  <si>
    <t>5610380792</t>
  </si>
  <si>
    <t>55667</t>
  </si>
  <si>
    <t>Sunil Paswan</t>
  </si>
  <si>
    <t>Mahendra Paswan</t>
  </si>
  <si>
    <t>8287320107</t>
  </si>
  <si>
    <t>Manjira Post -Manjira Baka Bihar-813102</t>
  </si>
  <si>
    <t>11-Oct-2025</t>
  </si>
  <si>
    <t>101354577280</t>
  </si>
  <si>
    <t>6935199211</t>
  </si>
  <si>
    <t>53600</t>
  </si>
  <si>
    <t>Dileep  Kumar</t>
  </si>
  <si>
    <t>8445942253</t>
  </si>
  <si>
    <t>Village -Nagls Pai Post Kharpari Manipuri Uttar Pradesh-205001</t>
  </si>
  <si>
    <t>101925242016</t>
  </si>
  <si>
    <t>6933151593</t>
  </si>
  <si>
    <t>55342</t>
  </si>
  <si>
    <t>Mohan Singh Bairwa</t>
  </si>
  <si>
    <t>Mishrya Bairwa</t>
  </si>
  <si>
    <t>8700698556</t>
  </si>
  <si>
    <t>Vtc Meena Baroda Meena Baroda Gangapur Sawai Madhopur Rajeshthan-322219</t>
  </si>
  <si>
    <t>03-Oct-2025</t>
  </si>
  <si>
    <t>101268738864</t>
  </si>
  <si>
    <t>2015272559</t>
  </si>
  <si>
    <t>55420</t>
  </si>
  <si>
    <t>Safikul Islam</t>
  </si>
  <si>
    <t>Abad Ali</t>
  </si>
  <si>
    <t>8011239147</t>
  </si>
  <si>
    <t>Uttar Safakamar Po-Barpeta Raod Barpeta Assam-781315</t>
  </si>
  <si>
    <t>100783530843</t>
  </si>
  <si>
    <t>6936606538</t>
  </si>
  <si>
    <t>55679</t>
  </si>
  <si>
    <t>Simon Topno</t>
  </si>
  <si>
    <t>Samuel Topno</t>
  </si>
  <si>
    <t>7765903918</t>
  </si>
  <si>
    <t>Bamnom Pashchim Simghbum Jharkhand-835216</t>
  </si>
  <si>
    <t>102067769468</t>
  </si>
  <si>
    <t>6936617699</t>
  </si>
  <si>
    <t>56653</t>
  </si>
  <si>
    <t>Korneliya Biluang</t>
  </si>
  <si>
    <t>Albinus Biluang</t>
  </si>
  <si>
    <t>7042358409</t>
  </si>
  <si>
    <t>364-Salangapos Koromiyan Thethaitangar Simdega Jharkhand,,835226</t>
  </si>
  <si>
    <t>09-Nov-2025</t>
  </si>
  <si>
    <t>100494331257</t>
  </si>
  <si>
    <t>6930570345</t>
  </si>
  <si>
    <t>55386</t>
  </si>
  <si>
    <t>Forjul Islam</t>
  </si>
  <si>
    <t>Habulla Mulla</t>
  </si>
  <si>
    <t>8130574970</t>
  </si>
  <si>
    <t>Uttar Chanfakamon Gobardhana Barpeta Assam-781315</t>
  </si>
  <si>
    <t>100136359389</t>
  </si>
  <si>
    <t>6932361668</t>
  </si>
  <si>
    <t>55555</t>
  </si>
  <si>
    <t>Azgar Ali</t>
  </si>
  <si>
    <t>Motaleb Ali</t>
  </si>
  <si>
    <t>6002888597</t>
  </si>
  <si>
    <t>Uttar Safakamar Gobardhana Barpeta Assam-781315</t>
  </si>
  <si>
    <t>100987617367</t>
  </si>
  <si>
    <t>6936609324</t>
  </si>
  <si>
    <t>56520</t>
  </si>
  <si>
    <t>Revi Devi</t>
  </si>
  <si>
    <t>Dharmendra Singh</t>
  </si>
  <si>
    <t>9229083209</t>
  </si>
  <si>
    <t>Keshori Nawada Pakribarwan Bihar-805124</t>
  </si>
  <si>
    <t>102279409307</t>
  </si>
  <si>
    <t>6936698953</t>
  </si>
  <si>
    <t>55384</t>
  </si>
  <si>
    <t>Pramananda Jaypuria</t>
  </si>
  <si>
    <t>Santosh Jaypuria</t>
  </si>
  <si>
    <t>7853039106</t>
  </si>
  <si>
    <t>Biramitrapur Jhamankera Sundargarh Odisha-770033</t>
  </si>
  <si>
    <t>101540711847</t>
  </si>
  <si>
    <t>46409</t>
  </si>
  <si>
    <t>Raju Santra</t>
  </si>
  <si>
    <t>Robi Santra</t>
  </si>
  <si>
    <t>8527971995</t>
  </si>
  <si>
    <t>Baruicara Nadia West Bengal-741156</t>
  </si>
  <si>
    <t>100298826175</t>
  </si>
  <si>
    <t>6922653395</t>
  </si>
  <si>
    <t>55269</t>
  </si>
  <si>
    <t>Dhrub Jyoti Thakurija</t>
  </si>
  <si>
    <t>Saru Thakurija</t>
  </si>
  <si>
    <t>8135995897</t>
  </si>
  <si>
    <t>Upar Kuruak Kuruwa Udalguri Assam Kuruak Kuruwa Udalguri Assam-784145</t>
  </si>
  <si>
    <t>101637365951</t>
  </si>
  <si>
    <t>6932714399</t>
  </si>
  <si>
    <t>56514</t>
  </si>
  <si>
    <t>Aklema Khatun</t>
  </si>
  <si>
    <t>Majid Mahammed</t>
  </si>
  <si>
    <t>6296024574</t>
  </si>
  <si>
    <t>Mahipur Tungailbilpara Hemtabad Uttar Dinajpur West Bengal-733129</t>
  </si>
  <si>
    <t>Pantry Lady</t>
  </si>
  <si>
    <t>102148739839</t>
  </si>
  <si>
    <t>6936695897</t>
  </si>
  <si>
    <t>55440</t>
  </si>
  <si>
    <t>Meena Choudhury</t>
  </si>
  <si>
    <t>Shiv Charan Chaudhury</t>
  </si>
  <si>
    <t>8800855489</t>
  </si>
  <si>
    <t>House No -123 Zamrud Pur Greater Kailash South Delhi-110048</t>
  </si>
  <si>
    <t>100403130380</t>
  </si>
  <si>
    <t>6928645417</t>
  </si>
  <si>
    <t>55733</t>
  </si>
  <si>
    <t>Arun Pandey</t>
  </si>
  <si>
    <t>Ramchandra Pandey</t>
  </si>
  <si>
    <t>9794770970</t>
  </si>
  <si>
    <t>Karolina Sultanpur  Atarsuma Uttar Pradesh-228121</t>
  </si>
  <si>
    <t>Rider</t>
  </si>
  <si>
    <t>101179039807</t>
  </si>
  <si>
    <t>6935575234</t>
  </si>
  <si>
    <t>55176</t>
  </si>
  <si>
    <t>Om Prakash</t>
  </si>
  <si>
    <t>8447488525</t>
  </si>
  <si>
    <t>House No- 14/25 Gali No-03 Salapur Khera  Bijwasan South West Delhi-110061</t>
  </si>
  <si>
    <t>100722050283</t>
  </si>
  <si>
    <t>6932024225</t>
  </si>
  <si>
    <t>55323</t>
  </si>
  <si>
    <t>Jayanta Santra</t>
  </si>
  <si>
    <t>9211675361</t>
  </si>
  <si>
    <t>Baruipara Baruipara Nadia West Bengal-741156</t>
  </si>
  <si>
    <t>101240481249</t>
  </si>
  <si>
    <t>6935787225</t>
  </si>
  <si>
    <t>54587</t>
  </si>
  <si>
    <t>Sovit</t>
  </si>
  <si>
    <t>AMAR SINGH</t>
  </si>
  <si>
    <t>8273284564</t>
  </si>
  <si>
    <t>Bara Gaon Sefni Rampur Uttar Pradesh-244922</t>
  </si>
  <si>
    <t>101972175390</t>
  </si>
  <si>
    <t>6936034421</t>
  </si>
  <si>
    <t>55268</t>
  </si>
  <si>
    <t>Rakesh Kumar Paswan</t>
  </si>
  <si>
    <t>Kuldip Paswan</t>
  </si>
  <si>
    <t>7549685944</t>
  </si>
  <si>
    <t>Orai Jankipur Orai Post -Powai Dist-Banka Bihar-813125</t>
  </si>
  <si>
    <t>102119535613</t>
  </si>
  <si>
    <t>6936010759</t>
  </si>
  <si>
    <t>55344</t>
  </si>
  <si>
    <t>Vimal Devi</t>
  </si>
  <si>
    <t>Dayanand Choudhary</t>
  </si>
  <si>
    <t>7303319705</t>
  </si>
  <si>
    <t>S- 356 J.J Camp Okhla Phase -2 Okhla Industrial Area South Delhi-110020</t>
  </si>
  <si>
    <t>100113168559</t>
  </si>
  <si>
    <t>6934394845</t>
  </si>
  <si>
    <t>55448</t>
  </si>
  <si>
    <t>Punam Tigga</t>
  </si>
  <si>
    <t>Sandeep Tigga</t>
  </si>
  <si>
    <t>8527917208</t>
  </si>
  <si>
    <t>Vill-Sanwa Geerjatoli Thana Kurdega Garisjor Simdega Jharkhand-835212</t>
  </si>
  <si>
    <t>101139590456</t>
  </si>
  <si>
    <t>6934103292</t>
  </si>
  <si>
    <t>55343</t>
  </si>
  <si>
    <t>Sangita Rani</t>
  </si>
  <si>
    <t>9220870795</t>
  </si>
  <si>
    <t>Chitawer Bijnor Chitawer Utter Pradesh-246731</t>
  </si>
  <si>
    <t>102158630342</t>
  </si>
  <si>
    <t>6935711124</t>
  </si>
  <si>
    <t>55447</t>
  </si>
  <si>
    <t>Pooja Kumari</t>
  </si>
  <si>
    <t>Gopal Kumar</t>
  </si>
  <si>
    <t>8527397380</t>
  </si>
  <si>
    <t>Lodia Bhagalpur Lakhisarai Bihar-811311</t>
  </si>
  <si>
    <t>101406549847</t>
  </si>
  <si>
    <t>6933310048</t>
  </si>
  <si>
    <t>55690</t>
  </si>
  <si>
    <t>Binita Lakra</t>
  </si>
  <si>
    <t>Phiroj Lakra</t>
  </si>
  <si>
    <t>9958993472</t>
  </si>
  <si>
    <t>House' No -102 Ginnikera Bansior Simdega Jharkhand-835226</t>
  </si>
  <si>
    <t>100115149881</t>
  </si>
  <si>
    <t>6934489842</t>
  </si>
  <si>
    <t>55331</t>
  </si>
  <si>
    <t>Shampa Baidya</t>
  </si>
  <si>
    <t>Prasad Baidya</t>
  </si>
  <si>
    <t>7407161071</t>
  </si>
  <si>
    <t>Mahamaya Khari Khari Mathura Pur South 24 Parganas West Bengal-743349</t>
  </si>
  <si>
    <t>100276491128</t>
  </si>
  <si>
    <t>6936121483</t>
  </si>
  <si>
    <t>55446</t>
  </si>
  <si>
    <t>Soni Devi</t>
  </si>
  <si>
    <t>Vijay Kumar Das</t>
  </si>
  <si>
    <t>7488944537</t>
  </si>
  <si>
    <t>Sultanpur Chak Harihar Vaishali Bihar-843114</t>
  </si>
  <si>
    <t>100310117525</t>
  </si>
  <si>
    <t>6936606648</t>
  </si>
  <si>
    <t>55650</t>
  </si>
  <si>
    <t>Mamtaz Sekh</t>
  </si>
  <si>
    <t>Kitabali</t>
  </si>
  <si>
    <t>9711295394</t>
  </si>
  <si>
    <t>Abhoynagar Baruipara Nadiya West Bengal-741156</t>
  </si>
  <si>
    <t>100132027364</t>
  </si>
  <si>
    <t>2018489885</t>
  </si>
  <si>
    <t>55451</t>
  </si>
  <si>
    <t>Meena</t>
  </si>
  <si>
    <t>AMAN</t>
  </si>
  <si>
    <t>8053911529</t>
  </si>
  <si>
    <t>15-Lamba Mohalla Shahbad Mohammadpur South West Delhi-110061</t>
  </si>
  <si>
    <t>100213893137</t>
  </si>
  <si>
    <t>6934760616</t>
  </si>
  <si>
    <t>55704</t>
  </si>
  <si>
    <t>Manik Biswas</t>
  </si>
  <si>
    <t>Sunil Biswas</t>
  </si>
  <si>
    <t>9654301634</t>
  </si>
  <si>
    <t>Salhapur Khera Plot In Kh.No -25/12,13,14,15 Min Gali No -5 Bijwasan South West Delhi-110061</t>
  </si>
  <si>
    <t>101099359965</t>
  </si>
  <si>
    <t>6930985831</t>
  </si>
  <si>
    <t>22827</t>
  </si>
  <si>
    <t>Ankush</t>
  </si>
  <si>
    <t>SUBHASH CHANDRA SHARMA</t>
  </si>
  <si>
    <t>8700914116</t>
  </si>
  <si>
    <t>Vill-Hayatpur Bijhara Post Bank Niranjankot  Aligarh</t>
  </si>
  <si>
    <t>26-Dec-2025</t>
  </si>
  <si>
    <t>Engineer</t>
  </si>
  <si>
    <t>101154376963</t>
  </si>
  <si>
    <t>6927066518</t>
  </si>
  <si>
    <t>23086</t>
  </si>
  <si>
    <t>Satinder Sharma</t>
  </si>
  <si>
    <t>Lalan Sharma</t>
  </si>
  <si>
    <t>9821706313</t>
  </si>
  <si>
    <t>Village- Chakkarpur Gurgaon Haryana</t>
  </si>
  <si>
    <t>10-Feb-2026</t>
  </si>
  <si>
    <t>101363361964</t>
  </si>
  <si>
    <t>6929911912</t>
  </si>
  <si>
    <t>2095725</t>
  </si>
  <si>
    <t>Himanshu</t>
  </si>
  <si>
    <t>Mr. Tej Ram</t>
  </si>
  <si>
    <t>9911518928</t>
  </si>
  <si>
    <t>House No -207, Arjun Camp Mahipalpur, New Delhi -110037</t>
  </si>
  <si>
    <t>26-Mar-2026</t>
  </si>
  <si>
    <t>Mis Executive</t>
  </si>
  <si>
    <t>40035907</t>
  </si>
  <si>
    <t>101319066556</t>
  </si>
  <si>
    <t>86507</t>
  </si>
  <si>
    <t>Abhilasha Devi</t>
  </si>
  <si>
    <t>Ramaiya</t>
  </si>
  <si>
    <t>8400684266</t>
  </si>
  <si>
    <t>Dhawari Kharela Dhawari Kharela Mahoba 223 Uttar Pradesh 210425</t>
  </si>
  <si>
    <t>20-Jan-2026</t>
  </si>
  <si>
    <t>Hitesh</t>
  </si>
  <si>
    <t>102176442309</t>
  </si>
  <si>
    <t>1326598189</t>
  </si>
  <si>
    <t>87047</t>
  </si>
  <si>
    <t>Arun Kumar</t>
  </si>
  <si>
    <t>Amarpal</t>
  </si>
  <si>
    <t>6397333659</t>
  </si>
  <si>
    <t>Srinagar Bhura Bhadraul Bhadraul 0 Uttar Pradesh 243636</t>
  </si>
  <si>
    <t>13-Feb-2026</t>
  </si>
  <si>
    <t>101154528992</t>
  </si>
  <si>
    <t>6722184996</t>
  </si>
  <si>
    <t>87662</t>
  </si>
  <si>
    <t>Bablu</t>
  </si>
  <si>
    <t>DESHBANDHU</t>
  </si>
  <si>
    <t>7976787782</t>
  </si>
  <si>
    <t>Bahaj Bahaj Deeg Deeg 223 Rajasthan 321203</t>
  </si>
  <si>
    <t>25-Feb-2026</t>
  </si>
  <si>
    <t>102010825344</t>
  </si>
  <si>
    <t>6936969206</t>
  </si>
  <si>
    <t>84100</t>
  </si>
  <si>
    <t>Bikram Sarkar</t>
  </si>
  <si>
    <t>Khokan Sarkar</t>
  </si>
  <si>
    <t>7365829284</t>
  </si>
  <si>
    <t>Chhatarpur  Uttar Dinajpur  Uttar Dinajpur  Uttar Dinajpur  0 West Bengal 733134</t>
  </si>
  <si>
    <t>01-Jan-2026</t>
  </si>
  <si>
    <t>102277848594</t>
  </si>
  <si>
    <t>6936650037</t>
  </si>
  <si>
    <t>87195</t>
  </si>
  <si>
    <t>Biswesar Ghosh</t>
  </si>
  <si>
    <t>Patal Ghosh</t>
  </si>
  <si>
    <t>7011456468</t>
  </si>
  <si>
    <t>Mahendra  Kanaipur Harirampur  Hariramp  0 West Bengal 733125</t>
  </si>
  <si>
    <t>102104090022</t>
  </si>
  <si>
    <t>6936978203</t>
  </si>
  <si>
    <t>87663</t>
  </si>
  <si>
    <t>Chandan Kumar</t>
  </si>
  <si>
    <t>Naresh Das</t>
  </si>
  <si>
    <t>7042888143</t>
  </si>
  <si>
    <t>1147 Gali 6 Kapasera Kapasera Kapasera 0 Delhi 110037</t>
  </si>
  <si>
    <t>12-Feb-2026</t>
  </si>
  <si>
    <t>100648797045</t>
  </si>
  <si>
    <t>6934044949</t>
  </si>
  <si>
    <t>84667</t>
  </si>
  <si>
    <t>Deepak</t>
  </si>
  <si>
    <t>MALKHAN SINGH</t>
  </si>
  <si>
    <t>6396085661</t>
  </si>
  <si>
    <t>Gram Reetaur Post Reetaur  Ekdil Bharthana  223 Uttar Pradesh 206126</t>
  </si>
  <si>
    <t>102105723688</t>
  </si>
  <si>
    <t>6719866907</t>
  </si>
  <si>
    <t>86405</t>
  </si>
  <si>
    <t>Deepak Kumar</t>
  </si>
  <si>
    <t>Shiahupal Singh</t>
  </si>
  <si>
    <t>8860905703</t>
  </si>
  <si>
    <t>House No.416 Gali No.03 Kapasheda  Kapasheda  174 Delhi 110037</t>
  </si>
  <si>
    <t>102274623698</t>
  </si>
  <si>
    <t>6936787545</t>
  </si>
  <si>
    <t>86743</t>
  </si>
  <si>
    <t>Deepak Kumar Tiwari</t>
  </si>
  <si>
    <t>Hrdayanand Tiwari</t>
  </si>
  <si>
    <t>7275724084</t>
  </si>
  <si>
    <t>Uttar Tola,Bansdih Bansdih Bansdih Bansdih 167 Uttar Pradesh 277202</t>
  </si>
  <si>
    <t>12-Jan-2026</t>
  </si>
  <si>
    <t>101733611290</t>
  </si>
  <si>
    <t>5347712880</t>
  </si>
  <si>
    <t>86981</t>
  </si>
  <si>
    <t>Dharm Veer</t>
  </si>
  <si>
    <t>Shree Chand</t>
  </si>
  <si>
    <t>Vill Mumiya  Nagla Khilli Etah Etah 174 Uttar Pradesh 207001</t>
  </si>
  <si>
    <t>16-Jan-2026</t>
  </si>
  <si>
    <t>102299426655</t>
  </si>
  <si>
    <t>6936948263</t>
  </si>
  <si>
    <t>87048</t>
  </si>
  <si>
    <t>Etwa Bhengra</t>
  </si>
  <si>
    <t>Mangal Bhengra</t>
  </si>
  <si>
    <t>7042217814</t>
  </si>
  <si>
    <t>Urikel Bikuwadag Khunti Khunti 223 Jharkhand 835234</t>
  </si>
  <si>
    <t>06-Feb-2026</t>
  </si>
  <si>
    <t>101198184333</t>
  </si>
  <si>
    <t>6927349943</t>
  </si>
  <si>
    <t>86474</t>
  </si>
  <si>
    <t>Harish Kumar</t>
  </si>
  <si>
    <t>Rampal</t>
  </si>
  <si>
    <t>9971583851</t>
  </si>
  <si>
    <t>Barkhera Kala Barkhera Barkhera Bisalpur 223 Uttar Pradesh 262001</t>
  </si>
  <si>
    <t>02-Jan-2026</t>
  </si>
  <si>
    <t>102291342741</t>
  </si>
  <si>
    <t>6936909986</t>
  </si>
  <si>
    <t>86628</t>
  </si>
  <si>
    <t>Indra Kumar Kundu</t>
  </si>
  <si>
    <t>Dilip Kumar Kundu</t>
  </si>
  <si>
    <t>9540192960</t>
  </si>
  <si>
    <t>Kaliya Ganj Kaliyaganj Kaliyaganj Uttar Dinajpur  223 West Bengal 733129</t>
  </si>
  <si>
    <t>18-Jan-2026</t>
  </si>
  <si>
    <t>101185283616</t>
  </si>
  <si>
    <t>4118585202</t>
  </si>
  <si>
    <t>87049</t>
  </si>
  <si>
    <t>Karmu Lohra</t>
  </si>
  <si>
    <t>Mahju Lohra</t>
  </si>
  <si>
    <t>7209921378</t>
  </si>
  <si>
    <t>Vill - Nawa Toli Jamgain Chainpur Chainpur  0 Jharkhand 835206</t>
  </si>
  <si>
    <t>11-Feb-2026</t>
  </si>
  <si>
    <t>102266732297</t>
  </si>
  <si>
    <t>6936941964</t>
  </si>
  <si>
    <t>86982</t>
  </si>
  <si>
    <t>Kavita Devi</t>
  </si>
  <si>
    <t>Mahadev Bhui</t>
  </si>
  <si>
    <t>7761892208</t>
  </si>
  <si>
    <t>122002 28,  Emamgang 122002 223 Bihar 122002</t>
  </si>
  <si>
    <t>31-Jan-2026</t>
  </si>
  <si>
    <t>102276189229</t>
  </si>
  <si>
    <t>6936788283</t>
  </si>
  <si>
    <t>86755</t>
  </si>
  <si>
    <t>Kishor Kindo</t>
  </si>
  <si>
    <t>John Kindo</t>
  </si>
  <si>
    <t>8210676375</t>
  </si>
  <si>
    <t>Raibera Charotoli Baghdegha Simdega 223 Jharkhand 835223</t>
  </si>
  <si>
    <t>07-Jan-2026</t>
  </si>
  <si>
    <t>102276543770</t>
  </si>
  <si>
    <t>6936907472</t>
  </si>
  <si>
    <t>85150</t>
  </si>
  <si>
    <t>Krishna Barman</t>
  </si>
  <si>
    <t>Bhabesh Chandra Barman</t>
  </si>
  <si>
    <t>9064605384</t>
  </si>
  <si>
    <t>Miruyal Noabari  Uttar Dinajpur Uttar Dinajpur 223 West Bengal 733130</t>
  </si>
  <si>
    <t>102272248157</t>
  </si>
  <si>
    <t>6936742139</t>
  </si>
  <si>
    <t>86578</t>
  </si>
  <si>
    <t>Krishna Mahato</t>
  </si>
  <si>
    <t>Prafulla Mahanto</t>
  </si>
  <si>
    <t>9733563935</t>
  </si>
  <si>
    <t>Daulatpur Charanpara Daulatpur Daulatpur  223 West Bengal 733124</t>
  </si>
  <si>
    <t>102293803788</t>
  </si>
  <si>
    <t>6936948395</t>
  </si>
  <si>
    <t>87051</t>
  </si>
  <si>
    <t>Kunti Devi</t>
  </si>
  <si>
    <t>Mohan Mahto</t>
  </si>
  <si>
    <t>9771357959</t>
  </si>
  <si>
    <t>Govind Pur Basti Bokaro Bokaro Bokaro 167 Jharkhand 829107</t>
  </si>
  <si>
    <t>102019947464</t>
  </si>
  <si>
    <t>6936769064</t>
  </si>
  <si>
    <t>88162</t>
  </si>
  <si>
    <t>Mallika Bhuimali</t>
  </si>
  <si>
    <t>Biplab Bhuimali</t>
  </si>
  <si>
    <t>8597252208</t>
  </si>
  <si>
    <t>Roypara Gazol Katna Gazol 167 West Bengal 732124</t>
  </si>
  <si>
    <t>06-Mar-2026</t>
  </si>
  <si>
    <t>102311561628</t>
  </si>
  <si>
    <t>6936991895</t>
  </si>
  <si>
    <t>87325</t>
  </si>
  <si>
    <t>Manika Malo</t>
  </si>
  <si>
    <t>Jiten Malo</t>
  </si>
  <si>
    <t>8670661094</t>
  </si>
  <si>
    <t>Basanta Basanta Trimohni Basanta 223 West Bengal 733155</t>
  </si>
  <si>
    <t>102105224499</t>
  </si>
  <si>
    <t>6935117689</t>
  </si>
  <si>
    <t>87056</t>
  </si>
  <si>
    <t>Manish Nag</t>
  </si>
  <si>
    <t>Sohan Nag</t>
  </si>
  <si>
    <t>9910662317</t>
  </si>
  <si>
    <t>Coplàs  Biramitrapur Biramitrapur Biramitràpur 223 Odisha 770033</t>
  </si>
  <si>
    <t>100219174317</t>
  </si>
  <si>
    <t>6931001409</t>
  </si>
  <si>
    <t>87055</t>
  </si>
  <si>
    <t>Manju Devi</t>
  </si>
  <si>
    <t>Sushil Paswan</t>
  </si>
  <si>
    <t>8541050200</t>
  </si>
  <si>
    <t>Belmohan Sudairstauli Belmohan Madhubni 223 Bihar 847402</t>
  </si>
  <si>
    <t>102167689135</t>
  </si>
  <si>
    <t>6935775557</t>
  </si>
  <si>
    <t>86577</t>
  </si>
  <si>
    <t>Manthan Kumar Sinha</t>
  </si>
  <si>
    <t>Gangesh Sinha</t>
  </si>
  <si>
    <t>9211281835</t>
  </si>
  <si>
    <t>Palam Vihar  Maya Chand Colony  Molahera Palam Vihar  223 Haryana 122015</t>
  </si>
  <si>
    <t>102208468894</t>
  </si>
  <si>
    <t>6936655072</t>
  </si>
  <si>
    <t>87017</t>
  </si>
  <si>
    <t>Momi Mandal</t>
  </si>
  <si>
    <t>Bipul Mandal</t>
  </si>
  <si>
    <t>8826762254</t>
  </si>
  <si>
    <t>Mayahar Kail Mayahar  Buniadpur Buniadpur 0 West Bengal 733121</t>
  </si>
  <si>
    <t>101930623659</t>
  </si>
  <si>
    <t>6932560071</t>
  </si>
  <si>
    <t>86576</t>
  </si>
  <si>
    <t>Sevaram</t>
  </si>
  <si>
    <t>7379621527</t>
  </si>
  <si>
    <t>Kidawai Nagar  Chaudhari Kannauj Chhapra 223 Uttar Pradesh 209722</t>
  </si>
  <si>
    <t>102293959141</t>
  </si>
  <si>
    <t>6936948417</t>
  </si>
  <si>
    <t>86149</t>
  </si>
  <si>
    <t>Nandani Kumari</t>
  </si>
  <si>
    <t>Surendra Das</t>
  </si>
  <si>
    <t>9650358945</t>
  </si>
  <si>
    <t>Sita Marhi Bihar Thumma Thumma 167 Bihar 843328</t>
  </si>
  <si>
    <t>6936213255</t>
  </si>
  <si>
    <t>84779</t>
  </si>
  <si>
    <t>Narayan</t>
  </si>
  <si>
    <t>SHYAM PAL</t>
  </si>
  <si>
    <t>9540620860</t>
  </si>
  <si>
    <t>Roza Roza Roza Sahjahan Pur 168 Uttar Pradesh 242306</t>
  </si>
  <si>
    <t>101221234267</t>
  </si>
  <si>
    <t>6929661425</t>
  </si>
  <si>
    <t>87330</t>
  </si>
  <si>
    <t>Naresh Singh</t>
  </si>
  <si>
    <t>Daleep Singh</t>
  </si>
  <si>
    <t>9911752212</t>
  </si>
  <si>
    <t>House No. 66 Akhuli Pithoragarh Pithoragarh 0 Uttarakhand 262501</t>
  </si>
  <si>
    <t>20-Feb-2026</t>
  </si>
  <si>
    <t>100529927263</t>
  </si>
  <si>
    <t>6924587654</t>
  </si>
  <si>
    <t>87052</t>
  </si>
  <si>
    <t>Pradeep Kujur</t>
  </si>
  <si>
    <t>Thomas Kujur</t>
  </si>
  <si>
    <t>8130172729</t>
  </si>
  <si>
    <t>122002 28,  Talsera 122002 223 Odisha 122002</t>
  </si>
  <si>
    <t>02-Feb-2026</t>
  </si>
  <si>
    <t>100896067323</t>
  </si>
  <si>
    <t>6931099298</t>
  </si>
  <si>
    <t>87060</t>
  </si>
  <si>
    <t>Prem Champia</t>
  </si>
  <si>
    <t>Birsa Champia</t>
  </si>
  <si>
    <t>9217565570</t>
  </si>
  <si>
    <t>Salani Bari Shalonibari Sonitpur Sonitpur  223 Assam 784104</t>
  </si>
  <si>
    <t>101518673065</t>
  </si>
  <si>
    <t>2019524719</t>
  </si>
  <si>
    <t>86060</t>
  </si>
  <si>
    <t>Priyanka Basak</t>
  </si>
  <si>
    <t>Pintu Basak</t>
  </si>
  <si>
    <t>8328754887</t>
  </si>
  <si>
    <t>Dakra Dakra Dakra  Fakra 0 West Bengal 733102</t>
  </si>
  <si>
    <t>102226051331</t>
  </si>
  <si>
    <t>6936234408</t>
  </si>
  <si>
    <t>86630</t>
  </si>
  <si>
    <t>Rahul Kumar</t>
  </si>
  <si>
    <t>Mithlesh Ray</t>
  </si>
  <si>
    <t>9142329085</t>
  </si>
  <si>
    <t>Vill - Dhepura Ward No. 13, Post - Dalsinh Sarai Dalsingh Sarai Dalsing Sarai 0 Bihar 848114</t>
  </si>
  <si>
    <t>27-Jan-2026</t>
  </si>
  <si>
    <t>102098639877</t>
  </si>
  <si>
    <t>1327319969</t>
  </si>
  <si>
    <t>85106</t>
  </si>
  <si>
    <t>Rajesh Kachhuwa</t>
  </si>
  <si>
    <t>Khristopar</t>
  </si>
  <si>
    <t>8929011440</t>
  </si>
  <si>
    <t>Kapllas Birmitrapur Birmitrapur Birmitrapur 0 Odisha 770033</t>
  </si>
  <si>
    <t>100318047144</t>
  </si>
  <si>
    <t>6936742816</t>
  </si>
  <si>
    <t>88163</t>
  </si>
  <si>
    <t>Rajesh Munda</t>
  </si>
  <si>
    <t>Lodhe Munda</t>
  </si>
  <si>
    <t>9971527314</t>
  </si>
  <si>
    <t>Nathupur  Nathupur Phase 3 Ggn 301 Haryana 122002</t>
  </si>
  <si>
    <t>13-Mar-2026</t>
  </si>
  <si>
    <t>102313059024</t>
  </si>
  <si>
    <t>6936768500</t>
  </si>
  <si>
    <t>87447</t>
  </si>
  <si>
    <t>Ram Raj Gope</t>
  </si>
  <si>
    <t>Bihari Gop</t>
  </si>
  <si>
    <t>8586902406</t>
  </si>
  <si>
    <t>122002 28,  Ghaghra 122002 223 Jharkhand 122002</t>
  </si>
  <si>
    <t>102304933130</t>
  </si>
  <si>
    <t>6936978154</t>
  </si>
  <si>
    <t>88105</t>
  </si>
  <si>
    <t>Ravi Kumar</t>
  </si>
  <si>
    <t>Dori Lal</t>
  </si>
  <si>
    <t>8506896505</t>
  </si>
  <si>
    <t>House No. 92 Q Block Mohan Garden, Uttam Nagar Uttam Nagar 0 Delhi 110059</t>
  </si>
  <si>
    <t>23-Feb-2026</t>
  </si>
  <si>
    <t>102197284942</t>
  </si>
  <si>
    <t>6936096636</t>
  </si>
  <si>
    <t>84436</t>
  </si>
  <si>
    <t>Ravi Lohra</t>
  </si>
  <si>
    <t>Mangal Lohra</t>
  </si>
  <si>
    <t>9065983092</t>
  </si>
  <si>
    <t>935 Mahuajari Mangal Lohra  Ranchi  0 Jharkhand 835214</t>
  </si>
  <si>
    <t>101965356812</t>
  </si>
  <si>
    <t>7900933284</t>
  </si>
  <si>
    <t>87666</t>
  </si>
  <si>
    <t>Sahil Minj</t>
  </si>
  <si>
    <t>Selestin Minj</t>
  </si>
  <si>
    <t>7635047593</t>
  </si>
  <si>
    <t>Nandeal Chainpur Chainpur Gumla  0 Jharkhand 835206</t>
  </si>
  <si>
    <t>01-Feb-2026</t>
  </si>
  <si>
    <t>102307032648</t>
  </si>
  <si>
    <t>6936969204</t>
  </si>
  <si>
    <t>87058</t>
  </si>
  <si>
    <t>Salman Minj</t>
  </si>
  <si>
    <t>Sudhir Minj</t>
  </si>
  <si>
    <t>9508130169</t>
  </si>
  <si>
    <t>Chainpur Bartoli Chainpur  Chainpur Chainpur  0 Jharkhand 835206</t>
  </si>
  <si>
    <t>102301552098</t>
  </si>
  <si>
    <t>6936942835</t>
  </si>
  <si>
    <t>86517</t>
  </si>
  <si>
    <t>Sanjay</t>
  </si>
  <si>
    <t>SHANKAR</t>
  </si>
  <si>
    <t>9654781936</t>
  </si>
  <si>
    <t>Gram Ruaan Uttarpradesh  Bilsi Bilsi 171 Uttar Pradesh 243633</t>
  </si>
  <si>
    <t>24-Jan-2026</t>
  </si>
  <si>
    <t>101187823514</t>
  </si>
  <si>
    <t>6936651906</t>
  </si>
  <si>
    <t>88106</t>
  </si>
  <si>
    <t>Sanjay Munda</t>
  </si>
  <si>
    <t>Timpu Munda</t>
  </si>
  <si>
    <t>9310184478</t>
  </si>
  <si>
    <t>Malgo  Lapung Lapung Ranchi 223 Jharkhand 835234</t>
  </si>
  <si>
    <t>101589663506</t>
  </si>
  <si>
    <t>6930113202</t>
  </si>
  <si>
    <t>88176</t>
  </si>
  <si>
    <t>Sanjay Ray</t>
  </si>
  <si>
    <t>Vishwanath</t>
  </si>
  <si>
    <t>8178678446</t>
  </si>
  <si>
    <t>Nathupur  Nathupur  Phase 3 Ggn 108 Haryana 122002</t>
  </si>
  <si>
    <t>17-Mar-2026</t>
  </si>
  <si>
    <t>100333504765</t>
  </si>
  <si>
    <t>6932358641</t>
  </si>
  <si>
    <t>87969</t>
  </si>
  <si>
    <t>Sanjeet Kumar</t>
  </si>
  <si>
    <t>Laldeo Bhuyan</t>
  </si>
  <si>
    <t>9971513929</t>
  </si>
  <si>
    <t>Nathupur Nathupur Dlf Phase 3 Sergati Gurugram  223 Haryana 122002</t>
  </si>
  <si>
    <t>28-Feb-2026</t>
  </si>
  <si>
    <t>102307403559</t>
  </si>
  <si>
    <t>6936980959</t>
  </si>
  <si>
    <t>87197</t>
  </si>
  <si>
    <t>Sanju Devi</t>
  </si>
  <si>
    <t>Dhanu Mukhiya</t>
  </si>
  <si>
    <t>7545997383</t>
  </si>
  <si>
    <t>Bhatpura Ward-1 Sarisab Pahi Sukhwara  0 Bihar 847424</t>
  </si>
  <si>
    <t>05-Feb-2026</t>
  </si>
  <si>
    <t>102158628184</t>
  </si>
  <si>
    <t>6935712016</t>
  </si>
  <si>
    <t>87196</t>
  </si>
  <si>
    <t>Shefali Debnath</t>
  </si>
  <si>
    <t>Nani Gopla Debnath</t>
  </si>
  <si>
    <t>7045340977</t>
  </si>
  <si>
    <t>Jalalpur Jalalpur  Jalalpur  Jalalpur  0 West Bengal 733124</t>
  </si>
  <si>
    <t>102301724384</t>
  </si>
  <si>
    <t>6936969194</t>
  </si>
  <si>
    <t>85430</t>
  </si>
  <si>
    <t>Suman</t>
  </si>
  <si>
    <t>BABU LAL</t>
  </si>
  <si>
    <t>8604410074</t>
  </si>
  <si>
    <t>Ganga Ganj  102 Lagat Harichand Pur Mubarak Pur 167 Uttar Pradesh 229303</t>
  </si>
  <si>
    <t>102174683597</t>
  </si>
  <si>
    <t>1327791888</t>
  </si>
  <si>
    <t>88256</t>
  </si>
  <si>
    <t>Sumit Beck</t>
  </si>
  <si>
    <t>Late Iliyas Beck</t>
  </si>
  <si>
    <t>9625712209</t>
  </si>
  <si>
    <t>Bera Toli Konpala T.Tanger Simdega 223 Jharkhand 835235</t>
  </si>
  <si>
    <t>12-Mar-2026</t>
  </si>
  <si>
    <t>101840054896</t>
  </si>
  <si>
    <t>6932538975</t>
  </si>
  <si>
    <t>77229</t>
  </si>
  <si>
    <t>Sumit Kumar</t>
  </si>
  <si>
    <t>Sajan Lal Maurya</t>
  </si>
  <si>
    <t>9041960733</t>
  </si>
  <si>
    <t>Bhapata  Bhapata Lumuya Sultanpur  Uttar Pradesh 228001</t>
  </si>
  <si>
    <t>102091115753</t>
  </si>
  <si>
    <t>6935905773</t>
  </si>
  <si>
    <t>87016</t>
  </si>
  <si>
    <t>Sunita Devi</t>
  </si>
  <si>
    <t>Kaleswer</t>
  </si>
  <si>
    <t>9798893634</t>
  </si>
  <si>
    <t>122002 28, Dobji 122002 223 Bihar 122002</t>
  </si>
  <si>
    <t>102274212397</t>
  </si>
  <si>
    <t>6936788143</t>
  </si>
  <si>
    <t>76611</t>
  </si>
  <si>
    <t>Vicky Kumar</t>
  </si>
  <si>
    <t>Suresh Prasad</t>
  </si>
  <si>
    <t>8434092164</t>
  </si>
  <si>
    <t>Kisan Cold Store Lane Near Sai Temple Patna .  Bihar 800006</t>
  </si>
  <si>
    <t>102080026617</t>
  </si>
  <si>
    <t>6935888918</t>
  </si>
  <si>
    <t>22769</t>
  </si>
  <si>
    <t>Deepak Vishwakarma</t>
  </si>
  <si>
    <t>Vinod Vishwakrma</t>
  </si>
  <si>
    <t>7618083614</t>
  </si>
  <si>
    <t>Nathupur Sector-24  Gurgaon</t>
  </si>
  <si>
    <t>101792054364</t>
  </si>
  <si>
    <t>6935066989</t>
  </si>
  <si>
    <t>22852</t>
  </si>
  <si>
    <t>Neeraj Mourya</t>
  </si>
  <si>
    <t>Ram Adhar</t>
  </si>
  <si>
    <t>9211016333</t>
  </si>
  <si>
    <t>Salapur Near Sec-21bijwasan  Delhi</t>
  </si>
  <si>
    <t>15-Jan-2026</t>
  </si>
  <si>
    <t>101253154464</t>
  </si>
  <si>
    <t>6113417778</t>
  </si>
  <si>
    <t>22853</t>
  </si>
  <si>
    <t>Ajay</t>
  </si>
  <si>
    <t>RAM SINGH</t>
  </si>
  <si>
    <t>9911883957</t>
  </si>
  <si>
    <t>Ward No-13 Near Jon School Hathin Palwal Haryana</t>
  </si>
  <si>
    <t>100897252898</t>
  </si>
  <si>
    <t>6931471356</t>
  </si>
  <si>
    <t>22864</t>
  </si>
  <si>
    <t>Deepak Kumar Bhartee</t>
  </si>
  <si>
    <t>Khajanchi Prasad</t>
  </si>
  <si>
    <t>8736984635</t>
  </si>
  <si>
    <t>Chilauna Post- Sahu Mathiya Po-Gauri Bazar Deoria Uttar Pradesh</t>
  </si>
  <si>
    <t>14-Jan-2026</t>
  </si>
  <si>
    <t>102203017494</t>
  </si>
  <si>
    <t>6936106718</t>
  </si>
  <si>
    <t>22868</t>
  </si>
  <si>
    <t>Vijay Singh</t>
  </si>
  <si>
    <t>Mohar Singh</t>
  </si>
  <si>
    <t>9811286279</t>
  </si>
  <si>
    <t>Flate No-4 Waves Residenvy Patel Nagar  Gurgaon</t>
  </si>
  <si>
    <t>101847223956</t>
  </si>
  <si>
    <t>6935026709</t>
  </si>
  <si>
    <t>22876</t>
  </si>
  <si>
    <t>Anmol Ravi Vishwakarma</t>
  </si>
  <si>
    <t>Kashinath Vishwakarma</t>
  </si>
  <si>
    <t>8745884515</t>
  </si>
  <si>
    <t>H.No-80 Rasulpur P.S Shadiabad Rasulpur Ghazipur Uttar Pradesh</t>
  </si>
  <si>
    <t>22-Jan-2026</t>
  </si>
  <si>
    <t>101404189708</t>
  </si>
  <si>
    <t>6929079653</t>
  </si>
  <si>
    <t>23016</t>
  </si>
  <si>
    <t>Tuntun Kumar Yadav</t>
  </si>
  <si>
    <t>Madan Yadav</t>
  </si>
  <si>
    <t>8840545522</t>
  </si>
  <si>
    <t>Bahuara Post Lalganj Hirdiaypur Ballia Uttar Pradesh</t>
  </si>
  <si>
    <t>102070451713</t>
  </si>
  <si>
    <t>2614776439</t>
  </si>
  <si>
    <t>23122</t>
  </si>
  <si>
    <t>Sahil Singh</t>
  </si>
  <si>
    <t>Sawai Singh</t>
  </si>
  <si>
    <t>8949110795</t>
  </si>
  <si>
    <t>Sukhrali Sector 17  Gurgaon</t>
  </si>
  <si>
    <t>10-Mar-2026</t>
  </si>
  <si>
    <t>102321652386</t>
  </si>
  <si>
    <t>6936990197</t>
  </si>
  <si>
    <t>23145</t>
  </si>
  <si>
    <t>Md Shamshad Alam</t>
  </si>
  <si>
    <t>Md. Kalam Alam</t>
  </si>
  <si>
    <t>8340517545</t>
  </si>
  <si>
    <t>Mani Road Kali Asthan Murarpur Post Head Gaya Bihar</t>
  </si>
  <si>
    <t>01-Mar-2026</t>
  </si>
  <si>
    <t>101838448956</t>
  </si>
  <si>
    <t>2018719669</t>
  </si>
  <si>
    <t>56611</t>
  </si>
  <si>
    <t>Kumud Ranjan Kumar</t>
  </si>
  <si>
    <t>Satendra Kumar Ray</t>
  </si>
  <si>
    <t>9102561781</t>
  </si>
  <si>
    <t>Balipakar Po:Achua Achua Patna Bihar-801110</t>
  </si>
  <si>
    <t>100785679304</t>
  </si>
  <si>
    <t>6925770677</t>
  </si>
  <si>
    <t>56737</t>
  </si>
  <si>
    <t>Sejal</t>
  </si>
  <si>
    <t>NARESH</t>
  </si>
  <si>
    <t>9871662603</t>
  </si>
  <si>
    <t>Hno-63,First Floor Near Peer Baba Nathupur (67) Po:Nathupur,District Gurgaon Hr,122002</t>
  </si>
  <si>
    <t>16-Apr-2026</t>
  </si>
  <si>
    <t>Pantry Girl</t>
  </si>
  <si>
    <t>101821274377</t>
  </si>
  <si>
    <t>6932333632</t>
  </si>
  <si>
    <t>57635</t>
  </si>
  <si>
    <t>Subha Bera</t>
  </si>
  <si>
    <t>Gurupada Bera</t>
  </si>
  <si>
    <t>8447996326</t>
  </si>
  <si>
    <t>Companichar South 24 Parganas West Bengal-743373</t>
  </si>
  <si>
    <t>18-Dec-2025</t>
  </si>
  <si>
    <t>102291688758</t>
  </si>
  <si>
    <t>6936809350</t>
  </si>
  <si>
    <t>26-Jun-2026</t>
  </si>
  <si>
    <t>57846</t>
  </si>
  <si>
    <t>Sukur Ali</t>
  </si>
  <si>
    <t>Mohir Uddin</t>
  </si>
  <si>
    <t>7982309908</t>
  </si>
  <si>
    <t>Top Gaur Bongaigaon Assam-783384</t>
  </si>
  <si>
    <t>30-Dec-2025</t>
  </si>
  <si>
    <t>100721930403</t>
  </si>
  <si>
    <t>6929198043</t>
  </si>
  <si>
    <t>58207</t>
  </si>
  <si>
    <t>Dhanvanti Kumari</t>
  </si>
  <si>
    <t>Rajesh Pandit</t>
  </si>
  <si>
    <t>6399447715</t>
  </si>
  <si>
    <t>Jalalpur, Jalalpur Samastipur Bihar-848506</t>
  </si>
  <si>
    <t>08-Jan-2026</t>
  </si>
  <si>
    <t>101925955337</t>
  </si>
  <si>
    <t>6936852253</t>
  </si>
  <si>
    <t>58243</t>
  </si>
  <si>
    <t>Taki Hansda</t>
  </si>
  <si>
    <t>Lt. Bablu Hansda</t>
  </si>
  <si>
    <t>8927752358</t>
  </si>
  <si>
    <t>Nill Ghambhir Rasulpur Dakshin Dinajpur West Bengal-733121</t>
  </si>
  <si>
    <t>101942680360</t>
  </si>
  <si>
    <t>6722133826</t>
  </si>
  <si>
    <t>58763</t>
  </si>
  <si>
    <t>Upendra Ram</t>
  </si>
  <si>
    <t>7291945245</t>
  </si>
  <si>
    <t>Dumari Dumari Samastipur Dumari Bindgram Bihar-848506</t>
  </si>
  <si>
    <t>28-Jan-2026</t>
  </si>
  <si>
    <t>101852793230</t>
  </si>
  <si>
    <t>6932631707</t>
  </si>
  <si>
    <t>58821</t>
  </si>
  <si>
    <t>Sarsti Devi</t>
  </si>
  <si>
    <t>Birsa Lohar</t>
  </si>
  <si>
    <t>8595878360</t>
  </si>
  <si>
    <t>H.No -2099 Gali No-04 Prem Chowk Kapashera Po:Gurgaon Road South West Delhi-110037</t>
  </si>
  <si>
    <t>101406930468</t>
  </si>
  <si>
    <t>6936896797</t>
  </si>
  <si>
    <t>58862</t>
  </si>
  <si>
    <t>Ganga Devi</t>
  </si>
  <si>
    <t>Arjun Jogi</t>
  </si>
  <si>
    <t>9871898186</t>
  </si>
  <si>
    <t>House No -1134 Street No -04 Near Prem Chowk South West Delhi-110037</t>
  </si>
  <si>
    <t>101556179015</t>
  </si>
  <si>
    <t>6931992302</t>
  </si>
  <si>
    <t>59248</t>
  </si>
  <si>
    <t>Jogeshwar Oraon</t>
  </si>
  <si>
    <t>Haji Oraon</t>
  </si>
  <si>
    <t>8848116136</t>
  </si>
  <si>
    <t>Village -Bhitha Post Bhitha Bhandra Bhandra Lohardaga Jharkhand-835302</t>
  </si>
  <si>
    <t>24-Feb-2026</t>
  </si>
  <si>
    <t>101227168124</t>
  </si>
  <si>
    <t>6933889980</t>
  </si>
  <si>
    <t>59357</t>
  </si>
  <si>
    <t>Tapas Bar</t>
  </si>
  <si>
    <t>Ratan Bar</t>
  </si>
  <si>
    <t>9220916490</t>
  </si>
  <si>
    <t>Khirkultala Sapkhali Sagar South 24 Pargana West Bengal-743373</t>
  </si>
  <si>
    <t>18-Feb-2026</t>
  </si>
  <si>
    <t>102328444304</t>
  </si>
  <si>
    <t>6936956403</t>
  </si>
  <si>
    <t>22-Jun-2026</t>
  </si>
  <si>
    <t>59362</t>
  </si>
  <si>
    <t>Satto</t>
  </si>
  <si>
    <t>BINTU</t>
  </si>
  <si>
    <t>7428540254</t>
  </si>
  <si>
    <t>Bhaderua Po-Bhaderua Mathura Uttar Pradesh-282222</t>
  </si>
  <si>
    <t>02-Mar-2026</t>
  </si>
  <si>
    <t>102307480591</t>
  </si>
  <si>
    <t>6936956419</t>
  </si>
  <si>
    <t>59540</t>
  </si>
  <si>
    <t>Mujafar</t>
  </si>
  <si>
    <t>M.D. ALAM</t>
  </si>
  <si>
    <t>9999080902</t>
  </si>
  <si>
    <t>Dighal Dighal Lakhipur Lakhimpur North Dinajpur West Bengal-733207</t>
  </si>
  <si>
    <t>11-Mar-2026</t>
  </si>
  <si>
    <t>101180061302</t>
  </si>
  <si>
    <t>1114088655</t>
  </si>
  <si>
    <t>59542</t>
  </si>
  <si>
    <t>Navin Shah</t>
  </si>
  <si>
    <t>Surendra Shah</t>
  </si>
  <si>
    <t>8375982374</t>
  </si>
  <si>
    <t>Bhiau Po-Jalesar Etah Uttar Pradesh-207302</t>
  </si>
  <si>
    <t>08-Mar-2026</t>
  </si>
  <si>
    <t>101048305609</t>
  </si>
  <si>
    <t>6934190394</t>
  </si>
  <si>
    <t>59552</t>
  </si>
  <si>
    <t>Ronit Lakra</t>
  </si>
  <si>
    <t>Milkyor Lakra</t>
  </si>
  <si>
    <t>8018295744</t>
  </si>
  <si>
    <t>Sahebdera Dhamakpur Sahebdera Po-Dhamakpur Sundargarh Odisha-770015</t>
  </si>
  <si>
    <t>102325452412</t>
  </si>
  <si>
    <t>6936973507</t>
  </si>
  <si>
    <t>59583</t>
  </si>
  <si>
    <t>Kasmir Tete</t>
  </si>
  <si>
    <t>Samuel Tete</t>
  </si>
  <si>
    <t>9717320773</t>
  </si>
  <si>
    <t>Karanjskhol Kaniaghati Saraigarh Lephripara Sundargarh Odisha-770012</t>
  </si>
  <si>
    <t>100933896184</t>
  </si>
  <si>
    <t>6930590573</t>
  </si>
  <si>
    <t>59806</t>
  </si>
  <si>
    <t>Pradeep Negi</t>
  </si>
  <si>
    <t>Prem Singh Negi</t>
  </si>
  <si>
    <t>8178703970</t>
  </si>
  <si>
    <t>House No -06 Shrikot Ranakot Shrikot Po-Ranakot Tehri Garhwal Uttarakhand-249146</t>
  </si>
  <si>
    <t>25-Mar-2026</t>
  </si>
  <si>
    <t>100450963816</t>
  </si>
  <si>
    <t>6714995806</t>
  </si>
  <si>
    <t>59842</t>
  </si>
  <si>
    <t>Vijay Kujur</t>
  </si>
  <si>
    <t>Paulus Kujur</t>
  </si>
  <si>
    <t>9650410699</t>
  </si>
  <si>
    <t>Vill -Katkaya Po-Majha Toli Ps-Raidih Kurochhatarpur Gumla Jharkhand-835232</t>
  </si>
  <si>
    <t>27-Mar-2026</t>
  </si>
  <si>
    <t>6932489091</t>
  </si>
  <si>
    <t>60203</t>
  </si>
  <si>
    <t>Gunja Devi</t>
  </si>
  <si>
    <t>Jitendra Jha</t>
  </si>
  <si>
    <t>8092417924</t>
  </si>
  <si>
    <t>Araji Dostani Danda Bazar Bhagalpur Bihar-812005</t>
  </si>
  <si>
    <t>06-Apr-2026</t>
  </si>
  <si>
    <t>6933647345</t>
  </si>
  <si>
    <t>60244</t>
  </si>
  <si>
    <t>Ranthu Dang</t>
  </si>
  <si>
    <t>Ratiya Dang</t>
  </si>
  <si>
    <t>9958504078</t>
  </si>
  <si>
    <t>Lambha Tolivill-Tutikel Ps-Kolebira Tutikel Simdega Jharkhand-835211</t>
  </si>
  <si>
    <t>08-Apr-2026</t>
  </si>
  <si>
    <t>101071556538</t>
  </si>
  <si>
    <t>6937045276</t>
  </si>
  <si>
    <t>60306</t>
  </si>
  <si>
    <t>Abhishek</t>
  </si>
  <si>
    <t>JAI BHAGWAN</t>
  </si>
  <si>
    <t>9354879397</t>
  </si>
  <si>
    <t>S-170/B-170, Jhareda  Cantt Village South West Delhi-110010</t>
  </si>
  <si>
    <t>09-Apr-2026</t>
  </si>
  <si>
    <t>6933352396</t>
  </si>
  <si>
    <t>60372</t>
  </si>
  <si>
    <t>Bimal Kerketta</t>
  </si>
  <si>
    <t>Philips Kerketta</t>
  </si>
  <si>
    <t>8130043114</t>
  </si>
  <si>
    <t>Village- Kumbatoli Simdega Simdega Jharkhand-835223</t>
  </si>
  <si>
    <t>2016067442</t>
  </si>
  <si>
    <t>60499</t>
  </si>
  <si>
    <t>Dharmendra Kumar</t>
  </si>
  <si>
    <t>Rajendra Kumar</t>
  </si>
  <si>
    <t>7494943136</t>
  </si>
  <si>
    <t>Sekhupur Hathwant Po-Sekhupur Hathwant Firozabad Uttar Pradesh-205145</t>
  </si>
  <si>
    <t>13-Apr-2026</t>
  </si>
  <si>
    <t>101748437781</t>
  </si>
  <si>
    <t>6936304597</t>
  </si>
  <si>
    <t>60569</t>
  </si>
  <si>
    <t>AJAY KUMAR</t>
  </si>
  <si>
    <t>7428795135</t>
  </si>
  <si>
    <t>Kubdera Po-Kubdera  Sawai Mathopur Rajasthan-322029</t>
  </si>
  <si>
    <t>18-Apr-2026</t>
  </si>
  <si>
    <t>6936531809</t>
  </si>
  <si>
    <t>60577</t>
  </si>
  <si>
    <t>Devi Thapa</t>
  </si>
  <si>
    <t>8447659876</t>
  </si>
  <si>
    <t>1350, Near Dc Office Kapashera Malikpur Kohi Alias Rangpuri South West Delhi-110037</t>
  </si>
  <si>
    <t>17-Apr-2026</t>
  </si>
  <si>
    <t>101592000412</t>
  </si>
  <si>
    <t>6930181349</t>
  </si>
  <si>
    <t>50042</t>
  </si>
  <si>
    <t>Sasti Das</t>
  </si>
  <si>
    <t>Baidya Nath Das</t>
  </si>
  <si>
    <t>9958840650</t>
  </si>
  <si>
    <t>Nathupur Dlf Phase -03 Gurgaon Haryana-122002</t>
  </si>
  <si>
    <t>101219282829</t>
  </si>
  <si>
    <t>6929294912</t>
  </si>
  <si>
    <t>59793</t>
  </si>
  <si>
    <t>Dal Singh</t>
  </si>
  <si>
    <t>9971343028</t>
  </si>
  <si>
    <t>88 ,Makrandpur  Makrandpur Moradabad Khawari Aweal Uttar Pradesh-202411</t>
  </si>
  <si>
    <t>24-Mar-2026</t>
  </si>
  <si>
    <t>101255531950</t>
  </si>
  <si>
    <t>6929794344</t>
  </si>
  <si>
    <t>60497</t>
  </si>
  <si>
    <t>Chandu Devi</t>
  </si>
  <si>
    <t>Ramesh Das</t>
  </si>
  <si>
    <t>7500726573</t>
  </si>
  <si>
    <t>Bhagwatipur Taraura Vaishali Bhagwatipur Taraura Bihar-844122</t>
  </si>
  <si>
    <t>6936904417</t>
  </si>
  <si>
    <t>56590</t>
  </si>
  <si>
    <t>Sadhna Tiwari</t>
  </si>
  <si>
    <t>Sarvesh</t>
  </si>
  <si>
    <t>9277164438</t>
  </si>
  <si>
    <t>Bhaluhi, Chiutaha,Gorakhpur Uttar Pradesh,273306</t>
  </si>
  <si>
    <t>102005028573</t>
  </si>
  <si>
    <t>6936732838</t>
  </si>
  <si>
    <t>58305</t>
  </si>
  <si>
    <t>Uday Tigga</t>
  </si>
  <si>
    <t>Vijay Tigga</t>
  </si>
  <si>
    <t>7999181887</t>
  </si>
  <si>
    <t>Chatniya,Chatniyan Post Than Chando Balrampur Chhattisgarh-497119</t>
  </si>
  <si>
    <t>101869668738</t>
  </si>
  <si>
    <t>2018802944</t>
  </si>
  <si>
    <t>57568</t>
  </si>
  <si>
    <t>Mohd Jahangir</t>
  </si>
  <si>
    <t>Akhatar Ali</t>
  </si>
  <si>
    <t>9625901216</t>
  </si>
  <si>
    <t>Dubey Tola, Bagaha,West Champeran  Bihar,845101</t>
  </si>
  <si>
    <t>01-Dec-2025</t>
  </si>
  <si>
    <t>100833317860</t>
  </si>
  <si>
    <t>6929639098</t>
  </si>
  <si>
    <t>57731</t>
  </si>
  <si>
    <t>Rabindranath Das</t>
  </si>
  <si>
    <t>Habul Das</t>
  </si>
  <si>
    <t>9051708981</t>
  </si>
  <si>
    <t>Gachhaadibasipara Gachha Nakasipara Nadia West Bengal-741154</t>
  </si>
  <si>
    <t>11-Dec-2025</t>
  </si>
  <si>
    <t>101403038647</t>
  </si>
  <si>
    <t>6935335459</t>
  </si>
  <si>
    <t>59189</t>
  </si>
  <si>
    <t>Profullya Das</t>
  </si>
  <si>
    <t>9667643851</t>
  </si>
  <si>
    <t>Gobarhati Patenda Murshidabad West Bengal-742136</t>
  </si>
  <si>
    <t>101285357513</t>
  </si>
  <si>
    <t>6930955031</t>
  </si>
  <si>
    <t>59190</t>
  </si>
  <si>
    <t>Goutam Bayen</t>
  </si>
  <si>
    <t>Kumar Bayen</t>
  </si>
  <si>
    <t>7074738414</t>
  </si>
  <si>
    <t>Gokarna Gokarna Kandi Murshidabad West Bengal-742136</t>
  </si>
  <si>
    <t>09-Feb-2026</t>
  </si>
  <si>
    <t>102312799361</t>
  </si>
  <si>
    <t>6936939123</t>
  </si>
  <si>
    <t>27-Jun-2026</t>
  </si>
  <si>
    <t>58806</t>
  </si>
  <si>
    <t>Ram Manohar</t>
  </si>
  <si>
    <t>9717468065</t>
  </si>
  <si>
    <t>House No -170 Village Gaaisinhapuraaanshik Farrukhabad Karimganj  Farrukhabad  Uttar Pradesh-209625</t>
  </si>
  <si>
    <t>100735286792</t>
  </si>
  <si>
    <t>6719167628</t>
  </si>
  <si>
    <t>59993</t>
  </si>
  <si>
    <t>Anupam Khalkho</t>
  </si>
  <si>
    <t>Yakub Khalkho</t>
  </si>
  <si>
    <t>7894595980</t>
  </si>
  <si>
    <t>Kaplas Vtc Biramitrapur Po-Biramitrapur Sab Biramitrapur Sundergarh Odisha-770033</t>
  </si>
  <si>
    <t>01-Apr-2026</t>
  </si>
  <si>
    <t>101924778058</t>
  </si>
  <si>
    <t>6934404246</t>
  </si>
  <si>
    <t>57692</t>
  </si>
  <si>
    <t>Anthrens Tirkey</t>
  </si>
  <si>
    <t>Anil Tirkey</t>
  </si>
  <si>
    <t>9311496417</t>
  </si>
  <si>
    <t>Latha Toli  Dumrai Majgoun Bhagi Toli Gumla Jharkhand-835230</t>
  </si>
  <si>
    <t>03-Dec-2025</t>
  </si>
  <si>
    <t>102289412900</t>
  </si>
  <si>
    <t>6936803911</t>
  </si>
  <si>
    <t>52312</t>
  </si>
  <si>
    <t>Binit Xaxa</t>
  </si>
  <si>
    <t>Joseph Xaxa</t>
  </si>
  <si>
    <t>9821271588</t>
  </si>
  <si>
    <t>Latu Dumra Toli Sub District Raidih,Po,Kamta Dist,Gumla  Jharkhand,835232</t>
  </si>
  <si>
    <t>102234895527</t>
  </si>
  <si>
    <t>6936352843</t>
  </si>
  <si>
    <t>57493</t>
  </si>
  <si>
    <t>Dinesh Singh</t>
  </si>
  <si>
    <t>Hira Singh</t>
  </si>
  <si>
    <t>7447863855</t>
  </si>
  <si>
    <t>Malon, Pandrah Pala,Pithoragarh Kharik,Uttarakhand,262555</t>
  </si>
  <si>
    <t>101464060342</t>
  </si>
  <si>
    <t>3314488338</t>
  </si>
  <si>
    <t>60746</t>
  </si>
  <si>
    <t>Taitri  Devi</t>
  </si>
  <si>
    <t>Lalan Bharti</t>
  </si>
  <si>
    <t>7404635587</t>
  </si>
  <si>
    <t>Navadih Khedli Kala Hunterganj Hunterganj Chatra Jharkhand-855403</t>
  </si>
  <si>
    <t>6935635170</t>
  </si>
  <si>
    <t>58829</t>
  </si>
  <si>
    <t>Babita Saha</t>
  </si>
  <si>
    <t>Niranjan Saha</t>
  </si>
  <si>
    <t>8967420032</t>
  </si>
  <si>
    <t>Nayabazar Gopalpur  Mil Para Gopalpur Po-Nayabazar Dakshin Dinajpur  West Bengal-733142</t>
  </si>
  <si>
    <t>07-Feb-2026</t>
  </si>
  <si>
    <t>102310444902</t>
  </si>
  <si>
    <t>6936903329</t>
  </si>
  <si>
    <t>60500</t>
  </si>
  <si>
    <t>Abhinav Singh</t>
  </si>
  <si>
    <t>Brijnandan Singh</t>
  </si>
  <si>
    <t>8427329847</t>
  </si>
  <si>
    <t>Near  Government Hospital Village Puthari Puthri Puthari Farrukhabad Uttar Pradesh-207501</t>
  </si>
  <si>
    <t>101196467938</t>
  </si>
  <si>
    <t>1325377359</t>
  </si>
  <si>
    <t>59010</t>
  </si>
  <si>
    <t>Atowa Orang</t>
  </si>
  <si>
    <t>Mangu Orang</t>
  </si>
  <si>
    <t>9957690346</t>
  </si>
  <si>
    <t>No -02 Tengkibasti Utter Kalikhola Udalguri Assam-784626</t>
  </si>
  <si>
    <t>15-Feb-2026</t>
  </si>
  <si>
    <t>102289681463</t>
  </si>
  <si>
    <t>2019883331</t>
  </si>
  <si>
    <t>60581</t>
  </si>
  <si>
    <t>Ashutosh Jha</t>
  </si>
  <si>
    <t>8294578912</t>
  </si>
  <si>
    <t>Pams Pama Ward No -08 Pams Saharsa Bihar-852107</t>
  </si>
  <si>
    <t>6934966866</t>
  </si>
  <si>
    <t>58138</t>
  </si>
  <si>
    <t>Mo.Rihan</t>
  </si>
  <si>
    <t>Mo.Hanif</t>
  </si>
  <si>
    <t>7290833794</t>
  </si>
  <si>
    <t>Purwa Rawat Purwa Rawat Sahar Auraiya Uttar Pradesh-206248</t>
  </si>
  <si>
    <t>11-Jan-2026</t>
  </si>
  <si>
    <t>102020121975</t>
  </si>
  <si>
    <t>6936470256</t>
  </si>
  <si>
    <t>60399</t>
  </si>
  <si>
    <t>Nandkishor Ray</t>
  </si>
  <si>
    <t>9315482279</t>
  </si>
  <si>
    <t>Rajadih Bindraban Po-Bindrawan Seohar Bihar-843128</t>
  </si>
  <si>
    <t>14-Apr-2026</t>
  </si>
  <si>
    <t>101654322690</t>
  </si>
  <si>
    <t>6936177399</t>
  </si>
  <si>
    <t>60419</t>
  </si>
  <si>
    <t>Reena</t>
  </si>
  <si>
    <t>AVADHESH</t>
  </si>
  <si>
    <t>8447325211</t>
  </si>
  <si>
    <t>Salapur Nizamabad Azamgarh Uttar Pradesh-276206</t>
  </si>
  <si>
    <t>12-Apr-2026</t>
  </si>
  <si>
    <t>101980256051</t>
  </si>
  <si>
    <t>6933719820</t>
  </si>
  <si>
    <t>52224</t>
  </si>
  <si>
    <t>Yashank Tripathi</t>
  </si>
  <si>
    <t>Rakesh Tripathi</t>
  </si>
  <si>
    <t>8299183394</t>
  </si>
  <si>
    <t>Selapur Hardoi,Uttar Pradesh,241302</t>
  </si>
  <si>
    <t>23-Mar-2026</t>
  </si>
  <si>
    <t>102255301195</t>
  </si>
  <si>
    <t>6936343519</t>
  </si>
  <si>
    <t>60588</t>
  </si>
  <si>
    <t>Dipali Barui</t>
  </si>
  <si>
    <t>Badal Krishna Barui</t>
  </si>
  <si>
    <t>7838291551</t>
  </si>
  <si>
    <t>Sukha Khola  Purba Medinipur West Bengal-721456</t>
  </si>
  <si>
    <t>6930003738</t>
  </si>
  <si>
    <t>59011</t>
  </si>
  <si>
    <t>Samra Orang</t>
  </si>
  <si>
    <t>Kadiya Orang</t>
  </si>
  <si>
    <t>9148591852</t>
  </si>
  <si>
    <t>Tankibasti Kalihola Ps No-02 Utter Dimakuchi Dimakuchi Udalguri Assam-784526</t>
  </si>
  <si>
    <t>101471621829</t>
  </si>
  <si>
    <t>6936924222</t>
  </si>
  <si>
    <t>60416</t>
  </si>
  <si>
    <t>Savita Devi</t>
  </si>
  <si>
    <t>Chintu Singh</t>
  </si>
  <si>
    <t>9718155854</t>
  </si>
  <si>
    <t>Vill- Bhadan Post Utli Bara Bhadand Gaya Bihar-824231</t>
  </si>
  <si>
    <t>101119247203</t>
  </si>
  <si>
    <t>6934913161</t>
  </si>
  <si>
    <t>59003</t>
  </si>
  <si>
    <t>Archana Deep</t>
  </si>
  <si>
    <t>Gurnam Singh</t>
  </si>
  <si>
    <t>7717344579</t>
  </si>
  <si>
    <t>Vill- Chakk Bahamanian Khurd Po-Bahamanian Jalandhar Punjab-144702</t>
  </si>
  <si>
    <t>102289529363</t>
  </si>
  <si>
    <t>6936924194</t>
  </si>
  <si>
    <t>59574</t>
  </si>
  <si>
    <t>Samir Beck</t>
  </si>
  <si>
    <t>Grablal Beck</t>
  </si>
  <si>
    <t>9014163016</t>
  </si>
  <si>
    <t>Village - Similar Amba Toli Ps -Dumri Khetri Gumla Jharkhand-835230</t>
  </si>
  <si>
    <t>09-Mar-2026</t>
  </si>
  <si>
    <t>6936987637</t>
  </si>
  <si>
    <t>58971</t>
  </si>
  <si>
    <t>Krishna Kumar Paswan</t>
  </si>
  <si>
    <t>Pashupati Paswan</t>
  </si>
  <si>
    <t>9334645879</t>
  </si>
  <si>
    <t>Village- Chiraiya Po- Laxmi Pur Chiraiya Ps-Amarpur Laxmipur Chiraiya Banka Bihar-813127</t>
  </si>
  <si>
    <t>08-Feb-2026</t>
  </si>
  <si>
    <t>101867160719</t>
  </si>
  <si>
    <t>2018792843</t>
  </si>
  <si>
    <t>60118</t>
  </si>
  <si>
    <t>Pinki</t>
  </si>
  <si>
    <t>RAM PRASAD</t>
  </si>
  <si>
    <t>9368796202</t>
  </si>
  <si>
    <t>Village- Shahpur Meera Post Husainpur Kirtpur Bijnor Uttar Pradesh-246731</t>
  </si>
  <si>
    <t>02-Apr-2026</t>
  </si>
  <si>
    <t>6937029615</t>
  </si>
  <si>
    <t>57636</t>
  </si>
  <si>
    <t>8882469887</t>
  </si>
  <si>
    <t>Vpo -Jasohari Murshidabad West Bengal-742147</t>
  </si>
  <si>
    <t>16-Dec-2025</t>
  </si>
  <si>
    <t>101944308048</t>
  </si>
  <si>
    <t>6933372749</t>
  </si>
  <si>
    <t>60586</t>
  </si>
  <si>
    <t>Ranjeeta Banchhor</t>
  </si>
  <si>
    <t>Somaru Banchhor</t>
  </si>
  <si>
    <t>7735330627</t>
  </si>
  <si>
    <t>Ward No -08 Birmitrapur Birmitrapur Kaplas Sub Biramitrapur Sundergarh  Odisha-770033</t>
  </si>
  <si>
    <t>6927718083</t>
  </si>
  <si>
    <t>57959</t>
  </si>
  <si>
    <t>Ram Milan</t>
  </si>
  <si>
    <t>Ram Shri</t>
  </si>
  <si>
    <t>9818822589</t>
  </si>
  <si>
    <t>Ward No- 20 Kashram Awad Colony Bisauli, Bisauli Badaun Utter Pradesh-243720</t>
  </si>
  <si>
    <t>05-Jan-2026</t>
  </si>
  <si>
    <t>100685212616</t>
  </si>
  <si>
    <t>6929229977</t>
  </si>
  <si>
    <t>22145</t>
  </si>
  <si>
    <t>Vinay Kumar</t>
  </si>
  <si>
    <t>Krishna Sah</t>
  </si>
  <si>
    <t>7070956568</t>
  </si>
  <si>
    <t>Vill- Po: Gramharia Post Pachrukhi Dist: Siwan -Bihar</t>
  </si>
  <si>
    <t>19-Nov-2025</t>
  </si>
  <si>
    <t>101368632693</t>
  </si>
  <si>
    <t>6936422025</t>
  </si>
  <si>
    <t>23042</t>
  </si>
  <si>
    <t>Anish Kumar</t>
  </si>
  <si>
    <t>Pancham Rai</t>
  </si>
  <si>
    <t>9716527822</t>
  </si>
  <si>
    <t>07-Apr-2026</t>
  </si>
  <si>
    <t>102307528992</t>
  </si>
  <si>
    <t>6935687970</t>
  </si>
  <si>
    <t>23366</t>
  </si>
  <si>
    <t>Mahendra Singh Karki</t>
  </si>
  <si>
    <t>Nathu Singh Karki</t>
  </si>
  <si>
    <t>8750757982</t>
  </si>
  <si>
    <t>Village Nonia Chhapar Post- Barahara Babu  Deoria Uttar Pradesh</t>
  </si>
  <si>
    <t>100439964460</t>
  </si>
  <si>
    <t>6936485939</t>
  </si>
  <si>
    <t>23430</t>
  </si>
  <si>
    <t>Chunni Lal</t>
  </si>
  <si>
    <t>Laxman</t>
  </si>
  <si>
    <t>7027358071</t>
  </si>
  <si>
    <t>House No.-446-B/12, Khanna Wali Gali Near Railway Road Jacubpura Gurgaon Haryana</t>
  </si>
  <si>
    <t>10-Apr-2026</t>
  </si>
  <si>
    <t>101947196865</t>
  </si>
  <si>
    <t>6936357489</t>
  </si>
  <si>
    <t>86407</t>
  </si>
  <si>
    <t>Akash</t>
  </si>
  <si>
    <t>Hori Lal</t>
  </si>
  <si>
    <t>9761916236</t>
  </si>
  <si>
    <t>Sayadpur . . Behdi 0 Uttar Pradesh 243001</t>
  </si>
  <si>
    <t>102176239405</t>
  </si>
  <si>
    <t>6936812044</t>
  </si>
  <si>
    <t>86142</t>
  </si>
  <si>
    <t>Sushil Mandal</t>
  </si>
  <si>
    <t>Chandera Shekhar Azad  Wazirpur  Wazirpur  Ashok Vihar  0 Delhi 110052</t>
  </si>
  <si>
    <t>86239</t>
  </si>
  <si>
    <t>Arbind Soreng</t>
  </si>
  <si>
    <t>Jowakim Soreng</t>
  </si>
  <si>
    <t>8956853037</t>
  </si>
  <si>
    <t>Gudgudatoli Sikariadand Simdega Simdega 223 Jharkhand 835228</t>
  </si>
  <si>
    <t>101988093108</t>
  </si>
  <si>
    <t>6936750924</t>
  </si>
  <si>
    <t>86120</t>
  </si>
  <si>
    <t>Bacha Giri</t>
  </si>
  <si>
    <t>Vill - Chatwan Kal Mannpira Baniyapur Manikpura 0 Bihar 841220</t>
  </si>
  <si>
    <t>6936490272</t>
  </si>
  <si>
    <t>86057</t>
  </si>
  <si>
    <t>Banti</t>
  </si>
  <si>
    <t>Ramswvak</t>
  </si>
  <si>
    <t>8126545913</t>
  </si>
  <si>
    <t>Vill - Nijra Bisauli Bisauli Bisauli 0 Uttar Pradesh 243720</t>
  </si>
  <si>
    <t>102213034798</t>
  </si>
  <si>
    <t>6936302039</t>
  </si>
  <si>
    <t>86287</t>
  </si>
  <si>
    <t>Beauty Khatun</t>
  </si>
  <si>
    <t>Siraj Sk</t>
  </si>
  <si>
    <t>6294848996</t>
  </si>
  <si>
    <t>Uttar Pachim Oara Bethuadahari Bethuadahari Bethuadahari 223 West Bengal 741126</t>
  </si>
  <si>
    <t>102279364408</t>
  </si>
  <si>
    <t>6936853609</t>
  </si>
  <si>
    <t>86147</t>
  </si>
  <si>
    <t>Bharati Kabiraj</t>
  </si>
  <si>
    <t>Ranjit Mitra</t>
  </si>
  <si>
    <t>9266798102</t>
  </si>
  <si>
    <t>Gopal Pur Dakshin Dinaj Pur Naya Bazar Nayapara 167 West Bengal 733142</t>
  </si>
  <si>
    <t>102112134107</t>
  </si>
  <si>
    <t>2019784468</t>
  </si>
  <si>
    <t>88891</t>
  </si>
  <si>
    <t>Deji Devi</t>
  </si>
  <si>
    <t>Mithlesh Mandal</t>
  </si>
  <si>
    <t>8383087204</t>
  </si>
  <si>
    <t>Kh No 14/25 Salapurkhera Kapashera  Kapashera  174 Delhi 110061</t>
  </si>
  <si>
    <t>31-Mar-2026</t>
  </si>
  <si>
    <t>6937058296</t>
  </si>
  <si>
    <t>88584</t>
  </si>
  <si>
    <t>Dhananjay Shil</t>
  </si>
  <si>
    <t>Jana Shil</t>
  </si>
  <si>
    <t>8759060554</t>
  </si>
  <si>
    <t>Mehendigram Khalsi Raiganj Raiganj  174 West Bengal 733134</t>
  </si>
  <si>
    <t>30-Mar-2026</t>
  </si>
  <si>
    <t>6935268479</t>
  </si>
  <si>
    <t>88938</t>
  </si>
  <si>
    <t>Filmon Kerketta</t>
  </si>
  <si>
    <t>Deonish Kerketta</t>
  </si>
  <si>
    <t>9078140696</t>
  </si>
  <si>
    <t>Andali A Jambahal Raiboga Sunder Garh 223 Odisha 770033</t>
  </si>
  <si>
    <t>102323613451</t>
  </si>
  <si>
    <t>3203974030</t>
  </si>
  <si>
    <t>86238</t>
  </si>
  <si>
    <t>Hiralal Dhan</t>
  </si>
  <si>
    <t>Nirayan Dhan</t>
  </si>
  <si>
    <t>9821064692</t>
  </si>
  <si>
    <t>Bala Post Larta Larta Khunti 223 Jharkhand 835209</t>
  </si>
  <si>
    <t>101090211020</t>
  </si>
  <si>
    <t>6936848492</t>
  </si>
  <si>
    <t>88292</t>
  </si>
  <si>
    <t>Lal Singh</t>
  </si>
  <si>
    <t>Kali Charan</t>
  </si>
  <si>
    <t>9910590693</t>
  </si>
  <si>
    <t>Alhua Bagrain Bagrain Bisauli 174 Uttar Pradesh 202525</t>
  </si>
  <si>
    <t>100207109368</t>
  </si>
  <si>
    <t>6929665914</t>
  </si>
  <si>
    <t>86403</t>
  </si>
  <si>
    <t>Lata</t>
  </si>
  <si>
    <t>Banwarilal</t>
  </si>
  <si>
    <t>9520324907</t>
  </si>
  <si>
    <t>Ward No 2 Saidpur  Badaun Badaun 174 Uttar Pradesh 202525</t>
  </si>
  <si>
    <t>101582958505</t>
  </si>
  <si>
    <t>6719249657</t>
  </si>
  <si>
    <t>89369</t>
  </si>
  <si>
    <t>Mamta Devi</t>
  </si>
  <si>
    <t>Vishnu Mahto</t>
  </si>
  <si>
    <t>7591830578</t>
  </si>
  <si>
    <t>Hattha Dihbandra Hattha Muzaffarpur  Muzaffarpur  223 Bihar 843115</t>
  </si>
  <si>
    <t>86058</t>
  </si>
  <si>
    <t>Mamud Ali</t>
  </si>
  <si>
    <t>Ahedul Mahamaf</t>
  </si>
  <si>
    <t>7679418389</t>
  </si>
  <si>
    <t>House No. 141,  Khoksa,  Serpur Serpur 0 West Bengal 733156</t>
  </si>
  <si>
    <t>03-Jan-2026</t>
  </si>
  <si>
    <t>102285482863</t>
  </si>
  <si>
    <t>6936837982</t>
  </si>
  <si>
    <t>88892</t>
  </si>
  <si>
    <t>Nandani Sharma</t>
  </si>
  <si>
    <t>Mahesh Sharma</t>
  </si>
  <si>
    <t>9793296317</t>
  </si>
  <si>
    <t>Chheriha Deoria Chheriha Deoria 223 Uttar Pradesh 274704</t>
  </si>
  <si>
    <t>6937058271</t>
  </si>
  <si>
    <t>86059</t>
  </si>
  <si>
    <t>Soran Aingh</t>
  </si>
  <si>
    <t>Vill - Mumiya Kheda Nagala Nagala Khilli Nagla Khilli 0 Uttar Pradesh 207001</t>
  </si>
  <si>
    <t>6936837942</t>
  </si>
  <si>
    <t>88833</t>
  </si>
  <si>
    <t>Pooja</t>
  </si>
  <si>
    <t>Banwari</t>
  </si>
  <si>
    <t>8853883353</t>
  </si>
  <si>
    <t>603 Aya Nagar Aya Nagar Aya Nagar 0 Delhi 110047</t>
  </si>
  <si>
    <t>102321626141</t>
  </si>
  <si>
    <t>2018017208</t>
  </si>
  <si>
    <t>86508</t>
  </si>
  <si>
    <t>Ram Samuch</t>
  </si>
  <si>
    <t>9718145773</t>
  </si>
  <si>
    <t>Kalandar Kalandar Kalandar Kalandar 223 Uttar Pradesh 229001</t>
  </si>
  <si>
    <t>102016677132</t>
  </si>
  <si>
    <t>1116337385</t>
  </si>
  <si>
    <t>84260</t>
  </si>
  <si>
    <t>Raghuvendra</t>
  </si>
  <si>
    <t>Lallu Pal</t>
  </si>
  <si>
    <t>8448927399</t>
  </si>
  <si>
    <t>247 Dhakia Shahabad Gurgaon  223 Uttar Pradesh 244922</t>
  </si>
  <si>
    <t>101378833632</t>
  </si>
  <si>
    <t>6928777982</t>
  </si>
  <si>
    <t>86061</t>
  </si>
  <si>
    <t>Rajkumar</t>
  </si>
  <si>
    <t>Ramsevak</t>
  </si>
  <si>
    <t>9985972163</t>
  </si>
  <si>
    <t>Nijra Bisauli Bisauli Bisauli 0 Uttar Pradesh 243720</t>
  </si>
  <si>
    <t>101426913869</t>
  </si>
  <si>
    <t>6931370950</t>
  </si>
  <si>
    <t>84936</t>
  </si>
  <si>
    <t>Rakesh Mandal</t>
  </si>
  <si>
    <t>Bimal Mandal</t>
  </si>
  <si>
    <t>8287719170</t>
  </si>
  <si>
    <t>Kasba Mahasho Mirul Raiganj  Raiganj  223 West Bengal 733130</t>
  </si>
  <si>
    <t>101571242668</t>
  </si>
  <si>
    <t>6936729993</t>
  </si>
  <si>
    <t>80623</t>
  </si>
  <si>
    <t>Ram Pukar Mandal</t>
  </si>
  <si>
    <t>Satya Narayan Mandal</t>
  </si>
  <si>
    <t>8271411642</t>
  </si>
  <si>
    <t>Gram-Ekdara Patna Patna Patna Bihar 847409</t>
  </si>
  <si>
    <t>102255579273</t>
  </si>
  <si>
    <t>6936519767</t>
  </si>
  <si>
    <t>88713</t>
  </si>
  <si>
    <t>Ramendra Kumar</t>
  </si>
  <si>
    <t>Swarath Ra</t>
  </si>
  <si>
    <t>7303532058</t>
  </si>
  <si>
    <t>Obra, Ward No. 06 Harigawan Bardiha Bardiha 174 Jharkhand 822114</t>
  </si>
  <si>
    <t>6933530373</t>
  </si>
  <si>
    <t>85105</t>
  </si>
  <si>
    <t>Rana Roy</t>
  </si>
  <si>
    <t>Raghunath Roy</t>
  </si>
  <si>
    <t>8860771985</t>
  </si>
  <si>
    <t>Shrighar Kolony No. 3 Rajmahal Rajmahal 173 Jharkhand 816101</t>
  </si>
  <si>
    <t>101466810354</t>
  </si>
  <si>
    <t>1325137403</t>
  </si>
  <si>
    <t>86143</t>
  </si>
  <si>
    <t>Na</t>
  </si>
  <si>
    <t>122002 28, ??? ??????? ????? Bareilly  122002 173 Uttar Pradesh 122002</t>
  </si>
  <si>
    <t>86237</t>
  </si>
  <si>
    <t>Roshan Ekka</t>
  </si>
  <si>
    <t>Telesphore Ekka</t>
  </si>
  <si>
    <t>8891536953</t>
  </si>
  <si>
    <t>Telesfore Ekka Kudar Toli T Tangar Tangar 223 Jharkhand 835235</t>
  </si>
  <si>
    <t>102184946657</t>
  </si>
  <si>
    <t>6935968246</t>
  </si>
  <si>
    <t>86150</t>
  </si>
  <si>
    <t>Ram Ashish Das</t>
  </si>
  <si>
    <t>Lipta Humajang Pratappur  Pratappur  Chatra 223 Jharkhand 825404</t>
  </si>
  <si>
    <t>6936341057</t>
  </si>
  <si>
    <t>86242</t>
  </si>
  <si>
    <t>Shahnaj Began</t>
  </si>
  <si>
    <t>Ashiq Ali</t>
  </si>
  <si>
    <t>8604642773</t>
  </si>
  <si>
    <t>Jatpura  Farenzi Farenzi Mainpuri 0 Uttar Pradesh 206303</t>
  </si>
  <si>
    <t>102288821577</t>
  </si>
  <si>
    <t>6936848488</t>
  </si>
  <si>
    <t>88831</t>
  </si>
  <si>
    <t>Shivam</t>
  </si>
  <si>
    <t>Sunil Pandey</t>
  </si>
  <si>
    <t>8743924941</t>
  </si>
  <si>
    <t>House No. 76 Gali No. 7, Salarpur Khera,  Kapasheda  Kapasheda  0 Delhi 110061</t>
  </si>
  <si>
    <t>6937043555</t>
  </si>
  <si>
    <t>88257</t>
  </si>
  <si>
    <t>Shubham Kumar Sinha</t>
  </si>
  <si>
    <t>9211279705</t>
  </si>
  <si>
    <t>House No.14 Sector 22 Palam Gurgaon  0 Haryana 122015</t>
  </si>
  <si>
    <t>18-Mar-2026</t>
  </si>
  <si>
    <t>6936797184</t>
  </si>
  <si>
    <t>73547</t>
  </si>
  <si>
    <t>Soma Ghosh</t>
  </si>
  <si>
    <t>Judhistir Sarkar</t>
  </si>
  <si>
    <t>9064798362</t>
  </si>
  <si>
    <t>Ramkrishna Pally  Krishnanagar Borjora 00 West Bengal 722202</t>
  </si>
  <si>
    <t>101827182878</t>
  </si>
  <si>
    <t>6932366262</t>
  </si>
  <si>
    <t>86243</t>
  </si>
  <si>
    <t>Soni</t>
  </si>
  <si>
    <t>Prakash</t>
  </si>
  <si>
    <t>9758350889</t>
  </si>
  <si>
    <t>Dalippur Kailai Manipur Manipur Mainpuri 167 Uttar Pradesh 205267</t>
  </si>
  <si>
    <t>101894192176</t>
  </si>
  <si>
    <t>6933006090</t>
  </si>
  <si>
    <t>86416</t>
  </si>
  <si>
    <t>Omprakash Baitha</t>
  </si>
  <si>
    <t>Miyan Gundi Mian Gondi Main Gondi Main Gondi 223 Bihar 841239</t>
  </si>
  <si>
    <t>86244</t>
  </si>
  <si>
    <t>Uttam Sarkar</t>
  </si>
  <si>
    <t>Naba Kumar Sarkar</t>
  </si>
  <si>
    <t>8375867989</t>
  </si>
  <si>
    <t>Dahalhat Pirtala Marara Hariram Pur Hariram Pur Harirampur 167 West Bengal 733125</t>
  </si>
  <si>
    <t>100036948986</t>
  </si>
  <si>
    <t>6927202796</t>
  </si>
  <si>
    <t>87848</t>
  </si>
  <si>
    <t>Aakash Meena</t>
  </si>
  <si>
    <t>Rajpal Singh Meena</t>
  </si>
  <si>
    <t>8750372758</t>
  </si>
  <si>
    <t>House No. Rz-214, A/317, Gali No. 11,  West Shiv Puri Sagarpur  0 Delhi 110046</t>
  </si>
  <si>
    <t>102307966160</t>
  </si>
  <si>
    <t>6936968639</t>
  </si>
  <si>
    <t>77201</t>
  </si>
  <si>
    <t>Akash Kumar</t>
  </si>
  <si>
    <t>Rajesh Kumar</t>
  </si>
  <si>
    <t>7011442008</t>
  </si>
  <si>
    <t>Saifuddin Pur  Murther Alipur  Haran Ayadapur Uttar Pradesh 283201</t>
  </si>
  <si>
    <t>102029811977</t>
  </si>
  <si>
    <t>6935905411</t>
  </si>
  <si>
    <t>88122</t>
  </si>
  <si>
    <t>Najiruddin Ali</t>
  </si>
  <si>
    <t>7015686684</t>
  </si>
  <si>
    <t>Dakshin Kotagaon Sasan Hemtabad Hemtabad 223 West Bengal 733134</t>
  </si>
  <si>
    <t>07-Mar-2026</t>
  </si>
  <si>
    <t>102312840265</t>
  </si>
  <si>
    <t>6936989479</t>
  </si>
  <si>
    <t>70108</t>
  </si>
  <si>
    <t>Guddu Hussain</t>
  </si>
  <si>
    <t>Shahnawaz Hussain</t>
  </si>
  <si>
    <t>0</t>
  </si>
  <si>
    <t>H.No 2, Gali No 4, Sheetla Colony Ashok Vihar Phase 3 Near Global Hospital Sector-5, Gurgaon Haryana-122001</t>
  </si>
  <si>
    <t>101076837951</t>
  </si>
  <si>
    <t>6930968491</t>
  </si>
  <si>
    <t>88373</t>
  </si>
  <si>
    <t>Manveer Ujeenwal</t>
  </si>
  <si>
    <t>Chandarpal</t>
  </si>
  <si>
    <t>9560538060</t>
  </si>
  <si>
    <t>Ghungravli Banvaripur Ghungravli Banvaripur Banvaripur Banvaripur 173 Uttar Pradesh 203001</t>
  </si>
  <si>
    <t>26-Feb-2026</t>
  </si>
  <si>
    <t>101317376156</t>
  </si>
  <si>
    <t>1327771653</t>
  </si>
  <si>
    <t>87851</t>
  </si>
  <si>
    <t>Saurabh Kumar</t>
  </si>
  <si>
    <t>Raju</t>
  </si>
  <si>
    <t>9217617515</t>
  </si>
  <si>
    <t>Nagla Mandhata Mugalpur Naraini Bharthana 0 Uttar Pradesh 206126</t>
  </si>
  <si>
    <t>19-Feb-2026</t>
  </si>
  <si>
    <t>102238340301</t>
  </si>
  <si>
    <t>5044110543</t>
  </si>
  <si>
    <t>87909</t>
  </si>
  <si>
    <t>Sonu Kumar</t>
  </si>
  <si>
    <t>Dharam Pal</t>
  </si>
  <si>
    <t>9540867520</t>
  </si>
  <si>
    <t>Rang Puri Pahadi Bashant Kunj Rang Pu4i 0 Delhi 110037</t>
  </si>
  <si>
    <t>101153390604</t>
  </si>
  <si>
    <t>2017312080</t>
  </si>
  <si>
    <t>87920</t>
  </si>
  <si>
    <t>Suraj</t>
  </si>
  <si>
    <t>Hrday Shankar</t>
  </si>
  <si>
    <t>9369865710</t>
  </si>
  <si>
    <t>Haripatti Uttarpradesh Badhiyani Ravidash Nagar 223 Uttar Pradesh 221406</t>
  </si>
  <si>
    <t>102027777066</t>
  </si>
  <si>
    <t>6934279226</t>
  </si>
  <si>
    <t>86506</t>
  </si>
  <si>
    <t>Suresh Kumar</t>
  </si>
  <si>
    <t>7503059763</t>
  </si>
  <si>
    <t>Geetanjali Park Sagarpur Sagarpur Delhi 167 Delhi 110046</t>
  </si>
  <si>
    <t>102114602636</t>
  </si>
  <si>
    <t>2019835782</t>
  </si>
  <si>
    <t>87327</t>
  </si>
  <si>
    <t>Adesh Kumar Jha</t>
  </si>
  <si>
    <t>Jata Shankar Jha</t>
  </si>
  <si>
    <t>9717315428</t>
  </si>
  <si>
    <t>Mahishi Mahishi Mahishi Mahishi 223 Bihar 852216</t>
  </si>
  <si>
    <t>101453309225</t>
  </si>
  <si>
    <t>6929055743</t>
  </si>
  <si>
    <t>86579</t>
  </si>
  <si>
    <t>Ramanand</t>
  </si>
  <si>
    <t>Kapaseda Dlf Ph-4 Kapaseda Kapaseda  223 Delhi 110037</t>
  </si>
  <si>
    <t>86665</t>
  </si>
  <si>
    <t>Aman Ray</t>
  </si>
  <si>
    <t>Rajesh Rai</t>
  </si>
  <si>
    <t>9555193833</t>
  </si>
  <si>
    <t>Chakmaniraypur Gyanpur Gyanpur Gyanpur 0 Uttar Pradesh 221304</t>
  </si>
  <si>
    <t>26-Jan-2026</t>
  </si>
  <si>
    <t>102025332496</t>
  </si>
  <si>
    <t>3911674087</t>
  </si>
  <si>
    <t>86179</t>
  </si>
  <si>
    <t>Amit Choudhary</t>
  </si>
  <si>
    <t>6230339100</t>
  </si>
  <si>
    <t>Jarot Teh Jawall Kangra Jarot Jarot 223 Himachal Pradesh 176027</t>
  </si>
  <si>
    <t>100924155465</t>
  </si>
  <si>
    <t>6931735051</t>
  </si>
  <si>
    <t>87667</t>
  </si>
  <si>
    <t>Ramdhunmanjhi</t>
  </si>
  <si>
    <t>7719563069</t>
  </si>
  <si>
    <t>Dholi Tilaiya Ttilaiya Tilaya 0 Bihar 824217</t>
  </si>
  <si>
    <t>102231774968</t>
  </si>
  <si>
    <t>6936370705</t>
  </si>
  <si>
    <t>86406</t>
  </si>
  <si>
    <t>Arjun</t>
  </si>
  <si>
    <t>Inderpal</t>
  </si>
  <si>
    <t>8743973997</t>
  </si>
  <si>
    <t>Vill - Sonhar Sonhar Malawan Malawan 174 Uttar Pradesh 207001</t>
  </si>
  <si>
    <t>102206564059</t>
  </si>
  <si>
    <t>6936299239</t>
  </si>
  <si>
    <t>86118</t>
  </si>
  <si>
    <t>Arti Devi</t>
  </si>
  <si>
    <t>Premchandar</t>
  </si>
  <si>
    <t>8090389781</t>
  </si>
  <si>
    <t>25 Sarauniya Pachigama Sarauniya 223 Uttar Pradesh 261505</t>
  </si>
  <si>
    <t>102199924010</t>
  </si>
  <si>
    <t>6936116419</t>
  </si>
  <si>
    <t>86756</t>
  </si>
  <si>
    <t>Ashim Sarkar</t>
  </si>
  <si>
    <t>Chitta Ranan Sarkar</t>
  </si>
  <si>
    <t>8860366129</t>
  </si>
  <si>
    <t>122002 28, ??? ??????? ????? Salapur Kapashera 0 Delhi 122002</t>
  </si>
  <si>
    <t>100639796133</t>
  </si>
  <si>
    <t>6715144072</t>
  </si>
  <si>
    <t>84536</t>
  </si>
  <si>
    <t>Ashok Kumar</t>
  </si>
  <si>
    <t>Hari Ram</t>
  </si>
  <si>
    <t>6396206226</t>
  </si>
  <si>
    <t>Rzf-99/62 Gali No-41b Sadh Nagar New Delhi  167 Delhi 110045</t>
  </si>
  <si>
    <t>100479029751</t>
  </si>
  <si>
    <t>6936713672</t>
  </si>
  <si>
    <t>85989</t>
  </si>
  <si>
    <t>Biman Mahanta</t>
  </si>
  <si>
    <t>Bappa Mahanta</t>
  </si>
  <si>
    <t>7477685244</t>
  </si>
  <si>
    <t>Chhinnamsta Polly Uttar Chakbhabani 31 Balurghat  Balurghat  174 West Bengal 733103</t>
  </si>
  <si>
    <t>102284431119</t>
  </si>
  <si>
    <t>6936823183</t>
  </si>
  <si>
    <t>85058</t>
  </si>
  <si>
    <t>Biswajit Tarafdar</t>
  </si>
  <si>
    <t>Gakul Tarafdar</t>
  </si>
  <si>
    <t>9064678862</t>
  </si>
  <si>
    <t>Lohaganja Kantabari Kushmandi Gangarampur 167 West Bengal 733124</t>
  </si>
  <si>
    <t>101782614421</t>
  </si>
  <si>
    <t>6931980464</t>
  </si>
  <si>
    <t>87328</t>
  </si>
  <si>
    <t>Bobi Kumar</t>
  </si>
  <si>
    <t>Chotelal</t>
  </si>
  <si>
    <t>7302763508</t>
  </si>
  <si>
    <t>122002 28, ??? ??????? ????? Saroli 122002 173 Uttar Pradesh 122002</t>
  </si>
  <si>
    <t>100885113426</t>
  </si>
  <si>
    <t>6930799277</t>
  </si>
  <si>
    <t>86121</t>
  </si>
  <si>
    <t>Surender Manjhi</t>
  </si>
  <si>
    <t>9599273462</t>
  </si>
  <si>
    <t>Hosse No. 1276,  Gali No. 12 Kapasheda  Kapasheda  0 Delhi 110037</t>
  </si>
  <si>
    <t>101036629057</t>
  </si>
  <si>
    <t>6928109881</t>
  </si>
  <si>
    <t>86119</t>
  </si>
  <si>
    <t>Deepak Tigga</t>
  </si>
  <si>
    <t>Alex Jender Tigga</t>
  </si>
  <si>
    <t>8287309266</t>
  </si>
  <si>
    <t>Dumberpath Dumberpath Bishunpur Gurdari 239 Jharkhand 835206</t>
  </si>
  <si>
    <t>102286407729</t>
  </si>
  <si>
    <t>6936113799</t>
  </si>
  <si>
    <t>87694</t>
  </si>
  <si>
    <t>Dhroorup Kumar</t>
  </si>
  <si>
    <t>Asrfi Lal</t>
  </si>
  <si>
    <t>9648731506</t>
  </si>
  <si>
    <t>Pipariya Virsinghpur Eshanagar Laurara 223 Uttar Pradesh 261502</t>
  </si>
  <si>
    <t>101950556383</t>
  </si>
  <si>
    <t>6936969196</t>
  </si>
  <si>
    <t>87050</t>
  </si>
  <si>
    <t>Gabriel Lakda</t>
  </si>
  <si>
    <t>Antoni Lakda</t>
  </si>
  <si>
    <t>9315710364</t>
  </si>
  <si>
    <t>Haldijharan Sagajori Talsera Sundargarh  223 Odisha 770074</t>
  </si>
  <si>
    <t>101579757945</t>
  </si>
  <si>
    <t>2019894001</t>
  </si>
  <si>
    <t>86404</t>
  </si>
  <si>
    <t>Gudiya</t>
  </si>
  <si>
    <t>Virendra Singh</t>
  </si>
  <si>
    <t>8439978118</t>
  </si>
  <si>
    <t>Ganganagar  Jehtoli Mustehkam Amroha Amroha 223 Uttar Pradesh 244255</t>
  </si>
  <si>
    <t>102040022946</t>
  </si>
  <si>
    <t>6934392169</t>
  </si>
  <si>
    <t>84361</t>
  </si>
  <si>
    <t>Hannan Ali</t>
  </si>
  <si>
    <t>Mubarak Ali Mullah</t>
  </si>
  <si>
    <t>9599587386</t>
  </si>
  <si>
    <t>Chunbari Kalpani Gobar Dhana Baksa 223 Assam 781315</t>
  </si>
  <si>
    <t>102153705281</t>
  </si>
  <si>
    <t>6936660154</t>
  </si>
  <si>
    <t>85875</t>
  </si>
  <si>
    <t>Hemant Lodhi</t>
  </si>
  <si>
    <t>Bhagvat Singh</t>
  </si>
  <si>
    <t>7067899138</t>
  </si>
  <si>
    <t>233 Gahora  Gahora Gahora Ashok Nagar  174 Madhya Pradesh 473338</t>
  </si>
  <si>
    <t>102283174913</t>
  </si>
  <si>
    <t>6936823405</t>
  </si>
  <si>
    <t>86629</t>
  </si>
  <si>
    <t>Jai Kumar</t>
  </si>
  <si>
    <t>Kamal Kumar</t>
  </si>
  <si>
    <t>8130928472</t>
  </si>
  <si>
    <t>Sagar Pur  Sagarpur Sagarpur Uttam Nagar  0 Delhi 110046</t>
  </si>
  <si>
    <t>102242105728</t>
  </si>
  <si>
    <t>1328180713</t>
  </si>
  <si>
    <t>84048</t>
  </si>
  <si>
    <t>Johib</t>
  </si>
  <si>
    <t>Shoyab Khan</t>
  </si>
  <si>
    <t>8937845826</t>
  </si>
  <si>
    <t>Manakpur Ujhani Ujhani Ujhani 223 Uttar Pradesh 243639</t>
  </si>
  <si>
    <t>102174488678</t>
  </si>
  <si>
    <t>6935801817</t>
  </si>
  <si>
    <t>85873</t>
  </si>
  <si>
    <t>Jonus Lagun</t>
  </si>
  <si>
    <t>Ananda Mechi</t>
  </si>
  <si>
    <t>9871550134</t>
  </si>
  <si>
    <t>Defence Colony Lajpat Nagar South Delhi  South Delhi  0 Delhi 110024</t>
  </si>
  <si>
    <t>101461538823</t>
  </si>
  <si>
    <t>2017622556</t>
  </si>
  <si>
    <t>87329</t>
  </si>
  <si>
    <t>Joynul Ali Mondal</t>
  </si>
  <si>
    <t>Kasem Ali Mondal</t>
  </si>
  <si>
    <t>8101498745</t>
  </si>
  <si>
    <t>Rajapur Mandra Badrai Badurai 0 West Bengal 743438</t>
  </si>
  <si>
    <t>101723369249</t>
  </si>
  <si>
    <t>6931426008</t>
  </si>
  <si>
    <t>87062</t>
  </si>
  <si>
    <t>Jugendra</t>
  </si>
  <si>
    <t>Sonpal</t>
  </si>
  <si>
    <t>9560134331</t>
  </si>
  <si>
    <t>Surkha  Surkha  Surkha  Budaun 174 Uttar Pradesh 243639</t>
  </si>
  <si>
    <t>16-Feb-2026</t>
  </si>
  <si>
    <t>101032641678</t>
  </si>
  <si>
    <t>6936942806</t>
  </si>
  <si>
    <t>86308</t>
  </si>
  <si>
    <t>Jui Das Saha</t>
  </si>
  <si>
    <t>Ranjit Das</t>
  </si>
  <si>
    <t>9932959232</t>
  </si>
  <si>
    <t>Patiram,Dakshin Dinajpur Patiram Patiram Patiram 173 West Bengal 733133</t>
  </si>
  <si>
    <t>17-Jan-2026</t>
  </si>
  <si>
    <t>102137914839</t>
  </si>
  <si>
    <t>6724019034</t>
  </si>
  <si>
    <t>86307</t>
  </si>
  <si>
    <t>Kedar Singh</t>
  </si>
  <si>
    <t>Ninnu</t>
  </si>
  <si>
    <t>9351886318</t>
  </si>
  <si>
    <t>Nagla Pitoo Nagla Pitoo Gahnouli  Bhaisa 223 Rajasthan 321301</t>
  </si>
  <si>
    <t>102214857601</t>
  </si>
  <si>
    <t>6936864517</t>
  </si>
  <si>
    <t>85019</t>
  </si>
  <si>
    <t>Mahesh Kumar</t>
  </si>
  <si>
    <t>Shyam</t>
  </si>
  <si>
    <t>9667253143</t>
  </si>
  <si>
    <t>New Delhi  105 Mayapuri  Mehrauli 0 Delhi 110046</t>
  </si>
  <si>
    <t>101178496289</t>
  </si>
  <si>
    <t>2017540535</t>
  </si>
  <si>
    <t>87054</t>
  </si>
  <si>
    <t>Mittan Das</t>
  </si>
  <si>
    <t>Madhu Das</t>
  </si>
  <si>
    <t>7074894473</t>
  </si>
  <si>
    <t>Tajpur Jagganathpur Hariharpara Murshidabad  223 West Bengal 742165</t>
  </si>
  <si>
    <t>102205430228</t>
  </si>
  <si>
    <t>6936087630</t>
  </si>
  <si>
    <t>84977</t>
  </si>
  <si>
    <t>Nand Lal Pandit.</t>
  </si>
  <si>
    <t>Ambika Pandit</t>
  </si>
  <si>
    <t>8826148340</t>
  </si>
  <si>
    <t>Rz-26p/136 Gali No-30 Palam Palam 0 Delhi 110045</t>
  </si>
  <si>
    <t>100466024510</t>
  </si>
  <si>
    <t>2213801340</t>
  </si>
  <si>
    <t>87053</t>
  </si>
  <si>
    <t>Nilu Prakash Tirkey</t>
  </si>
  <si>
    <t>Danialtirkey</t>
  </si>
  <si>
    <t>6200672781</t>
  </si>
  <si>
    <t>Amba Toli Birkera  Sewai  Simdega  Simdega 223 Jharkhand 835223</t>
  </si>
  <si>
    <t>101017072009</t>
  </si>
  <si>
    <t>6934224164</t>
  </si>
  <si>
    <t>86133</t>
  </si>
  <si>
    <t>Prashant Mandal</t>
  </si>
  <si>
    <t>Prafulla Mandal</t>
  </si>
  <si>
    <t>8810673130</t>
  </si>
  <si>
    <t>House No. 219 Salapur Khera Kapaheda  Kapaheda  0 Delhi 110061</t>
  </si>
  <si>
    <t>101231486539</t>
  </si>
  <si>
    <t>6936839649</t>
  </si>
  <si>
    <t>86410</t>
  </si>
  <si>
    <t>Prem</t>
  </si>
  <si>
    <t>Nanhe Lal</t>
  </si>
  <si>
    <t>9818343685</t>
  </si>
  <si>
    <t>House No0472 Gali No. 6 Kapasheda Kapasheda  0 Delhi 110037</t>
  </si>
  <si>
    <t>102081642311</t>
  </si>
  <si>
    <t>6934879898</t>
  </si>
  <si>
    <t>85690</t>
  </si>
  <si>
    <t>7275932810</t>
  </si>
  <si>
    <t>122002 28, ??? ??????? ????? Swai Madhopur  122002 223 Rajasthan 122002</t>
  </si>
  <si>
    <t>102244387916</t>
  </si>
  <si>
    <t>85991</t>
  </si>
  <si>
    <t>Rahul Barman</t>
  </si>
  <si>
    <t>Nepal Chandra Barman</t>
  </si>
  <si>
    <t>9832809918</t>
  </si>
  <si>
    <t>Bidyapur Atair Bidyapur Balurghat  174 West Bengal 733103</t>
  </si>
  <si>
    <t>102284064623</t>
  </si>
  <si>
    <t>6936823171</t>
  </si>
  <si>
    <t>86509</t>
  </si>
  <si>
    <t>Raj Kumar</t>
  </si>
  <si>
    <t>Doodh Nath Shah</t>
  </si>
  <si>
    <t>9289920779</t>
  </si>
  <si>
    <t>Indra Park Palam Colony Palam Sagarpur  0 Delhi 110045</t>
  </si>
  <si>
    <t>101628057265</t>
  </si>
  <si>
    <t>2019339796</t>
  </si>
  <si>
    <t>87770</t>
  </si>
  <si>
    <t>Raj Mallick</t>
  </si>
  <si>
    <t>Janchar Mallick</t>
  </si>
  <si>
    <t>9990489993</t>
  </si>
  <si>
    <t>Rajapur Nakashipara Nakashipara Nadia 223 West Bengal 741126</t>
  </si>
  <si>
    <t>14-Feb-2026</t>
  </si>
  <si>
    <t>102290410203</t>
  </si>
  <si>
    <t>2019887966</t>
  </si>
  <si>
    <t>86575</t>
  </si>
  <si>
    <t>Raja Kumar Pandit</t>
  </si>
  <si>
    <t>Satyanarayan Pandit</t>
  </si>
  <si>
    <t>8851825950</t>
  </si>
  <si>
    <t>H No Rz,26p/4647 Street -3 Indra Park Palam Colony  0 Delhi 110045</t>
  </si>
  <si>
    <t>101739966367</t>
  </si>
  <si>
    <t>6936948437</t>
  </si>
  <si>
    <t>86510</t>
  </si>
  <si>
    <t>Swaroop</t>
  </si>
  <si>
    <t>9911279673</t>
  </si>
  <si>
    <t>Sagarpur West Delhi Sagarpur  Sagarpur  0 Delhi 110046</t>
  </si>
  <si>
    <t>19-Jan-2026</t>
  </si>
  <si>
    <t>101732367878</t>
  </si>
  <si>
    <t>6935885624</t>
  </si>
  <si>
    <t>86409</t>
  </si>
  <si>
    <t>Madho Mukhiya</t>
  </si>
  <si>
    <t>Ward No 11 Purani Durga Asthan Supaul Supaul Supaul 223 Bihar 852131</t>
  </si>
  <si>
    <t>77722</t>
  </si>
  <si>
    <t>Raushan Kumar</t>
  </si>
  <si>
    <t>Lalbabu Ram</t>
  </si>
  <si>
    <t>7909051922</t>
  </si>
  <si>
    <t>Basudeopur Chandel Basudeopur Chandel Mahanar Hajipur Bihar 844501</t>
  </si>
  <si>
    <t>101556767568</t>
  </si>
  <si>
    <t>6935981166</t>
  </si>
  <si>
    <t>81637</t>
  </si>
  <si>
    <t>Ravi Shankar</t>
  </si>
  <si>
    <t>Uma Shankar</t>
  </si>
  <si>
    <t>9650139041</t>
  </si>
  <si>
    <t>West Sagarpur  Nagalray Sagarpur  Nagaray Delhi 110046</t>
  </si>
  <si>
    <t>100065436501</t>
  </si>
  <si>
    <t>2015248992</t>
  </si>
  <si>
    <t>87059</t>
  </si>
  <si>
    <t>Robin Soreng</t>
  </si>
  <si>
    <t>Imanuel Soreng</t>
  </si>
  <si>
    <t>7717731164</t>
  </si>
  <si>
    <t>Bendojor Dipa Toli Simdega Simdega Simdega 223 Jharkhand 835223</t>
  </si>
  <si>
    <t>101748833532</t>
  </si>
  <si>
    <t>6934426231</t>
  </si>
  <si>
    <t>86306</t>
  </si>
  <si>
    <t>Laliteshwar Choudhary</t>
  </si>
  <si>
    <t>7827796062</t>
  </si>
  <si>
    <t>Parihara Parihara Parihara Parihara 0 Bihar 851225</t>
  </si>
  <si>
    <t>101183416832</t>
  </si>
  <si>
    <t>6934366888</t>
  </si>
  <si>
    <t>87331</t>
  </si>
  <si>
    <t>Sabiruddin</t>
  </si>
  <si>
    <t>Safikul Haque</t>
  </si>
  <si>
    <t>8972695696</t>
  </si>
  <si>
    <t>Palaibari Hatia Itahar North Dinajpur  223 West Bengal 733123</t>
  </si>
  <si>
    <t>101738839828</t>
  </si>
  <si>
    <t>2019459128</t>
  </si>
  <si>
    <t>78443</t>
  </si>
  <si>
    <t>Sachi Turi</t>
  </si>
  <si>
    <t>Rajin Turi</t>
  </si>
  <si>
    <t>9289630824</t>
  </si>
  <si>
    <t>Khamhan Toli Latha Khamhar Latakhaman Simdega . Jharkhand 835235</t>
  </si>
  <si>
    <t>101822814397</t>
  </si>
  <si>
    <t>6936064578</t>
  </si>
  <si>
    <t>85368</t>
  </si>
  <si>
    <t>Kamal Kishor</t>
  </si>
  <si>
    <t>9166679123</t>
  </si>
  <si>
    <t>Hingawali Ambah Ambah Murena 174 Madhya Pradesh 476111</t>
  </si>
  <si>
    <t>102171877204</t>
  </si>
  <si>
    <t>6936574145</t>
  </si>
  <si>
    <t>85354</t>
  </si>
  <si>
    <t>Sonam Rathore</t>
  </si>
  <si>
    <t>Sunder Rathore</t>
  </si>
  <si>
    <t>9770376780</t>
  </si>
  <si>
    <t>Patharia Ward No.3 Rajwans Rajwans 0 Madhya Pradesh 470666</t>
  </si>
  <si>
    <t>102258232772</t>
  </si>
  <si>
    <t>6936632762</t>
  </si>
  <si>
    <t>86415</t>
  </si>
  <si>
    <t>Soumitra Das</t>
  </si>
  <si>
    <t>Kartik Das</t>
  </si>
  <si>
    <t>8348736471</t>
  </si>
  <si>
    <t>Vill -Raypur Purana Pada Mirpur Mirpur Mirpur  0 West Bengal 742121</t>
  </si>
  <si>
    <t>101727346591</t>
  </si>
  <si>
    <t>6935166923</t>
  </si>
  <si>
    <t>86012</t>
  </si>
  <si>
    <t>Subrata Roy</t>
  </si>
  <si>
    <t>Kailash Roy</t>
  </si>
  <si>
    <t>9832207267</t>
  </si>
  <si>
    <t>Najirpur Dakshin Dinajpur  Gangarampur Dakshin Dinajpur  174 West Bengal 733140</t>
  </si>
  <si>
    <t>102285047808</t>
  </si>
  <si>
    <t>6936820178</t>
  </si>
  <si>
    <t>86414</t>
  </si>
  <si>
    <t>Suman Jana</t>
  </si>
  <si>
    <t>Biman Jana</t>
  </si>
  <si>
    <t>Gazole Shankarpur  Bandhail Gajol Malda  223 West Bengal 732124</t>
  </si>
  <si>
    <t>100502281301</t>
  </si>
  <si>
    <t>6933912942</t>
  </si>
  <si>
    <t>86831</t>
  </si>
  <si>
    <t>Sumit</t>
  </si>
  <si>
    <t>9319123844</t>
  </si>
  <si>
    <t>Songar Sonhar Rasulpur Rasulpur  174 Uttar Pradesh 207001</t>
  </si>
  <si>
    <t>102152842684</t>
  </si>
  <si>
    <t>6935677495</t>
  </si>
  <si>
    <t>85993</t>
  </si>
  <si>
    <t>Sumit Mohanta</t>
  </si>
  <si>
    <t>Batakrishna Mohanta</t>
  </si>
  <si>
    <t>7602293187</t>
  </si>
  <si>
    <t>Gobindapur  Chakvrigu Chakvrigu Chakvrigu 174 West Bengal 733102</t>
  </si>
  <si>
    <t>101451612274</t>
  </si>
  <si>
    <t>2019581836</t>
  </si>
  <si>
    <t>85525</t>
  </si>
  <si>
    <t>Tapash Roy</t>
  </si>
  <si>
    <t>Sukumar Roy</t>
  </si>
  <si>
    <t>6296160363</t>
  </si>
  <si>
    <t>Kunail Janchi Janchi Dinajpur  223 West Bengal 733140</t>
  </si>
  <si>
    <t>101596850277</t>
  </si>
  <si>
    <t>6936784091</t>
  </si>
  <si>
    <t>84620</t>
  </si>
  <si>
    <t>Tarcius Barla</t>
  </si>
  <si>
    <t>Michael Barla</t>
  </si>
  <si>
    <t>9971832825</t>
  </si>
  <si>
    <t>House No.-122-A Baba Mohalla Aya Nagar Fatehpur  173 Delhi 110047</t>
  </si>
  <si>
    <t>100657515993</t>
  </si>
  <si>
    <t>2019630055</t>
  </si>
  <si>
    <t>86574</t>
  </si>
  <si>
    <t>Usha Devi</t>
  </si>
  <si>
    <t>Kedar Sahni</t>
  </si>
  <si>
    <t>8521868775</t>
  </si>
  <si>
    <t>Balaha Basant Jahanabad Balaha Ballia 223 Bihar 844119</t>
  </si>
  <si>
    <t>102045269572</t>
  </si>
  <si>
    <t>6936047280</t>
  </si>
  <si>
    <t>80595</t>
  </si>
  <si>
    <t>Vikram</t>
  </si>
  <si>
    <t>Vishnu</t>
  </si>
  <si>
    <t>8982230805</t>
  </si>
  <si>
    <t>Goram  Bhind  Gormi Mahgaon  Madhya Pradesh 477660</t>
  </si>
  <si>
    <t>101970443466</t>
  </si>
  <si>
    <t>6935707796</t>
  </si>
  <si>
    <t>2099802</t>
  </si>
  <si>
    <t>Damini Kumari</t>
  </si>
  <si>
    <t>Anil Kumar Singh</t>
  </si>
  <si>
    <t>9831530609</t>
  </si>
  <si>
    <t>Palam Vihar  Extension, E Block Gurgaon</t>
  </si>
  <si>
    <t>10200427017</t>
  </si>
  <si>
    <t>2097510</t>
  </si>
  <si>
    <t>Ram Prit Sharma</t>
  </si>
  <si>
    <t>8181815107</t>
  </si>
  <si>
    <t>Dundahera Ram Chauk Gurgaon</t>
  </si>
  <si>
    <t>Facility Technical Executive</t>
  </si>
  <si>
    <t>40035909</t>
  </si>
  <si>
    <t>101170425820</t>
  </si>
  <si>
    <t>60825</t>
  </si>
  <si>
    <t>Mokibul Islam</t>
  </si>
  <si>
    <t>Amzad Hussain</t>
  </si>
  <si>
    <t>7628012661</t>
  </si>
  <si>
    <t>Ward No -04 Ambari Barpeta Assam-781316</t>
  </si>
  <si>
    <t>24-Apr-2026</t>
  </si>
  <si>
    <t>100904187437</t>
  </si>
  <si>
    <t>6934123147</t>
  </si>
  <si>
    <t>61448</t>
  </si>
  <si>
    <t>Anuj</t>
  </si>
  <si>
    <t>Shishpal Singh</t>
  </si>
  <si>
    <t>8191006050</t>
  </si>
  <si>
    <t>110 -Bhavan Movaiya Fatehpur Uttar Pradesh-216221</t>
  </si>
  <si>
    <t>05-May-2026</t>
  </si>
  <si>
    <t>101917756460</t>
  </si>
  <si>
    <t>3013344550</t>
  </si>
  <si>
    <t>60725</t>
  </si>
  <si>
    <t>Asima Dhan</t>
  </si>
  <si>
    <t>Bagharay Dhan</t>
  </si>
  <si>
    <t>9540242990</t>
  </si>
  <si>
    <t>Bala Khunti Jharkhand,,835209</t>
  </si>
  <si>
    <t>21-Apr-2026</t>
  </si>
  <si>
    <t>6937074376</t>
  </si>
  <si>
    <t>61624</t>
  </si>
  <si>
    <t>Arbind Lakra</t>
  </si>
  <si>
    <t>Edward Lakra</t>
  </si>
  <si>
    <t>9667641055</t>
  </si>
  <si>
    <t>Vill-Tin Nagar Patra Toli Ps-Chainpur Bendora Po-Bindora Gumla Jharkhand-835206</t>
  </si>
  <si>
    <t>14-May-2026</t>
  </si>
  <si>
    <t>101439095138</t>
  </si>
  <si>
    <t>6929028088</t>
  </si>
  <si>
    <t>60726</t>
  </si>
  <si>
    <t>Sosan Tirkey</t>
  </si>
  <si>
    <t>Rohit Bakhla</t>
  </si>
  <si>
    <t>6203854260</t>
  </si>
  <si>
    <t>Village- Dipa Asro Than Jari Sikri Po:Sikri Gumla Jharkhand-,,835206</t>
  </si>
  <si>
    <t>6937074406</t>
  </si>
  <si>
    <t>60937</t>
  </si>
  <si>
    <t>Rahul</t>
  </si>
  <si>
    <t>Kuldeep Singh</t>
  </si>
  <si>
    <t>9810258840</t>
  </si>
  <si>
    <t>Vpo-Narhera Gurgaon Haryana-122503</t>
  </si>
  <si>
    <t>28-Apr-2026</t>
  </si>
  <si>
    <t>101834956786</t>
  </si>
  <si>
    <t>2019163871</t>
  </si>
  <si>
    <t>61030</t>
  </si>
  <si>
    <t>Sujit Oraon</t>
  </si>
  <si>
    <t>Gansu Oraon</t>
  </si>
  <si>
    <t>8448864901</t>
  </si>
  <si>
    <t>Village- Cheru Toli Ps:Raidih Uparkhatanga Simdega Jharkhand-835206</t>
  </si>
  <si>
    <t>26-Apr-2026</t>
  </si>
  <si>
    <t>101292240230</t>
  </si>
  <si>
    <t>6927903986</t>
  </si>
  <si>
    <t>52736</t>
  </si>
  <si>
    <t>Rajesh Kumar Paswan</t>
  </si>
  <si>
    <t>Kuldeep Paswan</t>
  </si>
  <si>
    <t>9971541960</t>
  </si>
  <si>
    <t>Fardapur Thakurpur Gursanda Sitapur Uttar Pradesh-261151</t>
  </si>
  <si>
    <t>101409613181</t>
  </si>
  <si>
    <t>2019158229</t>
  </si>
  <si>
    <t>61033</t>
  </si>
  <si>
    <t>Post Bikuwadag Karra Uriket Khunti Jharkhand-835234</t>
  </si>
  <si>
    <t>27-Apr-2026</t>
  </si>
  <si>
    <t>61391</t>
  </si>
  <si>
    <t>Aniket</t>
  </si>
  <si>
    <t>Ramdev Mandir Ke Pass Machish Factory Harijan Basti Arjunpura Kota Rajasthan-324002</t>
  </si>
  <si>
    <t>05-Jun-2026</t>
  </si>
  <si>
    <t>102141679404</t>
  </si>
  <si>
    <t>2019572002</t>
  </si>
  <si>
    <t>61626</t>
  </si>
  <si>
    <t>Sachin Anand Kerketta</t>
  </si>
  <si>
    <t>Jorj Kerketta</t>
  </si>
  <si>
    <t>8448723646</t>
  </si>
  <si>
    <t>Village -Bhikampur Ps -Jari Jarda Po-Bhikampur  Gumla Jharkhand-835230</t>
  </si>
  <si>
    <t>12-May-2026</t>
  </si>
  <si>
    <t>101214893527</t>
  </si>
  <si>
    <t>6933242088</t>
  </si>
  <si>
    <t>45771</t>
  </si>
  <si>
    <t>Koushik Das</t>
  </si>
  <si>
    <t>Haripada Das</t>
  </si>
  <si>
    <t>9528946478</t>
  </si>
  <si>
    <t>102162757697</t>
  </si>
  <si>
    <t>6935592260</t>
  </si>
  <si>
    <t>54020</t>
  </si>
  <si>
    <t>Ravi Dungdung</t>
  </si>
  <si>
    <t>Late-Piyus Dungdung</t>
  </si>
  <si>
    <t>7428330110</t>
  </si>
  <si>
    <t>101429630969</t>
  </si>
  <si>
    <t>6935905754</t>
  </si>
  <si>
    <t>61686</t>
  </si>
  <si>
    <t>Faijal</t>
  </si>
  <si>
    <t>Khurram</t>
  </si>
  <si>
    <t>9971367121</t>
  </si>
  <si>
    <t>Bhikampur Auraiya Post Auraiya Auraiya Uttar Pradesh-206122</t>
  </si>
  <si>
    <t>08-May-2026</t>
  </si>
  <si>
    <t>102358462162</t>
  </si>
  <si>
    <t>6937150606</t>
  </si>
  <si>
    <t>60639</t>
  </si>
  <si>
    <t>Bimal</t>
  </si>
  <si>
    <t>Sanju</t>
  </si>
  <si>
    <t>H.No-2028 Pillanji Kotla Mubarakpur Lodhi Road Central Delhi-110003</t>
  </si>
  <si>
    <t>102012069936</t>
  </si>
  <si>
    <t>61038</t>
  </si>
  <si>
    <t>Vicky Devi</t>
  </si>
  <si>
    <t>Sanjay Agarwal</t>
  </si>
  <si>
    <t>7070527171</t>
  </si>
  <si>
    <t>State Bank Road Marwani Mahalla Simdega Po-Simdega Jharkhand-835223</t>
  </si>
  <si>
    <t>101909080825</t>
  </si>
  <si>
    <t>6936587302</t>
  </si>
  <si>
    <t>60929</t>
  </si>
  <si>
    <t>Meena Devi</t>
  </si>
  <si>
    <t>Raghuveer Chand</t>
  </si>
  <si>
    <t>8750090878</t>
  </si>
  <si>
    <t>770 -Prem Vihar Khora Colony Khora Gaon Ghaziabad Uttar Pradesh -201309</t>
  </si>
  <si>
    <t>101231142419</t>
  </si>
  <si>
    <t>6933034352</t>
  </si>
  <si>
    <t>60885</t>
  </si>
  <si>
    <t>Shambhu Nath Kumar Thakur</t>
  </si>
  <si>
    <t>Krishna Thakur</t>
  </si>
  <si>
    <t>7761947387</t>
  </si>
  <si>
    <t>Ward No 02 Khairatiya Manpur Khairatia West Champaran Bihar-845452</t>
  </si>
  <si>
    <t>6937086540</t>
  </si>
  <si>
    <t>60454</t>
  </si>
  <si>
    <t>Shivanand Mahto</t>
  </si>
  <si>
    <t>Lahru Mahto</t>
  </si>
  <si>
    <t>8809423407</t>
  </si>
  <si>
    <t>Vill -Khinda Kalo Toli Po-Salya Khinda Simdega Jharkhand-835212</t>
  </si>
  <si>
    <t>15-Apr-2026</t>
  </si>
  <si>
    <t>6936856678</t>
  </si>
  <si>
    <t>44337</t>
  </si>
  <si>
    <t>Ajeet Kumar</t>
  </si>
  <si>
    <t>Ram Rahish</t>
  </si>
  <si>
    <t>8449356585</t>
  </si>
  <si>
    <t>Aakash Nagar Rasulpur Sikroda Primary School Govindpuram Ghaziabad Uttar Pradesh-201001</t>
  </si>
  <si>
    <t>102081772574</t>
  </si>
  <si>
    <t>6934775555</t>
  </si>
  <si>
    <t>60883</t>
  </si>
  <si>
    <t>Navneet Kumar</t>
  </si>
  <si>
    <t>Satyapal</t>
  </si>
  <si>
    <t>7500522917</t>
  </si>
  <si>
    <t>Baroha Saitua Sambhal Saitua Uttar Pradesh-,,202421</t>
  </si>
  <si>
    <t>101227916709</t>
  </si>
  <si>
    <t>6933003795</t>
  </si>
  <si>
    <t>23339</t>
  </si>
  <si>
    <t>Ajay Kumar Chaturvedi</t>
  </si>
  <si>
    <t>Narendra Pratap Chaturvedi</t>
  </si>
  <si>
    <t>7071573466</t>
  </si>
  <si>
    <t>101832749893</t>
  </si>
  <si>
    <t>6934178646</t>
  </si>
  <si>
    <t>23391</t>
  </si>
  <si>
    <t>Arshdeep Singh</t>
  </si>
  <si>
    <t>Malkit Singh</t>
  </si>
  <si>
    <t>9582340085</t>
  </si>
  <si>
    <t>Jamaur Bari Anjaniya Khatima  Udham Singh Nagar Uttarakhand</t>
  </si>
  <si>
    <t>11-May-2026</t>
  </si>
  <si>
    <t>Mst</t>
  </si>
  <si>
    <t>100730157883</t>
  </si>
  <si>
    <t>6925812483</t>
  </si>
  <si>
    <t>23484</t>
  </si>
  <si>
    <t>Shailendra Yadav</t>
  </si>
  <si>
    <t>Ram Gulam</t>
  </si>
  <si>
    <t>House No-65 A Ward No-9 Farukh Nagar  Gurgaon Haryana</t>
  </si>
  <si>
    <t>13-May-2026</t>
  </si>
  <si>
    <t>101279444163</t>
  </si>
  <si>
    <t>6927839014</t>
  </si>
  <si>
    <t>23692</t>
  </si>
  <si>
    <t>Hemant Kumar</t>
  </si>
  <si>
    <t>Ran Singh</t>
  </si>
  <si>
    <t>8950222057</t>
  </si>
  <si>
    <t>H.No-80 Rasulpur P.S Shadiabad Rasulpur Po- Dhanaipur Ghazipur Uttar Pradesh</t>
  </si>
  <si>
    <t>13-Jun-2026</t>
  </si>
  <si>
    <t>6933258358</t>
  </si>
  <si>
    <t>23710</t>
  </si>
  <si>
    <t>Ajay Kumar Singh</t>
  </si>
  <si>
    <t>Shailendra Singh</t>
  </si>
  <si>
    <t>8800457943</t>
  </si>
  <si>
    <t>Bahuara Post Lalganj Hirdiaypur  Ballia Uttar Pradesh</t>
  </si>
  <si>
    <t>15-Jun-2026</t>
  </si>
  <si>
    <t>101196349574</t>
  </si>
  <si>
    <t>6937107913</t>
  </si>
  <si>
    <t>23340</t>
  </si>
  <si>
    <t>Diwakar Mishra</t>
  </si>
  <si>
    <t>Wakil Mishra</t>
  </si>
  <si>
    <t>9654160303</t>
  </si>
  <si>
    <t>House No. 83 Ward No. 03 Mandholi Khurd (102) Bhiwani Haryana</t>
  </si>
  <si>
    <t>100140710143</t>
  </si>
  <si>
    <t>2013929127</t>
  </si>
  <si>
    <t>23504</t>
  </si>
  <si>
    <t>Shyam Singh</t>
  </si>
  <si>
    <t>9599093050</t>
  </si>
  <si>
    <t>Room No.105 Post Bijhari Bezhari Ghazipur Uttar Pradesh</t>
  </si>
  <si>
    <t>01-Jun-2026</t>
  </si>
  <si>
    <t>6929781362</t>
  </si>
  <si>
    <t>23769</t>
  </si>
  <si>
    <t>Shivpoojan Kumar</t>
  </si>
  <si>
    <t>Shideshwar Mistri</t>
  </si>
  <si>
    <t>8227050344</t>
  </si>
  <si>
    <t>Gram Kathwan Post Kunda Bhalua Kosi Nawada Bihar</t>
  </si>
  <si>
    <t>20-Jun-2026</t>
  </si>
  <si>
    <t>2018792859</t>
  </si>
  <si>
    <t>10066772</t>
  </si>
  <si>
    <t xml:space="preserve">Salik Ram </t>
  </si>
  <si>
    <t>9711863758</t>
  </si>
  <si>
    <t>Post -Rampur Janak , Pure Naya,Raichh,Faizabad,Uttar Pardesh-225407</t>
  </si>
  <si>
    <t>07-Jun-2025</t>
  </si>
  <si>
    <t>STEWARD</t>
  </si>
  <si>
    <t>Available</t>
  </si>
  <si>
    <t>101282957013</t>
  </si>
  <si>
    <t>6928034484</t>
  </si>
  <si>
    <t>20009135</t>
  </si>
  <si>
    <t>Akshay</t>
  </si>
  <si>
    <t xml:space="preserve">Ram Avtar </t>
  </si>
  <si>
    <t>8279689706</t>
  </si>
  <si>
    <t>Vill - Bichpuri, Post -Kelakhera, Rudrapur, Udham Singh Nagar,Uttarakhand - 263150</t>
  </si>
  <si>
    <t>COMMIS-I</t>
  </si>
  <si>
    <t>101837617614</t>
  </si>
  <si>
    <t>6932430363</t>
  </si>
  <si>
    <t>20037763</t>
  </si>
  <si>
    <t>Mangal Singh</t>
  </si>
  <si>
    <t xml:space="preserve">Chauv Singh </t>
  </si>
  <si>
    <t>8949194662</t>
  </si>
  <si>
    <t>Deokhera,Dholpur,Rajasthan,328025</t>
  </si>
  <si>
    <t>05-Feb-2024</t>
  </si>
  <si>
    <t>101084585921</t>
  </si>
  <si>
    <t>6933769664</t>
  </si>
  <si>
    <t>20041466</t>
  </si>
  <si>
    <t>Sunder Singh</t>
  </si>
  <si>
    <t>Tara Chand</t>
  </si>
  <si>
    <t>9084033029</t>
  </si>
  <si>
    <t>Surraka,Mathura, Uttar Pardesh-281204</t>
  </si>
  <si>
    <t>23-Aug-2025</t>
  </si>
  <si>
    <t>101300809197</t>
  </si>
  <si>
    <t>6927095071</t>
  </si>
  <si>
    <t>20043307</t>
  </si>
  <si>
    <t>Pyare Lal</t>
  </si>
  <si>
    <t>8826984320</t>
  </si>
  <si>
    <t>Village-Gilada,Nehtaur,Nehtaur,Bijnor,Uttar Pardesh-246733</t>
  </si>
  <si>
    <t>SR. STEWARD</t>
  </si>
  <si>
    <t>100605197058</t>
  </si>
  <si>
    <t>6934054979</t>
  </si>
  <si>
    <t>20045536</t>
  </si>
  <si>
    <t>Neeraj Kumar</t>
  </si>
  <si>
    <t>Ram Kishore</t>
  </si>
  <si>
    <t>7838100082</t>
  </si>
  <si>
    <t>61,Sultannagar,urf Sadakpur,Bhatpura,Afzalgarh,Bijnor,Uttar Pardesh-246722</t>
  </si>
  <si>
    <t>101108068173</t>
  </si>
  <si>
    <t>6934232559</t>
  </si>
  <si>
    <t>20052396</t>
  </si>
  <si>
    <t>Rajendra Lal</t>
  </si>
  <si>
    <t>Kundi lal</t>
  </si>
  <si>
    <t>9568512016</t>
  </si>
  <si>
    <t>51,Gram-Diyarkot,Post-Jakh,Diyarkot,Chamouli,Uttarkhand-246444</t>
  </si>
  <si>
    <t>14-Feb-2024</t>
  </si>
  <si>
    <t>COMMIS-II</t>
  </si>
  <si>
    <t>102040452831</t>
  </si>
  <si>
    <t>6934451935</t>
  </si>
  <si>
    <t>20052395</t>
  </si>
  <si>
    <t>Kailash Negi</t>
  </si>
  <si>
    <t>Kundan Singh Negi</t>
  </si>
  <si>
    <t>7827185414</t>
  </si>
  <si>
    <t>C-1233,JJ Colony ,Dr Ambedkar Nagar ,Tigri,Pushpa Bhawan,S.O, South Delhi -110062</t>
  </si>
  <si>
    <t>102040452812</t>
  </si>
  <si>
    <t>6934451932</t>
  </si>
  <si>
    <t>20055945</t>
  </si>
  <si>
    <t>Sharda Nishad</t>
  </si>
  <si>
    <t>Ramu Nishad</t>
  </si>
  <si>
    <t>9559747600</t>
  </si>
  <si>
    <t>VTC: Ataraulia,PO Bhathat,Sub District Sahjanwa,District Gorakhpur,Uttar Pardesh 273306</t>
  </si>
  <si>
    <t>101975585964</t>
  </si>
  <si>
    <t>6934587062</t>
  </si>
  <si>
    <t>20074721</t>
  </si>
  <si>
    <t>Ritik Ranjan Kumar</t>
  </si>
  <si>
    <t>Umesh Gond</t>
  </si>
  <si>
    <t>9546761965</t>
  </si>
  <si>
    <t>Gram : Dhangain , Post Dhangain,Thana- Bikramganj,Bikramganj rohtas,Dhangain , Bihar -802212</t>
  </si>
  <si>
    <t>12-Aug-2025</t>
  </si>
  <si>
    <t>102076588719</t>
  </si>
  <si>
    <t>6935323133</t>
  </si>
  <si>
    <t>20084376</t>
  </si>
  <si>
    <t>Ankit Thakur</t>
  </si>
  <si>
    <t>Upendra Thakur</t>
  </si>
  <si>
    <t>6295575517</t>
  </si>
  <si>
    <t>Ward no -08,Durakpur,Sahebpur Kamal ,Begusarai,Bihar-851217</t>
  </si>
  <si>
    <t>101706675502</t>
  </si>
  <si>
    <t>4216338836</t>
  </si>
  <si>
    <t>20101848</t>
  </si>
  <si>
    <t>Dataram</t>
  </si>
  <si>
    <t>Ghananand</t>
  </si>
  <si>
    <t>8799762654</t>
  </si>
  <si>
    <t>House no -3,Kandai Bughidar,Thali sain, Pauri garhwal,Uttarkhand-246285</t>
  </si>
  <si>
    <t>20-Oct-2025</t>
  </si>
  <si>
    <t>100899834253</t>
  </si>
  <si>
    <t>6928591323</t>
  </si>
  <si>
    <t>20108215</t>
  </si>
  <si>
    <t>Nikesh</t>
  </si>
  <si>
    <t>Bikram Singh</t>
  </si>
  <si>
    <t>9718778401</t>
  </si>
  <si>
    <t>Gaon-Beenadhar,post seriyakhal,Pokhara,Pauri Gahrwal,Pokhara(a) Uttarkhand -246169</t>
  </si>
  <si>
    <t>CDP</t>
  </si>
  <si>
    <t>101914679661</t>
  </si>
  <si>
    <t>20108760</t>
  </si>
  <si>
    <t>Deepak Singh</t>
  </si>
  <si>
    <t xml:space="preserve">Naribhan Singh </t>
  </si>
  <si>
    <t>8700902304</t>
  </si>
  <si>
    <t>H NO -9911,Gali no -2,Udyog Vihar,Industrial Complex,Dundahera,Haryana-122016</t>
  </si>
  <si>
    <t>COMMIS-III</t>
  </si>
  <si>
    <t>101463601518</t>
  </si>
  <si>
    <t>6936464821</t>
  </si>
  <si>
    <t>20108630</t>
  </si>
  <si>
    <t>Ramashish Paswan</t>
  </si>
  <si>
    <t>8750214017</t>
  </si>
  <si>
    <t>Ravi Kapoor Farm,Farm no -3,Kadam Road,Mandi Gaon,Jonapur,South Delhi-110047</t>
  </si>
  <si>
    <t>101838579684</t>
  </si>
  <si>
    <t>6934116956</t>
  </si>
  <si>
    <t>20108634</t>
  </si>
  <si>
    <t>Shyamu</t>
  </si>
  <si>
    <t>Ramratan</t>
  </si>
  <si>
    <t>7982359764</t>
  </si>
  <si>
    <t>HNO -A 55,A Block ,Raju Enclave,Kakrola, South west Delhi-110078</t>
  </si>
  <si>
    <t>102128615542</t>
  </si>
  <si>
    <t>2019533243</t>
  </si>
  <si>
    <t>20108673</t>
  </si>
  <si>
    <t>Bhagwat Parsad</t>
  </si>
  <si>
    <t>9773849716</t>
  </si>
  <si>
    <t>Satana pur,PO Amani ganj ,Dist : Ayodhya, Uttar Pardesh-224121</t>
  </si>
  <si>
    <t>102237656372</t>
  </si>
  <si>
    <t>6936464750</t>
  </si>
  <si>
    <t>20108675</t>
  </si>
  <si>
    <t>Yashika Kathat</t>
  </si>
  <si>
    <t>Dinesh Kathat</t>
  </si>
  <si>
    <t>7982250684</t>
  </si>
  <si>
    <t>House no 430/16,Civil line,Gurgaon ,Gurgaon,Gurgaon Haryana-122001</t>
  </si>
  <si>
    <t>102106432374</t>
  </si>
  <si>
    <t>6935165042</t>
  </si>
  <si>
    <t>20108758</t>
  </si>
  <si>
    <t>Deepak Kumar Saini</t>
  </si>
  <si>
    <t xml:space="preserve">Moti Lal Saini </t>
  </si>
  <si>
    <t>9315441208</t>
  </si>
  <si>
    <t>Farm House no -11,Kapashera,South West Delhi -110037</t>
  </si>
  <si>
    <t>101627254345</t>
  </si>
  <si>
    <t>6934823400</t>
  </si>
  <si>
    <t>20108759</t>
  </si>
  <si>
    <t>Ravi Ranjan Kumar</t>
  </si>
  <si>
    <t xml:space="preserve">Bablu Chaudhary </t>
  </si>
  <si>
    <t>8294052536</t>
  </si>
  <si>
    <t>24-Aug-2025</t>
  </si>
  <si>
    <t>102142945158</t>
  </si>
  <si>
    <t>6936360617</t>
  </si>
  <si>
    <t>20108858</t>
  </si>
  <si>
    <t>Vivek</t>
  </si>
  <si>
    <t>Prempal</t>
  </si>
  <si>
    <t>9548162054</t>
  </si>
  <si>
    <t>Muhammadpur,Kotla,P.O-Kotla,Firozabad,Uttar Pardesh 283206</t>
  </si>
  <si>
    <t>101588415326</t>
  </si>
  <si>
    <t>6720247110</t>
  </si>
  <si>
    <t>20111758</t>
  </si>
  <si>
    <t>C/O Ramesh</t>
  </si>
  <si>
    <t>9319386809</t>
  </si>
  <si>
    <t>Room no -101,First Floor,House no -44-B/1,Kisangarh,Vasant Kunj,South West Delhi-110070</t>
  </si>
  <si>
    <t>26-Sep-2025</t>
  </si>
  <si>
    <t>SOUS CHEF</t>
  </si>
  <si>
    <t>101301320554</t>
  </si>
  <si>
    <t>20114118</t>
  </si>
  <si>
    <t xml:space="preserve">Kamlesh Kumar </t>
  </si>
  <si>
    <t>8527484139</t>
  </si>
  <si>
    <t>H no -9, Jahangirabad,Faizabad,Uttar Pardesh-225402</t>
  </si>
  <si>
    <t>100668299594</t>
  </si>
  <si>
    <t>6935717825</t>
  </si>
  <si>
    <t>20113412</t>
  </si>
  <si>
    <t>Ritik Binwal</t>
  </si>
  <si>
    <t>Harish Chandra Binwal</t>
  </si>
  <si>
    <t>8368236311</t>
  </si>
  <si>
    <t>Kotabagh,Mayarampur,PO-Dohania, Dist Nanital, Uttarkhand-263159</t>
  </si>
  <si>
    <t>Commis-I</t>
  </si>
  <si>
    <t>102257381757</t>
  </si>
  <si>
    <t>6936625228</t>
  </si>
  <si>
    <t>20117871</t>
  </si>
  <si>
    <t>Ram Kewal</t>
  </si>
  <si>
    <t>9719418976</t>
  </si>
  <si>
    <t>Baikhara deeh,Baikhara,Rai Bareli,Uttar Pardesh-229305</t>
  </si>
  <si>
    <t>Commis-III</t>
  </si>
  <si>
    <t>101111566024</t>
  </si>
  <si>
    <t>20082963</t>
  </si>
  <si>
    <t>Mr. Kala Ram</t>
  </si>
  <si>
    <t>8081551651</t>
  </si>
  <si>
    <t>Vill. Sachunie, PO and The Bharmour Distt. Chamba Himachal Pradesh</t>
  </si>
  <si>
    <t>DT4/DT3</t>
  </si>
  <si>
    <t>1April,2026</t>
  </si>
  <si>
    <t>Sr. Project Manager</t>
  </si>
  <si>
    <t>100527379649</t>
  </si>
  <si>
    <t>Naribhan Singh</t>
  </si>
  <si>
    <t>9458996430</t>
  </si>
  <si>
    <t>Karmi, Bageshwar Uttrakhand, 263632</t>
  </si>
  <si>
    <t>21 Aug 2025</t>
  </si>
  <si>
    <t>Supervisor</t>
  </si>
  <si>
    <t>Ishant Anand</t>
  </si>
  <si>
    <t>Narednder Anand</t>
  </si>
  <si>
    <t>7428384140</t>
  </si>
  <si>
    <t>287, Dhaka Extn, Bhai Permananad Colony, Dr Mukherjee Nagar North West Delhi -110009</t>
  </si>
  <si>
    <t>18-May-2026</t>
  </si>
  <si>
    <t>Asst Manager</t>
  </si>
  <si>
    <t>101211083829</t>
  </si>
  <si>
    <t>20134383</t>
  </si>
  <si>
    <t>Akshay Kumar Sharma</t>
  </si>
  <si>
    <t>Pawan Kumar Sharma</t>
  </si>
  <si>
    <t>9013594160</t>
  </si>
  <si>
    <t>818,lig flats, Pocket 2, phase 2, Sec 14. NSIT Dwarka South Delhi -110078</t>
  </si>
  <si>
    <t>101066189495</t>
  </si>
  <si>
    <t>PF0013</t>
  </si>
  <si>
    <t>PRADEEP</t>
  </si>
  <si>
    <t>RADHESHYAM</t>
  </si>
  <si>
    <t>9205467547</t>
  </si>
  <si>
    <t>S/O Radheshyam, sewala purwa, beriya najeerpur, Raghopur sisala, mallawan, hardoi, uttar pradesh, 241303</t>
  </si>
  <si>
    <t>01-Jul-2024</t>
  </si>
  <si>
    <t>SUPERVISOR</t>
  </si>
  <si>
    <t>101555774623</t>
  </si>
  <si>
    <t>6936859212</t>
  </si>
  <si>
    <t>PF0002</t>
  </si>
  <si>
    <t>AMRAN ALI</t>
  </si>
  <si>
    <t>FAJLUR RAHMAN</t>
  </si>
  <si>
    <t>8930429085</t>
  </si>
  <si>
    <t>S/O Fajlur Rahman, Vill dahuakuri, PO: Badalpur, Dist: Dakshin Dinajpur, West Bengal- 733121</t>
  </si>
  <si>
    <t>15-Sep-2025</t>
  </si>
  <si>
    <t>COMMIS</t>
  </si>
  <si>
    <t>101404848644</t>
  </si>
  <si>
    <t>6928701765</t>
  </si>
  <si>
    <t>PF0003</t>
  </si>
  <si>
    <t>ANKIT PAL</t>
  </si>
  <si>
    <t>RAMPRAKASH PAL</t>
  </si>
  <si>
    <t>7428132500</t>
  </si>
  <si>
    <t>S/O Ramprakash Pal, Village-Audhan, Kaushambi, Uttar Pradesh, 212218</t>
  </si>
  <si>
    <t>102294388586</t>
  </si>
  <si>
    <t>6936859219</t>
  </si>
  <si>
    <t>PF0004</t>
  </si>
  <si>
    <t>PAPPU</t>
  </si>
  <si>
    <t>7827587321</t>
  </si>
  <si>
    <t>S/O Pappu, village kuramai, Post mirahachi, kasganj, uttar pradesh, 207123</t>
  </si>
  <si>
    <t>01-Jul-2025</t>
  </si>
  <si>
    <t>101432330234</t>
  </si>
  <si>
    <t>6719342354</t>
  </si>
  <si>
    <t>PF0008</t>
  </si>
  <si>
    <t>YOGENDER KUMAR</t>
  </si>
  <si>
    <t>RAMBHOOL SINGH</t>
  </si>
  <si>
    <t>9540800673</t>
  </si>
  <si>
    <t>S/O Rambhool Singh, Ramner Gautam Buddha Nagar, Uttar Pradesh, 203155</t>
  </si>
  <si>
    <t>TM</t>
  </si>
  <si>
    <t>101363832946</t>
  </si>
  <si>
    <t>6928397113</t>
  </si>
  <si>
    <t>PF0012</t>
  </si>
  <si>
    <t>ANKIT KUMAR</t>
  </si>
  <si>
    <t>RAM PRAKASH</t>
  </si>
  <si>
    <t>9319225498</t>
  </si>
  <si>
    <t>S/O Ram Prakash, Hsan pur sagoura, Bagarmau Rural, Unnao Bangermau, Uttar Pradesh, 241501</t>
  </si>
  <si>
    <t>102296405515</t>
  </si>
  <si>
    <t>6936859270</t>
  </si>
  <si>
    <t>PF0017</t>
  </si>
  <si>
    <t>KRISHNA PAL</t>
  </si>
  <si>
    <t>RAMESH PAL</t>
  </si>
  <si>
    <t>8882167910</t>
  </si>
  <si>
    <t>S/O Ramesh Pal, Village sonwara, post mahila, Beroucha uparhar, kaushambi, berauncha, Uttar Pradesh, 212216</t>
  </si>
  <si>
    <t>SERVICES</t>
  </si>
  <si>
    <t>102306141609</t>
  </si>
  <si>
    <t>6936937728</t>
  </si>
  <si>
    <t>PF0019</t>
  </si>
  <si>
    <t>SADANAND PAL</t>
  </si>
  <si>
    <t>SURAJ PAL</t>
  </si>
  <si>
    <t>9335722491</t>
  </si>
  <si>
    <t>S/O Suraj Pal, 86 Asrawe khurd Allahabad U.P-211012</t>
  </si>
  <si>
    <t>101367083352</t>
  </si>
  <si>
    <t>1326676901</t>
  </si>
  <si>
    <t>PF0020</t>
  </si>
  <si>
    <t>RAKESH SHARMA</t>
  </si>
  <si>
    <t>RAMSWAROOP SHARMA</t>
  </si>
  <si>
    <t>6263311927</t>
  </si>
  <si>
    <t>S/O RAMSWAROOP SHARMA,WARD NO.-13 GRAM BILWAR GULGANJ, CHHATARPUR, GULGANJ, MADHYA PRADESH-471301</t>
  </si>
  <si>
    <t>01-May-2026</t>
  </si>
  <si>
    <t>102328383235</t>
  </si>
  <si>
    <t>6937127271</t>
  </si>
  <si>
    <t>PF0021</t>
  </si>
  <si>
    <t>NARENDRA KUMAR</t>
  </si>
  <si>
    <t>NAVAL SINGH</t>
  </si>
  <si>
    <t>9914827133</t>
  </si>
  <si>
    <t>S/O NAVAV SINGH, Haidalpur, BAKAYAN, HATHRAS, UTTAR PRADESH - 204212</t>
  </si>
  <si>
    <t>102328682827</t>
  </si>
  <si>
    <t>6937127168</t>
  </si>
  <si>
    <t>PF0022</t>
  </si>
  <si>
    <t>NITIN KUMAR</t>
  </si>
  <si>
    <t>PURAN SINGH</t>
  </si>
  <si>
    <t>8077630882</t>
  </si>
  <si>
    <t>S/o Puran Singh, shiwala khurd, Shivala, PO:Shiwala, DIST:Aligarh, Uttar Pradesh, 202135</t>
  </si>
  <si>
    <t>25-May-2026</t>
  </si>
  <si>
    <t>102312953910</t>
  </si>
  <si>
    <t>6936997595</t>
  </si>
  <si>
    <t>PF0023</t>
  </si>
  <si>
    <t>GYANENDRA PRAJAPATI</t>
  </si>
  <si>
    <t>RAJKARAN PRAJAPATI</t>
  </si>
  <si>
    <t>9648540118</t>
  </si>
  <si>
    <t>S/o Rajkaran Prajapati, Gaon Berauncha, Post Berauncha, Uparhar, PO: Sarai Akil, DIST: Kaushambi, Uttar Pradesh - 212216</t>
  </si>
  <si>
    <t>789517130745</t>
  </si>
  <si>
    <t>6937295713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</si>
</sst>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@"/>
    <numFmt numFmtId="166" formatCode="dd-mmm-yyyy"/>
  </numFmts>
  <fonts count="18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sz val="9"/>
      <color rgb="FFE2E8F0"/>
      <name val="Segoe UI"/>
      <family val="2"/>
    </font>
    <font>
      <b/>
      <sz val="8"/>
      <color rgb="FF4B5563"/>
      <name val="Segoe UI"/>
      <family val="2"/>
    </font>
    <font>
      <b/>
      <sz val="16"/>
      <color rgb="FF1B365D"/>
      <name val="Segoe UI"/>
      <family val="2"/>
    </font>
    <font>
      <b/>
      <sz val="16"/>
      <color rgb="FF059669"/>
      <name val="Segoe UI"/>
      <family val="2"/>
    </font>
    <font>
      <b/>
      <sz val="16"/>
      <color rgb="FFDC2626"/>
      <name val="Segoe UI"/>
      <family val="2"/>
    </font>
    <font>
      <b/>
      <sz val="16"/>
      <color rgb="FF2563EB"/>
      <name val="Segoe UI"/>
      <family val="2"/>
    </font>
    <font>
      <b/>
      <sz val="16"/>
      <color rgb="FFD97706"/>
      <name val="Segoe UI"/>
      <family val="2"/>
    </font>
    <font>
      <b/>
      <sz val="16"/>
      <color rgb="FF4F46E5"/>
      <name val="Segoe UI"/>
      <family val="2"/>
    </font>
    <font>
      <b/>
      <sz val="11"/>
      <color rgb="FF1B365D"/>
      <name val="Segoe UI"/>
      <family val="2"/>
    </font>
    <font>
      <i/>
      <sz val="9"/>
      <color rgb="FF4B5563"/>
      <name val="Segoe UI"/>
      <family val="2"/>
    </font>
    <font>
      <b/>
      <sz val="9"/>
      <color rgb="FFFFFFFF"/>
      <name val="Segoe UI"/>
      <family val="2"/>
    </font>
    <font>
      <b/>
      <sz val="9"/>
      <color rgb="FF1B365D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theme="1"/>
      <name val="Segoe UI"/>
      <family val="2"/>
    </font>
    <font>
      <sz val="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A70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21252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37415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10" borderId="2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5" fillId="12" borderId="3" xfId="0" applyFont="1" applyFill="1" applyBorder="1" applyAlignment="1">
      <alignment horizontal="left" vertical="center" indent="1"/>
    </xf>
    <xf numFmtId="0" fontId="15" fillId="12" borderId="3" xfId="0" applyFont="1" applyFill="1" applyBorder="1" applyAlignment="1">
      <alignment horizontal="center" vertical="center"/>
    </xf>
    <xf numFmtId="164" fontId="15" fillId="12" borderId="3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66" fontId="16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2" fillId="2" borderId="2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/>
    </xf>
    <xf numFmtId="165" fontId="16" fillId="11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166" fontId="16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9C0006"/>
      </font>
      <fill>
        <patternFill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width="4.7109375" customWidth="1"/>
    <col min="2" max="2" width="24.7109375" customWidth="1"/>
    <col min="3" max="3" width="14.7109375" customWidth="1"/>
    <col min="4" max="5" width="12.7109375" customWidth="1"/>
    <col min="6" max="6" width="13.7109375" customWidth="1"/>
    <col min="7" max="7" width="12.7109375" customWidth="1"/>
    <col min="8" max="8" width="24.7109375" customWidth="1"/>
    <col min="9" max="9" width="14.7109375" customWidth="1"/>
    <col min="10" max="11" width="13.7109375" customWidth="1"/>
    <col min="12" max="12" width="14.7109375" customWidth="1"/>
    <col min="13" max="13" width="4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>
        <f>"  Real-Time Workforce Analytics  •  Automated Duplicate Tracking  •  Live As Of: " &amp; TEXT(TODAY(), "DD-MMM-YYYY")</f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0" customHeight="1"/>
    <row r="4" spans="1:12" ht="16" customHeight="1">
      <c r="B4" s="3" t="s">
        <v>1</v>
      </c>
      <c r="C4" s="3"/>
      <c r="D4" s="4" t="s">
        <v>2</v>
      </c>
      <c r="E4" s="4"/>
      <c r="F4" s="5" t="s">
        <v>3</v>
      </c>
      <c r="G4" s="5"/>
      <c r="H4" s="6" t="s">
        <v>4</v>
      </c>
      <c r="I4" s="6"/>
      <c r="J4" s="7" t="s">
        <v>5</v>
      </c>
      <c r="K4" s="7"/>
      <c r="L4" s="8" t="s">
        <v>6</v>
      </c>
    </row>
    <row r="5" spans="1:12" ht="28" customHeight="1">
      <c r="B5" s="9">
        <f>C20</f>
        <v>0</v>
      </c>
      <c r="C5" s="9"/>
      <c r="D5" s="10">
        <f>D20</f>
        <v>0</v>
      </c>
      <c r="E5" s="10"/>
      <c r="F5" s="11">
        <f>E20</f>
        <v>0</v>
      </c>
      <c r="G5" s="11"/>
      <c r="H5" s="12">
        <f>F20</f>
        <v>0</v>
      </c>
      <c r="I5" s="12"/>
      <c r="J5" s="13">
        <f>G20</f>
        <v>0</v>
      </c>
      <c r="K5" s="13"/>
      <c r="L5" s="14">
        <f>J20</f>
        <v>0</v>
      </c>
    </row>
    <row r="6" spans="1:12" ht="14" customHeight="1"/>
    <row r="7" spans="1:12" ht="32" customHeight="1"/>
    <row r="8" spans="1:12" ht="14" customHeight="1"/>
    <row r="9" spans="1:12" ht="22" customHeight="1">
      <c r="B9" s="15" t="s">
        <v>7</v>
      </c>
    </row>
    <row r="10" spans="1:12" ht="16" customHeight="1">
      <c r="B10" s="16" t="s">
        <v>8</v>
      </c>
    </row>
    <row r="11" spans="1:12" ht="34" customHeight="1"/>
    <row r="12" spans="1:12" ht="12" customHeight="1"/>
    <row r="13" spans="1:12" ht="24" customHeight="1">
      <c r="B13" s="17" t="s">
        <v>9</v>
      </c>
      <c r="C13" s="17" t="s">
        <v>10</v>
      </c>
      <c r="D13" s="17" t="s">
        <v>11</v>
      </c>
      <c r="E13" s="17" t="s">
        <v>12</v>
      </c>
      <c r="F13" s="17" t="s">
        <v>13</v>
      </c>
      <c r="G13" s="17" t="s">
        <v>14</v>
      </c>
      <c r="H13" s="17" t="s">
        <v>15</v>
      </c>
      <c r="I13" s="17" t="s">
        <v>16</v>
      </c>
      <c r="J13" s="17" t="s">
        <v>17</v>
      </c>
      <c r="K13" s="17" t="s">
        <v>18</v>
      </c>
      <c r="L13" s="17" t="s">
        <v>19</v>
      </c>
    </row>
    <row r="14" spans="1:12" ht="20" customHeight="1">
      <c r="B14" s="18" t="s">
        <v>20</v>
      </c>
      <c r="C14" s="19">
        <f>COUNTIF('Contractual Staff Details'!$C$3:$C$5000, "CBRE")</f>
        <v>0</v>
      </c>
      <c r="D14" s="19">
        <f>COUNTIFS('Contractual Staff Details'!$C$3:$C$5000, "CBRE", 'Contractual Staff Details'!$S$3:$S$5000, "Active")</f>
        <v>0</v>
      </c>
      <c r="E14" s="19">
        <f>COUNTIFS('Contractual Staff Details'!$C$3:$C$5000, "CBRE", 'Contractual Staff Details'!$S$3:$S$5000, "In-Active") + COUNTIFS('Contractual Staff Details'!$C$3:$C$5000, "CBRE", 'Contractual Staff Details'!$S$3:$S$5000, "Inactive")</f>
        <v>0</v>
      </c>
      <c r="F14" s="19">
        <f>COUNTIFS('Contractual Staff Details'!$C$3:$C$5000, "CBRE", 'Contractual Staff Details'!$X$3:$X$5000, "Permanent*")</f>
        <v>0</v>
      </c>
      <c r="G14" s="19">
        <f>COUNTIFS('Contractual Staff Details'!$C$3:$C$5000, "CBRE", 'Contractual Staff Details'!$X$3:$X$5000, "Relie*") + COUNTIFS('Contractual Staff Details'!$C$3:$C$5000, "CBRE", 'Contractual Staff Details'!$X$3:$X$5000, "Reliv*")</f>
        <v>0</v>
      </c>
      <c r="H14" s="19">
        <f>COUNTIFS('Contractual Staff Details'!$C$3:$C$5000, "CBRE", 'Contractual Staff Details'!$J$3:$J$5000, "*DT*3*")</f>
        <v>0</v>
      </c>
      <c r="I14" s="19">
        <f>COUNTIFS('Contractual Staff Details'!$C$3:$C$5000, "CBRE", 'Contractual Staff Details'!$J$3:$J$5000, "*DT*4*")</f>
        <v>0</v>
      </c>
      <c r="J14" s="19">
        <f>COUNTIFS('Contractual Staff Details'!$C$3:$C$5000, "CBRE", 'Contractual Staff Details'!$T$3:$T$5000, "Yes*") + COUNTIFS('Contractual Staff Details'!$C$3:$C$5000, "CBRE", 'Contractual Staff Details'!$T$3:$T$5000, "Shared*")</f>
        <v>0</v>
      </c>
      <c r="K14" s="19">
        <f>COUNTIFS('Contractual Staff Details'!$C$3:$C$5000, "CBRE", 'Contractual Staff Details'!$U$3:$U$5000, "Yes*") + COUNTIFS('Contractual Staff Details'!$C$3:$C$5000, "CBRE", 'Contractual Staff Details'!$U$3:$U$5000, "Available*")</f>
        <v>0</v>
      </c>
      <c r="L14" s="20">
        <f>IF(C14&gt;0, D14/C14, 0)</f>
        <v>0</v>
      </c>
    </row>
    <row r="15" spans="1:12" ht="20" customHeight="1">
      <c r="B15" s="21" t="s">
        <v>21</v>
      </c>
      <c r="C15" s="22">
        <f>COUNTIF('Contractual Staff Details'!$C$3:$C$5000, "EHK") + COUNTIF('Contractual Staff Details'!$C$3:$C$5000, "*Express*")</f>
        <v>0</v>
      </c>
      <c r="D15" s="22">
        <f>COUNTIFS('Contractual Staff Details'!$C$3:$C$5000, "EHK", 'Contractual Staff Details'!$S$3:$S$5000, "Active") + COUNTIFS('Contractual Staff Details'!$C$3:$C$5000, "*Express*", 'Contractual Staff Details'!$S$3:$S$5000, "Active")</f>
        <v>0</v>
      </c>
      <c r="E15" s="22">
        <f>COUNTIFS('Contractual Staff Details'!$C$3:$C$5000, "EHK", 'Contractual Staff Details'!$S$3:$S$5000, "In-Active") + COUNTIFS('Contractual Staff Details'!$C$3:$C$5000, "EHK", 'Contractual Staff Details'!$S$3:$S$5000, "Inactive") + COUNTIFS('Contractual Staff Details'!$C$3:$C$5000, "*Express*", 'Contractual Staff Details'!$S$3:$S$5000, "In-Active") + COUNTIFS('Contractual Staff Details'!$C$3:$C$5000, "*Express*", 'Contractual Staff Details'!$S$3:$S$5000, "Inactive")</f>
        <v>0</v>
      </c>
      <c r="F15" s="22">
        <f>COUNTIFS('Contractual Staff Details'!$C$3:$C$5000, "EHK", 'Contractual Staff Details'!$X$3:$X$5000, "Permanent*") + COUNTIFS('Contractual Staff Details'!$C$3:$C$5000, "*Express*", 'Contractual Staff Details'!$X$3:$X$5000, "Permanent*")</f>
        <v>0</v>
      </c>
      <c r="G15" s="22">
        <f>COUNTIFS('Contractual Staff Details'!$C$3:$C$5000, "EHK", 'Contractual Staff Details'!$X$3:$X$5000, "Relie*") + COUNTIFS('Contractual Staff Details'!$C$3:$C$5000, "EHK", 'Contractual Staff Details'!$X$3:$X$5000, "Reliv*") + COUNTIFS('Contractual Staff Details'!$C$3:$C$5000, "*Express*", 'Contractual Staff Details'!$X$3:$X$5000, "Relie*") + COUNTIFS('Contractual Staff Details'!$C$3:$C$5000, "*Express*", 'Contractual Staff Details'!$X$3:$X$5000, "Reliv*")</f>
        <v>0</v>
      </c>
      <c r="H15" s="22">
        <f>COUNTIFS('Contractual Staff Details'!$C$3:$C$5000, "EHK", 'Contractual Staff Details'!$J$3:$J$5000, "*DT*3*") + COUNTIFS('Contractual Staff Details'!$C$3:$C$5000, "*Express*", 'Contractual Staff Details'!$J$3:$J$5000, "*DT*3*")</f>
        <v>0</v>
      </c>
      <c r="I15" s="22">
        <f>COUNTIFS('Contractual Staff Details'!$C$3:$C$5000, "EHK", 'Contractual Staff Details'!$J$3:$J$5000, "*DT*4*") + COUNTIFS('Contractual Staff Details'!$C$3:$C$5000, "*Express*", 'Contractual Staff Details'!$J$3:$J$5000, "*DT*4*")</f>
        <v>0</v>
      </c>
      <c r="J15" s="22">
        <f>COUNTIFS('Contractual Staff Details'!$C$3:$C$5000, "EHK", 'Contractual Staff Details'!$T$3:$T$5000, "Yes*") + COUNTIFS('Contractual Staff Details'!$C$3:$C$5000, "EHK", 'Contractual Staff Details'!$T$3:$T$5000, "Shared*") + COUNTIFS('Contractual Staff Details'!$C$3:$C$5000, "*Express*", 'Contractual Staff Details'!$T$3:$T$5000, "Yes*") + COUNTIFS('Contractual Staff Details'!$C$3:$C$5000, "*Express*", 'Contractual Staff Details'!$T$3:$T$5000, "Shared*")</f>
        <v>0</v>
      </c>
      <c r="K15" s="22">
        <f>COUNTIFS('Contractual Staff Details'!$C$3:$C$5000, "EHK", 'Contractual Staff Details'!$U$3:$U$5000, "Yes*") + COUNTIFS('Contractual Staff Details'!$C$3:$C$5000, "EHK", 'Contractual Staff Details'!$U$3:$U$5000, "Available*") + COUNTIFS('Contractual Staff Details'!$C$3:$C$5000, "*Express*", 'Contractual Staff Details'!$U$3:$U$5000, "Yes*") + COUNTIFS('Contractual Staff Details'!$C$3:$C$5000, "*Express*", 'Contractual Staff Details'!$U$3:$U$5000, "Available*")</f>
        <v>0</v>
      </c>
      <c r="L15" s="23">
        <f>IF(C15&gt;0, D15/C15, 0)</f>
        <v>0</v>
      </c>
    </row>
    <row r="16" spans="1:12" ht="20" customHeight="1">
      <c r="B16" s="18" t="s">
        <v>22</v>
      </c>
      <c r="C16" s="19">
        <f>COUNTIF('Contractual Staff Details'!$C$3:$C$5000, "SKFM") + COUNTIF('Contractual Staff Details'!$C$3:$C$5000, "*SK Facility*")</f>
        <v>0</v>
      </c>
      <c r="D16" s="19">
        <f>COUNTIFS('Contractual Staff Details'!$C$3:$C$5000, "SKFM", 'Contractual Staff Details'!$S$3:$S$5000, "Active") + COUNTIFS('Contractual Staff Details'!$C$3:$C$5000, "*SK Facility*", 'Contractual Staff Details'!$S$3:$S$5000, "Active")</f>
        <v>0</v>
      </c>
      <c r="E16" s="19">
        <f>COUNTIFS('Contractual Staff Details'!$C$3:$C$5000, "SKFM", 'Contractual Staff Details'!$S$3:$S$5000, "In-Active") + COUNTIFS('Contractual Staff Details'!$C$3:$C$5000, "SKFM", 'Contractual Staff Details'!$S$3:$S$5000, "Inactive") + COUNTIFS('Contractual Staff Details'!$C$3:$C$5000, "*SK Facility*", 'Contractual Staff Details'!$S$3:$S$5000, "In-Active") + COUNTIFS('Contractual Staff Details'!$C$3:$C$5000, "*SK Facility*", 'Contractual Staff Details'!$S$3:$S$5000, "Inactive")</f>
        <v>0</v>
      </c>
      <c r="F16" s="19">
        <f>COUNTIFS('Contractual Staff Details'!$C$3:$C$5000, "SKFM", 'Contractual Staff Details'!$X$3:$X$5000, "Permanent*") + COUNTIFS('Contractual Staff Details'!$C$3:$C$5000, "*SK Facility*", 'Contractual Staff Details'!$X$3:$X$5000, "Permanent*")</f>
        <v>0</v>
      </c>
      <c r="G16" s="19">
        <f>COUNTIFS('Contractual Staff Details'!$C$3:$C$5000, "SKFM", 'Contractual Staff Details'!$X$3:$X$5000, "Relie*") + COUNTIFS('Contractual Staff Details'!$C$3:$C$5000, "SKFM", 'Contractual Staff Details'!$X$3:$X$5000, "Reliv*") + COUNTIFS('Contractual Staff Details'!$C$3:$C$5000, "*SK Facility*", 'Contractual Staff Details'!$X$3:$X$5000, "Relie*") + COUNTIFS('Contractual Staff Details'!$C$3:$C$5000, "*SK Facility*", 'Contractual Staff Details'!$X$3:$X$5000, "Reliv*")</f>
        <v>0</v>
      </c>
      <c r="H16" s="19">
        <f>COUNTIFS('Contractual Staff Details'!$C$3:$C$5000, "SKFM", 'Contractual Staff Details'!$J$3:$J$5000, "*DT*3*") + COUNTIFS('Contractual Staff Details'!$C$3:$C$5000, "*SK Facility*", 'Contractual Staff Details'!$J$3:$J$5000, "*DT*3*")</f>
        <v>0</v>
      </c>
      <c r="I16" s="19">
        <f>COUNTIFS('Contractual Staff Details'!$C$3:$C$5000, "SKFM", 'Contractual Staff Details'!$J$3:$J$5000, "*DT*4*") + COUNTIFS('Contractual Staff Details'!$C$3:$C$5000, "*SK Facility*", 'Contractual Staff Details'!$J$3:$J$5000, "*DT*4*")</f>
        <v>0</v>
      </c>
      <c r="J16" s="19">
        <f>COUNTIFS('Contractual Staff Details'!$C$3:$C$5000, "SKFM", 'Contractual Staff Details'!$T$3:$T$5000, "Yes*") + COUNTIFS('Contractual Staff Details'!$C$3:$C$5000, "SKFM", 'Contractual Staff Details'!$T$3:$T$5000, "Shared*") + COUNTIFS('Contractual Staff Details'!$C$3:$C$5000, "*SK Facility*", 'Contractual Staff Details'!$T$3:$T$5000, "Yes*") + COUNTIFS('Contractual Staff Details'!$C$3:$C$5000, "*SK Facility*", 'Contractual Staff Details'!$T$3:$T$5000, "Shared*")</f>
        <v>0</v>
      </c>
      <c r="K16" s="19">
        <f>COUNTIFS('Contractual Staff Details'!$C$3:$C$5000, "SKFM", 'Contractual Staff Details'!$U$3:$U$5000, "Yes*") + COUNTIFS('Contractual Staff Details'!$C$3:$C$5000, "SKFM", 'Contractual Staff Details'!$U$3:$U$5000, "Available*") + COUNTIFS('Contractual Staff Details'!$C$3:$C$5000, "*SK Facility*", 'Contractual Staff Details'!$U$3:$U$5000, "Yes*") + COUNTIFS('Contractual Staff Details'!$C$3:$C$5000, "*SK Facility*", 'Contractual Staff Details'!$U$3:$U$5000, "Available*")</f>
        <v>0</v>
      </c>
      <c r="L16" s="20">
        <f>IF(C16&gt;0, D16/C16, 0)</f>
        <v>0</v>
      </c>
    </row>
    <row r="17" spans="2:12" ht="20" customHeight="1">
      <c r="B17" s="21" t="s">
        <v>23</v>
      </c>
      <c r="C17" s="22">
        <f>COUNTIF('Contractual Staff Details'!$C$3:$C$5000, "COMPASS")</f>
        <v>0</v>
      </c>
      <c r="D17" s="22">
        <f>COUNTIFS('Contractual Staff Details'!$C$3:$C$5000, "COMPASS", 'Contractual Staff Details'!$S$3:$S$5000, "Active")</f>
        <v>0</v>
      </c>
      <c r="E17" s="22">
        <f>COUNTIFS('Contractual Staff Details'!$C$3:$C$5000, "COMPASS", 'Contractual Staff Details'!$S$3:$S$5000, "In-Active") + COUNTIFS('Contractual Staff Details'!$C$3:$C$5000, "COMPASS", 'Contractual Staff Details'!$S$3:$S$5000, "Inactive")</f>
        <v>0</v>
      </c>
      <c r="F17" s="22">
        <f>COUNTIFS('Contractual Staff Details'!$C$3:$C$5000, "COMPASS", 'Contractual Staff Details'!$X$3:$X$5000, "Permanent*")</f>
        <v>0</v>
      </c>
      <c r="G17" s="22">
        <f>COUNTIFS('Contractual Staff Details'!$C$3:$C$5000, "COMPASS", 'Contractual Staff Details'!$X$3:$X$5000, "Relie*") + COUNTIFS('Contractual Staff Details'!$C$3:$C$5000, "COMPASS", 'Contractual Staff Details'!$X$3:$X$5000, "Reliv*")</f>
        <v>0</v>
      </c>
      <c r="H17" s="22">
        <f>COUNTIFS('Contractual Staff Details'!$C$3:$C$5000, "COMPASS", 'Contractual Staff Details'!$J$3:$J$5000, "*DT*3*")</f>
        <v>0</v>
      </c>
      <c r="I17" s="22">
        <f>COUNTIFS('Contractual Staff Details'!$C$3:$C$5000, "COMPASS", 'Contractual Staff Details'!$J$3:$J$5000, "*DT*4*")</f>
        <v>0</v>
      </c>
      <c r="J17" s="22">
        <f>COUNTIFS('Contractual Staff Details'!$C$3:$C$5000, "COMPASS", 'Contractual Staff Details'!$T$3:$T$5000, "Yes*") + COUNTIFS('Contractual Staff Details'!$C$3:$C$5000, "COMPASS", 'Contractual Staff Details'!$T$3:$T$5000, "Shared*")</f>
        <v>0</v>
      </c>
      <c r="K17" s="22">
        <f>COUNTIFS('Contractual Staff Details'!$C$3:$C$5000, "COMPASS", 'Contractual Staff Details'!$U$3:$U$5000, "Yes*") + COUNTIFS('Contractual Staff Details'!$C$3:$C$5000, "COMPASS", 'Contractual Staff Details'!$U$3:$U$5000, "Available*")</f>
        <v>0</v>
      </c>
      <c r="L17" s="23">
        <f>IF(C17&gt;0, D17/C17, 0)</f>
        <v>0</v>
      </c>
    </row>
    <row r="18" spans="2:12" ht="20" customHeight="1">
      <c r="B18" s="18" t="s">
        <v>24</v>
      </c>
      <c r="C18" s="19">
        <f>COUNTIF('Contractual Staff Details'!$C$3:$C$5000, "PIHU FOODS")</f>
        <v>0</v>
      </c>
      <c r="D18" s="19">
        <f>COUNTIFS('Contractual Staff Details'!$C$3:$C$5000, "PIHU FOODS", 'Contractual Staff Details'!$S$3:$S$5000, "Active")</f>
        <v>0</v>
      </c>
      <c r="E18" s="19">
        <f>COUNTIFS('Contractual Staff Details'!$C$3:$C$5000, "PIHU FOODS", 'Contractual Staff Details'!$S$3:$S$5000, "In-Active") + COUNTIFS('Contractual Staff Details'!$C$3:$C$5000, "PIHU FOODS", 'Contractual Staff Details'!$S$3:$S$5000, "Inactive")</f>
        <v>0</v>
      </c>
      <c r="F18" s="19">
        <f>COUNTIFS('Contractual Staff Details'!$C$3:$C$5000, "PIHU FOODS", 'Contractual Staff Details'!$X$3:$X$5000, "Permanent*")</f>
        <v>0</v>
      </c>
      <c r="G18" s="19">
        <f>COUNTIFS('Contractual Staff Details'!$C$3:$C$5000, "PIHU FOODS", 'Contractual Staff Details'!$X$3:$X$5000, "Relie*") + COUNTIFS('Contractual Staff Details'!$C$3:$C$5000, "PIHU FOODS", 'Contractual Staff Details'!$X$3:$X$5000, "Reliv*")</f>
        <v>0</v>
      </c>
      <c r="H18" s="19">
        <f>COUNTIFS('Contractual Staff Details'!$C$3:$C$5000, "PIHU FOODS", 'Contractual Staff Details'!$J$3:$J$5000, "*DT*3*")</f>
        <v>0</v>
      </c>
      <c r="I18" s="19">
        <f>COUNTIFS('Contractual Staff Details'!$C$3:$C$5000, "PIHU FOODS", 'Contractual Staff Details'!$J$3:$J$5000, "*DT*4*")</f>
        <v>0</v>
      </c>
      <c r="J18" s="19">
        <f>COUNTIFS('Contractual Staff Details'!$C$3:$C$5000, "PIHU FOODS", 'Contractual Staff Details'!$T$3:$T$5000, "Yes*") + COUNTIFS('Contractual Staff Details'!$C$3:$C$5000, "PIHU FOODS", 'Contractual Staff Details'!$T$3:$T$5000, "Shared*")</f>
        <v>0</v>
      </c>
      <c r="K18" s="19">
        <f>COUNTIFS('Contractual Staff Details'!$C$3:$C$5000, "PIHU FOODS", 'Contractual Staff Details'!$U$3:$U$5000, "Yes*") + COUNTIFS('Contractual Staff Details'!$C$3:$C$5000, "PIHU FOODS", 'Contractual Staff Details'!$U$3:$U$5000, "Available*")</f>
        <v>0</v>
      </c>
      <c r="L18" s="20">
        <f>IF(C18&gt;0, D18/C18, 0)</f>
        <v>0</v>
      </c>
    </row>
    <row r="19" spans="2:12" ht="20" customHeight="1">
      <c r="B19" s="21" t="s">
        <v>25</v>
      </c>
      <c r="C19" s="22">
        <f>COUNTIF('Contractual Staff Details'!$C$3:$C$5000, "I-con")</f>
        <v>0</v>
      </c>
      <c r="D19" s="22">
        <f>COUNTIFS('Contractual Staff Details'!$C$3:$C$5000, "I-con", 'Contractual Staff Details'!$S$3:$S$5000, "Active")</f>
        <v>0</v>
      </c>
      <c r="E19" s="22">
        <f>COUNTIFS('Contractual Staff Details'!$C$3:$C$5000, "I-con", 'Contractual Staff Details'!$S$3:$S$5000, "In-Active") + COUNTIFS('Contractual Staff Details'!$C$3:$C$5000, "I-con", 'Contractual Staff Details'!$S$3:$S$5000, "Inactive")</f>
        <v>0</v>
      </c>
      <c r="F19" s="22">
        <f>COUNTIFS('Contractual Staff Details'!$C$3:$C$5000, "I-con", 'Contractual Staff Details'!$X$3:$X$5000, "Permanent*")</f>
        <v>0</v>
      </c>
      <c r="G19" s="22">
        <f>COUNTIFS('Contractual Staff Details'!$C$3:$C$5000, "I-con", 'Contractual Staff Details'!$X$3:$X$5000, "Relie*") + COUNTIFS('Contractual Staff Details'!$C$3:$C$5000, "I-con", 'Contractual Staff Details'!$X$3:$X$5000, "Reliv*")</f>
        <v>0</v>
      </c>
      <c r="H19" s="22">
        <f>COUNTIFS('Contractual Staff Details'!$C$3:$C$5000, "I-con", 'Contractual Staff Details'!$J$3:$J$5000, "*DT*3*")</f>
        <v>0</v>
      </c>
      <c r="I19" s="22">
        <f>COUNTIFS('Contractual Staff Details'!$C$3:$C$5000, "I-con", 'Contractual Staff Details'!$J$3:$J$5000, "*DT*4*")</f>
        <v>0</v>
      </c>
      <c r="J19" s="22">
        <f>COUNTIFS('Contractual Staff Details'!$C$3:$C$5000, "I-con", 'Contractual Staff Details'!$T$3:$T$5000, "Yes*") + COUNTIFS('Contractual Staff Details'!$C$3:$C$5000, "I-con", 'Contractual Staff Details'!$T$3:$T$5000, "Shared*")</f>
        <v>0</v>
      </c>
      <c r="K19" s="22">
        <f>COUNTIFS('Contractual Staff Details'!$C$3:$C$5000, "I-con", 'Contractual Staff Details'!$U$3:$U$5000, "Yes*") + COUNTIFS('Contractual Staff Details'!$C$3:$C$5000, "I-con", 'Contractual Staff Details'!$U$3:$U$5000, "Available*")</f>
        <v>0</v>
      </c>
      <c r="L19" s="23">
        <f>IF(C19&gt;0, D19/C19, 0)</f>
        <v>0</v>
      </c>
    </row>
    <row r="20" spans="2:12" ht="22" customHeight="1">
      <c r="B20" s="24" t="s">
        <v>26</v>
      </c>
      <c r="C20" s="25">
        <f>SUM(C14:C19)</f>
        <v>0</v>
      </c>
      <c r="D20" s="25">
        <f>SUM(D14:D19)</f>
        <v>0</v>
      </c>
      <c r="E20" s="25">
        <f>SUM(E14:E19)</f>
        <v>0</v>
      </c>
      <c r="F20" s="25">
        <f>SUM(F14:F19)</f>
        <v>0</v>
      </c>
      <c r="G20" s="25">
        <f>SUM(G14:G19)</f>
        <v>0</v>
      </c>
      <c r="H20" s="25">
        <f>SUM(H14:H19)</f>
        <v>0</v>
      </c>
      <c r="I20" s="25">
        <f>SUM(I14:I19)</f>
        <v>0</v>
      </c>
      <c r="J20" s="25">
        <f>SUM(J14:J19)</f>
        <v>0</v>
      </c>
      <c r="K20" s="25">
        <f>SUM(K14:K19)</f>
        <v>0</v>
      </c>
      <c r="L20" s="26">
        <f>IF(C20&gt;0, D20/C20, 0)</f>
        <v>0</v>
      </c>
    </row>
    <row r="21" spans="2:12" ht="16" customHeight="1"/>
    <row r="22" spans="2:12" ht="22" customHeight="1">
      <c r="B22" s="17" t="s">
        <v>27</v>
      </c>
      <c r="C22" s="17"/>
      <c r="D22" s="17"/>
      <c r="E22" s="17"/>
      <c r="F22" s="17"/>
      <c r="H22" s="17" t="s">
        <v>36</v>
      </c>
      <c r="I22" s="17"/>
      <c r="J22" s="17"/>
      <c r="K22" s="17"/>
      <c r="L22" s="17"/>
    </row>
    <row r="23" spans="2:12" ht="22" customHeight="1">
      <c r="B23" s="27" t="s">
        <v>28</v>
      </c>
      <c r="C23" s="27" t="s">
        <v>29</v>
      </c>
      <c r="D23" s="27" t="s">
        <v>11</v>
      </c>
      <c r="E23" s="27" t="s">
        <v>12</v>
      </c>
      <c r="F23" s="27" t="s">
        <v>30</v>
      </c>
      <c r="H23" s="27" t="s">
        <v>37</v>
      </c>
      <c r="I23" s="27" t="s">
        <v>38</v>
      </c>
      <c r="J23" s="27" t="s">
        <v>39</v>
      </c>
      <c r="K23" s="27" t="s">
        <v>40</v>
      </c>
      <c r="L23" s="27" t="s">
        <v>41</v>
      </c>
    </row>
    <row r="24" spans="2:12" ht="20" customHeight="1">
      <c r="B24" s="18" t="s">
        <v>31</v>
      </c>
      <c r="C24" s="19">
        <f>COUNTIFS('Contractual Staff Details'!$J$3:$J$5000, "*DT*3*", 'Contractual Staff Details'!$J$3:$J$5000, "&lt;&gt;*DT4*")</f>
        <v>0</v>
      </c>
      <c r="D24" s="19">
        <f>COUNTIFS('Contractual Staff Details'!$J$3:$J$5000, "*DT*3*", 'Contractual Staff Details'!$J$3:$J$5000, "&lt;&gt;*DT4*", 'Contractual Staff Details'!$S$3:$S$5000, "Active")</f>
        <v>0</v>
      </c>
      <c r="E24" s="19">
        <f>COUNTIFS('Contractual Staff Details'!$J$3:$J$5000, "*DT*3*", 'Contractual Staff Details'!$J$3:$J$5000, "&lt;&gt;*DT4*", 'Contractual Staff Details'!$S$3:$S$5000, "In-Active") + COUNTIFS('Contractual Staff Details'!$J$3:$J$5000, "*DT*3*", 'Contractual Staff Details'!$J$3:$J$5000, "&lt;&gt;*DT4*", 'Contractual Staff Details'!$S$3:$S$5000, "Inactive")</f>
        <v>0</v>
      </c>
      <c r="F24" s="20">
        <f>IF($C$20&gt;0, C24/$C$20, 0)</f>
        <v>0</v>
      </c>
      <c r="H24" s="18" t="s">
        <v>42</v>
      </c>
      <c r="I24" s="19">
        <f>$C$20</f>
        <v>0</v>
      </c>
      <c r="J24" s="19">
        <f>J20</f>
        <v>0</v>
      </c>
      <c r="K24" s="19">
        <f>I24-J24</f>
        <v>0</v>
      </c>
      <c r="L24" s="20">
        <f>IF(I24&gt;0, J24/I24, 0)</f>
        <v>0</v>
      </c>
    </row>
    <row r="25" spans="2:12" ht="20" customHeight="1">
      <c r="B25" s="21" t="s">
        <v>32</v>
      </c>
      <c r="C25" s="22">
        <f>COUNTIFS('Contractual Staff Details'!$J$3:$J$5000, "*DT*4*", 'Contractual Staff Details'!$J$3:$J$5000, "&lt;&gt;*DT3*")</f>
        <v>0</v>
      </c>
      <c r="D25" s="22">
        <f>COUNTIFS('Contractual Staff Details'!$J$3:$J$5000, "*DT*4*", 'Contractual Staff Details'!$J$3:$J$5000, "&lt;&gt;*DT3*", 'Contractual Staff Details'!$S$3:$S$5000, "Active")</f>
        <v>0</v>
      </c>
      <c r="E25" s="22">
        <f>COUNTIFS('Contractual Staff Details'!$J$3:$J$5000, "*DT*4*", 'Contractual Staff Details'!$J$3:$J$5000, "&lt;&gt;*DT3*", 'Contractual Staff Details'!$S$3:$S$5000, "In-Active") + COUNTIFS('Contractual Staff Details'!$J$3:$J$5000, "*DT*4*", 'Contractual Staff Details'!$J$3:$J$5000, "&lt;&gt;*DT3*", 'Contractual Staff Details'!$S$3:$S$5000, "Inactive")</f>
        <v>0</v>
      </c>
      <c r="F25" s="23">
        <f>IF($C$20&gt;0, C25/$C$20, 0)</f>
        <v>0</v>
      </c>
      <c r="H25" s="21" t="s">
        <v>43</v>
      </c>
      <c r="I25" s="22">
        <f>$C$20</f>
        <v>0</v>
      </c>
      <c r="J25" s="22">
        <f>K20</f>
        <v>0</v>
      </c>
      <c r="K25" s="22">
        <f>I25-J25</f>
        <v>0</v>
      </c>
      <c r="L25" s="23">
        <f>IF(I25&gt;0, J25/I25, 0)</f>
        <v>0</v>
      </c>
    </row>
    <row r="26" spans="2:12" ht="20" customHeight="1">
      <c r="B26" s="18" t="s">
        <v>33</v>
      </c>
      <c r="C26" s="19">
        <f>COUNTIFS('Contractual Staff Details'!$J$3:$J$5000, "*DT*4*", 'Contractual Staff Details'!$J$3:$J$5000, "*DT*3*")</f>
        <v>0</v>
      </c>
      <c r="D26" s="19">
        <f>COUNTIFS('Contractual Staff Details'!$J$3:$J$5000, "*DT*4*", 'Contractual Staff Details'!$J$3:$J$5000, "*DT*3*", 'Contractual Staff Details'!$S$3:$S$5000, "Active")</f>
        <v>0</v>
      </c>
      <c r="E26" s="19">
        <f>COUNTIFS('Contractual Staff Details'!$J$3:$J$5000, "*DT*4*", 'Contractual Staff Details'!$J$3:$J$5000, "*DT*3*", 'Contractual Staff Details'!$S$3:$S$5000, "In-Active") + COUNTIFS('Contractual Staff Details'!$J$3:$J$5000, "*DT*4*", 'Contractual Staff Details'!$J$3:$J$5000, "*DT*3*", 'Contractual Staff Details'!$S$3:$S$5000, "Inactive")</f>
        <v>0</v>
      </c>
      <c r="F26" s="20">
        <f>IF($C$20&gt;0, C26/$C$20, 0)</f>
        <v>0</v>
      </c>
      <c r="H26" s="18" t="s">
        <v>44</v>
      </c>
      <c r="I26" s="19">
        <f>$C$20</f>
        <v>0</v>
      </c>
      <c r="J26" s="19">
        <f>COUNTIFS('Contractual Staff Details'!$V$3:$V$5000, "&lt;&gt;", 'Contractual Staff Details'!$V$3:$V$5000, "&lt;&gt;NA", 'Contractual Staff Details'!$V$3:$V$5000, "&lt;&gt;N/A", 'Contractual Staff Details'!$V$3:$V$5000, "&lt;&gt;-")</f>
        <v>0</v>
      </c>
      <c r="K26" s="19">
        <f>I26-J26</f>
        <v>0</v>
      </c>
      <c r="L26" s="20">
        <f>IF(I26&gt;0, J26/I26, 0)</f>
        <v>0</v>
      </c>
    </row>
    <row r="27" spans="2:12" ht="20" customHeight="1">
      <c r="B27" s="21" t="s">
        <v>34</v>
      </c>
      <c r="C27" s="22">
        <f>C20 - SUM(C24:C26)</f>
        <v>0</v>
      </c>
      <c r="D27" s="22">
        <f>D20 - SUM(D24:D26)</f>
        <v>0</v>
      </c>
      <c r="E27" s="22">
        <f>E20 - SUM(E24:E26)</f>
        <v>0</v>
      </c>
      <c r="F27" s="23">
        <f>IF($C$20&gt;0, C27/$C$20, 0)</f>
        <v>0</v>
      </c>
      <c r="H27" s="21" t="s">
        <v>45</v>
      </c>
      <c r="I27" s="22">
        <f>$C$20</f>
        <v>0</v>
      </c>
      <c r="J27" s="22">
        <f>COUNTIFS('Contractual Staff Details'!$W$3:$W$5000, "&lt;&gt;", 'Contractual Staff Details'!$W$3:$W$5000, "&lt;&gt;NA", 'Contractual Staff Details'!$W$3:$W$5000, "&lt;&gt;N/A", 'Contractual Staff Details'!$W$3:$W$5000, "&lt;&gt;-")</f>
        <v>0</v>
      </c>
      <c r="K27" s="22">
        <f>I27-J27</f>
        <v>0</v>
      </c>
      <c r="L27" s="23">
        <f>IF(I27&gt;0, J27/I27, 0)</f>
        <v>0</v>
      </c>
    </row>
    <row r="28" spans="2:12" ht="20" customHeight="1">
      <c r="B28" s="24" t="s">
        <v>35</v>
      </c>
      <c r="C28" s="25">
        <f>SUM(C24:C27)</f>
        <v>0</v>
      </c>
      <c r="D28" s="25">
        <f>SUM(D24:D27)</f>
        <v>0</v>
      </c>
      <c r="E28" s="25">
        <f>SUM(E24:E27)</f>
        <v>0</v>
      </c>
      <c r="F28" s="26">
        <f>IF(C28&gt;0, SUM(F24:F27), 0)</f>
        <v>0</v>
      </c>
    </row>
  </sheetData>
  <mergeCells count="14">
    <mergeCell ref="A1:L1"/>
    <mergeCell ref="A2:L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B22:F22"/>
    <mergeCell ref="H22:L22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5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style="28" customWidth="1"/>
    <col min="2" max="2" width="16.7109375" style="28" customWidth="1"/>
    <col min="3" max="3" width="18.7109375" style="28" customWidth="1"/>
    <col min="4" max="4" width="14.7109375" style="29" customWidth="1"/>
    <col min="5" max="6" width="24.7109375" style="30" customWidth="1"/>
    <col min="7" max="7" width="16.7109375" style="29" customWidth="1"/>
    <col min="8" max="8" width="35.7109375" style="30" customWidth="1"/>
    <col min="9" max="9" width="10.7109375" style="28" customWidth="1"/>
    <col min="10" max="10" width="16.7109375" style="28" customWidth="1"/>
    <col min="11" max="11" width="14.7109375" style="31" customWidth="1"/>
    <col min="12" max="12" width="14.7109375" style="28" customWidth="1"/>
    <col min="13" max="13" width="20.7109375" style="28" customWidth="1"/>
    <col min="14" max="14" width="16.7109375" style="29" customWidth="1"/>
    <col min="15" max="15" width="20.7109375" style="28" customWidth="1"/>
    <col min="16" max="16" width="26.7109375" style="28" customWidth="1"/>
    <col min="17" max="17" width="12.7109375" style="29" customWidth="1"/>
    <col min="18" max="18" width="18.7109375" style="28" customWidth="1"/>
    <col min="19" max="19" width="12.7109375" style="28" customWidth="1"/>
    <col min="20" max="20" width="14.7109375" style="28" customWidth="1"/>
    <col min="21" max="21" width="16.7109375" style="28" customWidth="1"/>
    <col min="22" max="22" width="18.7109375" style="29" customWidth="1"/>
    <col min="23" max="23" width="16.7109375" style="29" customWidth="1"/>
    <col min="24" max="24" width="22.7109375" style="28" customWidth="1"/>
    <col min="25" max="25" width="16.7109375" style="31" customWidth="1"/>
  </cols>
  <sheetData>
    <row r="1" spans="1:25" ht="38" customHeight="1">
      <c r="A1" s="32">
        <f>COUNTIF(D3:D5000, "&lt;&gt;")</f>
        <v>0</v>
      </c>
    </row>
    <row r="2" spans="1:25" ht="28" customHeight="1">
      <c r="A2" s="33" t="s">
        <v>46</v>
      </c>
      <c r="B2" s="33" t="s">
        <v>47</v>
      </c>
      <c r="C2" s="33" t="s">
        <v>48</v>
      </c>
      <c r="D2" s="33" t="s">
        <v>49</v>
      </c>
      <c r="E2" s="33" t="s">
        <v>50</v>
      </c>
      <c r="F2" s="33" t="s">
        <v>51</v>
      </c>
      <c r="G2" s="33" t="s">
        <v>52</v>
      </c>
      <c r="H2" s="33" t="s">
        <v>53</v>
      </c>
      <c r="I2" s="33" t="s">
        <v>54</v>
      </c>
      <c r="J2" s="33" t="s">
        <v>55</v>
      </c>
      <c r="K2" s="33" t="s">
        <v>56</v>
      </c>
      <c r="L2" s="33" t="s">
        <v>57</v>
      </c>
      <c r="M2" s="33" t="s">
        <v>58</v>
      </c>
      <c r="N2" s="33" t="s">
        <v>59</v>
      </c>
      <c r="O2" s="33" t="s">
        <v>60</v>
      </c>
      <c r="P2" s="33" t="s">
        <v>61</v>
      </c>
      <c r="Q2" s="33" t="s">
        <v>62</v>
      </c>
      <c r="R2" s="33" t="s">
        <v>63</v>
      </c>
      <c r="S2" s="33" t="s">
        <v>64</v>
      </c>
      <c r="T2" s="33" t="s">
        <v>65</v>
      </c>
      <c r="U2" s="33" t="s">
        <v>43</v>
      </c>
      <c r="V2" s="33" t="s">
        <v>66</v>
      </c>
      <c r="W2" s="33" t="s">
        <v>67</v>
      </c>
      <c r="X2" s="33" t="s">
        <v>68</v>
      </c>
      <c r="Y2" s="33" t="s">
        <v>69</v>
      </c>
    </row>
    <row r="3" spans="1:25" ht="20" customHeight="1">
      <c r="A3" s="28">
        <v>1</v>
      </c>
      <c r="B3" s="28" t="s">
        <v>20</v>
      </c>
      <c r="C3" s="28" t="s">
        <v>20</v>
      </c>
      <c r="D3" s="29" t="s">
        <v>70</v>
      </c>
      <c r="E3" s="30" t="s">
        <v>71</v>
      </c>
      <c r="F3" s="30" t="s">
        <v>72</v>
      </c>
      <c r="G3" s="29" t="s">
        <v>73</v>
      </c>
      <c r="H3" s="30" t="s">
        <v>74</v>
      </c>
      <c r="I3" s="28" t="s">
        <v>75</v>
      </c>
      <c r="J3" s="28" t="s">
        <v>76</v>
      </c>
      <c r="K3" s="31" t="s">
        <v>77</v>
      </c>
      <c r="L3" s="28">
        <f>IF(K3="","",IFERROR(ROUND((TODAY()-IF(ISNUMBER(K3),K3,DATEVALUE(K3)))/365.25, 1),""))</f>
        <v>0</v>
      </c>
      <c r="M3" s="28" t="s">
        <v>78</v>
      </c>
      <c r="N3" s="29" t="s">
        <v>79</v>
      </c>
      <c r="O3" s="28" t="s">
        <v>80</v>
      </c>
      <c r="P3" s="28" t="s">
        <v>81</v>
      </c>
      <c r="Q3" s="29" t="s">
        <v>82</v>
      </c>
      <c r="R3" s="28" t="s">
        <v>83</v>
      </c>
      <c r="S3" s="28" t="s">
        <v>11</v>
      </c>
      <c r="T3" s="28" t="s">
        <v>84</v>
      </c>
      <c r="U3" s="28" t="s">
        <v>85</v>
      </c>
      <c r="V3" s="29" t="s">
        <v>86</v>
      </c>
      <c r="W3" s="29" t="s">
        <v>82</v>
      </c>
      <c r="X3" s="28" t="s">
        <v>13</v>
      </c>
      <c r="Y3" s="31"/>
    </row>
    <row r="4" spans="1:25" ht="20" customHeight="1">
      <c r="A4" s="34">
        <v>2</v>
      </c>
      <c r="B4" s="34" t="s">
        <v>20</v>
      </c>
      <c r="C4" s="34" t="s">
        <v>20</v>
      </c>
      <c r="D4" s="35" t="s">
        <v>87</v>
      </c>
      <c r="E4" s="36" t="s">
        <v>88</v>
      </c>
      <c r="F4" s="36" t="s">
        <v>89</v>
      </c>
      <c r="G4" s="35" t="s">
        <v>90</v>
      </c>
      <c r="H4" s="36" t="s">
        <v>91</v>
      </c>
      <c r="I4" s="34" t="s">
        <v>75</v>
      </c>
      <c r="J4" s="34" t="s">
        <v>92</v>
      </c>
      <c r="K4" s="37" t="s">
        <v>93</v>
      </c>
      <c r="L4" s="34">
        <f>IF(K4="","",IFERROR(ROUND((TODAY()-IF(ISNUMBER(K4),K4,DATEVALUE(K4)))/365.25, 1),""))</f>
        <v>0</v>
      </c>
      <c r="M4" s="34" t="s">
        <v>94</v>
      </c>
      <c r="N4" s="35" t="s">
        <v>95</v>
      </c>
      <c r="O4" s="34" t="s">
        <v>80</v>
      </c>
      <c r="P4" s="34" t="s">
        <v>81</v>
      </c>
      <c r="Q4" s="35" t="s">
        <v>82</v>
      </c>
      <c r="R4" s="34" t="s">
        <v>83</v>
      </c>
      <c r="S4" s="34" t="s">
        <v>11</v>
      </c>
      <c r="T4" s="34" t="s">
        <v>84</v>
      </c>
      <c r="U4" s="34" t="s">
        <v>85</v>
      </c>
      <c r="V4" s="35" t="s">
        <v>96</v>
      </c>
      <c r="W4" s="35" t="s">
        <v>82</v>
      </c>
      <c r="X4" s="34" t="s">
        <v>13</v>
      </c>
      <c r="Y4" s="37"/>
    </row>
    <row r="5" spans="1:25" ht="20" customHeight="1">
      <c r="A5" s="28">
        <v>3</v>
      </c>
      <c r="B5" s="28" t="s">
        <v>20</v>
      </c>
      <c r="C5" s="28" t="s">
        <v>20</v>
      </c>
      <c r="D5" s="29" t="s">
        <v>97</v>
      </c>
      <c r="E5" s="30" t="s">
        <v>98</v>
      </c>
      <c r="F5" s="30" t="s">
        <v>99</v>
      </c>
      <c r="G5" s="29" t="s">
        <v>100</v>
      </c>
      <c r="H5" s="30" t="s">
        <v>101</v>
      </c>
      <c r="I5" s="28" t="s">
        <v>75</v>
      </c>
      <c r="J5" s="28" t="s">
        <v>76</v>
      </c>
      <c r="K5" s="31" t="s">
        <v>102</v>
      </c>
      <c r="L5" s="28">
        <f>IF(K5="","",IFERROR(ROUND((TODAY()-IF(ISNUMBER(K5),K5,DATEVALUE(K5)))/365.25, 1),""))</f>
        <v>0</v>
      </c>
      <c r="M5" s="28" t="s">
        <v>94</v>
      </c>
      <c r="N5" s="29" t="s">
        <v>103</v>
      </c>
      <c r="O5" s="28" t="s">
        <v>80</v>
      </c>
      <c r="P5" s="28" t="s">
        <v>81</v>
      </c>
      <c r="Q5" s="29" t="s">
        <v>82</v>
      </c>
      <c r="R5" s="28" t="s">
        <v>83</v>
      </c>
      <c r="S5" s="28" t="s">
        <v>11</v>
      </c>
      <c r="T5" s="28" t="s">
        <v>84</v>
      </c>
      <c r="U5" s="28" t="s">
        <v>85</v>
      </c>
      <c r="V5" s="29" t="s">
        <v>104</v>
      </c>
      <c r="W5" s="29" t="s">
        <v>82</v>
      </c>
      <c r="X5" s="28" t="s">
        <v>13</v>
      </c>
      <c r="Y5" s="31"/>
    </row>
    <row r="6" spans="1:25" ht="20" customHeight="1">
      <c r="A6" s="34">
        <v>4</v>
      </c>
      <c r="B6" s="34" t="s">
        <v>20</v>
      </c>
      <c r="C6" s="34" t="s">
        <v>20</v>
      </c>
      <c r="D6" s="35" t="s">
        <v>105</v>
      </c>
      <c r="E6" s="36" t="s">
        <v>106</v>
      </c>
      <c r="F6" s="36" t="s">
        <v>107</v>
      </c>
      <c r="G6" s="35" t="s">
        <v>108</v>
      </c>
      <c r="H6" s="36" t="s">
        <v>109</v>
      </c>
      <c r="I6" s="34" t="s">
        <v>75</v>
      </c>
      <c r="J6" s="34" t="s">
        <v>92</v>
      </c>
      <c r="K6" s="37" t="s">
        <v>93</v>
      </c>
      <c r="L6" s="34">
        <f>IF(K6="","",IFERROR(ROUND((TODAY()-IF(ISNUMBER(K6),K6,DATEVALUE(K6)))/365.25, 1),""))</f>
        <v>0</v>
      </c>
      <c r="M6" s="34" t="s">
        <v>110</v>
      </c>
      <c r="N6" s="35" t="s">
        <v>82</v>
      </c>
      <c r="O6" s="34" t="s">
        <v>111</v>
      </c>
      <c r="P6" s="34" t="s">
        <v>112</v>
      </c>
      <c r="Q6" s="35" t="s">
        <v>82</v>
      </c>
      <c r="R6" s="34" t="s">
        <v>83</v>
      </c>
      <c r="S6" s="34" t="s">
        <v>12</v>
      </c>
      <c r="T6" s="34" t="s">
        <v>113</v>
      </c>
      <c r="U6" s="34" t="s">
        <v>85</v>
      </c>
      <c r="V6" s="35" t="s">
        <v>114</v>
      </c>
      <c r="W6" s="35" t="s">
        <v>82</v>
      </c>
      <c r="X6" s="34" t="s">
        <v>13</v>
      </c>
      <c r="Y6" s="37"/>
    </row>
    <row r="7" spans="1:25" ht="20" customHeight="1">
      <c r="A7" s="28">
        <v>5</v>
      </c>
      <c r="B7" s="28" t="s">
        <v>20</v>
      </c>
      <c r="C7" s="28" t="s">
        <v>20</v>
      </c>
      <c r="D7" s="29" t="s">
        <v>115</v>
      </c>
      <c r="E7" s="30" t="s">
        <v>116</v>
      </c>
      <c r="F7" s="30" t="s">
        <v>117</v>
      </c>
      <c r="G7" s="29" t="s">
        <v>118</v>
      </c>
      <c r="H7" s="30" t="s">
        <v>119</v>
      </c>
      <c r="I7" s="28" t="s">
        <v>75</v>
      </c>
      <c r="J7" s="28" t="s">
        <v>92</v>
      </c>
      <c r="K7" s="31" t="s">
        <v>93</v>
      </c>
      <c r="L7" s="28">
        <f>IF(K7="","",IFERROR(ROUND((TODAY()-IF(ISNUMBER(K7),K7,DATEVALUE(K7)))/365.25, 1),""))</f>
        <v>0</v>
      </c>
      <c r="M7" s="28" t="s">
        <v>120</v>
      </c>
      <c r="N7" s="29" t="s">
        <v>82</v>
      </c>
      <c r="O7" s="28" t="s">
        <v>111</v>
      </c>
      <c r="P7" s="28" t="s">
        <v>112</v>
      </c>
      <c r="Q7" s="29" t="s">
        <v>82</v>
      </c>
      <c r="R7" s="28" t="s">
        <v>83</v>
      </c>
      <c r="S7" s="28" t="s">
        <v>12</v>
      </c>
      <c r="T7" s="28" t="s">
        <v>121</v>
      </c>
      <c r="U7" s="28" t="s">
        <v>85</v>
      </c>
      <c r="V7" s="29" t="s">
        <v>122</v>
      </c>
      <c r="W7" s="29" t="s">
        <v>82</v>
      </c>
      <c r="X7" s="28" t="s">
        <v>13</v>
      </c>
      <c r="Y7" s="31"/>
    </row>
    <row r="8" spans="1:25" ht="20" customHeight="1">
      <c r="A8" s="34">
        <v>6</v>
      </c>
      <c r="B8" s="34" t="s">
        <v>20</v>
      </c>
      <c r="C8" s="34" t="s">
        <v>20</v>
      </c>
      <c r="D8" s="35" t="s">
        <v>123</v>
      </c>
      <c r="E8" s="36" t="s">
        <v>124</v>
      </c>
      <c r="F8" s="36" t="s">
        <v>125</v>
      </c>
      <c r="G8" s="35" t="s">
        <v>126</v>
      </c>
      <c r="H8" s="36" t="s">
        <v>127</v>
      </c>
      <c r="I8" s="34" t="s">
        <v>128</v>
      </c>
      <c r="J8" s="34" t="s">
        <v>76</v>
      </c>
      <c r="K8" s="37" t="s">
        <v>129</v>
      </c>
      <c r="L8" s="34">
        <f>IF(K8="","",IFERROR(ROUND((TODAY()-IF(ISNUMBER(K8),K8,DATEVALUE(K8)))/365.25, 1),""))</f>
        <v>0</v>
      </c>
      <c r="M8" s="34" t="s">
        <v>120</v>
      </c>
      <c r="N8" s="35" t="s">
        <v>130</v>
      </c>
      <c r="O8" s="34" t="s">
        <v>80</v>
      </c>
      <c r="P8" s="34" t="s">
        <v>81</v>
      </c>
      <c r="Q8" s="35" t="s">
        <v>82</v>
      </c>
      <c r="R8" s="34" t="s">
        <v>83</v>
      </c>
      <c r="S8" s="34" t="s">
        <v>11</v>
      </c>
      <c r="T8" s="34" t="s">
        <v>84</v>
      </c>
      <c r="U8" s="34" t="s">
        <v>85</v>
      </c>
      <c r="V8" s="35" t="s">
        <v>131</v>
      </c>
      <c r="W8" s="35" t="s">
        <v>82</v>
      </c>
      <c r="X8" s="34" t="s">
        <v>13</v>
      </c>
      <c r="Y8" s="37"/>
    </row>
    <row r="9" spans="1:25" ht="20" customHeight="1">
      <c r="A9" s="28">
        <v>7</v>
      </c>
      <c r="B9" s="28" t="s">
        <v>20</v>
      </c>
      <c r="C9" s="28" t="s">
        <v>20</v>
      </c>
      <c r="D9" s="29" t="s">
        <v>132</v>
      </c>
      <c r="E9" s="30" t="s">
        <v>133</v>
      </c>
      <c r="F9" s="30" t="s">
        <v>134</v>
      </c>
      <c r="G9" s="29" t="s">
        <v>135</v>
      </c>
      <c r="H9" s="30" t="s">
        <v>136</v>
      </c>
      <c r="I9" s="28" t="s">
        <v>75</v>
      </c>
      <c r="J9" s="28" t="s">
        <v>76</v>
      </c>
      <c r="K9" s="31" t="s">
        <v>129</v>
      </c>
      <c r="L9" s="28">
        <f>IF(K9="","",IFERROR(ROUND((TODAY()-IF(ISNUMBER(K9),K9,DATEVALUE(K9)))/365.25, 1),""))</f>
        <v>0</v>
      </c>
      <c r="M9" s="28" t="s">
        <v>120</v>
      </c>
      <c r="N9" s="29" t="s">
        <v>82</v>
      </c>
      <c r="O9" s="28" t="s">
        <v>80</v>
      </c>
      <c r="P9" s="28" t="s">
        <v>81</v>
      </c>
      <c r="Q9" s="29" t="s">
        <v>82</v>
      </c>
      <c r="R9" s="28" t="s">
        <v>83</v>
      </c>
      <c r="S9" s="28" t="s">
        <v>12</v>
      </c>
      <c r="T9" s="28" t="s">
        <v>84</v>
      </c>
      <c r="U9" s="28" t="s">
        <v>85</v>
      </c>
      <c r="V9" s="29" t="s">
        <v>137</v>
      </c>
      <c r="W9" s="29" t="s">
        <v>82</v>
      </c>
      <c r="X9" s="28" t="s">
        <v>13</v>
      </c>
      <c r="Y9" s="31"/>
    </row>
    <row r="10" spans="1:25" ht="20" customHeight="1">
      <c r="A10" s="34">
        <v>8</v>
      </c>
      <c r="B10" s="34" t="s">
        <v>20</v>
      </c>
      <c r="C10" s="34" t="s">
        <v>20</v>
      </c>
      <c r="D10" s="35" t="s">
        <v>138</v>
      </c>
      <c r="E10" s="36" t="s">
        <v>139</v>
      </c>
      <c r="F10" s="36" t="s">
        <v>140</v>
      </c>
      <c r="G10" s="35" t="s">
        <v>141</v>
      </c>
      <c r="H10" s="36" t="s">
        <v>142</v>
      </c>
      <c r="I10" s="34" t="s">
        <v>75</v>
      </c>
      <c r="J10" s="34" t="s">
        <v>76</v>
      </c>
      <c r="K10" s="37" t="s">
        <v>143</v>
      </c>
      <c r="L10" s="34">
        <f>IF(K10="","",IFERROR(ROUND((TODAY()-IF(ISNUMBER(K10),K10,DATEVALUE(K10)))/365.25, 1),""))</f>
        <v>0</v>
      </c>
      <c r="M10" s="34" t="s">
        <v>120</v>
      </c>
      <c r="N10" s="35" t="s">
        <v>82</v>
      </c>
      <c r="O10" s="34" t="s">
        <v>80</v>
      </c>
      <c r="P10" s="34" t="s">
        <v>81</v>
      </c>
      <c r="Q10" s="35" t="s">
        <v>82</v>
      </c>
      <c r="R10" s="34" t="s">
        <v>83</v>
      </c>
      <c r="S10" s="34" t="s">
        <v>12</v>
      </c>
      <c r="T10" s="34" t="s">
        <v>84</v>
      </c>
      <c r="U10" s="34" t="s">
        <v>85</v>
      </c>
      <c r="V10" s="35" t="s">
        <v>144</v>
      </c>
      <c r="W10" s="35" t="s">
        <v>82</v>
      </c>
      <c r="X10" s="34" t="s">
        <v>13</v>
      </c>
      <c r="Y10" s="37"/>
    </row>
    <row r="11" spans="1:25" ht="20" customHeight="1">
      <c r="A11" s="28">
        <v>9</v>
      </c>
      <c r="B11" s="28" t="s">
        <v>20</v>
      </c>
      <c r="C11" s="28" t="s">
        <v>20</v>
      </c>
      <c r="D11" s="29" t="s">
        <v>145</v>
      </c>
      <c r="E11" s="30" t="s">
        <v>146</v>
      </c>
      <c r="F11" s="30" t="s">
        <v>147</v>
      </c>
      <c r="G11" s="29" t="s">
        <v>148</v>
      </c>
      <c r="H11" s="30" t="s">
        <v>149</v>
      </c>
      <c r="I11" s="28" t="s">
        <v>75</v>
      </c>
      <c r="J11" s="28" t="s">
        <v>76</v>
      </c>
      <c r="K11" s="31" t="s">
        <v>150</v>
      </c>
      <c r="L11" s="28">
        <f>IF(K11="","",IFERROR(ROUND((TODAY()-IF(ISNUMBER(K11),K11,DATEVALUE(K11)))/365.25, 1),""))</f>
        <v>0</v>
      </c>
      <c r="M11" s="28" t="s">
        <v>120</v>
      </c>
      <c r="N11" s="29" t="s">
        <v>151</v>
      </c>
      <c r="O11" s="28" t="s">
        <v>80</v>
      </c>
      <c r="P11" s="28" t="s">
        <v>81</v>
      </c>
      <c r="Q11" s="29" t="s">
        <v>82</v>
      </c>
      <c r="R11" s="28" t="s">
        <v>83</v>
      </c>
      <c r="S11" s="28" t="s">
        <v>11</v>
      </c>
      <c r="T11" s="28" t="s">
        <v>84</v>
      </c>
      <c r="U11" s="28" t="s">
        <v>85</v>
      </c>
      <c r="V11" s="29" t="s">
        <v>152</v>
      </c>
      <c r="W11" s="29" t="s">
        <v>82</v>
      </c>
      <c r="X11" s="28" t="s">
        <v>13</v>
      </c>
      <c r="Y11" s="31"/>
    </row>
    <row r="12" spans="1:25" ht="20" customHeight="1">
      <c r="A12" s="34">
        <v>10</v>
      </c>
      <c r="B12" s="34" t="s">
        <v>20</v>
      </c>
      <c r="C12" s="34" t="s">
        <v>20</v>
      </c>
      <c r="D12" s="35" t="s">
        <v>153</v>
      </c>
      <c r="E12" s="36" t="s">
        <v>154</v>
      </c>
      <c r="F12" s="36" t="s">
        <v>155</v>
      </c>
      <c r="G12" s="35" t="s">
        <v>156</v>
      </c>
      <c r="H12" s="36" t="s">
        <v>157</v>
      </c>
      <c r="I12" s="34" t="s">
        <v>75</v>
      </c>
      <c r="J12" s="34" t="s">
        <v>92</v>
      </c>
      <c r="K12" s="37" t="s">
        <v>93</v>
      </c>
      <c r="L12" s="34">
        <f>IF(K12="","",IFERROR(ROUND((TODAY()-IF(ISNUMBER(K12),K12,DATEVALUE(K12)))/365.25, 1),""))</f>
        <v>0</v>
      </c>
      <c r="M12" s="34" t="s">
        <v>110</v>
      </c>
      <c r="N12" s="35" t="s">
        <v>158</v>
      </c>
      <c r="O12" s="34" t="s">
        <v>111</v>
      </c>
      <c r="P12" s="34" t="s">
        <v>112</v>
      </c>
      <c r="Q12" s="35" t="s">
        <v>82</v>
      </c>
      <c r="R12" s="34" t="s">
        <v>83</v>
      </c>
      <c r="S12" s="34" t="s">
        <v>11</v>
      </c>
      <c r="T12" s="34" t="s">
        <v>113</v>
      </c>
      <c r="U12" s="34" t="s">
        <v>85</v>
      </c>
      <c r="V12" s="35" t="s">
        <v>159</v>
      </c>
      <c r="W12" s="35" t="s">
        <v>82</v>
      </c>
      <c r="X12" s="34" t="s">
        <v>13</v>
      </c>
      <c r="Y12" s="37"/>
    </row>
    <row r="13" spans="1:25" ht="20" customHeight="1">
      <c r="A13" s="28">
        <v>11</v>
      </c>
      <c r="B13" s="28" t="s">
        <v>20</v>
      </c>
      <c r="C13" s="28" t="s">
        <v>20</v>
      </c>
      <c r="D13" s="29" t="s">
        <v>160</v>
      </c>
      <c r="E13" s="30" t="s">
        <v>161</v>
      </c>
      <c r="F13" s="30" t="s">
        <v>162</v>
      </c>
      <c r="G13" s="29" t="s">
        <v>163</v>
      </c>
      <c r="H13" s="30" t="s">
        <v>164</v>
      </c>
      <c r="I13" s="28" t="s">
        <v>75</v>
      </c>
      <c r="J13" s="28" t="s">
        <v>76</v>
      </c>
      <c r="K13" s="31" t="s">
        <v>129</v>
      </c>
      <c r="L13" s="28">
        <f>IF(K13="","",IFERROR(ROUND((TODAY()-IF(ISNUMBER(K13),K13,DATEVALUE(K13)))/365.25, 1),""))</f>
        <v>0</v>
      </c>
      <c r="M13" s="28" t="s">
        <v>120</v>
      </c>
      <c r="N13" s="29" t="s">
        <v>165</v>
      </c>
      <c r="O13" s="28" t="s">
        <v>80</v>
      </c>
      <c r="P13" s="28" t="s">
        <v>81</v>
      </c>
      <c r="Q13" s="29" t="s">
        <v>82</v>
      </c>
      <c r="R13" s="28" t="s">
        <v>83</v>
      </c>
      <c r="S13" s="28" t="s">
        <v>11</v>
      </c>
      <c r="T13" s="28" t="s">
        <v>84</v>
      </c>
      <c r="U13" s="28" t="s">
        <v>85</v>
      </c>
      <c r="V13" s="29" t="s">
        <v>166</v>
      </c>
      <c r="W13" s="29" t="s">
        <v>82</v>
      </c>
      <c r="X13" s="28" t="s">
        <v>13</v>
      </c>
      <c r="Y13" s="31"/>
    </row>
    <row r="14" spans="1:25" ht="20" customHeight="1">
      <c r="A14" s="34">
        <v>12</v>
      </c>
      <c r="B14" s="34" t="s">
        <v>20</v>
      </c>
      <c r="C14" s="34" t="s">
        <v>20</v>
      </c>
      <c r="D14" s="35" t="s">
        <v>167</v>
      </c>
      <c r="E14" s="36" t="s">
        <v>168</v>
      </c>
      <c r="F14" s="36" t="s">
        <v>169</v>
      </c>
      <c r="G14" s="35" t="s">
        <v>170</v>
      </c>
      <c r="H14" s="36" t="s">
        <v>171</v>
      </c>
      <c r="I14" s="34" t="s">
        <v>75</v>
      </c>
      <c r="J14" s="34" t="s">
        <v>76</v>
      </c>
      <c r="K14" s="37" t="s">
        <v>129</v>
      </c>
      <c r="L14" s="34">
        <f>IF(K14="","",IFERROR(ROUND((TODAY()-IF(ISNUMBER(K14),K14,DATEVALUE(K14)))/365.25, 1),""))</f>
        <v>0</v>
      </c>
      <c r="M14" s="34" t="s">
        <v>120</v>
      </c>
      <c r="N14" s="35" t="s">
        <v>172</v>
      </c>
      <c r="O14" s="34" t="s">
        <v>80</v>
      </c>
      <c r="P14" s="34" t="s">
        <v>81</v>
      </c>
      <c r="Q14" s="35" t="s">
        <v>82</v>
      </c>
      <c r="R14" s="34" t="s">
        <v>83</v>
      </c>
      <c r="S14" s="34" t="s">
        <v>11</v>
      </c>
      <c r="T14" s="34" t="s">
        <v>84</v>
      </c>
      <c r="U14" s="34" t="s">
        <v>85</v>
      </c>
      <c r="V14" s="35" t="s">
        <v>173</v>
      </c>
      <c r="W14" s="35" t="s">
        <v>82</v>
      </c>
      <c r="X14" s="34" t="s">
        <v>13</v>
      </c>
      <c r="Y14" s="37"/>
    </row>
    <row r="15" spans="1:25" ht="20" customHeight="1">
      <c r="A15" s="28">
        <v>13</v>
      </c>
      <c r="B15" s="28" t="s">
        <v>20</v>
      </c>
      <c r="C15" s="28" t="s">
        <v>20</v>
      </c>
      <c r="D15" s="29" t="s">
        <v>174</v>
      </c>
      <c r="E15" s="30" t="s">
        <v>175</v>
      </c>
      <c r="F15" s="30" t="s">
        <v>176</v>
      </c>
      <c r="G15" s="29" t="s">
        <v>177</v>
      </c>
      <c r="H15" s="30" t="s">
        <v>178</v>
      </c>
      <c r="I15" s="28" t="s">
        <v>128</v>
      </c>
      <c r="J15" s="28" t="s">
        <v>76</v>
      </c>
      <c r="K15" s="31" t="s">
        <v>179</v>
      </c>
      <c r="L15" s="28">
        <f>IF(K15="","",IFERROR(ROUND((TODAY()-IF(ISNUMBER(K15),K15,DATEVALUE(K15)))/365.25, 1),""))</f>
        <v>0</v>
      </c>
      <c r="M15" s="28" t="s">
        <v>180</v>
      </c>
      <c r="N15" s="29" t="s">
        <v>82</v>
      </c>
      <c r="O15" s="28" t="s">
        <v>80</v>
      </c>
      <c r="P15" s="28" t="s">
        <v>81</v>
      </c>
      <c r="Q15" s="29" t="s">
        <v>82</v>
      </c>
      <c r="R15" s="28" t="s">
        <v>83</v>
      </c>
      <c r="S15" s="28" t="s">
        <v>12</v>
      </c>
      <c r="T15" s="28" t="s">
        <v>84</v>
      </c>
      <c r="U15" s="28" t="s">
        <v>85</v>
      </c>
      <c r="V15" s="29" t="s">
        <v>181</v>
      </c>
      <c r="W15" s="29" t="s">
        <v>82</v>
      </c>
      <c r="X15" s="28" t="s">
        <v>13</v>
      </c>
      <c r="Y15" s="31"/>
    </row>
    <row r="16" spans="1:25" ht="20" customHeight="1">
      <c r="A16" s="34">
        <v>14</v>
      </c>
      <c r="B16" s="34" t="s">
        <v>20</v>
      </c>
      <c r="C16" s="34" t="s">
        <v>20</v>
      </c>
      <c r="D16" s="35" t="s">
        <v>182</v>
      </c>
      <c r="E16" s="36" t="s">
        <v>183</v>
      </c>
      <c r="F16" s="36" t="s">
        <v>184</v>
      </c>
      <c r="G16" s="35" t="s">
        <v>185</v>
      </c>
      <c r="H16" s="36" t="s">
        <v>186</v>
      </c>
      <c r="I16" s="34" t="s">
        <v>128</v>
      </c>
      <c r="J16" s="34" t="s">
        <v>92</v>
      </c>
      <c r="K16" s="37" t="s">
        <v>93</v>
      </c>
      <c r="L16" s="34">
        <f>IF(K16="","",IFERROR(ROUND((TODAY()-IF(ISNUMBER(K16),K16,DATEVALUE(K16)))/365.25, 1),""))</f>
        <v>0</v>
      </c>
      <c r="M16" s="34" t="s">
        <v>180</v>
      </c>
      <c r="N16" s="35" t="s">
        <v>82</v>
      </c>
      <c r="O16" s="34" t="s">
        <v>111</v>
      </c>
      <c r="P16" s="34" t="s">
        <v>112</v>
      </c>
      <c r="Q16" s="35" t="s">
        <v>82</v>
      </c>
      <c r="R16" s="34" t="s">
        <v>83</v>
      </c>
      <c r="S16" s="34" t="s">
        <v>12</v>
      </c>
      <c r="T16" s="34" t="s">
        <v>113</v>
      </c>
      <c r="U16" s="34" t="s">
        <v>85</v>
      </c>
      <c r="V16" s="35" t="s">
        <v>187</v>
      </c>
      <c r="W16" s="35" t="s">
        <v>82</v>
      </c>
      <c r="X16" s="34" t="s">
        <v>13</v>
      </c>
      <c r="Y16" s="37"/>
    </row>
    <row r="17" spans="1:25" ht="20" customHeight="1">
      <c r="A17" s="28">
        <v>15</v>
      </c>
      <c r="B17" s="28" t="s">
        <v>20</v>
      </c>
      <c r="C17" s="28" t="s">
        <v>20</v>
      </c>
      <c r="D17" s="29" t="s">
        <v>188</v>
      </c>
      <c r="E17" s="30" t="s">
        <v>189</v>
      </c>
      <c r="F17" s="30" t="s">
        <v>190</v>
      </c>
      <c r="G17" s="29" t="s">
        <v>191</v>
      </c>
      <c r="H17" s="30" t="s">
        <v>192</v>
      </c>
      <c r="I17" s="28" t="s">
        <v>75</v>
      </c>
      <c r="J17" s="28" t="s">
        <v>76</v>
      </c>
      <c r="K17" s="31" t="s">
        <v>179</v>
      </c>
      <c r="L17" s="28">
        <f>IF(K17="","",IFERROR(ROUND((TODAY()-IF(ISNUMBER(K17),K17,DATEVALUE(K17)))/365.25, 1),""))</f>
        <v>0</v>
      </c>
      <c r="M17" s="28" t="s">
        <v>180</v>
      </c>
      <c r="N17" s="29" t="s">
        <v>193</v>
      </c>
      <c r="O17" s="28" t="s">
        <v>80</v>
      </c>
      <c r="P17" s="28" t="s">
        <v>81</v>
      </c>
      <c r="Q17" s="29" t="s">
        <v>82</v>
      </c>
      <c r="R17" s="28" t="s">
        <v>83</v>
      </c>
      <c r="S17" s="28" t="s">
        <v>11</v>
      </c>
      <c r="T17" s="28" t="s">
        <v>84</v>
      </c>
      <c r="U17" s="28" t="s">
        <v>85</v>
      </c>
      <c r="V17" s="29" t="s">
        <v>194</v>
      </c>
      <c r="W17" s="29" t="s">
        <v>82</v>
      </c>
      <c r="X17" s="28" t="s">
        <v>13</v>
      </c>
      <c r="Y17" s="31"/>
    </row>
    <row r="18" spans="1:25" ht="20" customHeight="1">
      <c r="A18" s="34">
        <v>16</v>
      </c>
      <c r="B18" s="34" t="s">
        <v>20</v>
      </c>
      <c r="C18" s="34" t="s">
        <v>20</v>
      </c>
      <c r="D18" s="35" t="s">
        <v>195</v>
      </c>
      <c r="E18" s="36" t="s">
        <v>196</v>
      </c>
      <c r="F18" s="36" t="s">
        <v>197</v>
      </c>
      <c r="G18" s="35" t="s">
        <v>198</v>
      </c>
      <c r="H18" s="36" t="s">
        <v>199</v>
      </c>
      <c r="I18" s="34" t="s">
        <v>128</v>
      </c>
      <c r="J18" s="34" t="s">
        <v>76</v>
      </c>
      <c r="K18" s="37" t="s">
        <v>129</v>
      </c>
      <c r="L18" s="34">
        <f>IF(K18="","",IFERROR(ROUND((TODAY()-IF(ISNUMBER(K18),K18,DATEVALUE(K18)))/365.25, 1),""))</f>
        <v>0</v>
      </c>
      <c r="M18" s="34" t="s">
        <v>200</v>
      </c>
      <c r="N18" s="35" t="s">
        <v>82</v>
      </c>
      <c r="O18" s="34" t="s">
        <v>80</v>
      </c>
      <c r="P18" s="34" t="s">
        <v>81</v>
      </c>
      <c r="Q18" s="35" t="s">
        <v>82</v>
      </c>
      <c r="R18" s="34" t="s">
        <v>83</v>
      </c>
      <c r="S18" s="34" t="s">
        <v>12</v>
      </c>
      <c r="T18" s="34" t="s">
        <v>84</v>
      </c>
      <c r="U18" s="34" t="s">
        <v>85</v>
      </c>
      <c r="V18" s="35" t="s">
        <v>201</v>
      </c>
      <c r="W18" s="35" t="s">
        <v>82</v>
      </c>
      <c r="X18" s="34" t="s">
        <v>13</v>
      </c>
      <c r="Y18" s="37"/>
    </row>
    <row r="19" spans="1:25" ht="20" customHeight="1">
      <c r="A19" s="28">
        <v>17</v>
      </c>
      <c r="B19" s="28" t="s">
        <v>20</v>
      </c>
      <c r="C19" s="28" t="s">
        <v>20</v>
      </c>
      <c r="D19" s="29" t="s">
        <v>202</v>
      </c>
      <c r="E19" s="30" t="s">
        <v>203</v>
      </c>
      <c r="F19" s="30" t="s">
        <v>204</v>
      </c>
      <c r="G19" s="29" t="s">
        <v>205</v>
      </c>
      <c r="H19" s="30" t="s">
        <v>206</v>
      </c>
      <c r="I19" s="28" t="s">
        <v>128</v>
      </c>
      <c r="J19" s="28" t="s">
        <v>92</v>
      </c>
      <c r="K19" s="31" t="s">
        <v>93</v>
      </c>
      <c r="L19" s="28">
        <f>IF(K19="","",IFERROR(ROUND((TODAY()-IF(ISNUMBER(K19),K19,DATEVALUE(K19)))/365.25, 1),""))</f>
        <v>0</v>
      </c>
      <c r="M19" s="28" t="s">
        <v>200</v>
      </c>
      <c r="N19" s="29" t="s">
        <v>207</v>
      </c>
      <c r="O19" s="28" t="s">
        <v>111</v>
      </c>
      <c r="P19" s="28" t="s">
        <v>112</v>
      </c>
      <c r="Q19" s="29" t="s">
        <v>82</v>
      </c>
      <c r="R19" s="28" t="s">
        <v>83</v>
      </c>
      <c r="S19" s="28" t="s">
        <v>11</v>
      </c>
      <c r="T19" s="28" t="s">
        <v>113</v>
      </c>
      <c r="U19" s="28" t="s">
        <v>85</v>
      </c>
      <c r="V19" s="29" t="s">
        <v>208</v>
      </c>
      <c r="W19" s="29" t="s">
        <v>82</v>
      </c>
      <c r="X19" s="28" t="s">
        <v>13</v>
      </c>
      <c r="Y19" s="31"/>
    </row>
    <row r="20" spans="1:25" ht="20" customHeight="1">
      <c r="A20" s="34">
        <v>18</v>
      </c>
      <c r="B20" s="34" t="s">
        <v>20</v>
      </c>
      <c r="C20" s="34" t="s">
        <v>20</v>
      </c>
      <c r="D20" s="35" t="s">
        <v>209</v>
      </c>
      <c r="E20" s="36" t="s">
        <v>210</v>
      </c>
      <c r="F20" s="36" t="s">
        <v>211</v>
      </c>
      <c r="G20" s="35" t="s">
        <v>212</v>
      </c>
      <c r="H20" s="36" t="s">
        <v>213</v>
      </c>
      <c r="I20" s="34" t="s">
        <v>128</v>
      </c>
      <c r="J20" s="34" t="s">
        <v>76</v>
      </c>
      <c r="K20" s="37" t="s">
        <v>129</v>
      </c>
      <c r="L20" s="34">
        <f>IF(K20="","",IFERROR(ROUND((TODAY()-IF(ISNUMBER(K20),K20,DATEVALUE(K20)))/365.25, 1),""))</f>
        <v>0</v>
      </c>
      <c r="M20" s="34" t="s">
        <v>200</v>
      </c>
      <c r="N20" s="35" t="s">
        <v>214</v>
      </c>
      <c r="O20" s="34" t="s">
        <v>80</v>
      </c>
      <c r="P20" s="34" t="s">
        <v>81</v>
      </c>
      <c r="Q20" s="35" t="s">
        <v>82</v>
      </c>
      <c r="R20" s="34" t="s">
        <v>83</v>
      </c>
      <c r="S20" s="34" t="s">
        <v>11</v>
      </c>
      <c r="T20" s="34" t="s">
        <v>84</v>
      </c>
      <c r="U20" s="34" t="s">
        <v>85</v>
      </c>
      <c r="V20" s="35" t="s">
        <v>215</v>
      </c>
      <c r="W20" s="35" t="s">
        <v>82</v>
      </c>
      <c r="X20" s="34" t="s">
        <v>13</v>
      </c>
      <c r="Y20" s="37"/>
    </row>
    <row r="21" spans="1:25" ht="20" customHeight="1">
      <c r="A21" s="28">
        <v>19</v>
      </c>
      <c r="B21" s="28" t="s">
        <v>20</v>
      </c>
      <c r="C21" s="28" t="s">
        <v>20</v>
      </c>
      <c r="D21" s="29" t="s">
        <v>216</v>
      </c>
      <c r="E21" s="30" t="s">
        <v>217</v>
      </c>
      <c r="F21" s="30" t="s">
        <v>218</v>
      </c>
      <c r="G21" s="29" t="s">
        <v>219</v>
      </c>
      <c r="H21" s="30" t="s">
        <v>220</v>
      </c>
      <c r="I21" s="28" t="s">
        <v>75</v>
      </c>
      <c r="J21" s="28" t="s">
        <v>92</v>
      </c>
      <c r="K21" s="31" t="s">
        <v>93</v>
      </c>
      <c r="L21" s="28">
        <f>IF(K21="","",IFERROR(ROUND((TODAY()-IF(ISNUMBER(K21),K21,DATEVALUE(K21)))/365.25, 1),""))</f>
        <v>0</v>
      </c>
      <c r="M21" s="28" t="s">
        <v>221</v>
      </c>
      <c r="N21" s="29" t="s">
        <v>222</v>
      </c>
      <c r="O21" s="28" t="s">
        <v>80</v>
      </c>
      <c r="P21" s="28" t="s">
        <v>81</v>
      </c>
      <c r="Q21" s="29" t="s">
        <v>82</v>
      </c>
      <c r="R21" s="28" t="s">
        <v>83</v>
      </c>
      <c r="S21" s="28" t="s">
        <v>11</v>
      </c>
      <c r="T21" s="28" t="s">
        <v>84</v>
      </c>
      <c r="U21" s="28" t="s">
        <v>85</v>
      </c>
      <c r="V21" s="29" t="s">
        <v>223</v>
      </c>
      <c r="W21" s="29" t="s">
        <v>82</v>
      </c>
      <c r="X21" s="28" t="s">
        <v>13</v>
      </c>
      <c r="Y21" s="31"/>
    </row>
    <row r="22" spans="1:25" ht="20" customHeight="1">
      <c r="A22" s="34">
        <v>20</v>
      </c>
      <c r="B22" s="34" t="s">
        <v>20</v>
      </c>
      <c r="C22" s="34" t="s">
        <v>20</v>
      </c>
      <c r="D22" s="35" t="s">
        <v>224</v>
      </c>
      <c r="E22" s="36" t="s">
        <v>225</v>
      </c>
      <c r="F22" s="36" t="s">
        <v>226</v>
      </c>
      <c r="G22" s="35" t="s">
        <v>227</v>
      </c>
      <c r="H22" s="36" t="s">
        <v>228</v>
      </c>
      <c r="I22" s="34" t="s">
        <v>75</v>
      </c>
      <c r="J22" s="34" t="s">
        <v>76</v>
      </c>
      <c r="K22" s="37" t="s">
        <v>229</v>
      </c>
      <c r="L22" s="34">
        <f>IF(K22="","",IFERROR(ROUND((TODAY()-IF(ISNUMBER(K22),K22,DATEVALUE(K22)))/365.25, 1),""))</f>
        <v>0</v>
      </c>
      <c r="M22" s="34" t="s">
        <v>221</v>
      </c>
      <c r="N22" s="35" t="s">
        <v>230</v>
      </c>
      <c r="O22" s="34" t="s">
        <v>80</v>
      </c>
      <c r="P22" s="34" t="s">
        <v>81</v>
      </c>
      <c r="Q22" s="35" t="s">
        <v>82</v>
      </c>
      <c r="R22" s="34" t="s">
        <v>83</v>
      </c>
      <c r="S22" s="34" t="s">
        <v>11</v>
      </c>
      <c r="T22" s="34" t="s">
        <v>84</v>
      </c>
      <c r="U22" s="34" t="s">
        <v>85</v>
      </c>
      <c r="V22" s="35" t="s">
        <v>231</v>
      </c>
      <c r="W22" s="35" t="s">
        <v>82</v>
      </c>
      <c r="X22" s="34" t="s">
        <v>13</v>
      </c>
      <c r="Y22" s="37"/>
    </row>
    <row r="23" spans="1:25" ht="20" customHeight="1">
      <c r="A23" s="28">
        <v>21</v>
      </c>
      <c r="B23" s="28" t="s">
        <v>20</v>
      </c>
      <c r="C23" s="28" t="s">
        <v>20</v>
      </c>
      <c r="D23" s="29" t="s">
        <v>232</v>
      </c>
      <c r="E23" s="30" t="s">
        <v>233</v>
      </c>
      <c r="F23" s="30" t="s">
        <v>234</v>
      </c>
      <c r="G23" s="29" t="s">
        <v>235</v>
      </c>
      <c r="H23" s="30" t="s">
        <v>236</v>
      </c>
      <c r="I23" s="28" t="s">
        <v>75</v>
      </c>
      <c r="J23" s="28" t="s">
        <v>76</v>
      </c>
      <c r="K23" s="31" t="s">
        <v>237</v>
      </c>
      <c r="L23" s="28">
        <f>IF(K23="","",IFERROR(ROUND((TODAY()-IF(ISNUMBER(K23),K23,DATEVALUE(K23)))/365.25, 1),""))</f>
        <v>0</v>
      </c>
      <c r="M23" s="28" t="s">
        <v>238</v>
      </c>
      <c r="N23" s="29" t="s">
        <v>82</v>
      </c>
      <c r="O23" s="28" t="s">
        <v>111</v>
      </c>
      <c r="P23" s="28" t="s">
        <v>112</v>
      </c>
      <c r="Q23" s="29" t="s">
        <v>82</v>
      </c>
      <c r="R23" s="28" t="s">
        <v>83</v>
      </c>
      <c r="S23" s="28" t="s">
        <v>12</v>
      </c>
      <c r="T23" s="28" t="s">
        <v>84</v>
      </c>
      <c r="U23" s="28" t="s">
        <v>85</v>
      </c>
      <c r="V23" s="29" t="s">
        <v>82</v>
      </c>
      <c r="W23" s="29" t="s">
        <v>82</v>
      </c>
      <c r="X23" s="28" t="s">
        <v>13</v>
      </c>
      <c r="Y23" s="31"/>
    </row>
    <row r="24" spans="1:25" ht="20" customHeight="1">
      <c r="A24" s="34">
        <v>22</v>
      </c>
      <c r="B24" s="34" t="s">
        <v>20</v>
      </c>
      <c r="C24" s="34" t="s">
        <v>20</v>
      </c>
      <c r="D24" s="35" t="s">
        <v>239</v>
      </c>
      <c r="E24" s="36" t="s">
        <v>240</v>
      </c>
      <c r="F24" s="36" t="s">
        <v>241</v>
      </c>
      <c r="G24" s="35" t="s">
        <v>242</v>
      </c>
      <c r="H24" s="36" t="s">
        <v>243</v>
      </c>
      <c r="I24" s="34" t="s">
        <v>75</v>
      </c>
      <c r="J24" s="34" t="s">
        <v>76</v>
      </c>
      <c r="K24" s="37" t="s">
        <v>244</v>
      </c>
      <c r="L24" s="34">
        <f>IF(K24="","",IFERROR(ROUND((TODAY()-IF(ISNUMBER(K24),K24,DATEVALUE(K24)))/365.25, 1),""))</f>
        <v>0</v>
      </c>
      <c r="M24" s="34" t="s">
        <v>245</v>
      </c>
      <c r="N24" s="35" t="s">
        <v>95</v>
      </c>
      <c r="O24" s="34" t="s">
        <v>111</v>
      </c>
      <c r="P24" s="34" t="s">
        <v>81</v>
      </c>
      <c r="Q24" s="35" t="s">
        <v>82</v>
      </c>
      <c r="R24" s="34" t="s">
        <v>83</v>
      </c>
      <c r="S24" s="34" t="s">
        <v>11</v>
      </c>
      <c r="T24" s="34" t="s">
        <v>84</v>
      </c>
      <c r="U24" s="34" t="s">
        <v>85</v>
      </c>
      <c r="V24" s="35" t="s">
        <v>246</v>
      </c>
      <c r="W24" s="35" t="s">
        <v>82</v>
      </c>
      <c r="X24" s="34" t="s">
        <v>13</v>
      </c>
      <c r="Y24" s="37"/>
    </row>
    <row r="25" spans="1:25" ht="20" customHeight="1">
      <c r="A25" s="28">
        <v>23</v>
      </c>
      <c r="B25" s="28" t="s">
        <v>20</v>
      </c>
      <c r="C25" s="28" t="s">
        <v>25</v>
      </c>
      <c r="D25" s="29" t="s">
        <v>247</v>
      </c>
      <c r="E25" s="30" t="s">
        <v>248</v>
      </c>
      <c r="F25" s="30" t="s">
        <v>249</v>
      </c>
      <c r="G25" s="29" t="s">
        <v>250</v>
      </c>
      <c r="H25" s="30" t="s">
        <v>251</v>
      </c>
      <c r="I25" s="28" t="s">
        <v>75</v>
      </c>
      <c r="J25" s="28" t="s">
        <v>92</v>
      </c>
      <c r="K25" s="31" t="s">
        <v>93</v>
      </c>
      <c r="L25" s="28">
        <f>IF(K25="","",IFERROR(ROUND((TODAY()-IF(ISNUMBER(K25),K25,DATEVALUE(K25)))/365.25, 1),""))</f>
        <v>0</v>
      </c>
      <c r="M25" s="28" t="s">
        <v>252</v>
      </c>
      <c r="N25" s="29" t="s">
        <v>82</v>
      </c>
      <c r="O25" s="28" t="s">
        <v>111</v>
      </c>
      <c r="P25" s="28" t="s">
        <v>112</v>
      </c>
      <c r="Q25" s="29" t="s">
        <v>82</v>
      </c>
      <c r="R25" s="28" t="s">
        <v>88</v>
      </c>
      <c r="S25" s="28" t="s">
        <v>11</v>
      </c>
      <c r="T25" s="28" t="s">
        <v>113</v>
      </c>
      <c r="U25" s="28" t="s">
        <v>85</v>
      </c>
      <c r="V25" s="29" t="s">
        <v>253</v>
      </c>
      <c r="W25" s="29" t="s">
        <v>82</v>
      </c>
      <c r="X25" s="28" t="s">
        <v>13</v>
      </c>
      <c r="Y25" s="31"/>
    </row>
    <row r="26" spans="1:25" ht="20" customHeight="1">
      <c r="A26" s="34">
        <v>24</v>
      </c>
      <c r="B26" s="34" t="s">
        <v>20</v>
      </c>
      <c r="C26" s="34" t="s">
        <v>25</v>
      </c>
      <c r="D26" s="35" t="s">
        <v>254</v>
      </c>
      <c r="E26" s="36" t="s">
        <v>255</v>
      </c>
      <c r="F26" s="36" t="s">
        <v>256</v>
      </c>
      <c r="G26" s="35" t="s">
        <v>257</v>
      </c>
      <c r="H26" s="36" t="s">
        <v>258</v>
      </c>
      <c r="I26" s="34" t="s">
        <v>75</v>
      </c>
      <c r="J26" s="34" t="s">
        <v>92</v>
      </c>
      <c r="K26" s="37" t="s">
        <v>93</v>
      </c>
      <c r="L26" s="34">
        <f>IF(K26="","",IFERROR(ROUND((TODAY()-IF(ISNUMBER(K26),K26,DATEVALUE(K26)))/365.25, 1),""))</f>
        <v>0</v>
      </c>
      <c r="M26" s="34" t="s">
        <v>252</v>
      </c>
      <c r="N26" s="35" t="s">
        <v>82</v>
      </c>
      <c r="O26" s="34" t="s">
        <v>111</v>
      </c>
      <c r="P26" s="34" t="s">
        <v>112</v>
      </c>
      <c r="Q26" s="35" t="s">
        <v>82</v>
      </c>
      <c r="R26" s="34" t="s">
        <v>88</v>
      </c>
      <c r="S26" s="34" t="s">
        <v>11</v>
      </c>
      <c r="T26" s="34" t="s">
        <v>113</v>
      </c>
      <c r="U26" s="34" t="s">
        <v>85</v>
      </c>
      <c r="V26" s="35" t="s">
        <v>259</v>
      </c>
      <c r="W26" s="35" t="s">
        <v>82</v>
      </c>
      <c r="X26" s="34" t="s">
        <v>13</v>
      </c>
      <c r="Y26" s="37"/>
    </row>
    <row r="27" spans="1:25" ht="20" customHeight="1">
      <c r="A27" s="28">
        <v>25</v>
      </c>
      <c r="B27" s="28" t="s">
        <v>20</v>
      </c>
      <c r="C27" s="28" t="s">
        <v>25</v>
      </c>
      <c r="D27" s="29" t="s">
        <v>260</v>
      </c>
      <c r="E27" s="30" t="s">
        <v>261</v>
      </c>
      <c r="F27" s="30" t="s">
        <v>262</v>
      </c>
      <c r="G27" s="29" t="s">
        <v>263</v>
      </c>
      <c r="H27" s="30" t="s">
        <v>264</v>
      </c>
      <c r="I27" s="28" t="s">
        <v>75</v>
      </c>
      <c r="J27" s="28" t="s">
        <v>92</v>
      </c>
      <c r="K27" s="31" t="s">
        <v>93</v>
      </c>
      <c r="L27" s="28">
        <f>IF(K27="","",IFERROR(ROUND((TODAY()-IF(ISNUMBER(K27),K27,DATEVALUE(K27)))/365.25, 1),""))</f>
        <v>0</v>
      </c>
      <c r="M27" s="28" t="s">
        <v>252</v>
      </c>
      <c r="N27" s="29" t="s">
        <v>82</v>
      </c>
      <c r="O27" s="28" t="s">
        <v>111</v>
      </c>
      <c r="P27" s="28" t="s">
        <v>112</v>
      </c>
      <c r="Q27" s="29" t="s">
        <v>82</v>
      </c>
      <c r="R27" s="28" t="s">
        <v>88</v>
      </c>
      <c r="S27" s="28" t="s">
        <v>11</v>
      </c>
      <c r="T27" s="28" t="s">
        <v>113</v>
      </c>
      <c r="U27" s="28" t="s">
        <v>85</v>
      </c>
      <c r="V27" s="29" t="s">
        <v>265</v>
      </c>
      <c r="W27" s="29" t="s">
        <v>82</v>
      </c>
      <c r="X27" s="28" t="s">
        <v>13</v>
      </c>
      <c r="Y27" s="31"/>
    </row>
    <row r="28" spans="1:25" ht="20" customHeight="1">
      <c r="A28" s="34">
        <v>26</v>
      </c>
      <c r="B28" s="34" t="s">
        <v>20</v>
      </c>
      <c r="C28" s="34" t="s">
        <v>25</v>
      </c>
      <c r="D28" s="35" t="s">
        <v>266</v>
      </c>
      <c r="E28" s="36" t="s">
        <v>267</v>
      </c>
      <c r="F28" s="36" t="s">
        <v>268</v>
      </c>
      <c r="G28" s="35" t="s">
        <v>269</v>
      </c>
      <c r="H28" s="36" t="s">
        <v>270</v>
      </c>
      <c r="I28" s="34" t="s">
        <v>75</v>
      </c>
      <c r="J28" s="34" t="s">
        <v>92</v>
      </c>
      <c r="K28" s="37" t="s">
        <v>93</v>
      </c>
      <c r="L28" s="34">
        <f>IF(K28="","",IFERROR(ROUND((TODAY()-IF(ISNUMBER(K28),K28,DATEVALUE(K28)))/365.25, 1),""))</f>
        <v>0</v>
      </c>
      <c r="M28" s="34" t="s">
        <v>252</v>
      </c>
      <c r="N28" s="35" t="s">
        <v>82</v>
      </c>
      <c r="O28" s="34" t="s">
        <v>111</v>
      </c>
      <c r="P28" s="34" t="s">
        <v>112</v>
      </c>
      <c r="Q28" s="35" t="s">
        <v>82</v>
      </c>
      <c r="R28" s="34" t="s">
        <v>88</v>
      </c>
      <c r="S28" s="34" t="s">
        <v>11</v>
      </c>
      <c r="T28" s="34" t="s">
        <v>113</v>
      </c>
      <c r="U28" s="34" t="s">
        <v>85</v>
      </c>
      <c r="V28" s="35" t="s">
        <v>271</v>
      </c>
      <c r="W28" s="35" t="s">
        <v>82</v>
      </c>
      <c r="X28" s="34" t="s">
        <v>13</v>
      </c>
      <c r="Y28" s="37"/>
    </row>
    <row r="29" spans="1:25" ht="20" customHeight="1">
      <c r="A29" s="28">
        <v>27</v>
      </c>
      <c r="B29" s="28" t="s">
        <v>20</v>
      </c>
      <c r="C29" s="28" t="s">
        <v>25</v>
      </c>
      <c r="D29" s="29" t="s">
        <v>272</v>
      </c>
      <c r="E29" s="30" t="s">
        <v>273</v>
      </c>
      <c r="F29" s="30" t="s">
        <v>274</v>
      </c>
      <c r="G29" s="29" t="s">
        <v>275</v>
      </c>
      <c r="H29" s="30" t="s">
        <v>276</v>
      </c>
      <c r="I29" s="28" t="s">
        <v>75</v>
      </c>
      <c r="J29" s="28" t="s">
        <v>92</v>
      </c>
      <c r="K29" s="31" t="s">
        <v>93</v>
      </c>
      <c r="L29" s="28">
        <f>IF(K29="","",IFERROR(ROUND((TODAY()-IF(ISNUMBER(K29),K29,DATEVALUE(K29)))/365.25, 1),""))</f>
        <v>0</v>
      </c>
      <c r="M29" s="28" t="s">
        <v>277</v>
      </c>
      <c r="N29" s="29" t="s">
        <v>82</v>
      </c>
      <c r="O29" s="28" t="s">
        <v>111</v>
      </c>
      <c r="P29" s="28" t="s">
        <v>112</v>
      </c>
      <c r="Q29" s="29" t="s">
        <v>82</v>
      </c>
      <c r="R29" s="28" t="s">
        <v>88</v>
      </c>
      <c r="S29" s="28" t="s">
        <v>11</v>
      </c>
      <c r="T29" s="28" t="s">
        <v>113</v>
      </c>
      <c r="U29" s="28" t="s">
        <v>85</v>
      </c>
      <c r="V29" s="29" t="s">
        <v>278</v>
      </c>
      <c r="W29" s="29" t="s">
        <v>82</v>
      </c>
      <c r="X29" s="28" t="s">
        <v>13</v>
      </c>
      <c r="Y29" s="31"/>
    </row>
    <row r="30" spans="1:25" ht="20" customHeight="1">
      <c r="A30" s="34">
        <v>28</v>
      </c>
      <c r="B30" s="34" t="s">
        <v>20</v>
      </c>
      <c r="C30" s="34" t="s">
        <v>25</v>
      </c>
      <c r="D30" s="35" t="s">
        <v>279</v>
      </c>
      <c r="E30" s="36" t="s">
        <v>280</v>
      </c>
      <c r="F30" s="36" t="s">
        <v>281</v>
      </c>
      <c r="G30" s="35" t="s">
        <v>282</v>
      </c>
      <c r="H30" s="36" t="s">
        <v>283</v>
      </c>
      <c r="I30" s="34" t="s">
        <v>75</v>
      </c>
      <c r="J30" s="34" t="s">
        <v>92</v>
      </c>
      <c r="K30" s="37" t="s">
        <v>93</v>
      </c>
      <c r="L30" s="34">
        <f>IF(K30="","",IFERROR(ROUND((TODAY()-IF(ISNUMBER(K30),K30,DATEVALUE(K30)))/365.25, 1),""))</f>
        <v>0</v>
      </c>
      <c r="M30" s="34" t="s">
        <v>277</v>
      </c>
      <c r="N30" s="35" t="s">
        <v>82</v>
      </c>
      <c r="O30" s="34" t="s">
        <v>111</v>
      </c>
      <c r="P30" s="34" t="s">
        <v>112</v>
      </c>
      <c r="Q30" s="35" t="s">
        <v>82</v>
      </c>
      <c r="R30" s="34" t="s">
        <v>88</v>
      </c>
      <c r="S30" s="34" t="s">
        <v>11</v>
      </c>
      <c r="T30" s="34" t="s">
        <v>113</v>
      </c>
      <c r="U30" s="34" t="s">
        <v>85</v>
      </c>
      <c r="V30" s="35" t="s">
        <v>284</v>
      </c>
      <c r="W30" s="35" t="s">
        <v>82</v>
      </c>
      <c r="X30" s="34" t="s">
        <v>13</v>
      </c>
      <c r="Y30" s="37"/>
    </row>
    <row r="31" spans="1:25" ht="20" customHeight="1">
      <c r="A31" s="28">
        <v>29</v>
      </c>
      <c r="B31" s="28" t="s">
        <v>20</v>
      </c>
      <c r="C31" s="28" t="s">
        <v>25</v>
      </c>
      <c r="D31" s="29" t="s">
        <v>285</v>
      </c>
      <c r="E31" s="30" t="s">
        <v>286</v>
      </c>
      <c r="F31" s="30" t="s">
        <v>287</v>
      </c>
      <c r="G31" s="29" t="s">
        <v>288</v>
      </c>
      <c r="H31" s="30" t="s">
        <v>289</v>
      </c>
      <c r="I31" s="28" t="s">
        <v>75</v>
      </c>
      <c r="J31" s="28" t="s">
        <v>92</v>
      </c>
      <c r="K31" s="31" t="s">
        <v>93</v>
      </c>
      <c r="L31" s="28">
        <f>IF(K31="","",IFERROR(ROUND((TODAY()-IF(ISNUMBER(K31),K31,DATEVALUE(K31)))/365.25, 1),""))</f>
        <v>0</v>
      </c>
      <c r="M31" s="28" t="s">
        <v>277</v>
      </c>
      <c r="N31" s="29" t="s">
        <v>82</v>
      </c>
      <c r="O31" s="28" t="s">
        <v>111</v>
      </c>
      <c r="P31" s="28" t="s">
        <v>112</v>
      </c>
      <c r="Q31" s="29" t="s">
        <v>82</v>
      </c>
      <c r="R31" s="28" t="s">
        <v>88</v>
      </c>
      <c r="S31" s="28" t="s">
        <v>11</v>
      </c>
      <c r="T31" s="28" t="s">
        <v>113</v>
      </c>
      <c r="U31" s="28" t="s">
        <v>85</v>
      </c>
      <c r="V31" s="29" t="s">
        <v>290</v>
      </c>
      <c r="W31" s="29" t="s">
        <v>82</v>
      </c>
      <c r="X31" s="28" t="s">
        <v>13</v>
      </c>
      <c r="Y31" s="31"/>
    </row>
    <row r="32" spans="1:25" ht="20" customHeight="1">
      <c r="A32" s="34">
        <v>30</v>
      </c>
      <c r="B32" s="34" t="s">
        <v>20</v>
      </c>
      <c r="C32" s="34" t="s">
        <v>25</v>
      </c>
      <c r="D32" s="35" t="s">
        <v>291</v>
      </c>
      <c r="E32" s="36" t="s">
        <v>292</v>
      </c>
      <c r="F32" s="36" t="s">
        <v>293</v>
      </c>
      <c r="G32" s="35" t="s">
        <v>294</v>
      </c>
      <c r="H32" s="36" t="s">
        <v>295</v>
      </c>
      <c r="I32" s="34" t="s">
        <v>75</v>
      </c>
      <c r="J32" s="34" t="s">
        <v>92</v>
      </c>
      <c r="K32" s="37" t="s">
        <v>296</v>
      </c>
      <c r="L32" s="34">
        <f>IF(K32="","",IFERROR(ROUND((TODAY()-IF(ISNUMBER(K32),K32,DATEVALUE(K32)))/365.25, 1),""))</f>
        <v>0</v>
      </c>
      <c r="M32" s="34" t="s">
        <v>277</v>
      </c>
      <c r="N32" s="35" t="s">
        <v>82</v>
      </c>
      <c r="O32" s="34" t="s">
        <v>111</v>
      </c>
      <c r="P32" s="34" t="s">
        <v>112</v>
      </c>
      <c r="Q32" s="35" t="s">
        <v>82</v>
      </c>
      <c r="R32" s="34" t="s">
        <v>88</v>
      </c>
      <c r="S32" s="34" t="s">
        <v>12</v>
      </c>
      <c r="T32" s="34" t="s">
        <v>113</v>
      </c>
      <c r="U32" s="34" t="s">
        <v>85</v>
      </c>
      <c r="V32" s="35" t="s">
        <v>297</v>
      </c>
      <c r="W32" s="35" t="s">
        <v>82</v>
      </c>
      <c r="X32" s="34" t="s">
        <v>13</v>
      </c>
      <c r="Y32" s="37"/>
    </row>
    <row r="33" spans="1:25" ht="20" customHeight="1">
      <c r="A33" s="28">
        <v>31</v>
      </c>
      <c r="B33" s="28" t="s">
        <v>20</v>
      </c>
      <c r="C33" s="28" t="s">
        <v>25</v>
      </c>
      <c r="D33" s="29" t="s">
        <v>298</v>
      </c>
      <c r="E33" s="30" t="s">
        <v>299</v>
      </c>
      <c r="F33" s="30" t="s">
        <v>300</v>
      </c>
      <c r="G33" s="29" t="s">
        <v>301</v>
      </c>
      <c r="H33" s="30" t="s">
        <v>302</v>
      </c>
      <c r="I33" s="28" t="s">
        <v>75</v>
      </c>
      <c r="J33" s="28" t="s">
        <v>92</v>
      </c>
      <c r="K33" s="31" t="s">
        <v>93</v>
      </c>
      <c r="L33" s="28">
        <f>IF(K33="","",IFERROR(ROUND((TODAY()-IF(ISNUMBER(K33),K33,DATEVALUE(K33)))/365.25, 1),""))</f>
        <v>0</v>
      </c>
      <c r="M33" s="28" t="s">
        <v>303</v>
      </c>
      <c r="N33" s="29" t="s">
        <v>82</v>
      </c>
      <c r="O33" s="28" t="s">
        <v>111</v>
      </c>
      <c r="P33" s="28" t="s">
        <v>112</v>
      </c>
      <c r="Q33" s="29" t="s">
        <v>82</v>
      </c>
      <c r="R33" s="28" t="s">
        <v>88</v>
      </c>
      <c r="S33" s="28" t="s">
        <v>11</v>
      </c>
      <c r="T33" s="28" t="s">
        <v>113</v>
      </c>
      <c r="U33" s="28" t="s">
        <v>85</v>
      </c>
      <c r="V33" s="29" t="s">
        <v>304</v>
      </c>
      <c r="W33" s="29" t="s">
        <v>82</v>
      </c>
      <c r="X33" s="28" t="s">
        <v>13</v>
      </c>
      <c r="Y33" s="31"/>
    </row>
    <row r="34" spans="1:25" ht="20" customHeight="1">
      <c r="A34" s="34">
        <v>32</v>
      </c>
      <c r="B34" s="34" t="s">
        <v>20</v>
      </c>
      <c r="C34" s="34" t="s">
        <v>25</v>
      </c>
      <c r="D34" s="35" t="s">
        <v>305</v>
      </c>
      <c r="E34" s="36" t="s">
        <v>306</v>
      </c>
      <c r="F34" s="36" t="s">
        <v>307</v>
      </c>
      <c r="G34" s="35" t="s">
        <v>308</v>
      </c>
      <c r="H34" s="36" t="s">
        <v>309</v>
      </c>
      <c r="I34" s="34" t="s">
        <v>75</v>
      </c>
      <c r="J34" s="34" t="s">
        <v>92</v>
      </c>
      <c r="K34" s="37" t="s">
        <v>93</v>
      </c>
      <c r="L34" s="34">
        <f>IF(K34="","",IFERROR(ROUND((TODAY()-IF(ISNUMBER(K34),K34,DATEVALUE(K34)))/365.25, 1),""))</f>
        <v>0</v>
      </c>
      <c r="M34" s="34" t="s">
        <v>310</v>
      </c>
      <c r="N34" s="35" t="s">
        <v>82</v>
      </c>
      <c r="O34" s="34" t="s">
        <v>111</v>
      </c>
      <c r="P34" s="34" t="s">
        <v>112</v>
      </c>
      <c r="Q34" s="35" t="s">
        <v>82</v>
      </c>
      <c r="R34" s="34" t="s">
        <v>88</v>
      </c>
      <c r="S34" s="34" t="s">
        <v>12</v>
      </c>
      <c r="T34" s="34" t="s">
        <v>113</v>
      </c>
      <c r="U34" s="34" t="s">
        <v>85</v>
      </c>
      <c r="V34" s="35" t="s">
        <v>311</v>
      </c>
      <c r="W34" s="35" t="s">
        <v>82</v>
      </c>
      <c r="X34" s="34" t="s">
        <v>13</v>
      </c>
      <c r="Y34" s="37"/>
    </row>
    <row r="35" spans="1:25" ht="20" customHeight="1">
      <c r="A35" s="28">
        <v>33</v>
      </c>
      <c r="B35" s="28" t="s">
        <v>20</v>
      </c>
      <c r="C35" s="28" t="s">
        <v>25</v>
      </c>
      <c r="D35" s="29" t="s">
        <v>312</v>
      </c>
      <c r="E35" s="30" t="s">
        <v>313</v>
      </c>
      <c r="F35" s="30" t="s">
        <v>314</v>
      </c>
      <c r="G35" s="29" t="s">
        <v>315</v>
      </c>
      <c r="H35" s="30" t="s">
        <v>316</v>
      </c>
      <c r="I35" s="28" t="s">
        <v>75</v>
      </c>
      <c r="J35" s="28" t="s">
        <v>92</v>
      </c>
      <c r="K35" s="31" t="s">
        <v>93</v>
      </c>
      <c r="L35" s="28">
        <f>IF(K35="","",IFERROR(ROUND((TODAY()-IF(ISNUMBER(K35),K35,DATEVALUE(K35)))/365.25, 1),""))</f>
        <v>0</v>
      </c>
      <c r="M35" s="28" t="s">
        <v>317</v>
      </c>
      <c r="N35" s="29" t="s">
        <v>82</v>
      </c>
      <c r="O35" s="28" t="s">
        <v>111</v>
      </c>
      <c r="P35" s="28" t="s">
        <v>112</v>
      </c>
      <c r="Q35" s="29" t="s">
        <v>82</v>
      </c>
      <c r="R35" s="28" t="s">
        <v>88</v>
      </c>
      <c r="S35" s="28" t="s">
        <v>11</v>
      </c>
      <c r="T35" s="28" t="s">
        <v>113</v>
      </c>
      <c r="U35" s="28" t="s">
        <v>85</v>
      </c>
      <c r="V35" s="29" t="s">
        <v>318</v>
      </c>
      <c r="W35" s="29" t="s">
        <v>319</v>
      </c>
      <c r="X35" s="28" t="s">
        <v>13</v>
      </c>
      <c r="Y35" s="31"/>
    </row>
    <row r="36" spans="1:25" ht="20" customHeight="1">
      <c r="A36" s="34">
        <v>34</v>
      </c>
      <c r="B36" s="34" t="s">
        <v>20</v>
      </c>
      <c r="C36" s="34" t="s">
        <v>25</v>
      </c>
      <c r="D36" s="35" t="s">
        <v>320</v>
      </c>
      <c r="E36" s="36" t="s">
        <v>321</v>
      </c>
      <c r="F36" s="36" t="s">
        <v>322</v>
      </c>
      <c r="G36" s="35" t="s">
        <v>323</v>
      </c>
      <c r="H36" s="36" t="s">
        <v>324</v>
      </c>
      <c r="I36" s="34" t="s">
        <v>75</v>
      </c>
      <c r="J36" s="34" t="s">
        <v>76</v>
      </c>
      <c r="K36" s="37" t="s">
        <v>129</v>
      </c>
      <c r="L36" s="34">
        <f>IF(K36="","",IFERROR(ROUND((TODAY()-IF(ISNUMBER(K36),K36,DATEVALUE(K36)))/365.25, 1),""))</f>
        <v>0</v>
      </c>
      <c r="M36" s="34" t="s">
        <v>277</v>
      </c>
      <c r="N36" s="35" t="s">
        <v>82</v>
      </c>
      <c r="O36" s="34" t="s">
        <v>80</v>
      </c>
      <c r="P36" s="34" t="s">
        <v>81</v>
      </c>
      <c r="Q36" s="35" t="s">
        <v>82</v>
      </c>
      <c r="R36" s="34" t="s">
        <v>88</v>
      </c>
      <c r="S36" s="34" t="s">
        <v>12</v>
      </c>
      <c r="T36" s="34" t="s">
        <v>84</v>
      </c>
      <c r="U36" s="34" t="s">
        <v>85</v>
      </c>
      <c r="V36" s="35" t="s">
        <v>325</v>
      </c>
      <c r="W36" s="35" t="s">
        <v>326</v>
      </c>
      <c r="X36" s="34" t="s">
        <v>13</v>
      </c>
      <c r="Y36" s="37"/>
    </row>
    <row r="37" spans="1:25" ht="20" customHeight="1">
      <c r="A37" s="28">
        <v>35</v>
      </c>
      <c r="B37" s="28" t="s">
        <v>20</v>
      </c>
      <c r="C37" s="28" t="s">
        <v>25</v>
      </c>
      <c r="D37" s="29" t="s">
        <v>327</v>
      </c>
      <c r="E37" s="30" t="s">
        <v>328</v>
      </c>
      <c r="F37" s="30" t="s">
        <v>329</v>
      </c>
      <c r="G37" s="29" t="s">
        <v>330</v>
      </c>
      <c r="H37" s="30" t="s">
        <v>331</v>
      </c>
      <c r="I37" s="28" t="s">
        <v>75</v>
      </c>
      <c r="J37" s="28" t="s">
        <v>76</v>
      </c>
      <c r="K37" s="31" t="s">
        <v>129</v>
      </c>
      <c r="L37" s="28">
        <f>IF(K37="","",IFERROR(ROUND((TODAY()-IF(ISNUMBER(K37),K37,DATEVALUE(K37)))/365.25, 1),""))</f>
        <v>0</v>
      </c>
      <c r="M37" s="28" t="s">
        <v>277</v>
      </c>
      <c r="N37" s="29" t="s">
        <v>82</v>
      </c>
      <c r="O37" s="28" t="s">
        <v>80</v>
      </c>
      <c r="P37" s="28" t="s">
        <v>81</v>
      </c>
      <c r="Q37" s="29" t="s">
        <v>82</v>
      </c>
      <c r="R37" s="28" t="s">
        <v>88</v>
      </c>
      <c r="S37" s="28" t="s">
        <v>11</v>
      </c>
      <c r="T37" s="28" t="s">
        <v>84</v>
      </c>
      <c r="U37" s="28" t="s">
        <v>85</v>
      </c>
      <c r="V37" s="29" t="s">
        <v>332</v>
      </c>
      <c r="W37" s="29" t="s">
        <v>333</v>
      </c>
      <c r="X37" s="28" t="s">
        <v>13</v>
      </c>
      <c r="Y37" s="31"/>
    </row>
    <row r="38" spans="1:25" ht="20" customHeight="1">
      <c r="A38" s="34">
        <v>36</v>
      </c>
      <c r="B38" s="34" t="s">
        <v>20</v>
      </c>
      <c r="C38" s="34" t="s">
        <v>25</v>
      </c>
      <c r="D38" s="35" t="s">
        <v>334</v>
      </c>
      <c r="E38" s="36" t="s">
        <v>335</v>
      </c>
      <c r="F38" s="36" t="s">
        <v>336</v>
      </c>
      <c r="G38" s="35" t="s">
        <v>337</v>
      </c>
      <c r="H38" s="36" t="s">
        <v>338</v>
      </c>
      <c r="I38" s="34" t="s">
        <v>75</v>
      </c>
      <c r="J38" s="34" t="s">
        <v>76</v>
      </c>
      <c r="K38" s="37" t="s">
        <v>339</v>
      </c>
      <c r="L38" s="34">
        <f>IF(K38="","",IFERROR(ROUND((TODAY()-IF(ISNUMBER(K38),K38,DATEVALUE(K38)))/365.25, 1),""))</f>
        <v>0</v>
      </c>
      <c r="M38" s="34" t="s">
        <v>252</v>
      </c>
      <c r="N38" s="35" t="s">
        <v>82</v>
      </c>
      <c r="O38" s="34" t="s">
        <v>80</v>
      </c>
      <c r="P38" s="34" t="s">
        <v>81</v>
      </c>
      <c r="Q38" s="35" t="s">
        <v>82</v>
      </c>
      <c r="R38" s="34" t="s">
        <v>88</v>
      </c>
      <c r="S38" s="34" t="s">
        <v>12</v>
      </c>
      <c r="T38" s="34" t="s">
        <v>84</v>
      </c>
      <c r="U38" s="34" t="s">
        <v>85</v>
      </c>
      <c r="V38" s="35" t="s">
        <v>340</v>
      </c>
      <c r="W38" s="35" t="s">
        <v>341</v>
      </c>
      <c r="X38" s="34" t="s">
        <v>13</v>
      </c>
      <c r="Y38" s="37"/>
    </row>
    <row r="39" spans="1:25" ht="20" customHeight="1">
      <c r="A39" s="28">
        <v>37</v>
      </c>
      <c r="B39" s="28" t="s">
        <v>20</v>
      </c>
      <c r="C39" s="28" t="s">
        <v>25</v>
      </c>
      <c r="D39" s="29" t="s">
        <v>342</v>
      </c>
      <c r="E39" s="30" t="s">
        <v>343</v>
      </c>
      <c r="F39" s="30" t="s">
        <v>344</v>
      </c>
      <c r="G39" s="29" t="s">
        <v>345</v>
      </c>
      <c r="H39" s="30" t="s">
        <v>346</v>
      </c>
      <c r="I39" s="28" t="s">
        <v>75</v>
      </c>
      <c r="J39" s="28" t="s">
        <v>76</v>
      </c>
      <c r="K39" s="31" t="s">
        <v>129</v>
      </c>
      <c r="L39" s="28">
        <f>IF(K39="","",IFERROR(ROUND((TODAY()-IF(ISNUMBER(K39),K39,DATEVALUE(K39)))/365.25, 1),""))</f>
        <v>0</v>
      </c>
      <c r="M39" s="28" t="s">
        <v>277</v>
      </c>
      <c r="N39" s="29" t="s">
        <v>82</v>
      </c>
      <c r="O39" s="28" t="s">
        <v>80</v>
      </c>
      <c r="P39" s="28" t="s">
        <v>81</v>
      </c>
      <c r="Q39" s="29" t="s">
        <v>82</v>
      </c>
      <c r="R39" s="28" t="s">
        <v>88</v>
      </c>
      <c r="S39" s="28" t="s">
        <v>12</v>
      </c>
      <c r="T39" s="28" t="s">
        <v>84</v>
      </c>
      <c r="U39" s="28" t="s">
        <v>85</v>
      </c>
      <c r="V39" s="29" t="s">
        <v>347</v>
      </c>
      <c r="W39" s="29" t="s">
        <v>348</v>
      </c>
      <c r="X39" s="28" t="s">
        <v>13</v>
      </c>
      <c r="Y39" s="31"/>
    </row>
    <row r="40" spans="1:25" ht="20" customHeight="1">
      <c r="A40" s="34">
        <v>38</v>
      </c>
      <c r="B40" s="34" t="s">
        <v>20</v>
      </c>
      <c r="C40" s="34" t="s">
        <v>25</v>
      </c>
      <c r="D40" s="35" t="s">
        <v>349</v>
      </c>
      <c r="E40" s="36" t="s">
        <v>350</v>
      </c>
      <c r="F40" s="36" t="s">
        <v>351</v>
      </c>
      <c r="G40" s="35" t="s">
        <v>352</v>
      </c>
      <c r="H40" s="36" t="s">
        <v>353</v>
      </c>
      <c r="I40" s="34" t="s">
        <v>75</v>
      </c>
      <c r="J40" s="34" t="s">
        <v>76</v>
      </c>
      <c r="K40" s="37" t="s">
        <v>354</v>
      </c>
      <c r="L40" s="34">
        <f>IF(K40="","",IFERROR(ROUND((TODAY()-IF(ISNUMBER(K40),K40,DATEVALUE(K40)))/365.25, 1),""))</f>
        <v>0</v>
      </c>
      <c r="M40" s="34" t="s">
        <v>277</v>
      </c>
      <c r="N40" s="35" t="s">
        <v>82</v>
      </c>
      <c r="O40" s="34" t="s">
        <v>80</v>
      </c>
      <c r="P40" s="34" t="s">
        <v>81</v>
      </c>
      <c r="Q40" s="35" t="s">
        <v>82</v>
      </c>
      <c r="R40" s="34" t="s">
        <v>88</v>
      </c>
      <c r="S40" s="34" t="s">
        <v>11</v>
      </c>
      <c r="T40" s="34" t="s">
        <v>84</v>
      </c>
      <c r="U40" s="34" t="s">
        <v>85</v>
      </c>
      <c r="V40" s="35" t="s">
        <v>355</v>
      </c>
      <c r="W40" s="35" t="s">
        <v>356</v>
      </c>
      <c r="X40" s="34" t="s">
        <v>13</v>
      </c>
      <c r="Y40" s="37"/>
    </row>
    <row r="41" spans="1:25" ht="20" customHeight="1">
      <c r="A41" s="28">
        <v>39</v>
      </c>
      <c r="B41" s="28" t="s">
        <v>20</v>
      </c>
      <c r="C41" s="28" t="s">
        <v>25</v>
      </c>
      <c r="D41" s="29" t="s">
        <v>357</v>
      </c>
      <c r="E41" s="30" t="s">
        <v>358</v>
      </c>
      <c r="F41" s="30" t="s">
        <v>359</v>
      </c>
      <c r="G41" s="29" t="s">
        <v>360</v>
      </c>
      <c r="H41" s="30" t="s">
        <v>361</v>
      </c>
      <c r="I41" s="28" t="s">
        <v>75</v>
      </c>
      <c r="J41" s="28" t="s">
        <v>76</v>
      </c>
      <c r="K41" s="31" t="s">
        <v>362</v>
      </c>
      <c r="L41" s="28">
        <f>IF(K41="","",IFERROR(ROUND((TODAY()-IF(ISNUMBER(K41),K41,DATEVALUE(K41)))/365.25, 1),""))</f>
        <v>0</v>
      </c>
      <c r="M41" s="28" t="s">
        <v>363</v>
      </c>
      <c r="N41" s="29" t="s">
        <v>82</v>
      </c>
      <c r="O41" s="28" t="s">
        <v>80</v>
      </c>
      <c r="P41" s="28" t="s">
        <v>81</v>
      </c>
      <c r="Q41" s="29" t="s">
        <v>82</v>
      </c>
      <c r="R41" s="28" t="s">
        <v>88</v>
      </c>
      <c r="S41" s="28" t="s">
        <v>11</v>
      </c>
      <c r="T41" s="28" t="s">
        <v>84</v>
      </c>
      <c r="U41" s="28" t="s">
        <v>85</v>
      </c>
      <c r="V41" s="29" t="s">
        <v>364</v>
      </c>
      <c r="W41" s="29" t="s">
        <v>365</v>
      </c>
      <c r="X41" s="28" t="s">
        <v>13</v>
      </c>
      <c r="Y41" s="31"/>
    </row>
    <row r="42" spans="1:25" ht="20" customHeight="1">
      <c r="A42" s="34">
        <v>40</v>
      </c>
      <c r="B42" s="34" t="s">
        <v>20</v>
      </c>
      <c r="C42" s="34" t="s">
        <v>25</v>
      </c>
      <c r="D42" s="35" t="s">
        <v>366</v>
      </c>
      <c r="E42" s="36" t="s">
        <v>367</v>
      </c>
      <c r="F42" s="36" t="s">
        <v>368</v>
      </c>
      <c r="G42" s="35" t="s">
        <v>369</v>
      </c>
      <c r="H42" s="36" t="s">
        <v>370</v>
      </c>
      <c r="I42" s="34" t="s">
        <v>75</v>
      </c>
      <c r="J42" s="34" t="s">
        <v>76</v>
      </c>
      <c r="K42" s="37" t="s">
        <v>371</v>
      </c>
      <c r="L42" s="34">
        <f>IF(K42="","",IFERROR(ROUND((TODAY()-IF(ISNUMBER(K42),K42,DATEVALUE(K42)))/365.25, 1),""))</f>
        <v>0</v>
      </c>
      <c r="M42" s="34" t="s">
        <v>277</v>
      </c>
      <c r="N42" s="35" t="s">
        <v>82</v>
      </c>
      <c r="O42" s="34" t="s">
        <v>80</v>
      </c>
      <c r="P42" s="34" t="s">
        <v>81</v>
      </c>
      <c r="Q42" s="35" t="s">
        <v>82</v>
      </c>
      <c r="R42" s="34" t="s">
        <v>88</v>
      </c>
      <c r="S42" s="34" t="s">
        <v>11</v>
      </c>
      <c r="T42" s="34" t="s">
        <v>84</v>
      </c>
      <c r="U42" s="34" t="s">
        <v>85</v>
      </c>
      <c r="V42" s="35" t="s">
        <v>372</v>
      </c>
      <c r="W42" s="35" t="s">
        <v>373</v>
      </c>
      <c r="X42" s="34" t="s">
        <v>13</v>
      </c>
      <c r="Y42" s="37"/>
    </row>
    <row r="43" spans="1:25" ht="20" customHeight="1">
      <c r="A43" s="28">
        <v>41</v>
      </c>
      <c r="B43" s="28" t="s">
        <v>20</v>
      </c>
      <c r="C43" s="28" t="s">
        <v>25</v>
      </c>
      <c r="D43" s="29" t="s">
        <v>374</v>
      </c>
      <c r="E43" s="30" t="s">
        <v>375</v>
      </c>
      <c r="F43" s="30" t="s">
        <v>376</v>
      </c>
      <c r="G43" s="29" t="s">
        <v>377</v>
      </c>
      <c r="H43" s="30" t="s">
        <v>378</v>
      </c>
      <c r="I43" s="28" t="s">
        <v>75</v>
      </c>
      <c r="J43" s="28" t="s">
        <v>76</v>
      </c>
      <c r="K43" s="31" t="s">
        <v>339</v>
      </c>
      <c r="L43" s="28">
        <f>IF(K43="","",IFERROR(ROUND((TODAY()-IF(ISNUMBER(K43),K43,DATEVALUE(K43)))/365.25, 1),""))</f>
        <v>0</v>
      </c>
      <c r="M43" s="28" t="s">
        <v>252</v>
      </c>
      <c r="N43" s="29" t="s">
        <v>82</v>
      </c>
      <c r="O43" s="28" t="s">
        <v>80</v>
      </c>
      <c r="P43" s="28" t="s">
        <v>81</v>
      </c>
      <c r="Q43" s="29" t="s">
        <v>82</v>
      </c>
      <c r="R43" s="28" t="s">
        <v>88</v>
      </c>
      <c r="S43" s="28" t="s">
        <v>11</v>
      </c>
      <c r="T43" s="28" t="s">
        <v>84</v>
      </c>
      <c r="U43" s="28" t="s">
        <v>85</v>
      </c>
      <c r="V43" s="29" t="s">
        <v>379</v>
      </c>
      <c r="W43" s="29" t="s">
        <v>380</v>
      </c>
      <c r="X43" s="28" t="s">
        <v>13</v>
      </c>
      <c r="Y43" s="31"/>
    </row>
    <row r="44" spans="1:25" ht="20" customHeight="1">
      <c r="A44" s="34">
        <v>42</v>
      </c>
      <c r="B44" s="34" t="s">
        <v>20</v>
      </c>
      <c r="C44" s="34" t="s">
        <v>25</v>
      </c>
      <c r="D44" s="35" t="s">
        <v>381</v>
      </c>
      <c r="E44" s="36" t="s">
        <v>382</v>
      </c>
      <c r="F44" s="36" t="s">
        <v>383</v>
      </c>
      <c r="G44" s="35" t="s">
        <v>384</v>
      </c>
      <c r="H44" s="36" t="s">
        <v>385</v>
      </c>
      <c r="I44" s="34" t="s">
        <v>75</v>
      </c>
      <c r="J44" s="34" t="s">
        <v>76</v>
      </c>
      <c r="K44" s="37" t="s">
        <v>386</v>
      </c>
      <c r="L44" s="34">
        <f>IF(K44="","",IFERROR(ROUND((TODAY()-IF(ISNUMBER(K44),K44,DATEVALUE(K44)))/365.25, 1),""))</f>
        <v>0</v>
      </c>
      <c r="M44" s="34" t="s">
        <v>363</v>
      </c>
      <c r="N44" s="35" t="s">
        <v>82</v>
      </c>
      <c r="O44" s="34" t="s">
        <v>80</v>
      </c>
      <c r="P44" s="34" t="s">
        <v>81</v>
      </c>
      <c r="Q44" s="35" t="s">
        <v>82</v>
      </c>
      <c r="R44" s="34" t="s">
        <v>88</v>
      </c>
      <c r="S44" s="34" t="s">
        <v>12</v>
      </c>
      <c r="T44" s="34" t="s">
        <v>84</v>
      </c>
      <c r="U44" s="34" t="s">
        <v>85</v>
      </c>
      <c r="V44" s="35" t="s">
        <v>387</v>
      </c>
      <c r="W44" s="35" t="s">
        <v>388</v>
      </c>
      <c r="X44" s="34" t="s">
        <v>13</v>
      </c>
      <c r="Y44" s="37"/>
    </row>
    <row r="45" spans="1:25" ht="20" customHeight="1">
      <c r="A45" s="28">
        <v>43</v>
      </c>
      <c r="B45" s="28" t="s">
        <v>20</v>
      </c>
      <c r="C45" s="28" t="s">
        <v>25</v>
      </c>
      <c r="D45" s="29" t="s">
        <v>389</v>
      </c>
      <c r="E45" s="30" t="s">
        <v>390</v>
      </c>
      <c r="F45" s="30" t="s">
        <v>391</v>
      </c>
      <c r="G45" s="29" t="s">
        <v>392</v>
      </c>
      <c r="H45" s="30" t="s">
        <v>393</v>
      </c>
      <c r="I45" s="28" t="s">
        <v>75</v>
      </c>
      <c r="J45" s="28" t="s">
        <v>76</v>
      </c>
      <c r="K45" s="31" t="s">
        <v>394</v>
      </c>
      <c r="L45" s="28">
        <f>IF(K45="","",IFERROR(ROUND((TODAY()-IF(ISNUMBER(K45),K45,DATEVALUE(K45)))/365.25, 1),""))</f>
        <v>0</v>
      </c>
      <c r="M45" s="28" t="s">
        <v>252</v>
      </c>
      <c r="N45" s="29" t="s">
        <v>82</v>
      </c>
      <c r="O45" s="28" t="s">
        <v>80</v>
      </c>
      <c r="P45" s="28" t="s">
        <v>81</v>
      </c>
      <c r="Q45" s="29" t="s">
        <v>82</v>
      </c>
      <c r="R45" s="28" t="s">
        <v>88</v>
      </c>
      <c r="S45" s="28" t="s">
        <v>12</v>
      </c>
      <c r="T45" s="28" t="s">
        <v>84</v>
      </c>
      <c r="U45" s="28" t="s">
        <v>85</v>
      </c>
      <c r="V45" s="29" t="s">
        <v>395</v>
      </c>
      <c r="W45" s="29" t="s">
        <v>396</v>
      </c>
      <c r="X45" s="28" t="s">
        <v>13</v>
      </c>
      <c r="Y45" s="31"/>
    </row>
    <row r="46" spans="1:25" ht="20" customHeight="1">
      <c r="A46" s="34">
        <v>44</v>
      </c>
      <c r="B46" s="34" t="s">
        <v>20</v>
      </c>
      <c r="C46" s="34" t="s">
        <v>25</v>
      </c>
      <c r="D46" s="35" t="s">
        <v>397</v>
      </c>
      <c r="E46" s="36" t="s">
        <v>398</v>
      </c>
      <c r="F46" s="36" t="s">
        <v>399</v>
      </c>
      <c r="G46" s="35" t="s">
        <v>400</v>
      </c>
      <c r="H46" s="36" t="s">
        <v>401</v>
      </c>
      <c r="I46" s="34" t="s">
        <v>75</v>
      </c>
      <c r="J46" s="34" t="s">
        <v>76</v>
      </c>
      <c r="K46" s="37" t="s">
        <v>402</v>
      </c>
      <c r="L46" s="34">
        <f>IF(K46="","",IFERROR(ROUND((TODAY()-IF(ISNUMBER(K46),K46,DATEVALUE(K46)))/365.25, 1),""))</f>
        <v>0</v>
      </c>
      <c r="M46" s="34" t="s">
        <v>277</v>
      </c>
      <c r="N46" s="35" t="s">
        <v>82</v>
      </c>
      <c r="O46" s="34" t="s">
        <v>80</v>
      </c>
      <c r="P46" s="34" t="s">
        <v>81</v>
      </c>
      <c r="Q46" s="35" t="s">
        <v>82</v>
      </c>
      <c r="R46" s="34" t="s">
        <v>88</v>
      </c>
      <c r="S46" s="34" t="s">
        <v>11</v>
      </c>
      <c r="T46" s="34" t="s">
        <v>84</v>
      </c>
      <c r="U46" s="34" t="s">
        <v>85</v>
      </c>
      <c r="V46" s="35" t="s">
        <v>403</v>
      </c>
      <c r="W46" s="35" t="s">
        <v>404</v>
      </c>
      <c r="X46" s="34" t="s">
        <v>13</v>
      </c>
      <c r="Y46" s="37"/>
    </row>
    <row r="47" spans="1:25" ht="20" customHeight="1">
      <c r="A47" s="28">
        <v>45</v>
      </c>
      <c r="B47" s="28" t="s">
        <v>20</v>
      </c>
      <c r="C47" s="28" t="s">
        <v>25</v>
      </c>
      <c r="D47" s="29" t="s">
        <v>405</v>
      </c>
      <c r="E47" s="30" t="s">
        <v>406</v>
      </c>
      <c r="F47" s="30" t="s">
        <v>407</v>
      </c>
      <c r="G47" s="29" t="s">
        <v>408</v>
      </c>
      <c r="H47" s="30" t="s">
        <v>409</v>
      </c>
      <c r="I47" s="28" t="s">
        <v>75</v>
      </c>
      <c r="J47" s="28" t="s">
        <v>76</v>
      </c>
      <c r="K47" s="31" t="s">
        <v>410</v>
      </c>
      <c r="L47" s="28">
        <f>IF(K47="","",IFERROR(ROUND((TODAY()-IF(ISNUMBER(K47),K47,DATEVALUE(K47)))/365.25, 1),""))</f>
        <v>0</v>
      </c>
      <c r="M47" s="28" t="s">
        <v>277</v>
      </c>
      <c r="N47" s="29" t="s">
        <v>82</v>
      </c>
      <c r="O47" s="28" t="s">
        <v>80</v>
      </c>
      <c r="P47" s="28" t="s">
        <v>81</v>
      </c>
      <c r="Q47" s="29" t="s">
        <v>82</v>
      </c>
      <c r="R47" s="28" t="s">
        <v>88</v>
      </c>
      <c r="S47" s="28" t="s">
        <v>11</v>
      </c>
      <c r="T47" s="28" t="s">
        <v>84</v>
      </c>
      <c r="U47" s="28" t="s">
        <v>85</v>
      </c>
      <c r="V47" s="29" t="s">
        <v>411</v>
      </c>
      <c r="W47" s="29" t="s">
        <v>412</v>
      </c>
      <c r="X47" s="28" t="s">
        <v>13</v>
      </c>
      <c r="Y47" s="31"/>
    </row>
    <row r="48" spans="1:25" ht="20" customHeight="1">
      <c r="A48" s="34">
        <v>46</v>
      </c>
      <c r="B48" s="34" t="s">
        <v>20</v>
      </c>
      <c r="C48" s="34" t="s">
        <v>25</v>
      </c>
      <c r="D48" s="35" t="s">
        <v>413</v>
      </c>
      <c r="E48" s="36" t="s">
        <v>414</v>
      </c>
      <c r="F48" s="36" t="s">
        <v>415</v>
      </c>
      <c r="G48" s="35" t="s">
        <v>416</v>
      </c>
      <c r="H48" s="36" t="s">
        <v>417</v>
      </c>
      <c r="I48" s="34" t="s">
        <v>75</v>
      </c>
      <c r="J48" s="34" t="s">
        <v>76</v>
      </c>
      <c r="K48" s="37" t="s">
        <v>394</v>
      </c>
      <c r="L48" s="34">
        <f>IF(K48="","",IFERROR(ROUND((TODAY()-IF(ISNUMBER(K48),K48,DATEVALUE(K48)))/365.25, 1),""))</f>
        <v>0</v>
      </c>
      <c r="M48" s="34" t="s">
        <v>277</v>
      </c>
      <c r="N48" s="35" t="s">
        <v>82</v>
      </c>
      <c r="O48" s="34" t="s">
        <v>80</v>
      </c>
      <c r="P48" s="34" t="s">
        <v>81</v>
      </c>
      <c r="Q48" s="35" t="s">
        <v>82</v>
      </c>
      <c r="R48" s="34" t="s">
        <v>88</v>
      </c>
      <c r="S48" s="34" t="s">
        <v>11</v>
      </c>
      <c r="T48" s="34" t="s">
        <v>84</v>
      </c>
      <c r="U48" s="34" t="s">
        <v>85</v>
      </c>
      <c r="V48" s="35" t="s">
        <v>418</v>
      </c>
      <c r="W48" s="35" t="s">
        <v>419</v>
      </c>
      <c r="X48" s="34" t="s">
        <v>13</v>
      </c>
      <c r="Y48" s="37"/>
    </row>
    <row r="49" spans="1:25" ht="20" customHeight="1">
      <c r="A49" s="28">
        <v>47</v>
      </c>
      <c r="B49" s="28" t="s">
        <v>20</v>
      </c>
      <c r="C49" s="28" t="s">
        <v>25</v>
      </c>
      <c r="D49" s="29" t="s">
        <v>420</v>
      </c>
      <c r="E49" s="30" t="s">
        <v>421</v>
      </c>
      <c r="F49" s="30" t="s">
        <v>422</v>
      </c>
      <c r="G49" s="29" t="s">
        <v>323</v>
      </c>
      <c r="H49" s="30" t="s">
        <v>423</v>
      </c>
      <c r="I49" s="28" t="s">
        <v>75</v>
      </c>
      <c r="J49" s="28" t="s">
        <v>76</v>
      </c>
      <c r="K49" s="31" t="s">
        <v>424</v>
      </c>
      <c r="L49" s="28">
        <f>IF(K49="","",IFERROR(ROUND((TODAY()-IF(ISNUMBER(K49),K49,DATEVALUE(K49)))/365.25, 1),""))</f>
        <v>0</v>
      </c>
      <c r="M49" s="28" t="s">
        <v>317</v>
      </c>
      <c r="N49" s="29" t="s">
        <v>82</v>
      </c>
      <c r="O49" s="28" t="s">
        <v>80</v>
      </c>
      <c r="P49" s="28" t="s">
        <v>81</v>
      </c>
      <c r="Q49" s="29" t="s">
        <v>82</v>
      </c>
      <c r="R49" s="28" t="s">
        <v>88</v>
      </c>
      <c r="S49" s="28" t="s">
        <v>11</v>
      </c>
      <c r="T49" s="28" t="s">
        <v>84</v>
      </c>
      <c r="U49" s="28" t="s">
        <v>85</v>
      </c>
      <c r="V49" s="29" t="s">
        <v>425</v>
      </c>
      <c r="W49" s="29" t="s">
        <v>426</v>
      </c>
      <c r="X49" s="28" t="s">
        <v>13</v>
      </c>
      <c r="Y49" s="31"/>
    </row>
    <row r="50" spans="1:25" ht="20" customHeight="1">
      <c r="A50" s="34">
        <v>48</v>
      </c>
      <c r="B50" s="34" t="s">
        <v>20</v>
      </c>
      <c r="C50" s="34" t="s">
        <v>25</v>
      </c>
      <c r="D50" s="35" t="s">
        <v>427</v>
      </c>
      <c r="E50" s="36" t="s">
        <v>428</v>
      </c>
      <c r="F50" s="36" t="s">
        <v>429</v>
      </c>
      <c r="G50" s="35" t="s">
        <v>430</v>
      </c>
      <c r="H50" s="36" t="s">
        <v>431</v>
      </c>
      <c r="I50" s="34" t="s">
        <v>75</v>
      </c>
      <c r="J50" s="34" t="s">
        <v>76</v>
      </c>
      <c r="K50" s="37" t="s">
        <v>432</v>
      </c>
      <c r="L50" s="34">
        <f>IF(K50="","",IFERROR(ROUND((TODAY()-IF(ISNUMBER(K50),K50,DATEVALUE(K50)))/365.25, 1),""))</f>
        <v>0</v>
      </c>
      <c r="M50" s="34" t="s">
        <v>277</v>
      </c>
      <c r="N50" s="35" t="s">
        <v>82</v>
      </c>
      <c r="O50" s="34" t="s">
        <v>80</v>
      </c>
      <c r="P50" s="34" t="s">
        <v>81</v>
      </c>
      <c r="Q50" s="35" t="s">
        <v>82</v>
      </c>
      <c r="R50" s="34" t="s">
        <v>88</v>
      </c>
      <c r="S50" s="34" t="s">
        <v>11</v>
      </c>
      <c r="T50" s="34" t="s">
        <v>84</v>
      </c>
      <c r="U50" s="34" t="s">
        <v>85</v>
      </c>
      <c r="V50" s="35" t="s">
        <v>433</v>
      </c>
      <c r="W50" s="35" t="s">
        <v>434</v>
      </c>
      <c r="X50" s="34" t="s">
        <v>13</v>
      </c>
      <c r="Y50" s="37"/>
    </row>
    <row r="51" spans="1:25" ht="20" customHeight="1">
      <c r="A51" s="28">
        <v>49</v>
      </c>
      <c r="B51" s="28" t="s">
        <v>20</v>
      </c>
      <c r="C51" s="28" t="s">
        <v>25</v>
      </c>
      <c r="D51" s="29" t="s">
        <v>435</v>
      </c>
      <c r="E51" s="30" t="s">
        <v>436</v>
      </c>
      <c r="F51" s="30" t="s">
        <v>437</v>
      </c>
      <c r="G51" s="29" t="s">
        <v>438</v>
      </c>
      <c r="H51" s="30" t="s">
        <v>439</v>
      </c>
      <c r="I51" s="28" t="s">
        <v>75</v>
      </c>
      <c r="J51" s="28" t="s">
        <v>76</v>
      </c>
      <c r="K51" s="31" t="s">
        <v>440</v>
      </c>
      <c r="L51" s="28">
        <f>IF(K51="","",IFERROR(ROUND((TODAY()-IF(ISNUMBER(K51),K51,DATEVALUE(K51)))/365.25, 1),""))</f>
        <v>0</v>
      </c>
      <c r="M51" s="28" t="s">
        <v>363</v>
      </c>
      <c r="N51" s="29" t="s">
        <v>82</v>
      </c>
      <c r="O51" s="28" t="s">
        <v>80</v>
      </c>
      <c r="P51" s="28" t="s">
        <v>81</v>
      </c>
      <c r="Q51" s="29" t="s">
        <v>82</v>
      </c>
      <c r="R51" s="28" t="s">
        <v>88</v>
      </c>
      <c r="S51" s="28" t="s">
        <v>11</v>
      </c>
      <c r="T51" s="28" t="s">
        <v>84</v>
      </c>
      <c r="U51" s="28" t="s">
        <v>85</v>
      </c>
      <c r="V51" s="29" t="s">
        <v>441</v>
      </c>
      <c r="W51" s="29" t="s">
        <v>442</v>
      </c>
      <c r="X51" s="28" t="s">
        <v>13</v>
      </c>
      <c r="Y51" s="31"/>
    </row>
    <row r="52" spans="1:25" ht="20" customHeight="1">
      <c r="A52" s="34">
        <v>50</v>
      </c>
      <c r="B52" s="34" t="s">
        <v>20</v>
      </c>
      <c r="C52" s="34" t="s">
        <v>25</v>
      </c>
      <c r="D52" s="35" t="s">
        <v>443</v>
      </c>
      <c r="E52" s="36" t="s">
        <v>444</v>
      </c>
      <c r="F52" s="36" t="s">
        <v>445</v>
      </c>
      <c r="G52" s="35" t="s">
        <v>446</v>
      </c>
      <c r="H52" s="36" t="s">
        <v>447</v>
      </c>
      <c r="I52" s="34" t="s">
        <v>75</v>
      </c>
      <c r="J52" s="34" t="s">
        <v>76</v>
      </c>
      <c r="K52" s="37" t="s">
        <v>448</v>
      </c>
      <c r="L52" s="34">
        <f>IF(K52="","",IFERROR(ROUND((TODAY()-IF(ISNUMBER(K52),K52,DATEVALUE(K52)))/365.25, 1),""))</f>
        <v>0</v>
      </c>
      <c r="M52" s="34" t="s">
        <v>363</v>
      </c>
      <c r="N52" s="35" t="s">
        <v>82</v>
      </c>
      <c r="O52" s="34" t="s">
        <v>80</v>
      </c>
      <c r="P52" s="34" t="s">
        <v>81</v>
      </c>
      <c r="Q52" s="35" t="s">
        <v>82</v>
      </c>
      <c r="R52" s="34" t="s">
        <v>88</v>
      </c>
      <c r="S52" s="34" t="s">
        <v>11</v>
      </c>
      <c r="T52" s="34" t="s">
        <v>84</v>
      </c>
      <c r="U52" s="34" t="s">
        <v>85</v>
      </c>
      <c r="V52" s="35" t="s">
        <v>449</v>
      </c>
      <c r="W52" s="35" t="s">
        <v>450</v>
      </c>
      <c r="X52" s="34" t="s">
        <v>13</v>
      </c>
      <c r="Y52" s="37"/>
    </row>
    <row r="53" spans="1:25" ht="20" customHeight="1">
      <c r="A53" s="28">
        <v>51</v>
      </c>
      <c r="B53" s="28" t="s">
        <v>20</v>
      </c>
      <c r="C53" s="28" t="s">
        <v>25</v>
      </c>
      <c r="D53" s="29" t="s">
        <v>451</v>
      </c>
      <c r="E53" s="30" t="s">
        <v>452</v>
      </c>
      <c r="F53" s="30" t="s">
        <v>453</v>
      </c>
      <c r="G53" s="29" t="s">
        <v>454</v>
      </c>
      <c r="H53" s="30" t="s">
        <v>455</v>
      </c>
      <c r="I53" s="28" t="s">
        <v>75</v>
      </c>
      <c r="J53" s="28" t="s">
        <v>76</v>
      </c>
      <c r="K53" s="31" t="s">
        <v>456</v>
      </c>
      <c r="L53" s="28">
        <f>IF(K53="","",IFERROR(ROUND((TODAY()-IF(ISNUMBER(K53),K53,DATEVALUE(K53)))/365.25, 1),""))</f>
        <v>0</v>
      </c>
      <c r="M53" s="28" t="s">
        <v>277</v>
      </c>
      <c r="N53" s="29" t="s">
        <v>82</v>
      </c>
      <c r="O53" s="28" t="s">
        <v>80</v>
      </c>
      <c r="P53" s="28" t="s">
        <v>81</v>
      </c>
      <c r="Q53" s="29" t="s">
        <v>82</v>
      </c>
      <c r="R53" s="28" t="s">
        <v>88</v>
      </c>
      <c r="S53" s="28" t="s">
        <v>11</v>
      </c>
      <c r="T53" s="28" t="s">
        <v>84</v>
      </c>
      <c r="U53" s="28" t="s">
        <v>85</v>
      </c>
      <c r="V53" s="29" t="s">
        <v>457</v>
      </c>
      <c r="W53" s="29" t="s">
        <v>82</v>
      </c>
      <c r="X53" s="28" t="s">
        <v>13</v>
      </c>
      <c r="Y53" s="31"/>
    </row>
    <row r="54" spans="1:25" ht="20" customHeight="1">
      <c r="A54" s="34">
        <v>52</v>
      </c>
      <c r="B54" s="34" t="s">
        <v>20</v>
      </c>
      <c r="C54" s="34" t="s">
        <v>21</v>
      </c>
      <c r="D54" s="35" t="s">
        <v>458</v>
      </c>
      <c r="E54" s="36" t="s">
        <v>459</v>
      </c>
      <c r="F54" s="36" t="s">
        <v>139</v>
      </c>
      <c r="G54" s="35" t="s">
        <v>460</v>
      </c>
      <c r="H54" s="36" t="s">
        <v>461</v>
      </c>
      <c r="I54" s="34" t="s">
        <v>128</v>
      </c>
      <c r="J54" s="34" t="s">
        <v>76</v>
      </c>
      <c r="K54" s="37" t="s">
        <v>129</v>
      </c>
      <c r="L54" s="34">
        <f>IF(K54="","",IFERROR(ROUND((TODAY()-IF(ISNUMBER(K54),K54,DATEVALUE(K54)))/365.25, 1),""))</f>
        <v>0</v>
      </c>
      <c r="M54" s="34" t="s">
        <v>462</v>
      </c>
      <c r="N54" s="35" t="s">
        <v>82</v>
      </c>
      <c r="O54" s="34" t="s">
        <v>80</v>
      </c>
      <c r="P54" s="34" t="s">
        <v>81</v>
      </c>
      <c r="Q54" s="35" t="s">
        <v>82</v>
      </c>
      <c r="R54" s="34" t="s">
        <v>88</v>
      </c>
      <c r="S54" s="34" t="s">
        <v>12</v>
      </c>
      <c r="T54" s="34" t="s">
        <v>113</v>
      </c>
      <c r="U54" s="34" t="s">
        <v>85</v>
      </c>
      <c r="V54" s="35" t="s">
        <v>463</v>
      </c>
      <c r="W54" s="35" t="s">
        <v>464</v>
      </c>
      <c r="X54" s="34" t="s">
        <v>13</v>
      </c>
      <c r="Y54" s="37"/>
    </row>
    <row r="55" spans="1:25" ht="20" customHeight="1">
      <c r="A55" s="28">
        <v>53</v>
      </c>
      <c r="B55" s="28" t="s">
        <v>20</v>
      </c>
      <c r="C55" s="28" t="s">
        <v>21</v>
      </c>
      <c r="D55" s="29" t="s">
        <v>465</v>
      </c>
      <c r="E55" s="30" t="s">
        <v>466</v>
      </c>
      <c r="F55" s="30" t="s">
        <v>467</v>
      </c>
      <c r="G55" s="29" t="s">
        <v>468</v>
      </c>
      <c r="H55" s="30" t="s">
        <v>469</v>
      </c>
      <c r="I55" s="28" t="s">
        <v>128</v>
      </c>
      <c r="J55" s="28" t="s">
        <v>76</v>
      </c>
      <c r="K55" s="31" t="s">
        <v>129</v>
      </c>
      <c r="L55" s="28">
        <f>IF(K55="","",IFERROR(ROUND((TODAY()-IF(ISNUMBER(K55),K55,DATEVALUE(K55)))/365.25, 1),""))</f>
        <v>0</v>
      </c>
      <c r="M55" s="28" t="s">
        <v>462</v>
      </c>
      <c r="N55" s="29" t="s">
        <v>82</v>
      </c>
      <c r="O55" s="28" t="s">
        <v>80</v>
      </c>
      <c r="P55" s="28" t="s">
        <v>81</v>
      </c>
      <c r="Q55" s="29" t="s">
        <v>82</v>
      </c>
      <c r="R55" s="28" t="s">
        <v>88</v>
      </c>
      <c r="S55" s="28" t="s">
        <v>12</v>
      </c>
      <c r="T55" s="28" t="s">
        <v>113</v>
      </c>
      <c r="U55" s="28" t="s">
        <v>85</v>
      </c>
      <c r="V55" s="29" t="s">
        <v>470</v>
      </c>
      <c r="W55" s="29" t="s">
        <v>471</v>
      </c>
      <c r="X55" s="28" t="s">
        <v>13</v>
      </c>
      <c r="Y55" s="31"/>
    </row>
    <row r="56" spans="1:25" ht="20" customHeight="1">
      <c r="A56" s="34">
        <v>54</v>
      </c>
      <c r="B56" s="34" t="s">
        <v>20</v>
      </c>
      <c r="C56" s="34" t="s">
        <v>21</v>
      </c>
      <c r="D56" s="35" t="s">
        <v>472</v>
      </c>
      <c r="E56" s="36" t="s">
        <v>473</v>
      </c>
      <c r="F56" s="36" t="s">
        <v>474</v>
      </c>
      <c r="G56" s="35" t="s">
        <v>475</v>
      </c>
      <c r="H56" s="36" t="s">
        <v>476</v>
      </c>
      <c r="I56" s="34" t="s">
        <v>128</v>
      </c>
      <c r="J56" s="34" t="s">
        <v>76</v>
      </c>
      <c r="K56" s="37" t="s">
        <v>129</v>
      </c>
      <c r="L56" s="34">
        <f>IF(K56="","",IFERROR(ROUND((TODAY()-IF(ISNUMBER(K56),K56,DATEVALUE(K56)))/365.25, 1),""))</f>
        <v>0</v>
      </c>
      <c r="M56" s="34" t="s">
        <v>462</v>
      </c>
      <c r="N56" s="35" t="s">
        <v>82</v>
      </c>
      <c r="O56" s="34" t="s">
        <v>80</v>
      </c>
      <c r="P56" s="34" t="s">
        <v>81</v>
      </c>
      <c r="Q56" s="35" t="s">
        <v>82</v>
      </c>
      <c r="R56" s="34" t="s">
        <v>88</v>
      </c>
      <c r="S56" s="34" t="s">
        <v>12</v>
      </c>
      <c r="T56" s="34" t="s">
        <v>113</v>
      </c>
      <c r="U56" s="34" t="s">
        <v>85</v>
      </c>
      <c r="V56" s="35" t="s">
        <v>477</v>
      </c>
      <c r="W56" s="35" t="s">
        <v>478</v>
      </c>
      <c r="X56" s="34" t="s">
        <v>13</v>
      </c>
      <c r="Y56" s="37"/>
    </row>
    <row r="57" spans="1:25" ht="20" customHeight="1">
      <c r="A57" s="28">
        <v>55</v>
      </c>
      <c r="B57" s="28" t="s">
        <v>20</v>
      </c>
      <c r="C57" s="28" t="s">
        <v>21</v>
      </c>
      <c r="D57" s="29" t="s">
        <v>479</v>
      </c>
      <c r="E57" s="30" t="s">
        <v>480</v>
      </c>
      <c r="F57" s="30" t="s">
        <v>481</v>
      </c>
      <c r="G57" s="29" t="s">
        <v>482</v>
      </c>
      <c r="H57" s="30" t="s">
        <v>483</v>
      </c>
      <c r="I57" s="28" t="s">
        <v>128</v>
      </c>
      <c r="J57" s="28" t="s">
        <v>76</v>
      </c>
      <c r="K57" s="31" t="s">
        <v>484</v>
      </c>
      <c r="L57" s="28">
        <f>IF(K57="","",IFERROR(ROUND((TODAY()-IF(ISNUMBER(K57),K57,DATEVALUE(K57)))/365.25, 1),""))</f>
        <v>0</v>
      </c>
      <c r="M57" s="28" t="s">
        <v>462</v>
      </c>
      <c r="N57" s="29" t="s">
        <v>82</v>
      </c>
      <c r="O57" s="28" t="s">
        <v>80</v>
      </c>
      <c r="P57" s="28" t="s">
        <v>81</v>
      </c>
      <c r="Q57" s="29" t="s">
        <v>82</v>
      </c>
      <c r="R57" s="28" t="s">
        <v>88</v>
      </c>
      <c r="S57" s="28" t="s">
        <v>12</v>
      </c>
      <c r="T57" s="28" t="s">
        <v>113</v>
      </c>
      <c r="U57" s="28" t="s">
        <v>85</v>
      </c>
      <c r="V57" s="29" t="s">
        <v>485</v>
      </c>
      <c r="W57" s="29" t="s">
        <v>486</v>
      </c>
      <c r="X57" s="28" t="s">
        <v>13</v>
      </c>
      <c r="Y57" s="31"/>
    </row>
    <row r="58" spans="1:25" ht="20" customHeight="1">
      <c r="A58" s="34">
        <v>56</v>
      </c>
      <c r="B58" s="34" t="s">
        <v>20</v>
      </c>
      <c r="C58" s="34" t="s">
        <v>21</v>
      </c>
      <c r="D58" s="35" t="s">
        <v>487</v>
      </c>
      <c r="E58" s="36" t="s">
        <v>488</v>
      </c>
      <c r="F58" s="36" t="s">
        <v>489</v>
      </c>
      <c r="G58" s="35" t="s">
        <v>490</v>
      </c>
      <c r="H58" s="36" t="s">
        <v>491</v>
      </c>
      <c r="I58" s="34" t="s">
        <v>128</v>
      </c>
      <c r="J58" s="34" t="s">
        <v>76</v>
      </c>
      <c r="K58" s="37" t="s">
        <v>484</v>
      </c>
      <c r="L58" s="34">
        <f>IF(K58="","",IFERROR(ROUND((TODAY()-IF(ISNUMBER(K58),K58,DATEVALUE(K58)))/365.25, 1),""))</f>
        <v>0</v>
      </c>
      <c r="M58" s="34" t="s">
        <v>462</v>
      </c>
      <c r="N58" s="35" t="s">
        <v>82</v>
      </c>
      <c r="O58" s="34" t="s">
        <v>80</v>
      </c>
      <c r="P58" s="34" t="s">
        <v>81</v>
      </c>
      <c r="Q58" s="35" t="s">
        <v>82</v>
      </c>
      <c r="R58" s="34" t="s">
        <v>88</v>
      </c>
      <c r="S58" s="34" t="s">
        <v>12</v>
      </c>
      <c r="T58" s="34" t="s">
        <v>113</v>
      </c>
      <c r="U58" s="34" t="s">
        <v>85</v>
      </c>
      <c r="V58" s="35" t="s">
        <v>492</v>
      </c>
      <c r="W58" s="35" t="s">
        <v>493</v>
      </c>
      <c r="X58" s="34" t="s">
        <v>13</v>
      </c>
      <c r="Y58" s="37"/>
    </row>
    <row r="59" spans="1:25" ht="20" customHeight="1">
      <c r="A59" s="28">
        <v>57</v>
      </c>
      <c r="B59" s="28" t="s">
        <v>20</v>
      </c>
      <c r="C59" s="28" t="s">
        <v>21</v>
      </c>
      <c r="D59" s="29" t="s">
        <v>494</v>
      </c>
      <c r="E59" s="30" t="s">
        <v>495</v>
      </c>
      <c r="F59" s="30" t="s">
        <v>496</v>
      </c>
      <c r="G59" s="29" t="s">
        <v>497</v>
      </c>
      <c r="H59" s="30" t="s">
        <v>498</v>
      </c>
      <c r="I59" s="28" t="s">
        <v>75</v>
      </c>
      <c r="J59" s="28" t="s">
        <v>76</v>
      </c>
      <c r="K59" s="31" t="s">
        <v>499</v>
      </c>
      <c r="L59" s="28">
        <f>IF(K59="","",IFERROR(ROUND((TODAY()-IF(ISNUMBER(K59),K59,DATEVALUE(K59)))/365.25, 1),""))</f>
        <v>0</v>
      </c>
      <c r="M59" s="28" t="s">
        <v>462</v>
      </c>
      <c r="N59" s="29" t="s">
        <v>82</v>
      </c>
      <c r="O59" s="28" t="s">
        <v>80</v>
      </c>
      <c r="P59" s="28" t="s">
        <v>81</v>
      </c>
      <c r="Q59" s="29" t="s">
        <v>82</v>
      </c>
      <c r="R59" s="28" t="s">
        <v>88</v>
      </c>
      <c r="S59" s="28" t="s">
        <v>12</v>
      </c>
      <c r="T59" s="28" t="s">
        <v>113</v>
      </c>
      <c r="U59" s="28" t="s">
        <v>85</v>
      </c>
      <c r="V59" s="29" t="s">
        <v>500</v>
      </c>
      <c r="W59" s="29" t="s">
        <v>501</v>
      </c>
      <c r="X59" s="28" t="s">
        <v>13</v>
      </c>
      <c r="Y59" s="31"/>
    </row>
    <row r="60" spans="1:25" ht="20" customHeight="1">
      <c r="A60" s="34">
        <v>58</v>
      </c>
      <c r="B60" s="34" t="s">
        <v>20</v>
      </c>
      <c r="C60" s="34" t="s">
        <v>21</v>
      </c>
      <c r="D60" s="35" t="s">
        <v>502</v>
      </c>
      <c r="E60" s="36" t="s">
        <v>503</v>
      </c>
      <c r="F60" s="36" t="s">
        <v>504</v>
      </c>
      <c r="G60" s="35" t="s">
        <v>505</v>
      </c>
      <c r="H60" s="36" t="s">
        <v>506</v>
      </c>
      <c r="I60" s="34" t="s">
        <v>75</v>
      </c>
      <c r="J60" s="34" t="s">
        <v>76</v>
      </c>
      <c r="K60" s="37" t="s">
        <v>129</v>
      </c>
      <c r="L60" s="34">
        <f>IF(K60="","",IFERROR(ROUND((TODAY()-IF(ISNUMBER(K60),K60,DATEVALUE(K60)))/365.25, 1),""))</f>
        <v>0</v>
      </c>
      <c r="M60" s="34" t="s">
        <v>507</v>
      </c>
      <c r="N60" s="35" t="s">
        <v>82</v>
      </c>
      <c r="O60" s="34" t="s">
        <v>80</v>
      </c>
      <c r="P60" s="34" t="s">
        <v>81</v>
      </c>
      <c r="Q60" s="35" t="s">
        <v>82</v>
      </c>
      <c r="R60" s="34" t="s">
        <v>88</v>
      </c>
      <c r="S60" s="34" t="s">
        <v>11</v>
      </c>
      <c r="T60" s="34" t="s">
        <v>113</v>
      </c>
      <c r="U60" s="34" t="s">
        <v>85</v>
      </c>
      <c r="V60" s="35" t="s">
        <v>508</v>
      </c>
      <c r="W60" s="35" t="s">
        <v>509</v>
      </c>
      <c r="X60" s="34" t="s">
        <v>13</v>
      </c>
      <c r="Y60" s="37"/>
    </row>
    <row r="61" spans="1:25" ht="20" customHeight="1">
      <c r="A61" s="28">
        <v>59</v>
      </c>
      <c r="B61" s="28" t="s">
        <v>20</v>
      </c>
      <c r="C61" s="28" t="s">
        <v>21</v>
      </c>
      <c r="D61" s="29" t="s">
        <v>510</v>
      </c>
      <c r="E61" s="30" t="s">
        <v>511</v>
      </c>
      <c r="F61" s="30" t="s">
        <v>512</v>
      </c>
      <c r="G61" s="29" t="s">
        <v>513</v>
      </c>
      <c r="H61" s="30" t="s">
        <v>514</v>
      </c>
      <c r="I61" s="28" t="s">
        <v>75</v>
      </c>
      <c r="J61" s="28" t="s">
        <v>76</v>
      </c>
      <c r="K61" s="31" t="s">
        <v>515</v>
      </c>
      <c r="L61" s="28">
        <f>IF(K61="","",IFERROR(ROUND((TODAY()-IF(ISNUMBER(K61),K61,DATEVALUE(K61)))/365.25, 1),""))</f>
        <v>0</v>
      </c>
      <c r="M61" s="28" t="s">
        <v>507</v>
      </c>
      <c r="N61" s="29" t="s">
        <v>82</v>
      </c>
      <c r="O61" s="28" t="s">
        <v>80</v>
      </c>
      <c r="P61" s="28" t="s">
        <v>81</v>
      </c>
      <c r="Q61" s="29" t="s">
        <v>82</v>
      </c>
      <c r="R61" s="28" t="s">
        <v>88</v>
      </c>
      <c r="S61" s="28" t="s">
        <v>11</v>
      </c>
      <c r="T61" s="28" t="s">
        <v>113</v>
      </c>
      <c r="U61" s="28" t="s">
        <v>85</v>
      </c>
      <c r="V61" s="29" t="s">
        <v>516</v>
      </c>
      <c r="W61" s="29" t="s">
        <v>517</v>
      </c>
      <c r="X61" s="28" t="s">
        <v>13</v>
      </c>
      <c r="Y61" s="31"/>
    </row>
    <row r="62" spans="1:25" ht="20" customHeight="1">
      <c r="A62" s="34">
        <v>60</v>
      </c>
      <c r="B62" s="34" t="s">
        <v>20</v>
      </c>
      <c r="C62" s="34" t="s">
        <v>21</v>
      </c>
      <c r="D62" s="35" t="s">
        <v>518</v>
      </c>
      <c r="E62" s="36" t="s">
        <v>519</v>
      </c>
      <c r="F62" s="36" t="s">
        <v>520</v>
      </c>
      <c r="G62" s="35" t="s">
        <v>521</v>
      </c>
      <c r="H62" s="36" t="s">
        <v>522</v>
      </c>
      <c r="I62" s="34" t="s">
        <v>75</v>
      </c>
      <c r="J62" s="34" t="s">
        <v>76</v>
      </c>
      <c r="K62" s="37" t="s">
        <v>129</v>
      </c>
      <c r="L62" s="34">
        <f>IF(K62="","",IFERROR(ROUND((TODAY()-IF(ISNUMBER(K62),K62,DATEVALUE(K62)))/365.25, 1),""))</f>
        <v>0</v>
      </c>
      <c r="M62" s="34" t="s">
        <v>507</v>
      </c>
      <c r="N62" s="35" t="s">
        <v>82</v>
      </c>
      <c r="O62" s="34" t="s">
        <v>80</v>
      </c>
      <c r="P62" s="34" t="s">
        <v>81</v>
      </c>
      <c r="Q62" s="35" t="s">
        <v>82</v>
      </c>
      <c r="R62" s="34" t="s">
        <v>88</v>
      </c>
      <c r="S62" s="34" t="s">
        <v>12</v>
      </c>
      <c r="T62" s="34" t="s">
        <v>113</v>
      </c>
      <c r="U62" s="34" t="s">
        <v>85</v>
      </c>
      <c r="V62" s="35" t="s">
        <v>523</v>
      </c>
      <c r="W62" s="35" t="s">
        <v>524</v>
      </c>
      <c r="X62" s="34" t="s">
        <v>13</v>
      </c>
      <c r="Y62" s="37"/>
    </row>
    <row r="63" spans="1:25" ht="20" customHeight="1">
      <c r="A63" s="28">
        <v>61</v>
      </c>
      <c r="B63" s="28" t="s">
        <v>20</v>
      </c>
      <c r="C63" s="28" t="s">
        <v>21</v>
      </c>
      <c r="D63" s="29" t="s">
        <v>525</v>
      </c>
      <c r="E63" s="30" t="s">
        <v>526</v>
      </c>
      <c r="F63" s="30" t="s">
        <v>527</v>
      </c>
      <c r="G63" s="29" t="s">
        <v>528</v>
      </c>
      <c r="H63" s="30" t="s">
        <v>529</v>
      </c>
      <c r="I63" s="28" t="s">
        <v>75</v>
      </c>
      <c r="J63" s="28" t="s">
        <v>76</v>
      </c>
      <c r="K63" s="31" t="s">
        <v>530</v>
      </c>
      <c r="L63" s="28">
        <f>IF(K63="","",IFERROR(ROUND((TODAY()-IF(ISNUMBER(K63),K63,DATEVALUE(K63)))/365.25, 1),""))</f>
        <v>0</v>
      </c>
      <c r="M63" s="28" t="s">
        <v>507</v>
      </c>
      <c r="N63" s="29" t="s">
        <v>82</v>
      </c>
      <c r="O63" s="28" t="s">
        <v>80</v>
      </c>
      <c r="P63" s="28" t="s">
        <v>81</v>
      </c>
      <c r="Q63" s="29" t="s">
        <v>82</v>
      </c>
      <c r="R63" s="28" t="s">
        <v>88</v>
      </c>
      <c r="S63" s="28" t="s">
        <v>12</v>
      </c>
      <c r="T63" s="28" t="s">
        <v>113</v>
      </c>
      <c r="U63" s="28" t="s">
        <v>85</v>
      </c>
      <c r="V63" s="29" t="s">
        <v>531</v>
      </c>
      <c r="W63" s="29" t="s">
        <v>532</v>
      </c>
      <c r="X63" s="28" t="s">
        <v>13</v>
      </c>
      <c r="Y63" s="31"/>
    </row>
    <row r="64" spans="1:25" ht="20" customHeight="1">
      <c r="A64" s="34">
        <v>62</v>
      </c>
      <c r="B64" s="34" t="s">
        <v>20</v>
      </c>
      <c r="C64" s="34" t="s">
        <v>21</v>
      </c>
      <c r="D64" s="35" t="s">
        <v>533</v>
      </c>
      <c r="E64" s="36" t="s">
        <v>534</v>
      </c>
      <c r="F64" s="36" t="s">
        <v>535</v>
      </c>
      <c r="G64" s="35" t="s">
        <v>536</v>
      </c>
      <c r="H64" s="36" t="s">
        <v>537</v>
      </c>
      <c r="I64" s="34" t="s">
        <v>128</v>
      </c>
      <c r="J64" s="34" t="s">
        <v>76</v>
      </c>
      <c r="K64" s="37" t="s">
        <v>129</v>
      </c>
      <c r="L64" s="34">
        <f>IF(K64="","",IFERROR(ROUND((TODAY()-IF(ISNUMBER(K64),K64,DATEVALUE(K64)))/365.25, 1),""))</f>
        <v>0</v>
      </c>
      <c r="M64" s="34" t="s">
        <v>507</v>
      </c>
      <c r="N64" s="35" t="s">
        <v>82</v>
      </c>
      <c r="O64" s="34" t="s">
        <v>80</v>
      </c>
      <c r="P64" s="34" t="s">
        <v>81</v>
      </c>
      <c r="Q64" s="35" t="s">
        <v>82</v>
      </c>
      <c r="R64" s="34" t="s">
        <v>88</v>
      </c>
      <c r="S64" s="34" t="s">
        <v>12</v>
      </c>
      <c r="T64" s="34" t="s">
        <v>113</v>
      </c>
      <c r="U64" s="34" t="s">
        <v>85</v>
      </c>
      <c r="V64" s="35" t="s">
        <v>538</v>
      </c>
      <c r="W64" s="35" t="s">
        <v>539</v>
      </c>
      <c r="X64" s="34" t="s">
        <v>13</v>
      </c>
      <c r="Y64" s="37"/>
    </row>
    <row r="65" spans="1:25" ht="20" customHeight="1">
      <c r="A65" s="28">
        <v>63</v>
      </c>
      <c r="B65" s="28" t="s">
        <v>20</v>
      </c>
      <c r="C65" s="28" t="s">
        <v>21</v>
      </c>
      <c r="D65" s="29" t="s">
        <v>540</v>
      </c>
      <c r="E65" s="30" t="s">
        <v>541</v>
      </c>
      <c r="F65" s="30" t="s">
        <v>542</v>
      </c>
      <c r="G65" s="29" t="s">
        <v>543</v>
      </c>
      <c r="H65" s="30" t="s">
        <v>544</v>
      </c>
      <c r="I65" s="28" t="s">
        <v>75</v>
      </c>
      <c r="J65" s="28" t="s">
        <v>76</v>
      </c>
      <c r="K65" s="31" t="s">
        <v>129</v>
      </c>
      <c r="L65" s="28">
        <f>IF(K65="","",IFERROR(ROUND((TODAY()-IF(ISNUMBER(K65),K65,DATEVALUE(K65)))/365.25, 1),""))</f>
        <v>0</v>
      </c>
      <c r="M65" s="28" t="s">
        <v>507</v>
      </c>
      <c r="N65" s="29" t="s">
        <v>82</v>
      </c>
      <c r="O65" s="28" t="s">
        <v>80</v>
      </c>
      <c r="P65" s="28" t="s">
        <v>81</v>
      </c>
      <c r="Q65" s="29" t="s">
        <v>82</v>
      </c>
      <c r="R65" s="28" t="s">
        <v>88</v>
      </c>
      <c r="S65" s="28" t="s">
        <v>12</v>
      </c>
      <c r="T65" s="28" t="s">
        <v>113</v>
      </c>
      <c r="U65" s="28" t="s">
        <v>85</v>
      </c>
      <c r="V65" s="29" t="s">
        <v>545</v>
      </c>
      <c r="W65" s="29" t="s">
        <v>546</v>
      </c>
      <c r="X65" s="28" t="s">
        <v>13</v>
      </c>
      <c r="Y65" s="31"/>
    </row>
    <row r="66" spans="1:25" ht="20" customHeight="1">
      <c r="A66" s="34">
        <v>64</v>
      </c>
      <c r="B66" s="34" t="s">
        <v>20</v>
      </c>
      <c r="C66" s="34" t="s">
        <v>21</v>
      </c>
      <c r="D66" s="35" t="s">
        <v>547</v>
      </c>
      <c r="E66" s="36" t="s">
        <v>548</v>
      </c>
      <c r="F66" s="36" t="s">
        <v>549</v>
      </c>
      <c r="G66" s="35" t="s">
        <v>550</v>
      </c>
      <c r="H66" s="36" t="s">
        <v>551</v>
      </c>
      <c r="I66" s="34" t="s">
        <v>75</v>
      </c>
      <c r="J66" s="34" t="s">
        <v>76</v>
      </c>
      <c r="K66" s="37" t="s">
        <v>552</v>
      </c>
      <c r="L66" s="34">
        <f>IF(K66="","",IFERROR(ROUND((TODAY()-IF(ISNUMBER(K66),K66,DATEVALUE(K66)))/365.25, 1),""))</f>
        <v>0</v>
      </c>
      <c r="M66" s="34" t="s">
        <v>553</v>
      </c>
      <c r="N66" s="35" t="s">
        <v>82</v>
      </c>
      <c r="O66" s="34" t="s">
        <v>80</v>
      </c>
      <c r="P66" s="34" t="s">
        <v>81</v>
      </c>
      <c r="Q66" s="35" t="s">
        <v>82</v>
      </c>
      <c r="R66" s="34" t="s">
        <v>88</v>
      </c>
      <c r="S66" s="34" t="s">
        <v>12</v>
      </c>
      <c r="T66" s="34" t="s">
        <v>113</v>
      </c>
      <c r="U66" s="34" t="s">
        <v>85</v>
      </c>
      <c r="V66" s="35" t="s">
        <v>554</v>
      </c>
      <c r="W66" s="35" t="s">
        <v>555</v>
      </c>
      <c r="X66" s="34" t="s">
        <v>13</v>
      </c>
      <c r="Y66" s="37"/>
    </row>
    <row r="67" spans="1:25" ht="20" customHeight="1">
      <c r="A67" s="28">
        <v>65</v>
      </c>
      <c r="B67" s="28" t="s">
        <v>20</v>
      </c>
      <c r="C67" s="28" t="s">
        <v>21</v>
      </c>
      <c r="D67" s="29" t="s">
        <v>556</v>
      </c>
      <c r="E67" s="30" t="s">
        <v>557</v>
      </c>
      <c r="F67" s="30" t="s">
        <v>558</v>
      </c>
      <c r="G67" s="29" t="s">
        <v>559</v>
      </c>
      <c r="H67" s="30" t="s">
        <v>560</v>
      </c>
      <c r="I67" s="28" t="s">
        <v>75</v>
      </c>
      <c r="J67" s="28" t="s">
        <v>76</v>
      </c>
      <c r="K67" s="31" t="s">
        <v>561</v>
      </c>
      <c r="L67" s="28">
        <f>IF(K67="","",IFERROR(ROUND((TODAY()-IF(ISNUMBER(K67),K67,DATEVALUE(K67)))/365.25, 1),""))</f>
        <v>0</v>
      </c>
      <c r="M67" s="28" t="s">
        <v>553</v>
      </c>
      <c r="N67" s="29" t="s">
        <v>82</v>
      </c>
      <c r="O67" s="28" t="s">
        <v>80</v>
      </c>
      <c r="P67" s="28" t="s">
        <v>81</v>
      </c>
      <c r="Q67" s="29" t="s">
        <v>82</v>
      </c>
      <c r="R67" s="28" t="s">
        <v>88</v>
      </c>
      <c r="S67" s="28" t="s">
        <v>12</v>
      </c>
      <c r="T67" s="28" t="s">
        <v>113</v>
      </c>
      <c r="U67" s="28" t="s">
        <v>85</v>
      </c>
      <c r="V67" s="29" t="s">
        <v>562</v>
      </c>
      <c r="W67" s="29" t="s">
        <v>563</v>
      </c>
      <c r="X67" s="28" t="s">
        <v>13</v>
      </c>
      <c r="Y67" s="31"/>
    </row>
    <row r="68" spans="1:25" ht="20" customHeight="1">
      <c r="A68" s="34">
        <v>66</v>
      </c>
      <c r="B68" s="34" t="s">
        <v>20</v>
      </c>
      <c r="C68" s="34" t="s">
        <v>21</v>
      </c>
      <c r="D68" s="35" t="s">
        <v>564</v>
      </c>
      <c r="E68" s="36" t="s">
        <v>565</v>
      </c>
      <c r="F68" s="36" t="s">
        <v>566</v>
      </c>
      <c r="G68" s="35" t="s">
        <v>567</v>
      </c>
      <c r="H68" s="36" t="s">
        <v>568</v>
      </c>
      <c r="I68" s="34" t="s">
        <v>128</v>
      </c>
      <c r="J68" s="34" t="s">
        <v>76</v>
      </c>
      <c r="K68" s="37" t="s">
        <v>569</v>
      </c>
      <c r="L68" s="34">
        <f>IF(K68="","",IFERROR(ROUND((TODAY()-IF(ISNUMBER(K68),K68,DATEVALUE(K68)))/365.25, 1),""))</f>
        <v>0</v>
      </c>
      <c r="M68" s="34" t="s">
        <v>553</v>
      </c>
      <c r="N68" s="35" t="s">
        <v>82</v>
      </c>
      <c r="O68" s="34" t="s">
        <v>80</v>
      </c>
      <c r="P68" s="34" t="s">
        <v>81</v>
      </c>
      <c r="Q68" s="35" t="s">
        <v>82</v>
      </c>
      <c r="R68" s="34" t="s">
        <v>88</v>
      </c>
      <c r="S68" s="34" t="s">
        <v>12</v>
      </c>
      <c r="T68" s="34" t="s">
        <v>113</v>
      </c>
      <c r="U68" s="34" t="s">
        <v>85</v>
      </c>
      <c r="V68" s="35" t="s">
        <v>570</v>
      </c>
      <c r="W68" s="35" t="s">
        <v>571</v>
      </c>
      <c r="X68" s="34" t="s">
        <v>13</v>
      </c>
      <c r="Y68" s="37"/>
    </row>
    <row r="69" spans="1:25" ht="20" customHeight="1">
      <c r="A69" s="28">
        <v>67</v>
      </c>
      <c r="B69" s="28" t="s">
        <v>20</v>
      </c>
      <c r="C69" s="28" t="s">
        <v>21</v>
      </c>
      <c r="D69" s="29" t="s">
        <v>572</v>
      </c>
      <c r="E69" s="30" t="s">
        <v>573</v>
      </c>
      <c r="F69" s="30" t="s">
        <v>574</v>
      </c>
      <c r="G69" s="29" t="s">
        <v>575</v>
      </c>
      <c r="H69" s="30" t="s">
        <v>576</v>
      </c>
      <c r="I69" s="28" t="s">
        <v>75</v>
      </c>
      <c r="J69" s="28" t="s">
        <v>76</v>
      </c>
      <c r="K69" s="31" t="s">
        <v>448</v>
      </c>
      <c r="L69" s="28">
        <f>IF(K69="","",IFERROR(ROUND((TODAY()-IF(ISNUMBER(K69),K69,DATEVALUE(K69)))/365.25, 1),""))</f>
        <v>0</v>
      </c>
      <c r="M69" s="28" t="s">
        <v>553</v>
      </c>
      <c r="N69" s="29" t="s">
        <v>82</v>
      </c>
      <c r="O69" s="28" t="s">
        <v>80</v>
      </c>
      <c r="P69" s="28" t="s">
        <v>81</v>
      </c>
      <c r="Q69" s="29" t="s">
        <v>82</v>
      </c>
      <c r="R69" s="28" t="s">
        <v>88</v>
      </c>
      <c r="S69" s="28" t="s">
        <v>11</v>
      </c>
      <c r="T69" s="28" t="s">
        <v>113</v>
      </c>
      <c r="U69" s="28" t="s">
        <v>85</v>
      </c>
      <c r="V69" s="29" t="s">
        <v>577</v>
      </c>
      <c r="W69" s="29" t="s">
        <v>578</v>
      </c>
      <c r="X69" s="28" t="s">
        <v>13</v>
      </c>
      <c r="Y69" s="31"/>
    </row>
    <row r="70" spans="1:25" ht="20" customHeight="1">
      <c r="A70" s="34">
        <v>68</v>
      </c>
      <c r="B70" s="34" t="s">
        <v>20</v>
      </c>
      <c r="C70" s="34" t="s">
        <v>21</v>
      </c>
      <c r="D70" s="35" t="s">
        <v>579</v>
      </c>
      <c r="E70" s="36" t="s">
        <v>580</v>
      </c>
      <c r="F70" s="36" t="s">
        <v>581</v>
      </c>
      <c r="G70" s="35" t="s">
        <v>582</v>
      </c>
      <c r="H70" s="36" t="s">
        <v>583</v>
      </c>
      <c r="I70" s="34" t="s">
        <v>75</v>
      </c>
      <c r="J70" s="34" t="s">
        <v>76</v>
      </c>
      <c r="K70" s="37" t="s">
        <v>129</v>
      </c>
      <c r="L70" s="34">
        <f>IF(K70="","",IFERROR(ROUND((TODAY()-IF(ISNUMBER(K70),K70,DATEVALUE(K70)))/365.25, 1),""))</f>
        <v>0</v>
      </c>
      <c r="M70" s="34" t="s">
        <v>553</v>
      </c>
      <c r="N70" s="35" t="s">
        <v>82</v>
      </c>
      <c r="O70" s="34" t="s">
        <v>80</v>
      </c>
      <c r="P70" s="34" t="s">
        <v>81</v>
      </c>
      <c r="Q70" s="35" t="s">
        <v>82</v>
      </c>
      <c r="R70" s="34" t="s">
        <v>88</v>
      </c>
      <c r="S70" s="34" t="s">
        <v>12</v>
      </c>
      <c r="T70" s="34" t="s">
        <v>113</v>
      </c>
      <c r="U70" s="34" t="s">
        <v>85</v>
      </c>
      <c r="V70" s="35" t="s">
        <v>584</v>
      </c>
      <c r="W70" s="35" t="s">
        <v>585</v>
      </c>
      <c r="X70" s="34" t="s">
        <v>13</v>
      </c>
      <c r="Y70" s="37"/>
    </row>
    <row r="71" spans="1:25" ht="20" customHeight="1">
      <c r="A71" s="28">
        <v>69</v>
      </c>
      <c r="B71" s="28" t="s">
        <v>20</v>
      </c>
      <c r="C71" s="28" t="s">
        <v>21</v>
      </c>
      <c r="D71" s="29" t="s">
        <v>586</v>
      </c>
      <c r="E71" s="30" t="s">
        <v>587</v>
      </c>
      <c r="F71" s="30" t="s">
        <v>588</v>
      </c>
      <c r="G71" s="29" t="s">
        <v>589</v>
      </c>
      <c r="H71" s="30" t="s">
        <v>590</v>
      </c>
      <c r="I71" s="28" t="s">
        <v>75</v>
      </c>
      <c r="J71" s="28" t="s">
        <v>76</v>
      </c>
      <c r="K71" s="31" t="s">
        <v>591</v>
      </c>
      <c r="L71" s="28">
        <f>IF(K71="","",IFERROR(ROUND((TODAY()-IF(ISNUMBER(K71),K71,DATEVALUE(K71)))/365.25, 1),""))</f>
        <v>0</v>
      </c>
      <c r="M71" s="28" t="s">
        <v>553</v>
      </c>
      <c r="N71" s="29" t="s">
        <v>82</v>
      </c>
      <c r="O71" s="28" t="s">
        <v>80</v>
      </c>
      <c r="P71" s="28" t="s">
        <v>81</v>
      </c>
      <c r="Q71" s="29" t="s">
        <v>82</v>
      </c>
      <c r="R71" s="28" t="s">
        <v>88</v>
      </c>
      <c r="S71" s="28" t="s">
        <v>12</v>
      </c>
      <c r="T71" s="28" t="s">
        <v>113</v>
      </c>
      <c r="U71" s="28" t="s">
        <v>85</v>
      </c>
      <c r="V71" s="29" t="s">
        <v>592</v>
      </c>
      <c r="W71" s="29" t="s">
        <v>593</v>
      </c>
      <c r="X71" s="28" t="s">
        <v>13</v>
      </c>
      <c r="Y71" s="31"/>
    </row>
    <row r="72" spans="1:25" ht="20" customHeight="1">
      <c r="A72" s="34">
        <v>70</v>
      </c>
      <c r="B72" s="34" t="s">
        <v>20</v>
      </c>
      <c r="C72" s="34" t="s">
        <v>21</v>
      </c>
      <c r="D72" s="35" t="s">
        <v>594</v>
      </c>
      <c r="E72" s="36" t="s">
        <v>595</v>
      </c>
      <c r="F72" s="36" t="s">
        <v>596</v>
      </c>
      <c r="G72" s="35" t="s">
        <v>597</v>
      </c>
      <c r="H72" s="36" t="s">
        <v>598</v>
      </c>
      <c r="I72" s="34" t="s">
        <v>75</v>
      </c>
      <c r="J72" s="34" t="s">
        <v>76</v>
      </c>
      <c r="K72" s="37" t="s">
        <v>599</v>
      </c>
      <c r="L72" s="34">
        <f>IF(K72="","",IFERROR(ROUND((TODAY()-IF(ISNUMBER(K72),K72,DATEVALUE(K72)))/365.25, 1),""))</f>
        <v>0</v>
      </c>
      <c r="M72" s="34" t="s">
        <v>553</v>
      </c>
      <c r="N72" s="35" t="s">
        <v>82</v>
      </c>
      <c r="O72" s="34" t="s">
        <v>80</v>
      </c>
      <c r="P72" s="34" t="s">
        <v>81</v>
      </c>
      <c r="Q72" s="35" t="s">
        <v>82</v>
      </c>
      <c r="R72" s="34" t="s">
        <v>88</v>
      </c>
      <c r="S72" s="34" t="s">
        <v>12</v>
      </c>
      <c r="T72" s="34" t="s">
        <v>113</v>
      </c>
      <c r="U72" s="34" t="s">
        <v>85</v>
      </c>
      <c r="V72" s="35" t="s">
        <v>600</v>
      </c>
      <c r="W72" s="35" t="s">
        <v>601</v>
      </c>
      <c r="X72" s="34" t="s">
        <v>13</v>
      </c>
      <c r="Y72" s="37"/>
    </row>
    <row r="73" spans="1:25" ht="20" customHeight="1">
      <c r="A73" s="28">
        <v>71</v>
      </c>
      <c r="B73" s="28" t="s">
        <v>20</v>
      </c>
      <c r="C73" s="28" t="s">
        <v>21</v>
      </c>
      <c r="D73" s="29" t="s">
        <v>602</v>
      </c>
      <c r="E73" s="30" t="s">
        <v>603</v>
      </c>
      <c r="F73" s="30" t="s">
        <v>604</v>
      </c>
      <c r="G73" s="29" t="s">
        <v>605</v>
      </c>
      <c r="H73" s="30" t="s">
        <v>606</v>
      </c>
      <c r="I73" s="28" t="s">
        <v>128</v>
      </c>
      <c r="J73" s="28" t="s">
        <v>76</v>
      </c>
      <c r="K73" s="31" t="s">
        <v>607</v>
      </c>
      <c r="L73" s="28">
        <f>IF(K73="","",IFERROR(ROUND((TODAY()-IF(ISNUMBER(K73),K73,DATEVALUE(K73)))/365.25, 1),""))</f>
        <v>0</v>
      </c>
      <c r="M73" s="28" t="s">
        <v>608</v>
      </c>
      <c r="N73" s="29" t="s">
        <v>82</v>
      </c>
      <c r="O73" s="28" t="s">
        <v>80</v>
      </c>
      <c r="P73" s="28" t="s">
        <v>81</v>
      </c>
      <c r="Q73" s="29" t="s">
        <v>82</v>
      </c>
      <c r="R73" s="28" t="s">
        <v>88</v>
      </c>
      <c r="S73" s="28" t="s">
        <v>12</v>
      </c>
      <c r="T73" s="28" t="s">
        <v>113</v>
      </c>
      <c r="U73" s="28" t="s">
        <v>85</v>
      </c>
      <c r="V73" s="29" t="s">
        <v>609</v>
      </c>
      <c r="W73" s="29" t="s">
        <v>610</v>
      </c>
      <c r="X73" s="28" t="s">
        <v>13</v>
      </c>
      <c r="Y73" s="31"/>
    </row>
    <row r="74" spans="1:25" ht="20" customHeight="1">
      <c r="A74" s="34">
        <v>72</v>
      </c>
      <c r="B74" s="34" t="s">
        <v>20</v>
      </c>
      <c r="C74" s="34" t="s">
        <v>21</v>
      </c>
      <c r="D74" s="35" t="s">
        <v>611</v>
      </c>
      <c r="E74" s="36" t="s">
        <v>612</v>
      </c>
      <c r="F74" s="36" t="s">
        <v>613</v>
      </c>
      <c r="G74" s="35" t="s">
        <v>614</v>
      </c>
      <c r="H74" s="36" t="s">
        <v>615</v>
      </c>
      <c r="I74" s="34" t="s">
        <v>128</v>
      </c>
      <c r="J74" s="34" t="s">
        <v>76</v>
      </c>
      <c r="K74" s="37" t="s">
        <v>616</v>
      </c>
      <c r="L74" s="34">
        <f>IF(K74="","",IFERROR(ROUND((TODAY()-IF(ISNUMBER(K74),K74,DATEVALUE(K74)))/365.25, 1),""))</f>
        <v>0</v>
      </c>
      <c r="M74" s="34" t="s">
        <v>608</v>
      </c>
      <c r="N74" s="35" t="s">
        <v>82</v>
      </c>
      <c r="O74" s="34" t="s">
        <v>80</v>
      </c>
      <c r="P74" s="34" t="s">
        <v>81</v>
      </c>
      <c r="Q74" s="35" t="s">
        <v>82</v>
      </c>
      <c r="R74" s="34" t="s">
        <v>88</v>
      </c>
      <c r="S74" s="34" t="s">
        <v>11</v>
      </c>
      <c r="T74" s="34" t="s">
        <v>113</v>
      </c>
      <c r="U74" s="34" t="s">
        <v>85</v>
      </c>
      <c r="V74" s="35" t="s">
        <v>617</v>
      </c>
      <c r="W74" s="35" t="s">
        <v>618</v>
      </c>
      <c r="X74" s="34" t="s">
        <v>13</v>
      </c>
      <c r="Y74" s="37"/>
    </row>
    <row r="75" spans="1:25" ht="20" customHeight="1">
      <c r="A75" s="28">
        <v>73</v>
      </c>
      <c r="B75" s="28" t="s">
        <v>20</v>
      </c>
      <c r="C75" s="28" t="s">
        <v>21</v>
      </c>
      <c r="D75" s="29" t="s">
        <v>619</v>
      </c>
      <c r="E75" s="30" t="s">
        <v>620</v>
      </c>
      <c r="F75" s="30" t="s">
        <v>621</v>
      </c>
      <c r="G75" s="29" t="s">
        <v>622</v>
      </c>
      <c r="H75" s="30" t="s">
        <v>623</v>
      </c>
      <c r="I75" s="28" t="s">
        <v>75</v>
      </c>
      <c r="J75" s="28" t="s">
        <v>76</v>
      </c>
      <c r="K75" s="31" t="s">
        <v>624</v>
      </c>
      <c r="L75" s="28">
        <f>IF(K75="","",IFERROR(ROUND((TODAY()-IF(ISNUMBER(K75),K75,DATEVALUE(K75)))/365.25, 1),""))</f>
        <v>0</v>
      </c>
      <c r="M75" s="28" t="s">
        <v>553</v>
      </c>
      <c r="N75" s="29" t="s">
        <v>82</v>
      </c>
      <c r="O75" s="28" t="s">
        <v>80</v>
      </c>
      <c r="P75" s="28" t="s">
        <v>81</v>
      </c>
      <c r="Q75" s="29" t="s">
        <v>82</v>
      </c>
      <c r="R75" s="28" t="s">
        <v>88</v>
      </c>
      <c r="S75" s="28" t="s">
        <v>11</v>
      </c>
      <c r="T75" s="28" t="s">
        <v>113</v>
      </c>
      <c r="U75" s="28" t="s">
        <v>85</v>
      </c>
      <c r="V75" s="29" t="s">
        <v>625</v>
      </c>
      <c r="W75" s="29" t="s">
        <v>626</v>
      </c>
      <c r="X75" s="28" t="s">
        <v>13</v>
      </c>
      <c r="Y75" s="31"/>
    </row>
    <row r="76" spans="1:25" ht="20" customHeight="1">
      <c r="A76" s="34">
        <v>74</v>
      </c>
      <c r="B76" s="34" t="s">
        <v>20</v>
      </c>
      <c r="C76" s="34" t="s">
        <v>21</v>
      </c>
      <c r="D76" s="35" t="s">
        <v>627</v>
      </c>
      <c r="E76" s="36" t="s">
        <v>628</v>
      </c>
      <c r="F76" s="36" t="s">
        <v>629</v>
      </c>
      <c r="G76" s="35" t="s">
        <v>630</v>
      </c>
      <c r="H76" s="36" t="s">
        <v>631</v>
      </c>
      <c r="I76" s="34" t="s">
        <v>75</v>
      </c>
      <c r="J76" s="34" t="s">
        <v>76</v>
      </c>
      <c r="K76" s="37" t="s">
        <v>448</v>
      </c>
      <c r="L76" s="34">
        <f>IF(K76="","",IFERROR(ROUND((TODAY()-IF(ISNUMBER(K76),K76,DATEVALUE(K76)))/365.25, 1),""))</f>
        <v>0</v>
      </c>
      <c r="M76" s="34" t="s">
        <v>553</v>
      </c>
      <c r="N76" s="35" t="s">
        <v>82</v>
      </c>
      <c r="O76" s="34" t="s">
        <v>80</v>
      </c>
      <c r="P76" s="34" t="s">
        <v>81</v>
      </c>
      <c r="Q76" s="35" t="s">
        <v>82</v>
      </c>
      <c r="R76" s="34" t="s">
        <v>88</v>
      </c>
      <c r="S76" s="34" t="s">
        <v>11</v>
      </c>
      <c r="T76" s="34" t="s">
        <v>113</v>
      </c>
      <c r="U76" s="34" t="s">
        <v>85</v>
      </c>
      <c r="V76" s="35" t="s">
        <v>632</v>
      </c>
      <c r="W76" s="35" t="s">
        <v>633</v>
      </c>
      <c r="X76" s="34" t="s">
        <v>13</v>
      </c>
      <c r="Y76" s="37"/>
    </row>
    <row r="77" spans="1:25" ht="20" customHeight="1">
      <c r="A77" s="28">
        <v>75</v>
      </c>
      <c r="B77" s="28" t="s">
        <v>20</v>
      </c>
      <c r="C77" s="28" t="s">
        <v>21</v>
      </c>
      <c r="D77" s="29" t="s">
        <v>634</v>
      </c>
      <c r="E77" s="30" t="s">
        <v>635</v>
      </c>
      <c r="F77" s="30" t="s">
        <v>636</v>
      </c>
      <c r="G77" s="29" t="s">
        <v>637</v>
      </c>
      <c r="H77" s="30" t="s">
        <v>638</v>
      </c>
      <c r="I77" s="28" t="s">
        <v>128</v>
      </c>
      <c r="J77" s="28" t="s">
        <v>76</v>
      </c>
      <c r="K77" s="31" t="s">
        <v>129</v>
      </c>
      <c r="L77" s="28">
        <f>IF(K77="","",IFERROR(ROUND((TODAY()-IF(ISNUMBER(K77),K77,DATEVALUE(K77)))/365.25, 1),""))</f>
        <v>0</v>
      </c>
      <c r="M77" s="28" t="s">
        <v>608</v>
      </c>
      <c r="N77" s="29" t="s">
        <v>82</v>
      </c>
      <c r="O77" s="28" t="s">
        <v>80</v>
      </c>
      <c r="P77" s="28" t="s">
        <v>81</v>
      </c>
      <c r="Q77" s="29" t="s">
        <v>82</v>
      </c>
      <c r="R77" s="28" t="s">
        <v>88</v>
      </c>
      <c r="S77" s="28" t="s">
        <v>11</v>
      </c>
      <c r="T77" s="28" t="s">
        <v>113</v>
      </c>
      <c r="U77" s="28" t="s">
        <v>85</v>
      </c>
      <c r="V77" s="29" t="s">
        <v>639</v>
      </c>
      <c r="W77" s="29" t="s">
        <v>640</v>
      </c>
      <c r="X77" s="28" t="s">
        <v>13</v>
      </c>
      <c r="Y77" s="31"/>
    </row>
    <row r="78" spans="1:25" ht="20" customHeight="1">
      <c r="A78" s="34">
        <v>76</v>
      </c>
      <c r="B78" s="34" t="s">
        <v>20</v>
      </c>
      <c r="C78" s="34" t="s">
        <v>21</v>
      </c>
      <c r="D78" s="35" t="s">
        <v>641</v>
      </c>
      <c r="E78" s="36" t="s">
        <v>642</v>
      </c>
      <c r="F78" s="36" t="s">
        <v>643</v>
      </c>
      <c r="G78" s="35" t="s">
        <v>644</v>
      </c>
      <c r="H78" s="36" t="s">
        <v>645</v>
      </c>
      <c r="I78" s="34" t="s">
        <v>75</v>
      </c>
      <c r="J78" s="34" t="s">
        <v>76</v>
      </c>
      <c r="K78" s="37" t="s">
        <v>129</v>
      </c>
      <c r="L78" s="34">
        <f>IF(K78="","",IFERROR(ROUND((TODAY()-IF(ISNUMBER(K78),K78,DATEVALUE(K78)))/365.25, 1),""))</f>
        <v>0</v>
      </c>
      <c r="M78" s="34" t="s">
        <v>553</v>
      </c>
      <c r="N78" s="35" t="s">
        <v>82</v>
      </c>
      <c r="O78" s="34" t="s">
        <v>80</v>
      </c>
      <c r="P78" s="34" t="s">
        <v>81</v>
      </c>
      <c r="Q78" s="35" t="s">
        <v>82</v>
      </c>
      <c r="R78" s="34" t="s">
        <v>88</v>
      </c>
      <c r="S78" s="34" t="s">
        <v>11</v>
      </c>
      <c r="T78" s="34" t="s">
        <v>113</v>
      </c>
      <c r="U78" s="34" t="s">
        <v>85</v>
      </c>
      <c r="V78" s="35" t="s">
        <v>646</v>
      </c>
      <c r="W78" s="35" t="s">
        <v>647</v>
      </c>
      <c r="X78" s="34" t="s">
        <v>13</v>
      </c>
      <c r="Y78" s="37"/>
    </row>
    <row r="79" spans="1:25" ht="20" customHeight="1">
      <c r="A79" s="28">
        <v>77</v>
      </c>
      <c r="B79" s="28" t="s">
        <v>20</v>
      </c>
      <c r="C79" s="28" t="s">
        <v>21</v>
      </c>
      <c r="D79" s="29" t="s">
        <v>648</v>
      </c>
      <c r="E79" s="30" t="s">
        <v>649</v>
      </c>
      <c r="F79" s="30" t="s">
        <v>650</v>
      </c>
      <c r="G79" s="29" t="s">
        <v>651</v>
      </c>
      <c r="H79" s="30" t="s">
        <v>652</v>
      </c>
      <c r="I79" s="28" t="s">
        <v>128</v>
      </c>
      <c r="J79" s="28" t="s">
        <v>76</v>
      </c>
      <c r="K79" s="31" t="s">
        <v>653</v>
      </c>
      <c r="L79" s="28">
        <f>IF(K79="","",IFERROR(ROUND((TODAY()-IF(ISNUMBER(K79),K79,DATEVALUE(K79)))/365.25, 1),""))</f>
        <v>0</v>
      </c>
      <c r="M79" s="28" t="s">
        <v>608</v>
      </c>
      <c r="N79" s="29" t="s">
        <v>82</v>
      </c>
      <c r="O79" s="28" t="s">
        <v>80</v>
      </c>
      <c r="P79" s="28" t="s">
        <v>81</v>
      </c>
      <c r="Q79" s="29" t="s">
        <v>82</v>
      </c>
      <c r="R79" s="28" t="s">
        <v>88</v>
      </c>
      <c r="S79" s="28" t="s">
        <v>12</v>
      </c>
      <c r="T79" s="28" t="s">
        <v>113</v>
      </c>
      <c r="U79" s="28" t="s">
        <v>85</v>
      </c>
      <c r="V79" s="29" t="s">
        <v>654</v>
      </c>
      <c r="W79" s="29" t="s">
        <v>655</v>
      </c>
      <c r="X79" s="28" t="s">
        <v>13</v>
      </c>
      <c r="Y79" s="31"/>
    </row>
    <row r="80" spans="1:25" ht="20" customHeight="1">
      <c r="A80" s="34">
        <v>78</v>
      </c>
      <c r="B80" s="34" t="s">
        <v>20</v>
      </c>
      <c r="C80" s="34" t="s">
        <v>21</v>
      </c>
      <c r="D80" s="35" t="s">
        <v>656</v>
      </c>
      <c r="E80" s="36" t="s">
        <v>657</v>
      </c>
      <c r="F80" s="36" t="s">
        <v>658</v>
      </c>
      <c r="G80" s="35" t="s">
        <v>659</v>
      </c>
      <c r="H80" s="36" t="s">
        <v>660</v>
      </c>
      <c r="I80" s="34" t="s">
        <v>75</v>
      </c>
      <c r="J80" s="34" t="s">
        <v>76</v>
      </c>
      <c r="K80" s="37" t="s">
        <v>624</v>
      </c>
      <c r="L80" s="34">
        <f>IF(K80="","",IFERROR(ROUND((TODAY()-IF(ISNUMBER(K80),K80,DATEVALUE(K80)))/365.25, 1),""))</f>
        <v>0</v>
      </c>
      <c r="M80" s="34" t="s">
        <v>553</v>
      </c>
      <c r="N80" s="35" t="s">
        <v>82</v>
      </c>
      <c r="O80" s="34" t="s">
        <v>80</v>
      </c>
      <c r="P80" s="34" t="s">
        <v>81</v>
      </c>
      <c r="Q80" s="35" t="s">
        <v>82</v>
      </c>
      <c r="R80" s="34" t="s">
        <v>88</v>
      </c>
      <c r="S80" s="34" t="s">
        <v>12</v>
      </c>
      <c r="T80" s="34" t="s">
        <v>113</v>
      </c>
      <c r="U80" s="34" t="s">
        <v>85</v>
      </c>
      <c r="V80" s="35" t="s">
        <v>661</v>
      </c>
      <c r="W80" s="35" t="s">
        <v>662</v>
      </c>
      <c r="X80" s="34" t="s">
        <v>13</v>
      </c>
      <c r="Y80" s="37"/>
    </row>
    <row r="81" spans="1:25" ht="20" customHeight="1">
      <c r="A81" s="28">
        <v>79</v>
      </c>
      <c r="B81" s="28" t="s">
        <v>20</v>
      </c>
      <c r="C81" s="28" t="s">
        <v>21</v>
      </c>
      <c r="D81" s="29" t="s">
        <v>663</v>
      </c>
      <c r="E81" s="30" t="s">
        <v>664</v>
      </c>
      <c r="F81" s="30" t="s">
        <v>665</v>
      </c>
      <c r="G81" s="29" t="s">
        <v>666</v>
      </c>
      <c r="H81" s="30" t="s">
        <v>667</v>
      </c>
      <c r="I81" s="28" t="s">
        <v>75</v>
      </c>
      <c r="J81" s="28" t="s">
        <v>76</v>
      </c>
      <c r="K81" s="31" t="s">
        <v>668</v>
      </c>
      <c r="L81" s="28">
        <f>IF(K81="","",IFERROR(ROUND((TODAY()-IF(ISNUMBER(K81),K81,DATEVALUE(K81)))/365.25, 1),""))</f>
        <v>0</v>
      </c>
      <c r="M81" s="28" t="s">
        <v>553</v>
      </c>
      <c r="N81" s="29" t="s">
        <v>82</v>
      </c>
      <c r="O81" s="28" t="s">
        <v>80</v>
      </c>
      <c r="P81" s="28" t="s">
        <v>81</v>
      </c>
      <c r="Q81" s="29" t="s">
        <v>82</v>
      </c>
      <c r="R81" s="28" t="s">
        <v>88</v>
      </c>
      <c r="S81" s="28" t="s">
        <v>11</v>
      </c>
      <c r="T81" s="28" t="s">
        <v>113</v>
      </c>
      <c r="U81" s="28" t="s">
        <v>85</v>
      </c>
      <c r="V81" s="29" t="s">
        <v>669</v>
      </c>
      <c r="W81" s="29" t="s">
        <v>670</v>
      </c>
      <c r="X81" s="28" t="s">
        <v>13</v>
      </c>
      <c r="Y81" s="31"/>
    </row>
    <row r="82" spans="1:25" ht="20" customHeight="1">
      <c r="A82" s="34">
        <v>80</v>
      </c>
      <c r="B82" s="34" t="s">
        <v>20</v>
      </c>
      <c r="C82" s="34" t="s">
        <v>21</v>
      </c>
      <c r="D82" s="35" t="s">
        <v>671</v>
      </c>
      <c r="E82" s="36" t="s">
        <v>672</v>
      </c>
      <c r="F82" s="36" t="s">
        <v>673</v>
      </c>
      <c r="G82" s="35" t="s">
        <v>674</v>
      </c>
      <c r="H82" s="36" t="s">
        <v>675</v>
      </c>
      <c r="I82" s="34" t="s">
        <v>128</v>
      </c>
      <c r="J82" s="34" t="s">
        <v>76</v>
      </c>
      <c r="K82" s="37" t="s">
        <v>129</v>
      </c>
      <c r="L82" s="34">
        <f>IF(K82="","",IFERROR(ROUND((TODAY()-IF(ISNUMBER(K82),K82,DATEVALUE(K82)))/365.25, 1),""))</f>
        <v>0</v>
      </c>
      <c r="M82" s="34" t="s">
        <v>608</v>
      </c>
      <c r="N82" s="35" t="s">
        <v>82</v>
      </c>
      <c r="O82" s="34" t="s">
        <v>80</v>
      </c>
      <c r="P82" s="34" t="s">
        <v>81</v>
      </c>
      <c r="Q82" s="35" t="s">
        <v>82</v>
      </c>
      <c r="R82" s="34" t="s">
        <v>88</v>
      </c>
      <c r="S82" s="34" t="s">
        <v>11</v>
      </c>
      <c r="T82" s="34" t="s">
        <v>113</v>
      </c>
      <c r="U82" s="34" t="s">
        <v>85</v>
      </c>
      <c r="V82" s="35" t="s">
        <v>676</v>
      </c>
      <c r="W82" s="35" t="s">
        <v>677</v>
      </c>
      <c r="X82" s="34" t="s">
        <v>13</v>
      </c>
      <c r="Y82" s="37"/>
    </row>
    <row r="83" spans="1:25" ht="20" customHeight="1">
      <c r="A83" s="28">
        <v>81</v>
      </c>
      <c r="B83" s="28" t="s">
        <v>20</v>
      </c>
      <c r="C83" s="28" t="s">
        <v>21</v>
      </c>
      <c r="D83" s="29" t="s">
        <v>678</v>
      </c>
      <c r="E83" s="30" t="s">
        <v>679</v>
      </c>
      <c r="F83" s="30" t="s">
        <v>680</v>
      </c>
      <c r="G83" s="29" t="s">
        <v>681</v>
      </c>
      <c r="H83" s="30" t="s">
        <v>682</v>
      </c>
      <c r="I83" s="28" t="s">
        <v>75</v>
      </c>
      <c r="J83" s="28" t="s">
        <v>76</v>
      </c>
      <c r="K83" s="31" t="s">
        <v>129</v>
      </c>
      <c r="L83" s="28">
        <f>IF(K83="","",IFERROR(ROUND((TODAY()-IF(ISNUMBER(K83),K83,DATEVALUE(K83)))/365.25, 1),""))</f>
        <v>0</v>
      </c>
      <c r="M83" s="28" t="s">
        <v>553</v>
      </c>
      <c r="N83" s="29" t="s">
        <v>82</v>
      </c>
      <c r="O83" s="28" t="s">
        <v>80</v>
      </c>
      <c r="P83" s="28" t="s">
        <v>81</v>
      </c>
      <c r="Q83" s="29" t="s">
        <v>82</v>
      </c>
      <c r="R83" s="28" t="s">
        <v>88</v>
      </c>
      <c r="S83" s="28" t="s">
        <v>12</v>
      </c>
      <c r="T83" s="28" t="s">
        <v>113</v>
      </c>
      <c r="U83" s="28" t="s">
        <v>85</v>
      </c>
      <c r="V83" s="29" t="s">
        <v>683</v>
      </c>
      <c r="W83" s="29" t="s">
        <v>684</v>
      </c>
      <c r="X83" s="28" t="s">
        <v>13</v>
      </c>
      <c r="Y83" s="31"/>
    </row>
    <row r="84" spans="1:25" ht="20" customHeight="1">
      <c r="A84" s="34">
        <v>82</v>
      </c>
      <c r="B84" s="34" t="s">
        <v>20</v>
      </c>
      <c r="C84" s="34" t="s">
        <v>21</v>
      </c>
      <c r="D84" s="35" t="s">
        <v>685</v>
      </c>
      <c r="E84" s="36" t="s">
        <v>686</v>
      </c>
      <c r="F84" s="36" t="s">
        <v>687</v>
      </c>
      <c r="G84" s="35" t="s">
        <v>688</v>
      </c>
      <c r="H84" s="36" t="s">
        <v>689</v>
      </c>
      <c r="I84" s="34" t="s">
        <v>128</v>
      </c>
      <c r="J84" s="34" t="s">
        <v>76</v>
      </c>
      <c r="K84" s="37" t="s">
        <v>653</v>
      </c>
      <c r="L84" s="34">
        <f>IF(K84="","",IFERROR(ROUND((TODAY()-IF(ISNUMBER(K84),K84,DATEVALUE(K84)))/365.25, 1),""))</f>
        <v>0</v>
      </c>
      <c r="M84" s="34" t="s">
        <v>608</v>
      </c>
      <c r="N84" s="35" t="s">
        <v>82</v>
      </c>
      <c r="O84" s="34" t="s">
        <v>80</v>
      </c>
      <c r="P84" s="34" t="s">
        <v>81</v>
      </c>
      <c r="Q84" s="35" t="s">
        <v>82</v>
      </c>
      <c r="R84" s="34" t="s">
        <v>88</v>
      </c>
      <c r="S84" s="34" t="s">
        <v>12</v>
      </c>
      <c r="T84" s="34" t="s">
        <v>113</v>
      </c>
      <c r="U84" s="34" t="s">
        <v>85</v>
      </c>
      <c r="V84" s="35" t="s">
        <v>690</v>
      </c>
      <c r="W84" s="35" t="s">
        <v>691</v>
      </c>
      <c r="X84" s="34" t="s">
        <v>13</v>
      </c>
      <c r="Y84" s="37"/>
    </row>
    <row r="85" spans="1:25" ht="20" customHeight="1">
      <c r="A85" s="28">
        <v>83</v>
      </c>
      <c r="B85" s="28" t="s">
        <v>20</v>
      </c>
      <c r="C85" s="28" t="s">
        <v>21</v>
      </c>
      <c r="D85" s="29" t="s">
        <v>692</v>
      </c>
      <c r="E85" s="30" t="s">
        <v>693</v>
      </c>
      <c r="F85" s="30" t="s">
        <v>694</v>
      </c>
      <c r="G85" s="29" t="s">
        <v>695</v>
      </c>
      <c r="H85" s="30" t="s">
        <v>696</v>
      </c>
      <c r="I85" s="28" t="s">
        <v>128</v>
      </c>
      <c r="J85" s="28" t="s">
        <v>76</v>
      </c>
      <c r="K85" s="31" t="s">
        <v>653</v>
      </c>
      <c r="L85" s="28">
        <f>IF(K85="","",IFERROR(ROUND((TODAY()-IF(ISNUMBER(K85),K85,DATEVALUE(K85)))/365.25, 1),""))</f>
        <v>0</v>
      </c>
      <c r="M85" s="28" t="s">
        <v>608</v>
      </c>
      <c r="N85" s="29" t="s">
        <v>82</v>
      </c>
      <c r="O85" s="28" t="s">
        <v>80</v>
      </c>
      <c r="P85" s="28" t="s">
        <v>81</v>
      </c>
      <c r="Q85" s="29" t="s">
        <v>82</v>
      </c>
      <c r="R85" s="28" t="s">
        <v>88</v>
      </c>
      <c r="S85" s="28" t="s">
        <v>12</v>
      </c>
      <c r="T85" s="28" t="s">
        <v>113</v>
      </c>
      <c r="U85" s="28" t="s">
        <v>85</v>
      </c>
      <c r="V85" s="29" t="s">
        <v>697</v>
      </c>
      <c r="W85" s="29" t="s">
        <v>698</v>
      </c>
      <c r="X85" s="28" t="s">
        <v>13</v>
      </c>
      <c r="Y85" s="31"/>
    </row>
    <row r="86" spans="1:25" ht="20" customHeight="1">
      <c r="A86" s="34">
        <v>84</v>
      </c>
      <c r="B86" s="34" t="s">
        <v>20</v>
      </c>
      <c r="C86" s="34" t="s">
        <v>21</v>
      </c>
      <c r="D86" s="35" t="s">
        <v>699</v>
      </c>
      <c r="E86" s="36" t="s">
        <v>700</v>
      </c>
      <c r="F86" s="36" t="s">
        <v>701</v>
      </c>
      <c r="G86" s="35" t="s">
        <v>702</v>
      </c>
      <c r="H86" s="36" t="s">
        <v>703</v>
      </c>
      <c r="I86" s="34" t="s">
        <v>75</v>
      </c>
      <c r="J86" s="34" t="s">
        <v>76</v>
      </c>
      <c r="K86" s="37" t="s">
        <v>704</v>
      </c>
      <c r="L86" s="34">
        <f>IF(K86="","",IFERROR(ROUND((TODAY()-IF(ISNUMBER(K86),K86,DATEVALUE(K86)))/365.25, 1),""))</f>
        <v>0</v>
      </c>
      <c r="M86" s="34" t="s">
        <v>553</v>
      </c>
      <c r="N86" s="35" t="s">
        <v>82</v>
      </c>
      <c r="O86" s="34" t="s">
        <v>80</v>
      </c>
      <c r="P86" s="34" t="s">
        <v>81</v>
      </c>
      <c r="Q86" s="35" t="s">
        <v>82</v>
      </c>
      <c r="R86" s="34" t="s">
        <v>88</v>
      </c>
      <c r="S86" s="34" t="s">
        <v>12</v>
      </c>
      <c r="T86" s="34" t="s">
        <v>113</v>
      </c>
      <c r="U86" s="34" t="s">
        <v>85</v>
      </c>
      <c r="V86" s="35" t="s">
        <v>705</v>
      </c>
      <c r="W86" s="35" t="s">
        <v>706</v>
      </c>
      <c r="X86" s="34" t="s">
        <v>13</v>
      </c>
      <c r="Y86" s="37"/>
    </row>
    <row r="87" spans="1:25" ht="20" customHeight="1">
      <c r="A87" s="28">
        <v>85</v>
      </c>
      <c r="B87" s="28" t="s">
        <v>20</v>
      </c>
      <c r="C87" s="28" t="s">
        <v>21</v>
      </c>
      <c r="D87" s="29" t="s">
        <v>707</v>
      </c>
      <c r="E87" s="30" t="s">
        <v>708</v>
      </c>
      <c r="F87" s="30" t="s">
        <v>709</v>
      </c>
      <c r="G87" s="29" t="s">
        <v>710</v>
      </c>
      <c r="H87" s="30" t="s">
        <v>711</v>
      </c>
      <c r="I87" s="28" t="s">
        <v>75</v>
      </c>
      <c r="J87" s="28" t="s">
        <v>76</v>
      </c>
      <c r="K87" s="31" t="s">
        <v>712</v>
      </c>
      <c r="L87" s="28">
        <f>IF(K87="","",IFERROR(ROUND((TODAY()-IF(ISNUMBER(K87),K87,DATEVALUE(K87)))/365.25, 1),""))</f>
        <v>0</v>
      </c>
      <c r="M87" s="28" t="s">
        <v>553</v>
      </c>
      <c r="N87" s="29" t="s">
        <v>82</v>
      </c>
      <c r="O87" s="28" t="s">
        <v>80</v>
      </c>
      <c r="P87" s="28" t="s">
        <v>81</v>
      </c>
      <c r="Q87" s="29" t="s">
        <v>82</v>
      </c>
      <c r="R87" s="28" t="s">
        <v>88</v>
      </c>
      <c r="S87" s="28" t="s">
        <v>11</v>
      </c>
      <c r="T87" s="28" t="s">
        <v>113</v>
      </c>
      <c r="U87" s="28" t="s">
        <v>85</v>
      </c>
      <c r="V87" s="29" t="s">
        <v>713</v>
      </c>
      <c r="W87" s="29" t="s">
        <v>714</v>
      </c>
      <c r="X87" s="28" t="s">
        <v>13</v>
      </c>
      <c r="Y87" s="31"/>
    </row>
    <row r="88" spans="1:25" ht="20" customHeight="1">
      <c r="A88" s="34">
        <v>86</v>
      </c>
      <c r="B88" s="34" t="s">
        <v>20</v>
      </c>
      <c r="C88" s="34" t="s">
        <v>21</v>
      </c>
      <c r="D88" s="35" t="s">
        <v>715</v>
      </c>
      <c r="E88" s="36" t="s">
        <v>716</v>
      </c>
      <c r="F88" s="36" t="s">
        <v>717</v>
      </c>
      <c r="G88" s="35" t="s">
        <v>718</v>
      </c>
      <c r="H88" s="36" t="s">
        <v>719</v>
      </c>
      <c r="I88" s="34" t="s">
        <v>75</v>
      </c>
      <c r="J88" s="34" t="s">
        <v>76</v>
      </c>
      <c r="K88" s="37" t="s">
        <v>720</v>
      </c>
      <c r="L88" s="34">
        <f>IF(K88="","",IFERROR(ROUND((TODAY()-IF(ISNUMBER(K88),K88,DATEVALUE(K88)))/365.25, 1),""))</f>
        <v>0</v>
      </c>
      <c r="M88" s="34" t="s">
        <v>553</v>
      </c>
      <c r="N88" s="35" t="s">
        <v>82</v>
      </c>
      <c r="O88" s="34" t="s">
        <v>80</v>
      </c>
      <c r="P88" s="34" t="s">
        <v>81</v>
      </c>
      <c r="Q88" s="35" t="s">
        <v>82</v>
      </c>
      <c r="R88" s="34" t="s">
        <v>88</v>
      </c>
      <c r="S88" s="34" t="s">
        <v>11</v>
      </c>
      <c r="T88" s="34" t="s">
        <v>113</v>
      </c>
      <c r="U88" s="34" t="s">
        <v>85</v>
      </c>
      <c r="V88" s="35" t="s">
        <v>721</v>
      </c>
      <c r="W88" s="35" t="s">
        <v>722</v>
      </c>
      <c r="X88" s="34" t="s">
        <v>13</v>
      </c>
      <c r="Y88" s="37"/>
    </row>
    <row r="89" spans="1:25" ht="20" customHeight="1">
      <c r="A89" s="28">
        <v>87</v>
      </c>
      <c r="B89" s="28" t="s">
        <v>20</v>
      </c>
      <c r="C89" s="28" t="s">
        <v>21</v>
      </c>
      <c r="D89" s="29" t="s">
        <v>723</v>
      </c>
      <c r="E89" s="30" t="s">
        <v>724</v>
      </c>
      <c r="F89" s="30" t="s">
        <v>725</v>
      </c>
      <c r="G89" s="29" t="s">
        <v>726</v>
      </c>
      <c r="H89" s="30" t="s">
        <v>727</v>
      </c>
      <c r="I89" s="28" t="s">
        <v>128</v>
      </c>
      <c r="J89" s="28" t="s">
        <v>76</v>
      </c>
      <c r="K89" s="31" t="s">
        <v>129</v>
      </c>
      <c r="L89" s="28">
        <f>IF(K89="","",IFERROR(ROUND((TODAY()-IF(ISNUMBER(K89),K89,DATEVALUE(K89)))/365.25, 1),""))</f>
        <v>0</v>
      </c>
      <c r="M89" s="28" t="s">
        <v>608</v>
      </c>
      <c r="N89" s="29" t="s">
        <v>82</v>
      </c>
      <c r="O89" s="28" t="s">
        <v>80</v>
      </c>
      <c r="P89" s="28" t="s">
        <v>81</v>
      </c>
      <c r="Q89" s="29" t="s">
        <v>82</v>
      </c>
      <c r="R89" s="28" t="s">
        <v>88</v>
      </c>
      <c r="S89" s="28" t="s">
        <v>11</v>
      </c>
      <c r="T89" s="28" t="s">
        <v>113</v>
      </c>
      <c r="U89" s="28" t="s">
        <v>85</v>
      </c>
      <c r="V89" s="29" t="s">
        <v>728</v>
      </c>
      <c r="W89" s="29" t="s">
        <v>729</v>
      </c>
      <c r="X89" s="28" t="s">
        <v>13</v>
      </c>
      <c r="Y89" s="31"/>
    </row>
    <row r="90" spans="1:25" ht="20" customHeight="1">
      <c r="A90" s="34">
        <v>88</v>
      </c>
      <c r="B90" s="34" t="s">
        <v>20</v>
      </c>
      <c r="C90" s="34" t="s">
        <v>21</v>
      </c>
      <c r="D90" s="35" t="s">
        <v>730</v>
      </c>
      <c r="E90" s="36" t="s">
        <v>731</v>
      </c>
      <c r="F90" s="36" t="s">
        <v>732</v>
      </c>
      <c r="G90" s="35" t="s">
        <v>733</v>
      </c>
      <c r="H90" s="36" t="s">
        <v>734</v>
      </c>
      <c r="I90" s="34" t="s">
        <v>128</v>
      </c>
      <c r="J90" s="34" t="s">
        <v>76</v>
      </c>
      <c r="K90" s="37" t="s">
        <v>668</v>
      </c>
      <c r="L90" s="34">
        <f>IF(K90="","",IFERROR(ROUND((TODAY()-IF(ISNUMBER(K90),K90,DATEVALUE(K90)))/365.25, 1),""))</f>
        <v>0</v>
      </c>
      <c r="M90" s="34" t="s">
        <v>608</v>
      </c>
      <c r="N90" s="35" t="s">
        <v>82</v>
      </c>
      <c r="O90" s="34" t="s">
        <v>80</v>
      </c>
      <c r="P90" s="34" t="s">
        <v>81</v>
      </c>
      <c r="Q90" s="35" t="s">
        <v>82</v>
      </c>
      <c r="R90" s="34" t="s">
        <v>88</v>
      </c>
      <c r="S90" s="34" t="s">
        <v>12</v>
      </c>
      <c r="T90" s="34" t="s">
        <v>113</v>
      </c>
      <c r="U90" s="34" t="s">
        <v>85</v>
      </c>
      <c r="V90" s="35" t="s">
        <v>735</v>
      </c>
      <c r="W90" s="35" t="s">
        <v>736</v>
      </c>
      <c r="X90" s="34" t="s">
        <v>13</v>
      </c>
      <c r="Y90" s="37"/>
    </row>
    <row r="91" spans="1:25" ht="20" customHeight="1">
      <c r="A91" s="28">
        <v>89</v>
      </c>
      <c r="B91" s="28" t="s">
        <v>20</v>
      </c>
      <c r="C91" s="28" t="s">
        <v>21</v>
      </c>
      <c r="D91" s="29" t="s">
        <v>737</v>
      </c>
      <c r="E91" s="30" t="s">
        <v>738</v>
      </c>
      <c r="F91" s="30" t="s">
        <v>739</v>
      </c>
      <c r="G91" s="29" t="s">
        <v>740</v>
      </c>
      <c r="H91" s="30" t="s">
        <v>741</v>
      </c>
      <c r="I91" s="28" t="s">
        <v>75</v>
      </c>
      <c r="J91" s="28" t="s">
        <v>76</v>
      </c>
      <c r="K91" s="31" t="s">
        <v>742</v>
      </c>
      <c r="L91" s="28">
        <f>IF(K91="","",IFERROR(ROUND((TODAY()-IF(ISNUMBER(K91),K91,DATEVALUE(K91)))/365.25, 1),""))</f>
        <v>0</v>
      </c>
      <c r="M91" s="28" t="s">
        <v>743</v>
      </c>
      <c r="N91" s="29" t="s">
        <v>82</v>
      </c>
      <c r="O91" s="28" t="s">
        <v>80</v>
      </c>
      <c r="P91" s="28" t="s">
        <v>81</v>
      </c>
      <c r="Q91" s="29" t="s">
        <v>82</v>
      </c>
      <c r="R91" s="28" t="s">
        <v>88</v>
      </c>
      <c r="S91" s="28" t="s">
        <v>12</v>
      </c>
      <c r="T91" s="28" t="s">
        <v>113</v>
      </c>
      <c r="U91" s="28" t="s">
        <v>85</v>
      </c>
      <c r="V91" s="29" t="s">
        <v>82</v>
      </c>
      <c r="W91" s="29" t="s">
        <v>744</v>
      </c>
      <c r="X91" s="28" t="s">
        <v>13</v>
      </c>
      <c r="Y91" s="31"/>
    </row>
    <row r="92" spans="1:25" ht="20" customHeight="1">
      <c r="A92" s="34">
        <v>90</v>
      </c>
      <c r="B92" s="34" t="s">
        <v>20</v>
      </c>
      <c r="C92" s="34" t="s">
        <v>21</v>
      </c>
      <c r="D92" s="35" t="s">
        <v>745</v>
      </c>
      <c r="E92" s="36" t="s">
        <v>746</v>
      </c>
      <c r="F92" s="36" t="s">
        <v>747</v>
      </c>
      <c r="G92" s="35" t="s">
        <v>748</v>
      </c>
      <c r="H92" s="36" t="s">
        <v>749</v>
      </c>
      <c r="I92" s="34" t="s">
        <v>75</v>
      </c>
      <c r="J92" s="34" t="s">
        <v>76</v>
      </c>
      <c r="K92" s="37" t="s">
        <v>129</v>
      </c>
      <c r="L92" s="34">
        <f>IF(K92="","",IFERROR(ROUND((TODAY()-IF(ISNUMBER(K92),K92,DATEVALUE(K92)))/365.25, 1),""))</f>
        <v>0</v>
      </c>
      <c r="M92" s="34" t="s">
        <v>743</v>
      </c>
      <c r="N92" s="35" t="s">
        <v>82</v>
      </c>
      <c r="O92" s="34" t="s">
        <v>80</v>
      </c>
      <c r="P92" s="34" t="s">
        <v>81</v>
      </c>
      <c r="Q92" s="35" t="s">
        <v>82</v>
      </c>
      <c r="R92" s="34" t="s">
        <v>88</v>
      </c>
      <c r="S92" s="34" t="s">
        <v>11</v>
      </c>
      <c r="T92" s="34" t="s">
        <v>113</v>
      </c>
      <c r="U92" s="34" t="s">
        <v>85</v>
      </c>
      <c r="V92" s="35" t="s">
        <v>750</v>
      </c>
      <c r="W92" s="35" t="s">
        <v>751</v>
      </c>
      <c r="X92" s="34" t="s">
        <v>13</v>
      </c>
      <c r="Y92" s="37"/>
    </row>
    <row r="93" spans="1:25" ht="20" customHeight="1">
      <c r="A93" s="28">
        <v>91</v>
      </c>
      <c r="B93" s="28" t="s">
        <v>20</v>
      </c>
      <c r="C93" s="28" t="s">
        <v>21</v>
      </c>
      <c r="D93" s="29" t="s">
        <v>752</v>
      </c>
      <c r="E93" s="30" t="s">
        <v>753</v>
      </c>
      <c r="F93" s="30" t="s">
        <v>754</v>
      </c>
      <c r="G93" s="29" t="s">
        <v>755</v>
      </c>
      <c r="H93" s="30" t="s">
        <v>756</v>
      </c>
      <c r="I93" s="28" t="s">
        <v>75</v>
      </c>
      <c r="J93" s="28" t="s">
        <v>76</v>
      </c>
      <c r="K93" s="31" t="s">
        <v>129</v>
      </c>
      <c r="L93" s="28">
        <f>IF(K93="","",IFERROR(ROUND((TODAY()-IF(ISNUMBER(K93),K93,DATEVALUE(K93)))/365.25, 1),""))</f>
        <v>0</v>
      </c>
      <c r="M93" s="28" t="s">
        <v>757</v>
      </c>
      <c r="N93" s="29" t="s">
        <v>82</v>
      </c>
      <c r="O93" s="28" t="s">
        <v>80</v>
      </c>
      <c r="P93" s="28" t="s">
        <v>81</v>
      </c>
      <c r="Q93" s="29" t="s">
        <v>82</v>
      </c>
      <c r="R93" s="28" t="s">
        <v>88</v>
      </c>
      <c r="S93" s="28" t="s">
        <v>12</v>
      </c>
      <c r="T93" s="28" t="s">
        <v>113</v>
      </c>
      <c r="U93" s="28" t="s">
        <v>85</v>
      </c>
      <c r="V93" s="29" t="s">
        <v>758</v>
      </c>
      <c r="W93" s="29" t="s">
        <v>759</v>
      </c>
      <c r="X93" s="28" t="s">
        <v>13</v>
      </c>
      <c r="Y93" s="31"/>
    </row>
    <row r="94" spans="1:25" ht="20" customHeight="1">
      <c r="A94" s="34">
        <v>92</v>
      </c>
      <c r="B94" s="34" t="s">
        <v>20</v>
      </c>
      <c r="C94" s="34" t="s">
        <v>21</v>
      </c>
      <c r="D94" s="35" t="s">
        <v>760</v>
      </c>
      <c r="E94" s="36" t="s">
        <v>761</v>
      </c>
      <c r="F94" s="36" t="s">
        <v>762</v>
      </c>
      <c r="G94" s="35" t="s">
        <v>763</v>
      </c>
      <c r="H94" s="36" t="s">
        <v>764</v>
      </c>
      <c r="I94" s="34" t="s">
        <v>75</v>
      </c>
      <c r="J94" s="34" t="s">
        <v>76</v>
      </c>
      <c r="K94" s="37" t="s">
        <v>765</v>
      </c>
      <c r="L94" s="34">
        <f>IF(K94="","",IFERROR(ROUND((TODAY()-IF(ISNUMBER(K94),K94,DATEVALUE(K94)))/365.25, 1),""))</f>
        <v>0</v>
      </c>
      <c r="M94" s="34" t="s">
        <v>757</v>
      </c>
      <c r="N94" s="35" t="s">
        <v>82</v>
      </c>
      <c r="O94" s="34" t="s">
        <v>80</v>
      </c>
      <c r="P94" s="34" t="s">
        <v>81</v>
      </c>
      <c r="Q94" s="35" t="s">
        <v>82</v>
      </c>
      <c r="R94" s="34" t="s">
        <v>88</v>
      </c>
      <c r="S94" s="34" t="s">
        <v>12</v>
      </c>
      <c r="T94" s="34" t="s">
        <v>113</v>
      </c>
      <c r="U94" s="34" t="s">
        <v>85</v>
      </c>
      <c r="V94" s="35" t="s">
        <v>690</v>
      </c>
      <c r="W94" s="35" t="s">
        <v>766</v>
      </c>
      <c r="X94" s="34" t="s">
        <v>13</v>
      </c>
      <c r="Y94" s="37"/>
    </row>
    <row r="95" spans="1:25" ht="20" customHeight="1">
      <c r="A95" s="28">
        <v>93</v>
      </c>
      <c r="B95" s="28" t="s">
        <v>20</v>
      </c>
      <c r="C95" s="28" t="s">
        <v>21</v>
      </c>
      <c r="D95" s="29" t="s">
        <v>767</v>
      </c>
      <c r="E95" s="30" t="s">
        <v>768</v>
      </c>
      <c r="F95" s="30" t="s">
        <v>769</v>
      </c>
      <c r="G95" s="29" t="s">
        <v>770</v>
      </c>
      <c r="H95" s="30" t="s">
        <v>771</v>
      </c>
      <c r="I95" s="28" t="s">
        <v>75</v>
      </c>
      <c r="J95" s="28" t="s">
        <v>76</v>
      </c>
      <c r="K95" s="31" t="s">
        <v>129</v>
      </c>
      <c r="L95" s="28">
        <f>IF(K95="","",IFERROR(ROUND((TODAY()-IF(ISNUMBER(K95),K95,DATEVALUE(K95)))/365.25, 1),""))</f>
        <v>0</v>
      </c>
      <c r="M95" s="28" t="s">
        <v>757</v>
      </c>
      <c r="N95" s="29" t="s">
        <v>82</v>
      </c>
      <c r="O95" s="28" t="s">
        <v>80</v>
      </c>
      <c r="P95" s="28" t="s">
        <v>81</v>
      </c>
      <c r="Q95" s="29" t="s">
        <v>82</v>
      </c>
      <c r="R95" s="28" t="s">
        <v>88</v>
      </c>
      <c r="S95" s="28" t="s">
        <v>12</v>
      </c>
      <c r="T95" s="28" t="s">
        <v>113</v>
      </c>
      <c r="U95" s="28" t="s">
        <v>85</v>
      </c>
      <c r="V95" s="29" t="s">
        <v>772</v>
      </c>
      <c r="W95" s="29" t="s">
        <v>773</v>
      </c>
      <c r="X95" s="28" t="s">
        <v>13</v>
      </c>
      <c r="Y95" s="31"/>
    </row>
    <row r="96" spans="1:25" ht="20" customHeight="1">
      <c r="A96" s="34">
        <v>94</v>
      </c>
      <c r="B96" s="34" t="s">
        <v>20</v>
      </c>
      <c r="C96" s="34" t="s">
        <v>21</v>
      </c>
      <c r="D96" s="35" t="s">
        <v>774</v>
      </c>
      <c r="E96" s="36" t="s">
        <v>775</v>
      </c>
      <c r="F96" s="36" t="s">
        <v>776</v>
      </c>
      <c r="G96" s="35" t="s">
        <v>777</v>
      </c>
      <c r="H96" s="36" t="s">
        <v>778</v>
      </c>
      <c r="I96" s="34" t="s">
        <v>75</v>
      </c>
      <c r="J96" s="34" t="s">
        <v>76</v>
      </c>
      <c r="K96" s="37" t="s">
        <v>129</v>
      </c>
      <c r="L96" s="34">
        <f>IF(K96="","",IFERROR(ROUND((TODAY()-IF(ISNUMBER(K96),K96,DATEVALUE(K96)))/365.25, 1),""))</f>
        <v>0</v>
      </c>
      <c r="M96" s="34" t="s">
        <v>779</v>
      </c>
      <c r="N96" s="35" t="s">
        <v>82</v>
      </c>
      <c r="O96" s="34" t="s">
        <v>80</v>
      </c>
      <c r="P96" s="34" t="s">
        <v>81</v>
      </c>
      <c r="Q96" s="35" t="s">
        <v>82</v>
      </c>
      <c r="R96" s="34" t="s">
        <v>88</v>
      </c>
      <c r="S96" s="34" t="s">
        <v>11</v>
      </c>
      <c r="T96" s="34" t="s">
        <v>113</v>
      </c>
      <c r="U96" s="34" t="s">
        <v>85</v>
      </c>
      <c r="V96" s="35" t="s">
        <v>780</v>
      </c>
      <c r="W96" s="35" t="s">
        <v>781</v>
      </c>
      <c r="X96" s="34" t="s">
        <v>13</v>
      </c>
      <c r="Y96" s="37"/>
    </row>
    <row r="97" spans="1:25" ht="20" customHeight="1">
      <c r="A97" s="28">
        <v>95</v>
      </c>
      <c r="B97" s="28" t="s">
        <v>20</v>
      </c>
      <c r="C97" s="28" t="s">
        <v>21</v>
      </c>
      <c r="D97" s="29" t="s">
        <v>782</v>
      </c>
      <c r="E97" s="30" t="s">
        <v>783</v>
      </c>
      <c r="F97" s="30" t="s">
        <v>784</v>
      </c>
      <c r="G97" s="29" t="s">
        <v>785</v>
      </c>
      <c r="H97" s="30" t="s">
        <v>786</v>
      </c>
      <c r="I97" s="28" t="s">
        <v>75</v>
      </c>
      <c r="J97" s="28" t="s">
        <v>76</v>
      </c>
      <c r="K97" s="31" t="s">
        <v>129</v>
      </c>
      <c r="L97" s="28">
        <f>IF(K97="","",IFERROR(ROUND((TODAY()-IF(ISNUMBER(K97),K97,DATEVALUE(K97)))/365.25, 1),""))</f>
        <v>0</v>
      </c>
      <c r="M97" s="28" t="s">
        <v>553</v>
      </c>
      <c r="N97" s="29" t="s">
        <v>82</v>
      </c>
      <c r="O97" s="28" t="s">
        <v>80</v>
      </c>
      <c r="P97" s="28" t="s">
        <v>81</v>
      </c>
      <c r="Q97" s="29" t="s">
        <v>82</v>
      </c>
      <c r="R97" s="28" t="s">
        <v>88</v>
      </c>
      <c r="S97" s="28" t="s">
        <v>12</v>
      </c>
      <c r="T97" s="28" t="s">
        <v>113</v>
      </c>
      <c r="U97" s="28" t="s">
        <v>85</v>
      </c>
      <c r="V97" s="29" t="s">
        <v>787</v>
      </c>
      <c r="W97" s="29" t="s">
        <v>788</v>
      </c>
      <c r="X97" s="28" t="s">
        <v>14</v>
      </c>
      <c r="Y97" s="31" t="s">
        <v>789</v>
      </c>
    </row>
    <row r="98" spans="1:25" ht="20" customHeight="1">
      <c r="A98" s="34">
        <v>96</v>
      </c>
      <c r="B98" s="34" t="s">
        <v>20</v>
      </c>
      <c r="C98" s="34" t="s">
        <v>21</v>
      </c>
      <c r="D98" s="35" t="s">
        <v>790</v>
      </c>
      <c r="E98" s="36" t="s">
        <v>791</v>
      </c>
      <c r="F98" s="36" t="s">
        <v>792</v>
      </c>
      <c r="G98" s="35" t="s">
        <v>793</v>
      </c>
      <c r="H98" s="36" t="s">
        <v>794</v>
      </c>
      <c r="I98" s="34" t="s">
        <v>75</v>
      </c>
      <c r="J98" s="34" t="s">
        <v>76</v>
      </c>
      <c r="K98" s="37" t="s">
        <v>129</v>
      </c>
      <c r="L98" s="34">
        <f>IF(K98="","",IFERROR(ROUND((TODAY()-IF(ISNUMBER(K98),K98,DATEVALUE(K98)))/365.25, 1),""))</f>
        <v>0</v>
      </c>
      <c r="M98" s="34" t="s">
        <v>553</v>
      </c>
      <c r="N98" s="35" t="s">
        <v>82</v>
      </c>
      <c r="O98" s="34" t="s">
        <v>80</v>
      </c>
      <c r="P98" s="34" t="s">
        <v>81</v>
      </c>
      <c r="Q98" s="35" t="s">
        <v>82</v>
      </c>
      <c r="R98" s="34" t="s">
        <v>88</v>
      </c>
      <c r="S98" s="34" t="s">
        <v>12</v>
      </c>
      <c r="T98" s="34" t="s">
        <v>113</v>
      </c>
      <c r="U98" s="34" t="s">
        <v>85</v>
      </c>
      <c r="V98" s="35" t="s">
        <v>795</v>
      </c>
      <c r="W98" s="35" t="s">
        <v>796</v>
      </c>
      <c r="X98" s="34" t="s">
        <v>13</v>
      </c>
      <c r="Y98" s="37"/>
    </row>
    <row r="99" spans="1:25" ht="20" customHeight="1">
      <c r="A99" s="28">
        <v>97</v>
      </c>
      <c r="B99" s="28" t="s">
        <v>20</v>
      </c>
      <c r="C99" s="28" t="s">
        <v>21</v>
      </c>
      <c r="D99" s="29" t="s">
        <v>797</v>
      </c>
      <c r="E99" s="30" t="s">
        <v>798</v>
      </c>
      <c r="F99" s="30" t="s">
        <v>799</v>
      </c>
      <c r="G99" s="29" t="s">
        <v>800</v>
      </c>
      <c r="H99" s="30" t="s">
        <v>801</v>
      </c>
      <c r="I99" s="28" t="s">
        <v>75</v>
      </c>
      <c r="J99" s="28" t="s">
        <v>76</v>
      </c>
      <c r="K99" s="31" t="s">
        <v>129</v>
      </c>
      <c r="L99" s="28">
        <f>IF(K99="","",IFERROR(ROUND((TODAY()-IF(ISNUMBER(K99),K99,DATEVALUE(K99)))/365.25, 1),""))</f>
        <v>0</v>
      </c>
      <c r="M99" s="28" t="s">
        <v>553</v>
      </c>
      <c r="N99" s="29" t="s">
        <v>82</v>
      </c>
      <c r="O99" s="28" t="s">
        <v>80</v>
      </c>
      <c r="P99" s="28" t="s">
        <v>81</v>
      </c>
      <c r="Q99" s="29" t="s">
        <v>82</v>
      </c>
      <c r="R99" s="28" t="s">
        <v>88</v>
      </c>
      <c r="S99" s="28" t="s">
        <v>12</v>
      </c>
      <c r="T99" s="28" t="s">
        <v>113</v>
      </c>
      <c r="U99" s="28" t="s">
        <v>85</v>
      </c>
      <c r="V99" s="29" t="s">
        <v>802</v>
      </c>
      <c r="W99" s="29" t="s">
        <v>803</v>
      </c>
      <c r="X99" s="28" t="s">
        <v>13</v>
      </c>
      <c r="Y99" s="31"/>
    </row>
    <row r="100" spans="1:25" ht="20" customHeight="1">
      <c r="A100" s="34">
        <v>98</v>
      </c>
      <c r="B100" s="34" t="s">
        <v>20</v>
      </c>
      <c r="C100" s="34" t="s">
        <v>21</v>
      </c>
      <c r="D100" s="35" t="s">
        <v>804</v>
      </c>
      <c r="E100" s="36" t="s">
        <v>805</v>
      </c>
      <c r="F100" s="36" t="s">
        <v>806</v>
      </c>
      <c r="G100" s="35" t="s">
        <v>807</v>
      </c>
      <c r="H100" s="36" t="s">
        <v>808</v>
      </c>
      <c r="I100" s="34" t="s">
        <v>75</v>
      </c>
      <c r="J100" s="34" t="s">
        <v>76</v>
      </c>
      <c r="K100" s="37" t="s">
        <v>129</v>
      </c>
      <c r="L100" s="34">
        <f>IF(K100="","",IFERROR(ROUND((TODAY()-IF(ISNUMBER(K100),K100,DATEVALUE(K100)))/365.25, 1),""))</f>
        <v>0</v>
      </c>
      <c r="M100" s="34" t="s">
        <v>553</v>
      </c>
      <c r="N100" s="35" t="s">
        <v>82</v>
      </c>
      <c r="O100" s="34" t="s">
        <v>80</v>
      </c>
      <c r="P100" s="34" t="s">
        <v>81</v>
      </c>
      <c r="Q100" s="35" t="s">
        <v>82</v>
      </c>
      <c r="R100" s="34" t="s">
        <v>88</v>
      </c>
      <c r="S100" s="34" t="s">
        <v>12</v>
      </c>
      <c r="T100" s="34" t="s">
        <v>113</v>
      </c>
      <c r="U100" s="34" t="s">
        <v>85</v>
      </c>
      <c r="V100" s="35" t="s">
        <v>809</v>
      </c>
      <c r="W100" s="35" t="s">
        <v>810</v>
      </c>
      <c r="X100" s="34" t="s">
        <v>13</v>
      </c>
      <c r="Y100" s="37"/>
    </row>
    <row r="101" spans="1:25" ht="20" customHeight="1">
      <c r="A101" s="28">
        <v>99</v>
      </c>
      <c r="B101" s="28" t="s">
        <v>20</v>
      </c>
      <c r="C101" s="28" t="s">
        <v>21</v>
      </c>
      <c r="D101" s="29" t="s">
        <v>811</v>
      </c>
      <c r="E101" s="30" t="s">
        <v>812</v>
      </c>
      <c r="F101" s="30" t="s">
        <v>813</v>
      </c>
      <c r="G101" s="29" t="s">
        <v>814</v>
      </c>
      <c r="H101" s="30" t="s">
        <v>815</v>
      </c>
      <c r="I101" s="28" t="s">
        <v>75</v>
      </c>
      <c r="J101" s="28" t="s">
        <v>76</v>
      </c>
      <c r="K101" s="31" t="s">
        <v>129</v>
      </c>
      <c r="L101" s="28">
        <f>IF(K101="","",IFERROR(ROUND((TODAY()-IF(ISNUMBER(K101),K101,DATEVALUE(K101)))/365.25, 1),""))</f>
        <v>0</v>
      </c>
      <c r="M101" s="28" t="s">
        <v>553</v>
      </c>
      <c r="N101" s="29" t="s">
        <v>82</v>
      </c>
      <c r="O101" s="28" t="s">
        <v>80</v>
      </c>
      <c r="P101" s="28" t="s">
        <v>81</v>
      </c>
      <c r="Q101" s="29" t="s">
        <v>82</v>
      </c>
      <c r="R101" s="28" t="s">
        <v>88</v>
      </c>
      <c r="S101" s="28" t="s">
        <v>11</v>
      </c>
      <c r="T101" s="28" t="s">
        <v>113</v>
      </c>
      <c r="U101" s="28" t="s">
        <v>85</v>
      </c>
      <c r="V101" s="29" t="s">
        <v>816</v>
      </c>
      <c r="W101" s="29" t="s">
        <v>817</v>
      </c>
      <c r="X101" s="28" t="s">
        <v>13</v>
      </c>
      <c r="Y101" s="31"/>
    </row>
    <row r="102" spans="1:25" ht="20" customHeight="1">
      <c r="A102" s="34">
        <v>100</v>
      </c>
      <c r="B102" s="34" t="s">
        <v>20</v>
      </c>
      <c r="C102" s="34" t="s">
        <v>21</v>
      </c>
      <c r="D102" s="35" t="s">
        <v>818</v>
      </c>
      <c r="E102" s="36" t="s">
        <v>819</v>
      </c>
      <c r="F102" s="36" t="s">
        <v>820</v>
      </c>
      <c r="G102" s="35" t="s">
        <v>821</v>
      </c>
      <c r="H102" s="36" t="s">
        <v>822</v>
      </c>
      <c r="I102" s="34" t="s">
        <v>75</v>
      </c>
      <c r="J102" s="34" t="s">
        <v>76</v>
      </c>
      <c r="K102" s="37" t="s">
        <v>129</v>
      </c>
      <c r="L102" s="34">
        <f>IF(K102="","",IFERROR(ROUND((TODAY()-IF(ISNUMBER(K102),K102,DATEVALUE(K102)))/365.25, 1),""))</f>
        <v>0</v>
      </c>
      <c r="M102" s="34" t="s">
        <v>553</v>
      </c>
      <c r="N102" s="35" t="s">
        <v>82</v>
      </c>
      <c r="O102" s="34" t="s">
        <v>80</v>
      </c>
      <c r="P102" s="34" t="s">
        <v>81</v>
      </c>
      <c r="Q102" s="35" t="s">
        <v>82</v>
      </c>
      <c r="R102" s="34" t="s">
        <v>88</v>
      </c>
      <c r="S102" s="34" t="s">
        <v>12</v>
      </c>
      <c r="T102" s="34" t="s">
        <v>113</v>
      </c>
      <c r="U102" s="34" t="s">
        <v>85</v>
      </c>
      <c r="V102" s="35" t="s">
        <v>823</v>
      </c>
      <c r="W102" s="35" t="s">
        <v>824</v>
      </c>
      <c r="X102" s="34" t="s">
        <v>13</v>
      </c>
      <c r="Y102" s="37"/>
    </row>
    <row r="103" spans="1:25" ht="20" customHeight="1">
      <c r="A103" s="28">
        <v>101</v>
      </c>
      <c r="B103" s="28" t="s">
        <v>20</v>
      </c>
      <c r="C103" s="28" t="s">
        <v>21</v>
      </c>
      <c r="D103" s="29" t="s">
        <v>825</v>
      </c>
      <c r="E103" s="30" t="s">
        <v>826</v>
      </c>
      <c r="F103" s="30" t="s">
        <v>827</v>
      </c>
      <c r="G103" s="29" t="s">
        <v>828</v>
      </c>
      <c r="H103" s="30" t="s">
        <v>829</v>
      </c>
      <c r="I103" s="28" t="s">
        <v>75</v>
      </c>
      <c r="J103" s="28" t="s">
        <v>76</v>
      </c>
      <c r="K103" s="31" t="s">
        <v>129</v>
      </c>
      <c r="L103" s="28">
        <f>IF(K103="","",IFERROR(ROUND((TODAY()-IF(ISNUMBER(K103),K103,DATEVALUE(K103)))/365.25, 1),""))</f>
        <v>0</v>
      </c>
      <c r="M103" s="28" t="s">
        <v>553</v>
      </c>
      <c r="N103" s="29" t="s">
        <v>82</v>
      </c>
      <c r="O103" s="28" t="s">
        <v>80</v>
      </c>
      <c r="P103" s="28" t="s">
        <v>81</v>
      </c>
      <c r="Q103" s="29" t="s">
        <v>82</v>
      </c>
      <c r="R103" s="28" t="s">
        <v>88</v>
      </c>
      <c r="S103" s="28" t="s">
        <v>12</v>
      </c>
      <c r="T103" s="28" t="s">
        <v>113</v>
      </c>
      <c r="U103" s="28" t="s">
        <v>85</v>
      </c>
      <c r="V103" s="29" t="s">
        <v>830</v>
      </c>
      <c r="W103" s="29" t="s">
        <v>831</v>
      </c>
      <c r="X103" s="28" t="s">
        <v>13</v>
      </c>
      <c r="Y103" s="31"/>
    </row>
    <row r="104" spans="1:25" ht="20" customHeight="1">
      <c r="A104" s="34">
        <v>102</v>
      </c>
      <c r="B104" s="34" t="s">
        <v>20</v>
      </c>
      <c r="C104" s="34" t="s">
        <v>21</v>
      </c>
      <c r="D104" s="35" t="s">
        <v>832</v>
      </c>
      <c r="E104" s="36" t="s">
        <v>833</v>
      </c>
      <c r="F104" s="36" t="s">
        <v>834</v>
      </c>
      <c r="G104" s="35" t="s">
        <v>835</v>
      </c>
      <c r="H104" s="36" t="s">
        <v>836</v>
      </c>
      <c r="I104" s="34" t="s">
        <v>75</v>
      </c>
      <c r="J104" s="34" t="s">
        <v>76</v>
      </c>
      <c r="K104" s="37" t="s">
        <v>129</v>
      </c>
      <c r="L104" s="34">
        <f>IF(K104="","",IFERROR(ROUND((TODAY()-IF(ISNUMBER(K104),K104,DATEVALUE(K104)))/365.25, 1),""))</f>
        <v>0</v>
      </c>
      <c r="M104" s="34" t="s">
        <v>553</v>
      </c>
      <c r="N104" s="35" t="s">
        <v>82</v>
      </c>
      <c r="O104" s="34" t="s">
        <v>80</v>
      </c>
      <c r="P104" s="34" t="s">
        <v>81</v>
      </c>
      <c r="Q104" s="35" t="s">
        <v>82</v>
      </c>
      <c r="R104" s="34" t="s">
        <v>88</v>
      </c>
      <c r="S104" s="34" t="s">
        <v>12</v>
      </c>
      <c r="T104" s="34" t="s">
        <v>113</v>
      </c>
      <c r="U104" s="34" t="s">
        <v>85</v>
      </c>
      <c r="V104" s="35" t="s">
        <v>837</v>
      </c>
      <c r="W104" s="35" t="s">
        <v>838</v>
      </c>
      <c r="X104" s="34" t="s">
        <v>13</v>
      </c>
      <c r="Y104" s="37"/>
    </row>
    <row r="105" spans="1:25" ht="20" customHeight="1">
      <c r="A105" s="28">
        <v>103</v>
      </c>
      <c r="B105" s="28" t="s">
        <v>20</v>
      </c>
      <c r="C105" s="28" t="s">
        <v>21</v>
      </c>
      <c r="D105" s="29" t="s">
        <v>839</v>
      </c>
      <c r="E105" s="30" t="s">
        <v>840</v>
      </c>
      <c r="F105" s="30" t="s">
        <v>841</v>
      </c>
      <c r="G105" s="29" t="s">
        <v>842</v>
      </c>
      <c r="H105" s="30" t="s">
        <v>843</v>
      </c>
      <c r="I105" s="28" t="s">
        <v>75</v>
      </c>
      <c r="J105" s="28" t="s">
        <v>76</v>
      </c>
      <c r="K105" s="31" t="s">
        <v>129</v>
      </c>
      <c r="L105" s="28">
        <f>IF(K105="","",IFERROR(ROUND((TODAY()-IF(ISNUMBER(K105),K105,DATEVALUE(K105)))/365.25, 1),""))</f>
        <v>0</v>
      </c>
      <c r="M105" s="28" t="s">
        <v>553</v>
      </c>
      <c r="N105" s="29" t="s">
        <v>82</v>
      </c>
      <c r="O105" s="28" t="s">
        <v>80</v>
      </c>
      <c r="P105" s="28" t="s">
        <v>81</v>
      </c>
      <c r="Q105" s="29" t="s">
        <v>82</v>
      </c>
      <c r="R105" s="28" t="s">
        <v>88</v>
      </c>
      <c r="S105" s="28" t="s">
        <v>12</v>
      </c>
      <c r="T105" s="28" t="s">
        <v>113</v>
      </c>
      <c r="U105" s="28" t="s">
        <v>85</v>
      </c>
      <c r="V105" s="29" t="s">
        <v>844</v>
      </c>
      <c r="W105" s="29" t="s">
        <v>845</v>
      </c>
      <c r="X105" s="28" t="s">
        <v>13</v>
      </c>
      <c r="Y105" s="31"/>
    </row>
    <row r="106" spans="1:25" ht="20" customHeight="1">
      <c r="A106" s="34">
        <v>104</v>
      </c>
      <c r="B106" s="34" t="s">
        <v>20</v>
      </c>
      <c r="C106" s="34" t="s">
        <v>21</v>
      </c>
      <c r="D106" s="35" t="s">
        <v>846</v>
      </c>
      <c r="E106" s="36" t="s">
        <v>847</v>
      </c>
      <c r="F106" s="36" t="s">
        <v>848</v>
      </c>
      <c r="G106" s="35" t="s">
        <v>849</v>
      </c>
      <c r="H106" s="36" t="s">
        <v>850</v>
      </c>
      <c r="I106" s="34" t="s">
        <v>75</v>
      </c>
      <c r="J106" s="34" t="s">
        <v>76</v>
      </c>
      <c r="K106" s="37" t="s">
        <v>129</v>
      </c>
      <c r="L106" s="34">
        <f>IF(K106="","",IFERROR(ROUND((TODAY()-IF(ISNUMBER(K106),K106,DATEVALUE(K106)))/365.25, 1),""))</f>
        <v>0</v>
      </c>
      <c r="M106" s="34" t="s">
        <v>553</v>
      </c>
      <c r="N106" s="35" t="s">
        <v>82</v>
      </c>
      <c r="O106" s="34" t="s">
        <v>80</v>
      </c>
      <c r="P106" s="34" t="s">
        <v>81</v>
      </c>
      <c r="Q106" s="35" t="s">
        <v>82</v>
      </c>
      <c r="R106" s="34" t="s">
        <v>88</v>
      </c>
      <c r="S106" s="34" t="s">
        <v>12</v>
      </c>
      <c r="T106" s="34" t="s">
        <v>113</v>
      </c>
      <c r="U106" s="34" t="s">
        <v>85</v>
      </c>
      <c r="V106" s="35" t="s">
        <v>851</v>
      </c>
      <c r="W106" s="35" t="s">
        <v>852</v>
      </c>
      <c r="X106" s="34" t="s">
        <v>13</v>
      </c>
      <c r="Y106" s="37"/>
    </row>
    <row r="107" spans="1:25" ht="20" customHeight="1">
      <c r="A107" s="28">
        <v>105</v>
      </c>
      <c r="B107" s="28" t="s">
        <v>20</v>
      </c>
      <c r="C107" s="28" t="s">
        <v>21</v>
      </c>
      <c r="D107" s="29" t="s">
        <v>853</v>
      </c>
      <c r="E107" s="30" t="s">
        <v>820</v>
      </c>
      <c r="F107" s="30" t="s">
        <v>854</v>
      </c>
      <c r="G107" s="29" t="s">
        <v>855</v>
      </c>
      <c r="H107" s="30" t="s">
        <v>815</v>
      </c>
      <c r="I107" s="28" t="s">
        <v>75</v>
      </c>
      <c r="J107" s="28" t="s">
        <v>76</v>
      </c>
      <c r="K107" s="31" t="s">
        <v>129</v>
      </c>
      <c r="L107" s="28">
        <f>IF(K107="","",IFERROR(ROUND((TODAY()-IF(ISNUMBER(K107),K107,DATEVALUE(K107)))/365.25, 1),""))</f>
        <v>0</v>
      </c>
      <c r="M107" s="28" t="s">
        <v>553</v>
      </c>
      <c r="N107" s="29" t="s">
        <v>82</v>
      </c>
      <c r="O107" s="28" t="s">
        <v>80</v>
      </c>
      <c r="P107" s="28" t="s">
        <v>81</v>
      </c>
      <c r="Q107" s="29" t="s">
        <v>82</v>
      </c>
      <c r="R107" s="28" t="s">
        <v>88</v>
      </c>
      <c r="S107" s="28" t="s">
        <v>12</v>
      </c>
      <c r="T107" s="28" t="s">
        <v>113</v>
      </c>
      <c r="U107" s="28" t="s">
        <v>85</v>
      </c>
      <c r="V107" s="29" t="s">
        <v>856</v>
      </c>
      <c r="W107" s="29" t="s">
        <v>857</v>
      </c>
      <c r="X107" s="28" t="s">
        <v>13</v>
      </c>
      <c r="Y107" s="31"/>
    </row>
    <row r="108" spans="1:25" ht="20" customHeight="1">
      <c r="A108" s="34">
        <v>106</v>
      </c>
      <c r="B108" s="34" t="s">
        <v>20</v>
      </c>
      <c r="C108" s="34" t="s">
        <v>21</v>
      </c>
      <c r="D108" s="35" t="s">
        <v>858</v>
      </c>
      <c r="E108" s="36" t="s">
        <v>859</v>
      </c>
      <c r="F108" s="36" t="s">
        <v>860</v>
      </c>
      <c r="G108" s="35" t="s">
        <v>861</v>
      </c>
      <c r="H108" s="36" t="s">
        <v>862</v>
      </c>
      <c r="I108" s="34" t="s">
        <v>75</v>
      </c>
      <c r="J108" s="34" t="s">
        <v>76</v>
      </c>
      <c r="K108" s="37" t="s">
        <v>129</v>
      </c>
      <c r="L108" s="34">
        <f>IF(K108="","",IFERROR(ROUND((TODAY()-IF(ISNUMBER(K108),K108,DATEVALUE(K108)))/365.25, 1),""))</f>
        <v>0</v>
      </c>
      <c r="M108" s="34" t="s">
        <v>553</v>
      </c>
      <c r="N108" s="35" t="s">
        <v>82</v>
      </c>
      <c r="O108" s="34" t="s">
        <v>80</v>
      </c>
      <c r="P108" s="34" t="s">
        <v>81</v>
      </c>
      <c r="Q108" s="35" t="s">
        <v>82</v>
      </c>
      <c r="R108" s="34" t="s">
        <v>88</v>
      </c>
      <c r="S108" s="34" t="s">
        <v>12</v>
      </c>
      <c r="T108" s="34" t="s">
        <v>113</v>
      </c>
      <c r="U108" s="34" t="s">
        <v>85</v>
      </c>
      <c r="V108" s="35" t="s">
        <v>863</v>
      </c>
      <c r="W108" s="35" t="s">
        <v>864</v>
      </c>
      <c r="X108" s="34" t="s">
        <v>13</v>
      </c>
      <c r="Y108" s="37"/>
    </row>
    <row r="109" spans="1:25" ht="20" customHeight="1">
      <c r="A109" s="28">
        <v>107</v>
      </c>
      <c r="B109" s="28" t="s">
        <v>20</v>
      </c>
      <c r="C109" s="28" t="s">
        <v>21</v>
      </c>
      <c r="D109" s="29" t="s">
        <v>865</v>
      </c>
      <c r="E109" s="30" t="s">
        <v>866</v>
      </c>
      <c r="F109" s="30" t="s">
        <v>867</v>
      </c>
      <c r="G109" s="29" t="s">
        <v>868</v>
      </c>
      <c r="H109" s="30" t="s">
        <v>869</v>
      </c>
      <c r="I109" s="28" t="s">
        <v>75</v>
      </c>
      <c r="J109" s="28" t="s">
        <v>76</v>
      </c>
      <c r="K109" s="31" t="s">
        <v>129</v>
      </c>
      <c r="L109" s="28">
        <f>IF(K109="","",IFERROR(ROUND((TODAY()-IF(ISNUMBER(K109),K109,DATEVALUE(K109)))/365.25, 1),""))</f>
        <v>0</v>
      </c>
      <c r="M109" s="28" t="s">
        <v>553</v>
      </c>
      <c r="N109" s="29" t="s">
        <v>82</v>
      </c>
      <c r="O109" s="28" t="s">
        <v>80</v>
      </c>
      <c r="P109" s="28" t="s">
        <v>81</v>
      </c>
      <c r="Q109" s="29" t="s">
        <v>82</v>
      </c>
      <c r="R109" s="28" t="s">
        <v>88</v>
      </c>
      <c r="S109" s="28" t="s">
        <v>12</v>
      </c>
      <c r="T109" s="28" t="s">
        <v>113</v>
      </c>
      <c r="U109" s="28" t="s">
        <v>85</v>
      </c>
      <c r="V109" s="29" t="s">
        <v>870</v>
      </c>
      <c r="W109" s="29" t="s">
        <v>871</v>
      </c>
      <c r="X109" s="28" t="s">
        <v>13</v>
      </c>
      <c r="Y109" s="31"/>
    </row>
    <row r="110" spans="1:25" ht="20" customHeight="1">
      <c r="A110" s="34">
        <v>108</v>
      </c>
      <c r="B110" s="34" t="s">
        <v>20</v>
      </c>
      <c r="C110" s="34" t="s">
        <v>21</v>
      </c>
      <c r="D110" s="35" t="s">
        <v>872</v>
      </c>
      <c r="E110" s="36" t="s">
        <v>873</v>
      </c>
      <c r="F110" s="36" t="s">
        <v>874</v>
      </c>
      <c r="G110" s="35" t="s">
        <v>875</v>
      </c>
      <c r="H110" s="36" t="s">
        <v>876</v>
      </c>
      <c r="I110" s="34" t="s">
        <v>75</v>
      </c>
      <c r="J110" s="34" t="s">
        <v>76</v>
      </c>
      <c r="K110" s="37" t="s">
        <v>129</v>
      </c>
      <c r="L110" s="34">
        <f>IF(K110="","",IFERROR(ROUND((TODAY()-IF(ISNUMBER(K110),K110,DATEVALUE(K110)))/365.25, 1),""))</f>
        <v>0</v>
      </c>
      <c r="M110" s="34" t="s">
        <v>553</v>
      </c>
      <c r="N110" s="35" t="s">
        <v>82</v>
      </c>
      <c r="O110" s="34" t="s">
        <v>80</v>
      </c>
      <c r="P110" s="34" t="s">
        <v>81</v>
      </c>
      <c r="Q110" s="35" t="s">
        <v>82</v>
      </c>
      <c r="R110" s="34" t="s">
        <v>88</v>
      </c>
      <c r="S110" s="34" t="s">
        <v>12</v>
      </c>
      <c r="T110" s="34" t="s">
        <v>113</v>
      </c>
      <c r="U110" s="34" t="s">
        <v>85</v>
      </c>
      <c r="V110" s="35" t="s">
        <v>877</v>
      </c>
      <c r="W110" s="35" t="s">
        <v>878</v>
      </c>
      <c r="X110" s="34" t="s">
        <v>13</v>
      </c>
      <c r="Y110" s="37"/>
    </row>
    <row r="111" spans="1:25" ht="20" customHeight="1">
      <c r="A111" s="28">
        <v>109</v>
      </c>
      <c r="B111" s="28" t="s">
        <v>20</v>
      </c>
      <c r="C111" s="28" t="s">
        <v>21</v>
      </c>
      <c r="D111" s="29" t="s">
        <v>879</v>
      </c>
      <c r="E111" s="30" t="s">
        <v>880</v>
      </c>
      <c r="F111" s="30" t="s">
        <v>881</v>
      </c>
      <c r="G111" s="29" t="s">
        <v>882</v>
      </c>
      <c r="H111" s="30" t="s">
        <v>883</v>
      </c>
      <c r="I111" s="28" t="s">
        <v>75</v>
      </c>
      <c r="J111" s="28" t="s">
        <v>76</v>
      </c>
      <c r="K111" s="31" t="s">
        <v>884</v>
      </c>
      <c r="L111" s="28">
        <f>IF(K111="","",IFERROR(ROUND((TODAY()-IF(ISNUMBER(K111),K111,DATEVALUE(K111)))/365.25, 1),""))</f>
        <v>0</v>
      </c>
      <c r="M111" s="28" t="s">
        <v>553</v>
      </c>
      <c r="N111" s="29" t="s">
        <v>82</v>
      </c>
      <c r="O111" s="28" t="s">
        <v>80</v>
      </c>
      <c r="P111" s="28" t="s">
        <v>81</v>
      </c>
      <c r="Q111" s="29" t="s">
        <v>82</v>
      </c>
      <c r="R111" s="28" t="s">
        <v>88</v>
      </c>
      <c r="S111" s="28" t="s">
        <v>11</v>
      </c>
      <c r="T111" s="28" t="s">
        <v>113</v>
      </c>
      <c r="U111" s="28" t="s">
        <v>85</v>
      </c>
      <c r="V111" s="29" t="s">
        <v>885</v>
      </c>
      <c r="W111" s="29" t="s">
        <v>886</v>
      </c>
      <c r="X111" s="28" t="s">
        <v>13</v>
      </c>
      <c r="Y111" s="31"/>
    </row>
    <row r="112" spans="1:25" ht="20" customHeight="1">
      <c r="A112" s="34">
        <v>110</v>
      </c>
      <c r="B112" s="34" t="s">
        <v>20</v>
      </c>
      <c r="C112" s="34" t="s">
        <v>21</v>
      </c>
      <c r="D112" s="35" t="s">
        <v>887</v>
      </c>
      <c r="E112" s="36" t="s">
        <v>888</v>
      </c>
      <c r="F112" s="36" t="s">
        <v>595</v>
      </c>
      <c r="G112" s="35" t="s">
        <v>889</v>
      </c>
      <c r="H112" s="36" t="s">
        <v>890</v>
      </c>
      <c r="I112" s="34" t="s">
        <v>75</v>
      </c>
      <c r="J112" s="34" t="s">
        <v>76</v>
      </c>
      <c r="K112" s="37" t="s">
        <v>129</v>
      </c>
      <c r="L112" s="34">
        <f>IF(K112="","",IFERROR(ROUND((TODAY()-IF(ISNUMBER(K112),K112,DATEVALUE(K112)))/365.25, 1),""))</f>
        <v>0</v>
      </c>
      <c r="M112" s="34" t="s">
        <v>553</v>
      </c>
      <c r="N112" s="35" t="s">
        <v>82</v>
      </c>
      <c r="O112" s="34" t="s">
        <v>80</v>
      </c>
      <c r="P112" s="34" t="s">
        <v>81</v>
      </c>
      <c r="Q112" s="35" t="s">
        <v>82</v>
      </c>
      <c r="R112" s="34" t="s">
        <v>88</v>
      </c>
      <c r="S112" s="34" t="s">
        <v>12</v>
      </c>
      <c r="T112" s="34" t="s">
        <v>113</v>
      </c>
      <c r="U112" s="34" t="s">
        <v>85</v>
      </c>
      <c r="V112" s="35" t="s">
        <v>891</v>
      </c>
      <c r="W112" s="35" t="s">
        <v>892</v>
      </c>
      <c r="X112" s="34" t="s">
        <v>13</v>
      </c>
      <c r="Y112" s="37"/>
    </row>
    <row r="113" spans="1:25" ht="20" customHeight="1">
      <c r="A113" s="28">
        <v>111</v>
      </c>
      <c r="B113" s="28" t="s">
        <v>20</v>
      </c>
      <c r="C113" s="28" t="s">
        <v>21</v>
      </c>
      <c r="D113" s="29" t="s">
        <v>893</v>
      </c>
      <c r="E113" s="30" t="s">
        <v>894</v>
      </c>
      <c r="F113" s="30" t="s">
        <v>895</v>
      </c>
      <c r="G113" s="29" t="s">
        <v>896</v>
      </c>
      <c r="H113" s="30" t="s">
        <v>897</v>
      </c>
      <c r="I113" s="28" t="s">
        <v>75</v>
      </c>
      <c r="J113" s="28" t="s">
        <v>76</v>
      </c>
      <c r="K113" s="31" t="s">
        <v>129</v>
      </c>
      <c r="L113" s="28">
        <f>IF(K113="","",IFERROR(ROUND((TODAY()-IF(ISNUMBER(K113),K113,DATEVALUE(K113)))/365.25, 1),""))</f>
        <v>0</v>
      </c>
      <c r="M113" s="28" t="s">
        <v>553</v>
      </c>
      <c r="N113" s="29" t="s">
        <v>82</v>
      </c>
      <c r="O113" s="28" t="s">
        <v>80</v>
      </c>
      <c r="P113" s="28" t="s">
        <v>81</v>
      </c>
      <c r="Q113" s="29" t="s">
        <v>82</v>
      </c>
      <c r="R113" s="28" t="s">
        <v>88</v>
      </c>
      <c r="S113" s="28" t="s">
        <v>12</v>
      </c>
      <c r="T113" s="28" t="s">
        <v>113</v>
      </c>
      <c r="U113" s="28" t="s">
        <v>85</v>
      </c>
      <c r="V113" s="29" t="s">
        <v>898</v>
      </c>
      <c r="W113" s="29" t="s">
        <v>899</v>
      </c>
      <c r="X113" s="28" t="s">
        <v>13</v>
      </c>
      <c r="Y113" s="31"/>
    </row>
    <row r="114" spans="1:25" ht="20" customHeight="1">
      <c r="A114" s="34">
        <v>112</v>
      </c>
      <c r="B114" s="34" t="s">
        <v>20</v>
      </c>
      <c r="C114" s="34" t="s">
        <v>21</v>
      </c>
      <c r="D114" s="35" t="s">
        <v>900</v>
      </c>
      <c r="E114" s="36" t="s">
        <v>901</v>
      </c>
      <c r="F114" s="36" t="s">
        <v>902</v>
      </c>
      <c r="G114" s="35" t="s">
        <v>903</v>
      </c>
      <c r="H114" s="36" t="s">
        <v>904</v>
      </c>
      <c r="I114" s="34" t="s">
        <v>75</v>
      </c>
      <c r="J114" s="34" t="s">
        <v>76</v>
      </c>
      <c r="K114" s="37" t="s">
        <v>905</v>
      </c>
      <c r="L114" s="34">
        <f>IF(K114="","",IFERROR(ROUND((TODAY()-IF(ISNUMBER(K114),K114,DATEVALUE(K114)))/365.25, 1),""))</f>
        <v>0</v>
      </c>
      <c r="M114" s="34" t="s">
        <v>553</v>
      </c>
      <c r="N114" s="35" t="s">
        <v>82</v>
      </c>
      <c r="O114" s="34" t="s">
        <v>80</v>
      </c>
      <c r="P114" s="34" t="s">
        <v>81</v>
      </c>
      <c r="Q114" s="35" t="s">
        <v>82</v>
      </c>
      <c r="R114" s="34" t="s">
        <v>88</v>
      </c>
      <c r="S114" s="34" t="s">
        <v>12</v>
      </c>
      <c r="T114" s="34" t="s">
        <v>113</v>
      </c>
      <c r="U114" s="34" t="s">
        <v>85</v>
      </c>
      <c r="V114" s="35" t="s">
        <v>906</v>
      </c>
      <c r="W114" s="35" t="s">
        <v>907</v>
      </c>
      <c r="X114" s="34" t="s">
        <v>13</v>
      </c>
      <c r="Y114" s="37"/>
    </row>
    <row r="115" spans="1:25" ht="20" customHeight="1">
      <c r="A115" s="28">
        <v>113</v>
      </c>
      <c r="B115" s="28" t="s">
        <v>20</v>
      </c>
      <c r="C115" s="28" t="s">
        <v>21</v>
      </c>
      <c r="D115" s="29" t="s">
        <v>908</v>
      </c>
      <c r="E115" s="30" t="s">
        <v>909</v>
      </c>
      <c r="F115" s="30" t="s">
        <v>910</v>
      </c>
      <c r="G115" s="29" t="s">
        <v>911</v>
      </c>
      <c r="H115" s="30" t="s">
        <v>912</v>
      </c>
      <c r="I115" s="28" t="s">
        <v>75</v>
      </c>
      <c r="J115" s="28" t="s">
        <v>76</v>
      </c>
      <c r="K115" s="31" t="s">
        <v>102</v>
      </c>
      <c r="L115" s="28">
        <f>IF(K115="","",IFERROR(ROUND((TODAY()-IF(ISNUMBER(K115),K115,DATEVALUE(K115)))/365.25, 1),""))</f>
        <v>0</v>
      </c>
      <c r="M115" s="28" t="s">
        <v>553</v>
      </c>
      <c r="N115" s="29" t="s">
        <v>82</v>
      </c>
      <c r="O115" s="28" t="s">
        <v>80</v>
      </c>
      <c r="P115" s="28" t="s">
        <v>81</v>
      </c>
      <c r="Q115" s="29" t="s">
        <v>82</v>
      </c>
      <c r="R115" s="28" t="s">
        <v>88</v>
      </c>
      <c r="S115" s="28" t="s">
        <v>12</v>
      </c>
      <c r="T115" s="28" t="s">
        <v>113</v>
      </c>
      <c r="U115" s="28" t="s">
        <v>85</v>
      </c>
      <c r="V115" s="29" t="s">
        <v>913</v>
      </c>
      <c r="W115" s="29" t="s">
        <v>914</v>
      </c>
      <c r="X115" s="28" t="s">
        <v>13</v>
      </c>
      <c r="Y115" s="31"/>
    </row>
    <row r="116" spans="1:25" ht="20" customHeight="1">
      <c r="A116" s="34">
        <v>114</v>
      </c>
      <c r="B116" s="34" t="s">
        <v>20</v>
      </c>
      <c r="C116" s="34" t="s">
        <v>21</v>
      </c>
      <c r="D116" s="35" t="s">
        <v>915</v>
      </c>
      <c r="E116" s="36" t="s">
        <v>916</v>
      </c>
      <c r="F116" s="36" t="s">
        <v>917</v>
      </c>
      <c r="G116" s="35" t="s">
        <v>918</v>
      </c>
      <c r="H116" s="36" t="s">
        <v>919</v>
      </c>
      <c r="I116" s="34" t="s">
        <v>75</v>
      </c>
      <c r="J116" s="34" t="s">
        <v>76</v>
      </c>
      <c r="K116" s="37" t="s">
        <v>920</v>
      </c>
      <c r="L116" s="34">
        <f>IF(K116="","",IFERROR(ROUND((TODAY()-IF(ISNUMBER(K116),K116,DATEVALUE(K116)))/365.25, 1),""))</f>
        <v>0</v>
      </c>
      <c r="M116" s="34" t="s">
        <v>553</v>
      </c>
      <c r="N116" s="35" t="s">
        <v>82</v>
      </c>
      <c r="O116" s="34" t="s">
        <v>80</v>
      </c>
      <c r="P116" s="34" t="s">
        <v>81</v>
      </c>
      <c r="Q116" s="35" t="s">
        <v>82</v>
      </c>
      <c r="R116" s="34" t="s">
        <v>88</v>
      </c>
      <c r="S116" s="34" t="s">
        <v>12</v>
      </c>
      <c r="T116" s="34" t="s">
        <v>113</v>
      </c>
      <c r="U116" s="34" t="s">
        <v>85</v>
      </c>
      <c r="V116" s="35" t="s">
        <v>921</v>
      </c>
      <c r="W116" s="35" t="s">
        <v>922</v>
      </c>
      <c r="X116" s="34" t="s">
        <v>14</v>
      </c>
      <c r="Y116" s="37" t="s">
        <v>923</v>
      </c>
    </row>
    <row r="117" spans="1:25" ht="20" customHeight="1">
      <c r="A117" s="28">
        <v>115</v>
      </c>
      <c r="B117" s="28" t="s">
        <v>20</v>
      </c>
      <c r="C117" s="28" t="s">
        <v>21</v>
      </c>
      <c r="D117" s="29" t="s">
        <v>924</v>
      </c>
      <c r="E117" s="30" t="s">
        <v>925</v>
      </c>
      <c r="F117" s="30" t="s">
        <v>926</v>
      </c>
      <c r="G117" s="29" t="s">
        <v>927</v>
      </c>
      <c r="H117" s="30" t="s">
        <v>928</v>
      </c>
      <c r="I117" s="28" t="s">
        <v>75</v>
      </c>
      <c r="J117" s="28" t="s">
        <v>76</v>
      </c>
      <c r="K117" s="31" t="s">
        <v>93</v>
      </c>
      <c r="L117" s="28">
        <f>IF(K117="","",IFERROR(ROUND((TODAY()-IF(ISNUMBER(K117),K117,DATEVALUE(K117)))/365.25, 1),""))</f>
        <v>0</v>
      </c>
      <c r="M117" s="28" t="s">
        <v>553</v>
      </c>
      <c r="N117" s="29" t="s">
        <v>82</v>
      </c>
      <c r="O117" s="28" t="s">
        <v>80</v>
      </c>
      <c r="P117" s="28" t="s">
        <v>81</v>
      </c>
      <c r="Q117" s="29" t="s">
        <v>82</v>
      </c>
      <c r="R117" s="28" t="s">
        <v>88</v>
      </c>
      <c r="S117" s="28" t="s">
        <v>12</v>
      </c>
      <c r="T117" s="28" t="s">
        <v>113</v>
      </c>
      <c r="U117" s="28" t="s">
        <v>85</v>
      </c>
      <c r="V117" s="29" t="s">
        <v>929</v>
      </c>
      <c r="W117" s="29" t="s">
        <v>930</v>
      </c>
      <c r="X117" s="28" t="s">
        <v>13</v>
      </c>
      <c r="Y117" s="31"/>
    </row>
    <row r="118" spans="1:25" ht="20" customHeight="1">
      <c r="A118" s="34">
        <v>116</v>
      </c>
      <c r="B118" s="34" t="s">
        <v>20</v>
      </c>
      <c r="C118" s="34" t="s">
        <v>21</v>
      </c>
      <c r="D118" s="35" t="s">
        <v>931</v>
      </c>
      <c r="E118" s="36" t="s">
        <v>932</v>
      </c>
      <c r="F118" s="36" t="s">
        <v>933</v>
      </c>
      <c r="G118" s="35" t="s">
        <v>934</v>
      </c>
      <c r="H118" s="36" t="s">
        <v>935</v>
      </c>
      <c r="I118" s="34" t="s">
        <v>75</v>
      </c>
      <c r="J118" s="34" t="s">
        <v>92</v>
      </c>
      <c r="K118" s="37" t="s">
        <v>93</v>
      </c>
      <c r="L118" s="34">
        <f>IF(K118="","",IFERROR(ROUND((TODAY()-IF(ISNUMBER(K118),K118,DATEVALUE(K118)))/365.25, 1),""))</f>
        <v>0</v>
      </c>
      <c r="M118" s="34" t="s">
        <v>507</v>
      </c>
      <c r="N118" s="35" t="s">
        <v>82</v>
      </c>
      <c r="O118" s="34" t="s">
        <v>111</v>
      </c>
      <c r="P118" s="34" t="s">
        <v>112</v>
      </c>
      <c r="Q118" s="35" t="s">
        <v>82</v>
      </c>
      <c r="R118" s="34" t="s">
        <v>88</v>
      </c>
      <c r="S118" s="34" t="s">
        <v>11</v>
      </c>
      <c r="T118" s="34" t="s">
        <v>113</v>
      </c>
      <c r="U118" s="34" t="s">
        <v>85</v>
      </c>
      <c r="V118" s="35" t="s">
        <v>936</v>
      </c>
      <c r="W118" s="35" t="s">
        <v>937</v>
      </c>
      <c r="X118" s="34" t="s">
        <v>13</v>
      </c>
      <c r="Y118" s="37"/>
    </row>
    <row r="119" spans="1:25" ht="20" customHeight="1">
      <c r="A119" s="28">
        <v>117</v>
      </c>
      <c r="B119" s="28" t="s">
        <v>20</v>
      </c>
      <c r="C119" s="28" t="s">
        <v>21</v>
      </c>
      <c r="D119" s="29" t="s">
        <v>938</v>
      </c>
      <c r="E119" s="30" t="s">
        <v>939</v>
      </c>
      <c r="F119" s="30" t="s">
        <v>940</v>
      </c>
      <c r="G119" s="29" t="s">
        <v>941</v>
      </c>
      <c r="H119" s="30" t="s">
        <v>942</v>
      </c>
      <c r="I119" s="28" t="s">
        <v>75</v>
      </c>
      <c r="J119" s="28" t="s">
        <v>92</v>
      </c>
      <c r="K119" s="31" t="s">
        <v>93</v>
      </c>
      <c r="L119" s="28">
        <f>IF(K119="","",IFERROR(ROUND((TODAY()-IF(ISNUMBER(K119),K119,DATEVALUE(K119)))/365.25, 1),""))</f>
        <v>0</v>
      </c>
      <c r="M119" s="28" t="s">
        <v>507</v>
      </c>
      <c r="N119" s="29" t="s">
        <v>82</v>
      </c>
      <c r="O119" s="28" t="s">
        <v>111</v>
      </c>
      <c r="P119" s="28" t="s">
        <v>112</v>
      </c>
      <c r="Q119" s="29" t="s">
        <v>82</v>
      </c>
      <c r="R119" s="28" t="s">
        <v>88</v>
      </c>
      <c r="S119" s="28" t="s">
        <v>11</v>
      </c>
      <c r="T119" s="28" t="s">
        <v>113</v>
      </c>
      <c r="U119" s="28" t="s">
        <v>85</v>
      </c>
      <c r="V119" s="29" t="s">
        <v>943</v>
      </c>
      <c r="W119" s="29" t="s">
        <v>944</v>
      </c>
      <c r="X119" s="28" t="s">
        <v>13</v>
      </c>
      <c r="Y119" s="31"/>
    </row>
    <row r="120" spans="1:25" ht="20" customHeight="1">
      <c r="A120" s="34">
        <v>118</v>
      </c>
      <c r="B120" s="34" t="s">
        <v>20</v>
      </c>
      <c r="C120" s="34" t="s">
        <v>21</v>
      </c>
      <c r="D120" s="35" t="s">
        <v>945</v>
      </c>
      <c r="E120" s="36" t="s">
        <v>946</v>
      </c>
      <c r="F120" s="36" t="s">
        <v>947</v>
      </c>
      <c r="G120" s="35" t="s">
        <v>948</v>
      </c>
      <c r="H120" s="36" t="s">
        <v>949</v>
      </c>
      <c r="I120" s="34" t="s">
        <v>75</v>
      </c>
      <c r="J120" s="34" t="s">
        <v>92</v>
      </c>
      <c r="K120" s="37" t="s">
        <v>950</v>
      </c>
      <c r="L120" s="34">
        <f>IF(K120="","",IFERROR(ROUND((TODAY()-IF(ISNUMBER(K120),K120,DATEVALUE(K120)))/365.25, 1),""))</f>
        <v>0</v>
      </c>
      <c r="M120" s="34" t="s">
        <v>507</v>
      </c>
      <c r="N120" s="35" t="s">
        <v>82</v>
      </c>
      <c r="O120" s="34" t="s">
        <v>111</v>
      </c>
      <c r="P120" s="34" t="s">
        <v>112</v>
      </c>
      <c r="Q120" s="35" t="s">
        <v>82</v>
      </c>
      <c r="R120" s="34" t="s">
        <v>88</v>
      </c>
      <c r="S120" s="34" t="s">
        <v>12</v>
      </c>
      <c r="T120" s="34" t="s">
        <v>113</v>
      </c>
      <c r="U120" s="34" t="s">
        <v>85</v>
      </c>
      <c r="V120" s="35" t="s">
        <v>951</v>
      </c>
      <c r="W120" s="35" t="s">
        <v>952</v>
      </c>
      <c r="X120" s="34" t="s">
        <v>13</v>
      </c>
      <c r="Y120" s="37"/>
    </row>
    <row r="121" spans="1:25" ht="20" customHeight="1">
      <c r="A121" s="28">
        <v>119</v>
      </c>
      <c r="B121" s="28" t="s">
        <v>20</v>
      </c>
      <c r="C121" s="28" t="s">
        <v>21</v>
      </c>
      <c r="D121" s="29" t="s">
        <v>953</v>
      </c>
      <c r="E121" s="30" t="s">
        <v>954</v>
      </c>
      <c r="F121" s="30" t="s">
        <v>955</v>
      </c>
      <c r="G121" s="29" t="s">
        <v>956</v>
      </c>
      <c r="H121" s="30" t="s">
        <v>957</v>
      </c>
      <c r="I121" s="28" t="s">
        <v>128</v>
      </c>
      <c r="J121" s="28" t="s">
        <v>92</v>
      </c>
      <c r="K121" s="31" t="s">
        <v>448</v>
      </c>
      <c r="L121" s="28">
        <f>IF(K121="","",IFERROR(ROUND((TODAY()-IF(ISNUMBER(K121),K121,DATEVALUE(K121)))/365.25, 1),""))</f>
        <v>0</v>
      </c>
      <c r="M121" s="28" t="s">
        <v>507</v>
      </c>
      <c r="N121" s="29" t="s">
        <v>82</v>
      </c>
      <c r="O121" s="28" t="s">
        <v>111</v>
      </c>
      <c r="P121" s="28" t="s">
        <v>112</v>
      </c>
      <c r="Q121" s="29" t="s">
        <v>82</v>
      </c>
      <c r="R121" s="28" t="s">
        <v>88</v>
      </c>
      <c r="S121" s="28" t="s">
        <v>11</v>
      </c>
      <c r="T121" s="28" t="s">
        <v>113</v>
      </c>
      <c r="U121" s="28" t="s">
        <v>85</v>
      </c>
      <c r="V121" s="29" t="s">
        <v>958</v>
      </c>
      <c r="W121" s="29" t="s">
        <v>959</v>
      </c>
      <c r="X121" s="28" t="s">
        <v>13</v>
      </c>
      <c r="Y121" s="31"/>
    </row>
    <row r="122" spans="1:25" ht="20" customHeight="1">
      <c r="A122" s="34">
        <v>120</v>
      </c>
      <c r="B122" s="34" t="s">
        <v>20</v>
      </c>
      <c r="C122" s="34" t="s">
        <v>21</v>
      </c>
      <c r="D122" s="35" t="s">
        <v>960</v>
      </c>
      <c r="E122" s="36" t="s">
        <v>961</v>
      </c>
      <c r="F122" s="36" t="s">
        <v>962</v>
      </c>
      <c r="G122" s="35" t="s">
        <v>963</v>
      </c>
      <c r="H122" s="36" t="s">
        <v>964</v>
      </c>
      <c r="I122" s="34" t="s">
        <v>75</v>
      </c>
      <c r="J122" s="34" t="s">
        <v>92</v>
      </c>
      <c r="K122" s="37" t="s">
        <v>93</v>
      </c>
      <c r="L122" s="34">
        <f>IF(K122="","",IFERROR(ROUND((TODAY()-IF(ISNUMBER(K122),K122,DATEVALUE(K122)))/365.25, 1),""))</f>
        <v>0</v>
      </c>
      <c r="M122" s="34" t="s">
        <v>553</v>
      </c>
      <c r="N122" s="35" t="s">
        <v>82</v>
      </c>
      <c r="O122" s="34" t="s">
        <v>111</v>
      </c>
      <c r="P122" s="34" t="s">
        <v>112</v>
      </c>
      <c r="Q122" s="35" t="s">
        <v>82</v>
      </c>
      <c r="R122" s="34" t="s">
        <v>88</v>
      </c>
      <c r="S122" s="34" t="s">
        <v>12</v>
      </c>
      <c r="T122" s="34" t="s">
        <v>113</v>
      </c>
      <c r="U122" s="34" t="s">
        <v>85</v>
      </c>
      <c r="V122" s="35" t="s">
        <v>965</v>
      </c>
      <c r="W122" s="35" t="s">
        <v>966</v>
      </c>
      <c r="X122" s="34" t="s">
        <v>13</v>
      </c>
      <c r="Y122" s="37"/>
    </row>
    <row r="123" spans="1:25" ht="20" customHeight="1">
      <c r="A123" s="28">
        <v>121</v>
      </c>
      <c r="B123" s="28" t="s">
        <v>20</v>
      </c>
      <c r="C123" s="28" t="s">
        <v>21</v>
      </c>
      <c r="D123" s="29" t="s">
        <v>967</v>
      </c>
      <c r="E123" s="30" t="s">
        <v>968</v>
      </c>
      <c r="F123" s="30" t="s">
        <v>969</v>
      </c>
      <c r="G123" s="29" t="s">
        <v>970</v>
      </c>
      <c r="H123" s="30" t="s">
        <v>971</v>
      </c>
      <c r="I123" s="28" t="s">
        <v>75</v>
      </c>
      <c r="J123" s="28" t="s">
        <v>92</v>
      </c>
      <c r="K123" s="31" t="s">
        <v>93</v>
      </c>
      <c r="L123" s="28">
        <f>IF(K123="","",IFERROR(ROUND((TODAY()-IF(ISNUMBER(K123),K123,DATEVALUE(K123)))/365.25, 1),""))</f>
        <v>0</v>
      </c>
      <c r="M123" s="28" t="s">
        <v>553</v>
      </c>
      <c r="N123" s="29" t="s">
        <v>82</v>
      </c>
      <c r="O123" s="28" t="s">
        <v>111</v>
      </c>
      <c r="P123" s="28" t="s">
        <v>112</v>
      </c>
      <c r="Q123" s="29" t="s">
        <v>82</v>
      </c>
      <c r="R123" s="28" t="s">
        <v>88</v>
      </c>
      <c r="S123" s="28" t="s">
        <v>12</v>
      </c>
      <c r="T123" s="28" t="s">
        <v>113</v>
      </c>
      <c r="U123" s="28" t="s">
        <v>85</v>
      </c>
      <c r="V123" s="29" t="s">
        <v>972</v>
      </c>
      <c r="W123" s="29" t="s">
        <v>973</v>
      </c>
      <c r="X123" s="28" t="s">
        <v>13</v>
      </c>
      <c r="Y123" s="31"/>
    </row>
    <row r="124" spans="1:25" ht="20" customHeight="1">
      <c r="A124" s="34">
        <v>122</v>
      </c>
      <c r="B124" s="34" t="s">
        <v>20</v>
      </c>
      <c r="C124" s="34" t="s">
        <v>21</v>
      </c>
      <c r="D124" s="35" t="s">
        <v>974</v>
      </c>
      <c r="E124" s="36" t="s">
        <v>975</v>
      </c>
      <c r="F124" s="36" t="s">
        <v>976</v>
      </c>
      <c r="G124" s="35" t="s">
        <v>977</v>
      </c>
      <c r="H124" s="36" t="s">
        <v>978</v>
      </c>
      <c r="I124" s="34" t="s">
        <v>75</v>
      </c>
      <c r="J124" s="34" t="s">
        <v>92</v>
      </c>
      <c r="K124" s="37" t="s">
        <v>979</v>
      </c>
      <c r="L124" s="34">
        <f>IF(K124="","",IFERROR(ROUND((TODAY()-IF(ISNUMBER(K124),K124,DATEVALUE(K124)))/365.25, 1),""))</f>
        <v>0</v>
      </c>
      <c r="M124" s="34" t="s">
        <v>553</v>
      </c>
      <c r="N124" s="35" t="s">
        <v>82</v>
      </c>
      <c r="O124" s="34" t="s">
        <v>111</v>
      </c>
      <c r="P124" s="34" t="s">
        <v>112</v>
      </c>
      <c r="Q124" s="35" t="s">
        <v>82</v>
      </c>
      <c r="R124" s="34" t="s">
        <v>88</v>
      </c>
      <c r="S124" s="34" t="s">
        <v>12</v>
      </c>
      <c r="T124" s="34" t="s">
        <v>113</v>
      </c>
      <c r="U124" s="34" t="s">
        <v>85</v>
      </c>
      <c r="V124" s="35" t="s">
        <v>980</v>
      </c>
      <c r="W124" s="35" t="s">
        <v>981</v>
      </c>
      <c r="X124" s="34" t="s">
        <v>13</v>
      </c>
      <c r="Y124" s="37"/>
    </row>
    <row r="125" spans="1:25" ht="20" customHeight="1">
      <c r="A125" s="28">
        <v>123</v>
      </c>
      <c r="B125" s="28" t="s">
        <v>20</v>
      </c>
      <c r="C125" s="28" t="s">
        <v>21</v>
      </c>
      <c r="D125" s="29" t="s">
        <v>982</v>
      </c>
      <c r="E125" s="30" t="s">
        <v>983</v>
      </c>
      <c r="F125" s="30" t="s">
        <v>984</v>
      </c>
      <c r="G125" s="29" t="s">
        <v>985</v>
      </c>
      <c r="H125" s="30" t="s">
        <v>986</v>
      </c>
      <c r="I125" s="28" t="s">
        <v>75</v>
      </c>
      <c r="J125" s="28" t="s">
        <v>92</v>
      </c>
      <c r="K125" s="31" t="s">
        <v>93</v>
      </c>
      <c r="L125" s="28">
        <f>IF(K125="","",IFERROR(ROUND((TODAY()-IF(ISNUMBER(K125),K125,DATEVALUE(K125)))/365.25, 1),""))</f>
        <v>0</v>
      </c>
      <c r="M125" s="28" t="s">
        <v>553</v>
      </c>
      <c r="N125" s="29" t="s">
        <v>82</v>
      </c>
      <c r="O125" s="28" t="s">
        <v>111</v>
      </c>
      <c r="P125" s="28" t="s">
        <v>112</v>
      </c>
      <c r="Q125" s="29" t="s">
        <v>82</v>
      </c>
      <c r="R125" s="28" t="s">
        <v>88</v>
      </c>
      <c r="S125" s="28" t="s">
        <v>12</v>
      </c>
      <c r="T125" s="28" t="s">
        <v>113</v>
      </c>
      <c r="U125" s="28" t="s">
        <v>85</v>
      </c>
      <c r="V125" s="29" t="s">
        <v>987</v>
      </c>
      <c r="W125" s="29" t="s">
        <v>988</v>
      </c>
      <c r="X125" s="28" t="s">
        <v>13</v>
      </c>
      <c r="Y125" s="31"/>
    </row>
    <row r="126" spans="1:25" ht="20" customHeight="1">
      <c r="A126" s="34">
        <v>124</v>
      </c>
      <c r="B126" s="34" t="s">
        <v>20</v>
      </c>
      <c r="C126" s="34" t="s">
        <v>21</v>
      </c>
      <c r="D126" s="35" t="s">
        <v>989</v>
      </c>
      <c r="E126" s="36" t="s">
        <v>990</v>
      </c>
      <c r="F126" s="36" t="s">
        <v>991</v>
      </c>
      <c r="G126" s="35" t="s">
        <v>992</v>
      </c>
      <c r="H126" s="36" t="s">
        <v>993</v>
      </c>
      <c r="I126" s="34" t="s">
        <v>75</v>
      </c>
      <c r="J126" s="34" t="s">
        <v>92</v>
      </c>
      <c r="K126" s="37" t="s">
        <v>994</v>
      </c>
      <c r="L126" s="34">
        <f>IF(K126="","",IFERROR(ROUND((TODAY()-IF(ISNUMBER(K126),K126,DATEVALUE(K126)))/365.25, 1),""))</f>
        <v>0</v>
      </c>
      <c r="M126" s="34" t="s">
        <v>553</v>
      </c>
      <c r="N126" s="35" t="s">
        <v>82</v>
      </c>
      <c r="O126" s="34" t="s">
        <v>111</v>
      </c>
      <c r="P126" s="34" t="s">
        <v>112</v>
      </c>
      <c r="Q126" s="35" t="s">
        <v>82</v>
      </c>
      <c r="R126" s="34" t="s">
        <v>88</v>
      </c>
      <c r="S126" s="34" t="s">
        <v>11</v>
      </c>
      <c r="T126" s="34" t="s">
        <v>113</v>
      </c>
      <c r="U126" s="34" t="s">
        <v>85</v>
      </c>
      <c r="V126" s="35" t="s">
        <v>995</v>
      </c>
      <c r="W126" s="35" t="s">
        <v>996</v>
      </c>
      <c r="X126" s="34" t="s">
        <v>13</v>
      </c>
      <c r="Y126" s="37"/>
    </row>
    <row r="127" spans="1:25" ht="20" customHeight="1">
      <c r="A127" s="28">
        <v>125</v>
      </c>
      <c r="B127" s="28" t="s">
        <v>20</v>
      </c>
      <c r="C127" s="28" t="s">
        <v>21</v>
      </c>
      <c r="D127" s="29" t="s">
        <v>997</v>
      </c>
      <c r="E127" s="30" t="s">
        <v>746</v>
      </c>
      <c r="F127" s="30" t="s">
        <v>998</v>
      </c>
      <c r="G127" s="29" t="s">
        <v>999</v>
      </c>
      <c r="H127" s="30" t="s">
        <v>1000</v>
      </c>
      <c r="I127" s="28" t="s">
        <v>75</v>
      </c>
      <c r="J127" s="28" t="s">
        <v>92</v>
      </c>
      <c r="K127" s="31" t="s">
        <v>93</v>
      </c>
      <c r="L127" s="28">
        <f>IF(K127="","",IFERROR(ROUND((TODAY()-IF(ISNUMBER(K127),K127,DATEVALUE(K127)))/365.25, 1),""))</f>
        <v>0</v>
      </c>
      <c r="M127" s="28" t="s">
        <v>553</v>
      </c>
      <c r="N127" s="29" t="s">
        <v>82</v>
      </c>
      <c r="O127" s="28" t="s">
        <v>111</v>
      </c>
      <c r="P127" s="28" t="s">
        <v>112</v>
      </c>
      <c r="Q127" s="29" t="s">
        <v>82</v>
      </c>
      <c r="R127" s="28" t="s">
        <v>88</v>
      </c>
      <c r="S127" s="28" t="s">
        <v>12</v>
      </c>
      <c r="T127" s="28" t="s">
        <v>113</v>
      </c>
      <c r="U127" s="28" t="s">
        <v>85</v>
      </c>
      <c r="V127" s="29" t="s">
        <v>1001</v>
      </c>
      <c r="W127" s="29" t="s">
        <v>1002</v>
      </c>
      <c r="X127" s="28" t="s">
        <v>13</v>
      </c>
      <c r="Y127" s="31"/>
    </row>
    <row r="128" spans="1:25" ht="20" customHeight="1">
      <c r="A128" s="34">
        <v>126</v>
      </c>
      <c r="B128" s="34" t="s">
        <v>20</v>
      </c>
      <c r="C128" s="34" t="s">
        <v>21</v>
      </c>
      <c r="D128" s="35" t="s">
        <v>1003</v>
      </c>
      <c r="E128" s="36" t="s">
        <v>1004</v>
      </c>
      <c r="F128" s="36" t="s">
        <v>1005</v>
      </c>
      <c r="G128" s="35" t="s">
        <v>1006</v>
      </c>
      <c r="H128" s="36" t="s">
        <v>1007</v>
      </c>
      <c r="I128" s="34" t="s">
        <v>75</v>
      </c>
      <c r="J128" s="34" t="s">
        <v>92</v>
      </c>
      <c r="K128" s="37" t="s">
        <v>1008</v>
      </c>
      <c r="L128" s="34">
        <f>IF(K128="","",IFERROR(ROUND((TODAY()-IF(ISNUMBER(K128),K128,DATEVALUE(K128)))/365.25, 1),""))</f>
        <v>0</v>
      </c>
      <c r="M128" s="34" t="s">
        <v>553</v>
      </c>
      <c r="N128" s="35" t="s">
        <v>82</v>
      </c>
      <c r="O128" s="34" t="s">
        <v>111</v>
      </c>
      <c r="P128" s="34" t="s">
        <v>112</v>
      </c>
      <c r="Q128" s="35" t="s">
        <v>82</v>
      </c>
      <c r="R128" s="34" t="s">
        <v>88</v>
      </c>
      <c r="S128" s="34" t="s">
        <v>12</v>
      </c>
      <c r="T128" s="34" t="s">
        <v>113</v>
      </c>
      <c r="U128" s="34" t="s">
        <v>85</v>
      </c>
      <c r="V128" s="35" t="s">
        <v>1009</v>
      </c>
      <c r="W128" s="35" t="s">
        <v>1010</v>
      </c>
      <c r="X128" s="34" t="s">
        <v>13</v>
      </c>
      <c r="Y128" s="37"/>
    </row>
    <row r="129" spans="1:25" ht="20" customHeight="1">
      <c r="A129" s="28">
        <v>127</v>
      </c>
      <c r="B129" s="28" t="s">
        <v>20</v>
      </c>
      <c r="C129" s="28" t="s">
        <v>21</v>
      </c>
      <c r="D129" s="29" t="s">
        <v>1011</v>
      </c>
      <c r="E129" s="30" t="s">
        <v>1012</v>
      </c>
      <c r="F129" s="30" t="s">
        <v>1013</v>
      </c>
      <c r="G129" s="29" t="s">
        <v>1014</v>
      </c>
      <c r="H129" s="30" t="s">
        <v>1015</v>
      </c>
      <c r="I129" s="28" t="s">
        <v>75</v>
      </c>
      <c r="J129" s="28" t="s">
        <v>92</v>
      </c>
      <c r="K129" s="31" t="s">
        <v>93</v>
      </c>
      <c r="L129" s="28">
        <f>IF(K129="","",IFERROR(ROUND((TODAY()-IF(ISNUMBER(K129),K129,DATEVALUE(K129)))/365.25, 1),""))</f>
        <v>0</v>
      </c>
      <c r="M129" s="28" t="s">
        <v>553</v>
      </c>
      <c r="N129" s="29" t="s">
        <v>82</v>
      </c>
      <c r="O129" s="28" t="s">
        <v>111</v>
      </c>
      <c r="P129" s="28" t="s">
        <v>112</v>
      </c>
      <c r="Q129" s="29" t="s">
        <v>82</v>
      </c>
      <c r="R129" s="28" t="s">
        <v>88</v>
      </c>
      <c r="S129" s="28" t="s">
        <v>12</v>
      </c>
      <c r="T129" s="28" t="s">
        <v>113</v>
      </c>
      <c r="U129" s="28" t="s">
        <v>85</v>
      </c>
      <c r="V129" s="29" t="s">
        <v>1016</v>
      </c>
      <c r="W129" s="29" t="s">
        <v>1017</v>
      </c>
      <c r="X129" s="28" t="s">
        <v>13</v>
      </c>
      <c r="Y129" s="31"/>
    </row>
    <row r="130" spans="1:25" ht="20" customHeight="1">
      <c r="A130" s="34">
        <v>128</v>
      </c>
      <c r="B130" s="34" t="s">
        <v>20</v>
      </c>
      <c r="C130" s="34" t="s">
        <v>21</v>
      </c>
      <c r="D130" s="35" t="s">
        <v>1018</v>
      </c>
      <c r="E130" s="36" t="s">
        <v>1019</v>
      </c>
      <c r="F130" s="36" t="s">
        <v>1020</v>
      </c>
      <c r="G130" s="35" t="s">
        <v>1021</v>
      </c>
      <c r="H130" s="36" t="s">
        <v>1022</v>
      </c>
      <c r="I130" s="34" t="s">
        <v>75</v>
      </c>
      <c r="J130" s="34" t="s">
        <v>92</v>
      </c>
      <c r="K130" s="37" t="s">
        <v>994</v>
      </c>
      <c r="L130" s="34">
        <f>IF(K130="","",IFERROR(ROUND((TODAY()-IF(ISNUMBER(K130),K130,DATEVALUE(K130)))/365.25, 1),""))</f>
        <v>0</v>
      </c>
      <c r="M130" s="34" t="s">
        <v>553</v>
      </c>
      <c r="N130" s="35" t="s">
        <v>82</v>
      </c>
      <c r="O130" s="34" t="s">
        <v>111</v>
      </c>
      <c r="P130" s="34" t="s">
        <v>112</v>
      </c>
      <c r="Q130" s="35" t="s">
        <v>82</v>
      </c>
      <c r="R130" s="34" t="s">
        <v>88</v>
      </c>
      <c r="S130" s="34" t="s">
        <v>11</v>
      </c>
      <c r="T130" s="34" t="s">
        <v>113</v>
      </c>
      <c r="U130" s="34" t="s">
        <v>85</v>
      </c>
      <c r="V130" s="35" t="s">
        <v>1023</v>
      </c>
      <c r="W130" s="35" t="s">
        <v>1024</v>
      </c>
      <c r="X130" s="34" t="s">
        <v>13</v>
      </c>
      <c r="Y130" s="37"/>
    </row>
    <row r="131" spans="1:25" ht="20" customHeight="1">
      <c r="A131" s="28">
        <v>129</v>
      </c>
      <c r="B131" s="28" t="s">
        <v>20</v>
      </c>
      <c r="C131" s="28" t="s">
        <v>21</v>
      </c>
      <c r="D131" s="29" t="s">
        <v>1025</v>
      </c>
      <c r="E131" s="30" t="s">
        <v>1026</v>
      </c>
      <c r="F131" s="30" t="s">
        <v>1027</v>
      </c>
      <c r="G131" s="29" t="s">
        <v>1028</v>
      </c>
      <c r="H131" s="30" t="s">
        <v>1029</v>
      </c>
      <c r="I131" s="28" t="s">
        <v>128</v>
      </c>
      <c r="J131" s="28" t="s">
        <v>92</v>
      </c>
      <c r="K131" s="31" t="s">
        <v>1030</v>
      </c>
      <c r="L131" s="28">
        <f>IF(K131="","",IFERROR(ROUND((TODAY()-IF(ISNUMBER(K131),K131,DATEVALUE(K131)))/365.25, 1),""))</f>
        <v>0</v>
      </c>
      <c r="M131" s="28" t="s">
        <v>553</v>
      </c>
      <c r="N131" s="29" t="s">
        <v>82</v>
      </c>
      <c r="O131" s="28" t="s">
        <v>111</v>
      </c>
      <c r="P131" s="28" t="s">
        <v>112</v>
      </c>
      <c r="Q131" s="29" t="s">
        <v>82</v>
      </c>
      <c r="R131" s="28" t="s">
        <v>88</v>
      </c>
      <c r="S131" s="28" t="s">
        <v>12</v>
      </c>
      <c r="T131" s="28" t="s">
        <v>113</v>
      </c>
      <c r="U131" s="28" t="s">
        <v>85</v>
      </c>
      <c r="V131" s="29" t="s">
        <v>1031</v>
      </c>
      <c r="W131" s="29" t="s">
        <v>1032</v>
      </c>
      <c r="X131" s="28" t="s">
        <v>13</v>
      </c>
      <c r="Y131" s="31"/>
    </row>
    <row r="132" spans="1:25" ht="20" customHeight="1">
      <c r="A132" s="34">
        <v>130</v>
      </c>
      <c r="B132" s="34" t="s">
        <v>20</v>
      </c>
      <c r="C132" s="34" t="s">
        <v>21</v>
      </c>
      <c r="D132" s="35" t="s">
        <v>1033</v>
      </c>
      <c r="E132" s="36" t="s">
        <v>1034</v>
      </c>
      <c r="F132" s="36" t="s">
        <v>1035</v>
      </c>
      <c r="G132" s="35" t="s">
        <v>1036</v>
      </c>
      <c r="H132" s="36" t="s">
        <v>1037</v>
      </c>
      <c r="I132" s="34" t="s">
        <v>75</v>
      </c>
      <c r="J132" s="34" t="s">
        <v>92</v>
      </c>
      <c r="K132" s="37" t="s">
        <v>93</v>
      </c>
      <c r="L132" s="34">
        <f>IF(K132="","",IFERROR(ROUND((TODAY()-IF(ISNUMBER(K132),K132,DATEVALUE(K132)))/365.25, 1),""))</f>
        <v>0</v>
      </c>
      <c r="M132" s="34" t="s">
        <v>553</v>
      </c>
      <c r="N132" s="35" t="s">
        <v>82</v>
      </c>
      <c r="O132" s="34" t="s">
        <v>111</v>
      </c>
      <c r="P132" s="34" t="s">
        <v>112</v>
      </c>
      <c r="Q132" s="35" t="s">
        <v>82</v>
      </c>
      <c r="R132" s="34" t="s">
        <v>88</v>
      </c>
      <c r="S132" s="34" t="s">
        <v>11</v>
      </c>
      <c r="T132" s="34" t="s">
        <v>113</v>
      </c>
      <c r="U132" s="34" t="s">
        <v>85</v>
      </c>
      <c r="V132" s="35" t="s">
        <v>1038</v>
      </c>
      <c r="W132" s="35" t="s">
        <v>1039</v>
      </c>
      <c r="X132" s="34" t="s">
        <v>13</v>
      </c>
      <c r="Y132" s="37"/>
    </row>
    <row r="133" spans="1:25" ht="20" customHeight="1">
      <c r="A133" s="28">
        <v>131</v>
      </c>
      <c r="B133" s="28" t="s">
        <v>20</v>
      </c>
      <c r="C133" s="28" t="s">
        <v>21</v>
      </c>
      <c r="D133" s="29" t="s">
        <v>1040</v>
      </c>
      <c r="E133" s="30" t="s">
        <v>1041</v>
      </c>
      <c r="F133" s="30" t="s">
        <v>1042</v>
      </c>
      <c r="G133" s="29" t="s">
        <v>1043</v>
      </c>
      <c r="H133" s="30" t="s">
        <v>1044</v>
      </c>
      <c r="I133" s="28" t="s">
        <v>75</v>
      </c>
      <c r="J133" s="28" t="s">
        <v>92</v>
      </c>
      <c r="K133" s="31" t="s">
        <v>93</v>
      </c>
      <c r="L133" s="28">
        <f>IF(K133="","",IFERROR(ROUND((TODAY()-IF(ISNUMBER(K133),K133,DATEVALUE(K133)))/365.25, 1),""))</f>
        <v>0</v>
      </c>
      <c r="M133" s="28" t="s">
        <v>553</v>
      </c>
      <c r="N133" s="29" t="s">
        <v>82</v>
      </c>
      <c r="O133" s="28" t="s">
        <v>111</v>
      </c>
      <c r="P133" s="28" t="s">
        <v>112</v>
      </c>
      <c r="Q133" s="29" t="s">
        <v>82</v>
      </c>
      <c r="R133" s="28" t="s">
        <v>88</v>
      </c>
      <c r="S133" s="28" t="s">
        <v>12</v>
      </c>
      <c r="T133" s="28" t="s">
        <v>113</v>
      </c>
      <c r="U133" s="28" t="s">
        <v>85</v>
      </c>
      <c r="V133" s="29" t="s">
        <v>1045</v>
      </c>
      <c r="W133" s="29" t="s">
        <v>1046</v>
      </c>
      <c r="X133" s="28" t="s">
        <v>13</v>
      </c>
      <c r="Y133" s="31"/>
    </row>
    <row r="134" spans="1:25" ht="20" customHeight="1">
      <c r="A134" s="34">
        <v>132</v>
      </c>
      <c r="B134" s="34" t="s">
        <v>20</v>
      </c>
      <c r="C134" s="34" t="s">
        <v>21</v>
      </c>
      <c r="D134" s="35" t="s">
        <v>1047</v>
      </c>
      <c r="E134" s="36" t="s">
        <v>1048</v>
      </c>
      <c r="F134" s="36" t="s">
        <v>1049</v>
      </c>
      <c r="G134" s="35" t="s">
        <v>1050</v>
      </c>
      <c r="H134" s="36" t="s">
        <v>1051</v>
      </c>
      <c r="I134" s="34" t="s">
        <v>128</v>
      </c>
      <c r="J134" s="34" t="s">
        <v>92</v>
      </c>
      <c r="K134" s="37" t="s">
        <v>1030</v>
      </c>
      <c r="L134" s="34">
        <f>IF(K134="","",IFERROR(ROUND((TODAY()-IF(ISNUMBER(K134),K134,DATEVALUE(K134)))/365.25, 1),""))</f>
        <v>0</v>
      </c>
      <c r="M134" s="34" t="s">
        <v>608</v>
      </c>
      <c r="N134" s="35" t="s">
        <v>82</v>
      </c>
      <c r="O134" s="34" t="s">
        <v>111</v>
      </c>
      <c r="P134" s="34" t="s">
        <v>112</v>
      </c>
      <c r="Q134" s="35" t="s">
        <v>82</v>
      </c>
      <c r="R134" s="34" t="s">
        <v>88</v>
      </c>
      <c r="S134" s="34" t="s">
        <v>12</v>
      </c>
      <c r="T134" s="34" t="s">
        <v>113</v>
      </c>
      <c r="U134" s="34" t="s">
        <v>85</v>
      </c>
      <c r="V134" s="35" t="s">
        <v>1052</v>
      </c>
      <c r="W134" s="35" t="s">
        <v>1053</v>
      </c>
      <c r="X134" s="34" t="s">
        <v>13</v>
      </c>
      <c r="Y134" s="37"/>
    </row>
    <row r="135" spans="1:25" ht="20" customHeight="1">
      <c r="A135" s="28">
        <v>133</v>
      </c>
      <c r="B135" s="28" t="s">
        <v>20</v>
      </c>
      <c r="C135" s="28" t="s">
        <v>21</v>
      </c>
      <c r="D135" s="29" t="s">
        <v>1054</v>
      </c>
      <c r="E135" s="30" t="s">
        <v>1055</v>
      </c>
      <c r="F135" s="30" t="s">
        <v>1056</v>
      </c>
      <c r="G135" s="29" t="s">
        <v>1057</v>
      </c>
      <c r="H135" s="30" t="s">
        <v>1058</v>
      </c>
      <c r="I135" s="28" t="s">
        <v>75</v>
      </c>
      <c r="J135" s="28" t="s">
        <v>92</v>
      </c>
      <c r="K135" s="31" t="s">
        <v>93</v>
      </c>
      <c r="L135" s="28">
        <f>IF(K135="","",IFERROR(ROUND((TODAY()-IF(ISNUMBER(K135),K135,DATEVALUE(K135)))/365.25, 1),""))</f>
        <v>0</v>
      </c>
      <c r="M135" s="28" t="s">
        <v>743</v>
      </c>
      <c r="N135" s="29" t="s">
        <v>82</v>
      </c>
      <c r="O135" s="28" t="s">
        <v>111</v>
      </c>
      <c r="P135" s="28" t="s">
        <v>112</v>
      </c>
      <c r="Q135" s="29" t="s">
        <v>82</v>
      </c>
      <c r="R135" s="28" t="s">
        <v>88</v>
      </c>
      <c r="S135" s="28" t="s">
        <v>12</v>
      </c>
      <c r="T135" s="28" t="s">
        <v>113</v>
      </c>
      <c r="U135" s="28" t="s">
        <v>85</v>
      </c>
      <c r="V135" s="29" t="s">
        <v>1059</v>
      </c>
      <c r="W135" s="29" t="s">
        <v>82</v>
      </c>
      <c r="X135" s="28" t="s">
        <v>13</v>
      </c>
      <c r="Y135" s="31"/>
    </row>
    <row r="136" spans="1:25" ht="20" customHeight="1">
      <c r="A136" s="34">
        <v>134</v>
      </c>
      <c r="B136" s="34" t="s">
        <v>20</v>
      </c>
      <c r="C136" s="34" t="s">
        <v>21</v>
      </c>
      <c r="D136" s="35" t="s">
        <v>1060</v>
      </c>
      <c r="E136" s="36" t="s">
        <v>1061</v>
      </c>
      <c r="F136" s="36" t="s">
        <v>1062</v>
      </c>
      <c r="G136" s="35" t="s">
        <v>1063</v>
      </c>
      <c r="H136" s="36" t="s">
        <v>1064</v>
      </c>
      <c r="I136" s="34" t="s">
        <v>75</v>
      </c>
      <c r="J136" s="34" t="s">
        <v>92</v>
      </c>
      <c r="K136" s="37" t="s">
        <v>93</v>
      </c>
      <c r="L136" s="34">
        <f>IF(K136="","",IFERROR(ROUND((TODAY()-IF(ISNUMBER(K136),K136,DATEVALUE(K136)))/365.25, 1),""))</f>
        <v>0</v>
      </c>
      <c r="M136" s="34" t="s">
        <v>757</v>
      </c>
      <c r="N136" s="35" t="s">
        <v>82</v>
      </c>
      <c r="O136" s="34" t="s">
        <v>111</v>
      </c>
      <c r="P136" s="34" t="s">
        <v>112</v>
      </c>
      <c r="Q136" s="35" t="s">
        <v>82</v>
      </c>
      <c r="R136" s="34" t="s">
        <v>88</v>
      </c>
      <c r="S136" s="34" t="s">
        <v>11</v>
      </c>
      <c r="T136" s="34" t="s">
        <v>113</v>
      </c>
      <c r="U136" s="34" t="s">
        <v>85</v>
      </c>
      <c r="V136" s="35" t="s">
        <v>1065</v>
      </c>
      <c r="W136" s="35" t="s">
        <v>1066</v>
      </c>
      <c r="X136" s="34" t="s">
        <v>13</v>
      </c>
      <c r="Y136" s="37"/>
    </row>
    <row r="137" spans="1:25" ht="20" customHeight="1">
      <c r="A137" s="28">
        <v>135</v>
      </c>
      <c r="B137" s="28" t="s">
        <v>20</v>
      </c>
      <c r="C137" s="28" t="s">
        <v>21</v>
      </c>
      <c r="D137" s="29" t="s">
        <v>1067</v>
      </c>
      <c r="E137" s="30" t="s">
        <v>1068</v>
      </c>
      <c r="F137" s="30" t="s">
        <v>1069</v>
      </c>
      <c r="G137" s="29" t="s">
        <v>1070</v>
      </c>
      <c r="H137" s="30" t="s">
        <v>1071</v>
      </c>
      <c r="I137" s="28" t="s">
        <v>75</v>
      </c>
      <c r="J137" s="28" t="s">
        <v>92</v>
      </c>
      <c r="K137" s="31" t="s">
        <v>93</v>
      </c>
      <c r="L137" s="28">
        <f>IF(K137="","",IFERROR(ROUND((TODAY()-IF(ISNUMBER(K137),K137,DATEVALUE(K137)))/365.25, 1),""))</f>
        <v>0</v>
      </c>
      <c r="M137" s="28" t="s">
        <v>757</v>
      </c>
      <c r="N137" s="29" t="s">
        <v>82</v>
      </c>
      <c r="O137" s="28" t="s">
        <v>111</v>
      </c>
      <c r="P137" s="28" t="s">
        <v>112</v>
      </c>
      <c r="Q137" s="29" t="s">
        <v>82</v>
      </c>
      <c r="R137" s="28" t="s">
        <v>88</v>
      </c>
      <c r="S137" s="28" t="s">
        <v>11</v>
      </c>
      <c r="T137" s="28" t="s">
        <v>113</v>
      </c>
      <c r="U137" s="28" t="s">
        <v>85</v>
      </c>
      <c r="V137" s="29" t="s">
        <v>1072</v>
      </c>
      <c r="W137" s="29" t="s">
        <v>1073</v>
      </c>
      <c r="X137" s="28" t="s">
        <v>13</v>
      </c>
      <c r="Y137" s="31"/>
    </row>
    <row r="138" spans="1:25" ht="20" customHeight="1">
      <c r="A138" s="34">
        <v>136</v>
      </c>
      <c r="B138" s="34" t="s">
        <v>20</v>
      </c>
      <c r="C138" s="34" t="s">
        <v>21</v>
      </c>
      <c r="D138" s="35" t="s">
        <v>1074</v>
      </c>
      <c r="E138" s="36" t="s">
        <v>1075</v>
      </c>
      <c r="F138" s="36" t="s">
        <v>1076</v>
      </c>
      <c r="G138" s="35" t="s">
        <v>1077</v>
      </c>
      <c r="H138" s="36" t="s">
        <v>1078</v>
      </c>
      <c r="I138" s="34" t="s">
        <v>128</v>
      </c>
      <c r="J138" s="34" t="s">
        <v>92</v>
      </c>
      <c r="K138" s="37" t="s">
        <v>448</v>
      </c>
      <c r="L138" s="34">
        <f>IF(K138="","",IFERROR(ROUND((TODAY()-IF(ISNUMBER(K138),K138,DATEVALUE(K138)))/365.25, 1),""))</f>
        <v>0</v>
      </c>
      <c r="M138" s="34" t="s">
        <v>1079</v>
      </c>
      <c r="N138" s="35" t="s">
        <v>82</v>
      </c>
      <c r="O138" s="34" t="s">
        <v>111</v>
      </c>
      <c r="P138" s="34" t="s">
        <v>112</v>
      </c>
      <c r="Q138" s="35" t="s">
        <v>82</v>
      </c>
      <c r="R138" s="34" t="s">
        <v>88</v>
      </c>
      <c r="S138" s="34" t="s">
        <v>11</v>
      </c>
      <c r="T138" s="34" t="s">
        <v>113</v>
      </c>
      <c r="U138" s="34" t="s">
        <v>85</v>
      </c>
      <c r="V138" s="35" t="s">
        <v>1080</v>
      </c>
      <c r="W138" s="35" t="s">
        <v>1081</v>
      </c>
      <c r="X138" s="34" t="s">
        <v>13</v>
      </c>
      <c r="Y138" s="37"/>
    </row>
    <row r="139" spans="1:25" ht="20" customHeight="1">
      <c r="A139" s="28">
        <v>137</v>
      </c>
      <c r="B139" s="28" t="s">
        <v>20</v>
      </c>
      <c r="C139" s="28" t="s">
        <v>21</v>
      </c>
      <c r="D139" s="29" t="s">
        <v>1082</v>
      </c>
      <c r="E139" s="30" t="s">
        <v>1083</v>
      </c>
      <c r="F139" s="30" t="s">
        <v>1084</v>
      </c>
      <c r="G139" s="29" t="s">
        <v>1085</v>
      </c>
      <c r="H139" s="30" t="s">
        <v>1086</v>
      </c>
      <c r="I139" s="28" t="s">
        <v>128</v>
      </c>
      <c r="J139" s="28" t="s">
        <v>92</v>
      </c>
      <c r="K139" s="31" t="s">
        <v>93</v>
      </c>
      <c r="L139" s="28">
        <f>IF(K139="","",IFERROR(ROUND((TODAY()-IF(ISNUMBER(K139),K139,DATEVALUE(K139)))/365.25, 1),""))</f>
        <v>0</v>
      </c>
      <c r="M139" s="28" t="s">
        <v>1079</v>
      </c>
      <c r="N139" s="29" t="s">
        <v>82</v>
      </c>
      <c r="O139" s="28" t="s">
        <v>111</v>
      </c>
      <c r="P139" s="28" t="s">
        <v>112</v>
      </c>
      <c r="Q139" s="29" t="s">
        <v>82</v>
      </c>
      <c r="R139" s="28" t="s">
        <v>88</v>
      </c>
      <c r="S139" s="28" t="s">
        <v>11</v>
      </c>
      <c r="T139" s="28" t="s">
        <v>113</v>
      </c>
      <c r="U139" s="28" t="s">
        <v>85</v>
      </c>
      <c r="V139" s="29" t="s">
        <v>1087</v>
      </c>
      <c r="W139" s="29" t="s">
        <v>1088</v>
      </c>
      <c r="X139" s="28" t="s">
        <v>13</v>
      </c>
      <c r="Y139" s="31"/>
    </row>
    <row r="140" spans="1:25" ht="20" customHeight="1">
      <c r="A140" s="34">
        <v>138</v>
      </c>
      <c r="B140" s="34" t="s">
        <v>20</v>
      </c>
      <c r="C140" s="34" t="s">
        <v>21</v>
      </c>
      <c r="D140" s="35" t="s">
        <v>1089</v>
      </c>
      <c r="E140" s="36" t="s">
        <v>1090</v>
      </c>
      <c r="F140" s="36" t="s">
        <v>1091</v>
      </c>
      <c r="G140" s="35" t="s">
        <v>1092</v>
      </c>
      <c r="H140" s="36" t="s">
        <v>1093</v>
      </c>
      <c r="I140" s="34" t="s">
        <v>75</v>
      </c>
      <c r="J140" s="34" t="s">
        <v>92</v>
      </c>
      <c r="K140" s="37" t="s">
        <v>93</v>
      </c>
      <c r="L140" s="34">
        <f>IF(K140="","",IFERROR(ROUND((TODAY()-IF(ISNUMBER(K140),K140,DATEVALUE(K140)))/365.25, 1),""))</f>
        <v>0</v>
      </c>
      <c r="M140" s="34" t="s">
        <v>1094</v>
      </c>
      <c r="N140" s="35" t="s">
        <v>82</v>
      </c>
      <c r="O140" s="34" t="s">
        <v>111</v>
      </c>
      <c r="P140" s="34" t="s">
        <v>112</v>
      </c>
      <c r="Q140" s="35" t="s">
        <v>82</v>
      </c>
      <c r="R140" s="34" t="s">
        <v>88</v>
      </c>
      <c r="S140" s="34" t="s">
        <v>12</v>
      </c>
      <c r="T140" s="34" t="s">
        <v>113</v>
      </c>
      <c r="U140" s="34" t="s">
        <v>85</v>
      </c>
      <c r="V140" s="35" t="s">
        <v>1095</v>
      </c>
      <c r="W140" s="35" t="s">
        <v>1096</v>
      </c>
      <c r="X140" s="34" t="s">
        <v>13</v>
      </c>
      <c r="Y140" s="37"/>
    </row>
    <row r="141" spans="1:25" ht="20" customHeight="1">
      <c r="A141" s="28">
        <v>139</v>
      </c>
      <c r="B141" s="28" t="s">
        <v>20</v>
      </c>
      <c r="C141" s="28" t="s">
        <v>21</v>
      </c>
      <c r="D141" s="29" t="s">
        <v>1097</v>
      </c>
      <c r="E141" s="30" t="s">
        <v>261</v>
      </c>
      <c r="F141" s="30" t="s">
        <v>1098</v>
      </c>
      <c r="G141" s="29" t="s">
        <v>1099</v>
      </c>
      <c r="H141" s="30" t="s">
        <v>1100</v>
      </c>
      <c r="I141" s="28" t="s">
        <v>75</v>
      </c>
      <c r="J141" s="28" t="s">
        <v>92</v>
      </c>
      <c r="K141" s="31" t="s">
        <v>93</v>
      </c>
      <c r="L141" s="28">
        <f>IF(K141="","",IFERROR(ROUND((TODAY()-IF(ISNUMBER(K141),K141,DATEVALUE(K141)))/365.25, 1),""))</f>
        <v>0</v>
      </c>
      <c r="M141" s="28" t="s">
        <v>507</v>
      </c>
      <c r="N141" s="29" t="s">
        <v>82</v>
      </c>
      <c r="O141" s="28" t="s">
        <v>111</v>
      </c>
      <c r="P141" s="28" t="s">
        <v>112</v>
      </c>
      <c r="Q141" s="29" t="s">
        <v>82</v>
      </c>
      <c r="R141" s="28" t="s">
        <v>88</v>
      </c>
      <c r="S141" s="28" t="s">
        <v>11</v>
      </c>
      <c r="T141" s="28" t="s">
        <v>113</v>
      </c>
      <c r="U141" s="28" t="s">
        <v>85</v>
      </c>
      <c r="V141" s="29" t="s">
        <v>1101</v>
      </c>
      <c r="W141" s="29" t="s">
        <v>1102</v>
      </c>
      <c r="X141" s="28" t="s">
        <v>13</v>
      </c>
      <c r="Y141" s="31"/>
    </row>
    <row r="142" spans="1:25" ht="20" customHeight="1">
      <c r="A142" s="34">
        <v>140</v>
      </c>
      <c r="B142" s="34" t="s">
        <v>20</v>
      </c>
      <c r="C142" s="34" t="s">
        <v>21</v>
      </c>
      <c r="D142" s="35" t="s">
        <v>1103</v>
      </c>
      <c r="E142" s="36" t="s">
        <v>1104</v>
      </c>
      <c r="F142" s="36" t="s">
        <v>1062</v>
      </c>
      <c r="G142" s="35" t="s">
        <v>1105</v>
      </c>
      <c r="H142" s="36" t="s">
        <v>1106</v>
      </c>
      <c r="I142" s="34" t="s">
        <v>75</v>
      </c>
      <c r="J142" s="34" t="s">
        <v>92</v>
      </c>
      <c r="K142" s="37" t="s">
        <v>93</v>
      </c>
      <c r="L142" s="34">
        <f>IF(K142="","",IFERROR(ROUND((TODAY()-IF(ISNUMBER(K142),K142,DATEVALUE(K142)))/365.25, 1),""))</f>
        <v>0</v>
      </c>
      <c r="M142" s="34" t="s">
        <v>553</v>
      </c>
      <c r="N142" s="35" t="s">
        <v>82</v>
      </c>
      <c r="O142" s="34" t="s">
        <v>111</v>
      </c>
      <c r="P142" s="34" t="s">
        <v>112</v>
      </c>
      <c r="Q142" s="35" t="s">
        <v>82</v>
      </c>
      <c r="R142" s="34" t="s">
        <v>88</v>
      </c>
      <c r="S142" s="34" t="s">
        <v>11</v>
      </c>
      <c r="T142" s="34" t="s">
        <v>113</v>
      </c>
      <c r="U142" s="34" t="s">
        <v>85</v>
      </c>
      <c r="V142" s="35" t="s">
        <v>1107</v>
      </c>
      <c r="W142" s="35" t="s">
        <v>1108</v>
      </c>
      <c r="X142" s="34" t="s">
        <v>13</v>
      </c>
      <c r="Y142" s="37"/>
    </row>
    <row r="143" spans="1:25" ht="20" customHeight="1">
      <c r="A143" s="28">
        <v>141</v>
      </c>
      <c r="B143" s="28" t="s">
        <v>20</v>
      </c>
      <c r="C143" s="28" t="s">
        <v>21</v>
      </c>
      <c r="D143" s="29" t="s">
        <v>1109</v>
      </c>
      <c r="E143" s="30" t="s">
        <v>1110</v>
      </c>
      <c r="F143" s="30" t="s">
        <v>1111</v>
      </c>
      <c r="G143" s="29" t="s">
        <v>1112</v>
      </c>
      <c r="H143" s="30" t="s">
        <v>1113</v>
      </c>
      <c r="I143" s="28" t="s">
        <v>75</v>
      </c>
      <c r="J143" s="28" t="s">
        <v>92</v>
      </c>
      <c r="K143" s="31" t="s">
        <v>93</v>
      </c>
      <c r="L143" s="28">
        <f>IF(K143="","",IFERROR(ROUND((TODAY()-IF(ISNUMBER(K143),K143,DATEVALUE(K143)))/365.25, 1),""))</f>
        <v>0</v>
      </c>
      <c r="M143" s="28" t="s">
        <v>553</v>
      </c>
      <c r="N143" s="29" t="s">
        <v>82</v>
      </c>
      <c r="O143" s="28" t="s">
        <v>111</v>
      </c>
      <c r="P143" s="28" t="s">
        <v>112</v>
      </c>
      <c r="Q143" s="29" t="s">
        <v>82</v>
      </c>
      <c r="R143" s="28" t="s">
        <v>88</v>
      </c>
      <c r="S143" s="28" t="s">
        <v>11</v>
      </c>
      <c r="T143" s="28" t="s">
        <v>113</v>
      </c>
      <c r="U143" s="28" t="s">
        <v>85</v>
      </c>
      <c r="V143" s="29" t="s">
        <v>1114</v>
      </c>
      <c r="W143" s="29" t="s">
        <v>1115</v>
      </c>
      <c r="X143" s="28" t="s">
        <v>13</v>
      </c>
      <c r="Y143" s="31"/>
    </row>
    <row r="144" spans="1:25" ht="20" customHeight="1">
      <c r="A144" s="34">
        <v>142</v>
      </c>
      <c r="B144" s="34" t="s">
        <v>20</v>
      </c>
      <c r="C144" s="34" t="s">
        <v>21</v>
      </c>
      <c r="D144" s="35" t="s">
        <v>1116</v>
      </c>
      <c r="E144" s="36" t="s">
        <v>1117</v>
      </c>
      <c r="F144" s="36" t="s">
        <v>1118</v>
      </c>
      <c r="G144" s="35" t="s">
        <v>1119</v>
      </c>
      <c r="H144" s="36" t="s">
        <v>1120</v>
      </c>
      <c r="I144" s="34" t="s">
        <v>75</v>
      </c>
      <c r="J144" s="34" t="s">
        <v>92</v>
      </c>
      <c r="K144" s="37" t="s">
        <v>93</v>
      </c>
      <c r="L144" s="34">
        <f>IF(K144="","",IFERROR(ROUND((TODAY()-IF(ISNUMBER(K144),K144,DATEVALUE(K144)))/365.25, 1),""))</f>
        <v>0</v>
      </c>
      <c r="M144" s="34" t="s">
        <v>553</v>
      </c>
      <c r="N144" s="35" t="s">
        <v>82</v>
      </c>
      <c r="O144" s="34" t="s">
        <v>111</v>
      </c>
      <c r="P144" s="34" t="s">
        <v>112</v>
      </c>
      <c r="Q144" s="35" t="s">
        <v>82</v>
      </c>
      <c r="R144" s="34" t="s">
        <v>88</v>
      </c>
      <c r="S144" s="34" t="s">
        <v>11</v>
      </c>
      <c r="T144" s="34" t="s">
        <v>113</v>
      </c>
      <c r="U144" s="34" t="s">
        <v>85</v>
      </c>
      <c r="V144" s="35" t="s">
        <v>1121</v>
      </c>
      <c r="W144" s="35" t="s">
        <v>1122</v>
      </c>
      <c r="X144" s="34" t="s">
        <v>13</v>
      </c>
      <c r="Y144" s="37"/>
    </row>
    <row r="145" spans="1:25" ht="20" customHeight="1">
      <c r="A145" s="28">
        <v>143</v>
      </c>
      <c r="B145" s="28" t="s">
        <v>20</v>
      </c>
      <c r="C145" s="28" t="s">
        <v>21</v>
      </c>
      <c r="D145" s="29" t="s">
        <v>1123</v>
      </c>
      <c r="E145" s="30" t="s">
        <v>1124</v>
      </c>
      <c r="F145" s="30" t="s">
        <v>1125</v>
      </c>
      <c r="G145" s="29" t="s">
        <v>1126</v>
      </c>
      <c r="H145" s="30" t="s">
        <v>1127</v>
      </c>
      <c r="I145" s="28" t="s">
        <v>128</v>
      </c>
      <c r="J145" s="28" t="s">
        <v>92</v>
      </c>
      <c r="K145" s="31" t="s">
        <v>93</v>
      </c>
      <c r="L145" s="28">
        <f>IF(K145="","",IFERROR(ROUND((TODAY()-IF(ISNUMBER(K145),K145,DATEVALUE(K145)))/365.25, 1),""))</f>
        <v>0</v>
      </c>
      <c r="M145" s="28" t="s">
        <v>553</v>
      </c>
      <c r="N145" s="29" t="s">
        <v>82</v>
      </c>
      <c r="O145" s="28" t="s">
        <v>111</v>
      </c>
      <c r="P145" s="28" t="s">
        <v>112</v>
      </c>
      <c r="Q145" s="29" t="s">
        <v>82</v>
      </c>
      <c r="R145" s="28" t="s">
        <v>88</v>
      </c>
      <c r="S145" s="28" t="s">
        <v>12</v>
      </c>
      <c r="T145" s="28" t="s">
        <v>113</v>
      </c>
      <c r="U145" s="28" t="s">
        <v>85</v>
      </c>
      <c r="V145" s="29" t="s">
        <v>1128</v>
      </c>
      <c r="W145" s="29" t="s">
        <v>1129</v>
      </c>
      <c r="X145" s="28" t="s">
        <v>13</v>
      </c>
      <c r="Y145" s="31"/>
    </row>
    <row r="146" spans="1:25" ht="20" customHeight="1">
      <c r="A146" s="34">
        <v>144</v>
      </c>
      <c r="B146" s="34" t="s">
        <v>20</v>
      </c>
      <c r="C146" s="34" t="s">
        <v>21</v>
      </c>
      <c r="D146" s="35" t="s">
        <v>1130</v>
      </c>
      <c r="E146" s="36" t="s">
        <v>1131</v>
      </c>
      <c r="F146" s="36" t="s">
        <v>1132</v>
      </c>
      <c r="G146" s="35" t="s">
        <v>1133</v>
      </c>
      <c r="H146" s="36" t="s">
        <v>1134</v>
      </c>
      <c r="I146" s="34" t="s">
        <v>128</v>
      </c>
      <c r="J146" s="34" t="s">
        <v>92</v>
      </c>
      <c r="K146" s="37" t="s">
        <v>93</v>
      </c>
      <c r="L146" s="34">
        <f>IF(K146="","",IFERROR(ROUND((TODAY()-IF(ISNUMBER(K146),K146,DATEVALUE(K146)))/365.25, 1),""))</f>
        <v>0</v>
      </c>
      <c r="M146" s="34" t="s">
        <v>553</v>
      </c>
      <c r="N146" s="35" t="s">
        <v>82</v>
      </c>
      <c r="O146" s="34" t="s">
        <v>111</v>
      </c>
      <c r="P146" s="34" t="s">
        <v>112</v>
      </c>
      <c r="Q146" s="35" t="s">
        <v>82</v>
      </c>
      <c r="R146" s="34" t="s">
        <v>88</v>
      </c>
      <c r="S146" s="34" t="s">
        <v>11</v>
      </c>
      <c r="T146" s="34" t="s">
        <v>113</v>
      </c>
      <c r="U146" s="34" t="s">
        <v>85</v>
      </c>
      <c r="V146" s="35" t="s">
        <v>1135</v>
      </c>
      <c r="W146" s="35" t="s">
        <v>1136</v>
      </c>
      <c r="X146" s="34" t="s">
        <v>13</v>
      </c>
      <c r="Y146" s="37"/>
    </row>
    <row r="147" spans="1:25" ht="20" customHeight="1">
      <c r="A147" s="28">
        <v>145</v>
      </c>
      <c r="B147" s="28" t="s">
        <v>20</v>
      </c>
      <c r="C147" s="28" t="s">
        <v>21</v>
      </c>
      <c r="D147" s="29" t="s">
        <v>1137</v>
      </c>
      <c r="E147" s="30" t="s">
        <v>1138</v>
      </c>
      <c r="F147" s="30" t="s">
        <v>946</v>
      </c>
      <c r="G147" s="29" t="s">
        <v>1139</v>
      </c>
      <c r="H147" s="30" t="s">
        <v>1140</v>
      </c>
      <c r="I147" s="28" t="s">
        <v>128</v>
      </c>
      <c r="J147" s="28" t="s">
        <v>92</v>
      </c>
      <c r="K147" s="31" t="s">
        <v>93</v>
      </c>
      <c r="L147" s="28">
        <f>IF(K147="","",IFERROR(ROUND((TODAY()-IF(ISNUMBER(K147),K147,DATEVALUE(K147)))/365.25, 1),""))</f>
        <v>0</v>
      </c>
      <c r="M147" s="28" t="s">
        <v>553</v>
      </c>
      <c r="N147" s="29" t="s">
        <v>82</v>
      </c>
      <c r="O147" s="28" t="s">
        <v>111</v>
      </c>
      <c r="P147" s="28" t="s">
        <v>112</v>
      </c>
      <c r="Q147" s="29" t="s">
        <v>82</v>
      </c>
      <c r="R147" s="28" t="s">
        <v>88</v>
      </c>
      <c r="S147" s="28" t="s">
        <v>11</v>
      </c>
      <c r="T147" s="28" t="s">
        <v>113</v>
      </c>
      <c r="U147" s="28" t="s">
        <v>85</v>
      </c>
      <c r="V147" s="29" t="s">
        <v>1141</v>
      </c>
      <c r="W147" s="29" t="s">
        <v>1142</v>
      </c>
      <c r="X147" s="28" t="s">
        <v>13</v>
      </c>
      <c r="Y147" s="31"/>
    </row>
    <row r="148" spans="1:25" ht="20" customHeight="1">
      <c r="A148" s="34">
        <v>146</v>
      </c>
      <c r="B148" s="34" t="s">
        <v>20</v>
      </c>
      <c r="C148" s="34" t="s">
        <v>21</v>
      </c>
      <c r="D148" s="35" t="s">
        <v>1143</v>
      </c>
      <c r="E148" s="36" t="s">
        <v>1144</v>
      </c>
      <c r="F148" s="36" t="s">
        <v>1145</v>
      </c>
      <c r="G148" s="35" t="s">
        <v>1146</v>
      </c>
      <c r="H148" s="36" t="s">
        <v>1147</v>
      </c>
      <c r="I148" s="34" t="s">
        <v>128</v>
      </c>
      <c r="J148" s="34" t="s">
        <v>92</v>
      </c>
      <c r="K148" s="37" t="s">
        <v>93</v>
      </c>
      <c r="L148" s="34">
        <f>IF(K148="","",IFERROR(ROUND((TODAY()-IF(ISNUMBER(K148),K148,DATEVALUE(K148)))/365.25, 1),""))</f>
        <v>0</v>
      </c>
      <c r="M148" s="34" t="s">
        <v>553</v>
      </c>
      <c r="N148" s="35" t="s">
        <v>82</v>
      </c>
      <c r="O148" s="34" t="s">
        <v>111</v>
      </c>
      <c r="P148" s="34" t="s">
        <v>112</v>
      </c>
      <c r="Q148" s="35" t="s">
        <v>82</v>
      </c>
      <c r="R148" s="34" t="s">
        <v>88</v>
      </c>
      <c r="S148" s="34" t="s">
        <v>11</v>
      </c>
      <c r="T148" s="34" t="s">
        <v>113</v>
      </c>
      <c r="U148" s="34" t="s">
        <v>85</v>
      </c>
      <c r="V148" s="35" t="s">
        <v>1148</v>
      </c>
      <c r="W148" s="35" t="s">
        <v>1149</v>
      </c>
      <c r="X148" s="34" t="s">
        <v>13</v>
      </c>
      <c r="Y148" s="37"/>
    </row>
    <row r="149" spans="1:25" ht="20" customHeight="1">
      <c r="A149" s="28">
        <v>147</v>
      </c>
      <c r="B149" s="28" t="s">
        <v>20</v>
      </c>
      <c r="C149" s="28" t="s">
        <v>21</v>
      </c>
      <c r="D149" s="29" t="s">
        <v>1150</v>
      </c>
      <c r="E149" s="30" t="s">
        <v>1151</v>
      </c>
      <c r="F149" s="30" t="s">
        <v>1152</v>
      </c>
      <c r="G149" s="29" t="s">
        <v>1153</v>
      </c>
      <c r="H149" s="30" t="s">
        <v>1154</v>
      </c>
      <c r="I149" s="28" t="s">
        <v>128</v>
      </c>
      <c r="J149" s="28" t="s">
        <v>92</v>
      </c>
      <c r="K149" s="31" t="s">
        <v>93</v>
      </c>
      <c r="L149" s="28">
        <f>IF(K149="","",IFERROR(ROUND((TODAY()-IF(ISNUMBER(K149),K149,DATEVALUE(K149)))/365.25, 1),""))</f>
        <v>0</v>
      </c>
      <c r="M149" s="28" t="s">
        <v>553</v>
      </c>
      <c r="N149" s="29" t="s">
        <v>82</v>
      </c>
      <c r="O149" s="28" t="s">
        <v>111</v>
      </c>
      <c r="P149" s="28" t="s">
        <v>112</v>
      </c>
      <c r="Q149" s="29" t="s">
        <v>82</v>
      </c>
      <c r="R149" s="28" t="s">
        <v>88</v>
      </c>
      <c r="S149" s="28" t="s">
        <v>12</v>
      </c>
      <c r="T149" s="28" t="s">
        <v>113</v>
      </c>
      <c r="U149" s="28" t="s">
        <v>85</v>
      </c>
      <c r="V149" s="29" t="s">
        <v>1155</v>
      </c>
      <c r="W149" s="29" t="s">
        <v>1156</v>
      </c>
      <c r="X149" s="28" t="s">
        <v>13</v>
      </c>
      <c r="Y149" s="31"/>
    </row>
    <row r="150" spans="1:25" ht="20" customHeight="1">
      <c r="A150" s="34">
        <v>148</v>
      </c>
      <c r="B150" s="34" t="s">
        <v>20</v>
      </c>
      <c r="C150" s="34" t="s">
        <v>21</v>
      </c>
      <c r="D150" s="35" t="s">
        <v>1157</v>
      </c>
      <c r="E150" s="36" t="s">
        <v>1158</v>
      </c>
      <c r="F150" s="36" t="s">
        <v>1159</v>
      </c>
      <c r="G150" s="35" t="s">
        <v>1160</v>
      </c>
      <c r="H150" s="36" t="s">
        <v>1161</v>
      </c>
      <c r="I150" s="34" t="s">
        <v>128</v>
      </c>
      <c r="J150" s="34" t="s">
        <v>92</v>
      </c>
      <c r="K150" s="37" t="s">
        <v>93</v>
      </c>
      <c r="L150" s="34">
        <f>IF(K150="","",IFERROR(ROUND((TODAY()-IF(ISNUMBER(K150),K150,DATEVALUE(K150)))/365.25, 1),""))</f>
        <v>0</v>
      </c>
      <c r="M150" s="34" t="s">
        <v>553</v>
      </c>
      <c r="N150" s="35" t="s">
        <v>82</v>
      </c>
      <c r="O150" s="34" t="s">
        <v>111</v>
      </c>
      <c r="P150" s="34" t="s">
        <v>112</v>
      </c>
      <c r="Q150" s="35" t="s">
        <v>82</v>
      </c>
      <c r="R150" s="34" t="s">
        <v>88</v>
      </c>
      <c r="S150" s="34" t="s">
        <v>12</v>
      </c>
      <c r="T150" s="34" t="s">
        <v>113</v>
      </c>
      <c r="U150" s="34" t="s">
        <v>85</v>
      </c>
      <c r="V150" s="35" t="s">
        <v>1162</v>
      </c>
      <c r="W150" s="35" t="s">
        <v>1163</v>
      </c>
      <c r="X150" s="34" t="s">
        <v>13</v>
      </c>
      <c r="Y150" s="37"/>
    </row>
    <row r="151" spans="1:25" ht="20" customHeight="1">
      <c r="A151" s="28">
        <v>149</v>
      </c>
      <c r="B151" s="28" t="s">
        <v>20</v>
      </c>
      <c r="C151" s="28" t="s">
        <v>21</v>
      </c>
      <c r="D151" s="29" t="s">
        <v>1164</v>
      </c>
      <c r="E151" s="30" t="s">
        <v>1165</v>
      </c>
      <c r="F151" s="30" t="s">
        <v>1166</v>
      </c>
      <c r="G151" s="29" t="s">
        <v>1167</v>
      </c>
      <c r="H151" s="30" t="s">
        <v>1168</v>
      </c>
      <c r="I151" s="28" t="s">
        <v>128</v>
      </c>
      <c r="J151" s="28" t="s">
        <v>92</v>
      </c>
      <c r="K151" s="31" t="s">
        <v>93</v>
      </c>
      <c r="L151" s="28">
        <f>IF(K151="","",IFERROR(ROUND((TODAY()-IF(ISNUMBER(K151),K151,DATEVALUE(K151)))/365.25, 1),""))</f>
        <v>0</v>
      </c>
      <c r="M151" s="28" t="s">
        <v>553</v>
      </c>
      <c r="N151" s="29" t="s">
        <v>82</v>
      </c>
      <c r="O151" s="28" t="s">
        <v>111</v>
      </c>
      <c r="P151" s="28" t="s">
        <v>112</v>
      </c>
      <c r="Q151" s="29" t="s">
        <v>82</v>
      </c>
      <c r="R151" s="28" t="s">
        <v>88</v>
      </c>
      <c r="S151" s="28" t="s">
        <v>12</v>
      </c>
      <c r="T151" s="28" t="s">
        <v>113</v>
      </c>
      <c r="U151" s="28" t="s">
        <v>85</v>
      </c>
      <c r="V151" s="29" t="s">
        <v>1169</v>
      </c>
      <c r="W151" s="29" t="s">
        <v>1170</v>
      </c>
      <c r="X151" s="28" t="s">
        <v>13</v>
      </c>
      <c r="Y151" s="31"/>
    </row>
    <row r="152" spans="1:25" ht="20" customHeight="1">
      <c r="A152" s="34">
        <v>150</v>
      </c>
      <c r="B152" s="34" t="s">
        <v>20</v>
      </c>
      <c r="C152" s="34" t="s">
        <v>21</v>
      </c>
      <c r="D152" s="35" t="s">
        <v>1171</v>
      </c>
      <c r="E152" s="36" t="s">
        <v>1172</v>
      </c>
      <c r="F152" s="36" t="s">
        <v>1173</v>
      </c>
      <c r="G152" s="35" t="s">
        <v>1174</v>
      </c>
      <c r="H152" s="36" t="s">
        <v>1175</v>
      </c>
      <c r="I152" s="34" t="s">
        <v>128</v>
      </c>
      <c r="J152" s="34" t="s">
        <v>92</v>
      </c>
      <c r="K152" s="37" t="s">
        <v>93</v>
      </c>
      <c r="L152" s="34">
        <f>IF(K152="","",IFERROR(ROUND((TODAY()-IF(ISNUMBER(K152),K152,DATEVALUE(K152)))/365.25, 1),""))</f>
        <v>0</v>
      </c>
      <c r="M152" s="34" t="s">
        <v>553</v>
      </c>
      <c r="N152" s="35" t="s">
        <v>82</v>
      </c>
      <c r="O152" s="34" t="s">
        <v>111</v>
      </c>
      <c r="P152" s="34" t="s">
        <v>112</v>
      </c>
      <c r="Q152" s="35" t="s">
        <v>82</v>
      </c>
      <c r="R152" s="34" t="s">
        <v>88</v>
      </c>
      <c r="S152" s="34" t="s">
        <v>12</v>
      </c>
      <c r="T152" s="34" t="s">
        <v>113</v>
      </c>
      <c r="U152" s="34" t="s">
        <v>85</v>
      </c>
      <c r="V152" s="35" t="s">
        <v>1176</v>
      </c>
      <c r="W152" s="35" t="s">
        <v>1177</v>
      </c>
      <c r="X152" s="34" t="s">
        <v>13</v>
      </c>
      <c r="Y152" s="37"/>
    </row>
    <row r="153" spans="1:25" ht="20" customHeight="1">
      <c r="A153" s="28">
        <v>151</v>
      </c>
      <c r="B153" s="28" t="s">
        <v>20</v>
      </c>
      <c r="C153" s="28" t="s">
        <v>21</v>
      </c>
      <c r="D153" s="29" t="s">
        <v>1178</v>
      </c>
      <c r="E153" s="30" t="s">
        <v>1179</v>
      </c>
      <c r="F153" s="30" t="s">
        <v>1180</v>
      </c>
      <c r="G153" s="29" t="s">
        <v>1181</v>
      </c>
      <c r="H153" s="30" t="s">
        <v>1182</v>
      </c>
      <c r="I153" s="28" t="s">
        <v>128</v>
      </c>
      <c r="J153" s="28" t="s">
        <v>92</v>
      </c>
      <c r="K153" s="31" t="s">
        <v>93</v>
      </c>
      <c r="L153" s="28">
        <f>IF(K153="","",IFERROR(ROUND((TODAY()-IF(ISNUMBER(K153),K153,DATEVALUE(K153)))/365.25, 1),""))</f>
        <v>0</v>
      </c>
      <c r="M153" s="28" t="s">
        <v>553</v>
      </c>
      <c r="N153" s="29" t="s">
        <v>82</v>
      </c>
      <c r="O153" s="28" t="s">
        <v>111</v>
      </c>
      <c r="P153" s="28" t="s">
        <v>112</v>
      </c>
      <c r="Q153" s="29" t="s">
        <v>82</v>
      </c>
      <c r="R153" s="28" t="s">
        <v>88</v>
      </c>
      <c r="S153" s="28" t="s">
        <v>12</v>
      </c>
      <c r="T153" s="28" t="s">
        <v>113</v>
      </c>
      <c r="U153" s="28" t="s">
        <v>85</v>
      </c>
      <c r="V153" s="29" t="s">
        <v>1183</v>
      </c>
      <c r="W153" s="29" t="s">
        <v>1184</v>
      </c>
      <c r="X153" s="28" t="s">
        <v>13</v>
      </c>
      <c r="Y153" s="31"/>
    </row>
    <row r="154" spans="1:25" ht="20" customHeight="1">
      <c r="A154" s="34">
        <v>152</v>
      </c>
      <c r="B154" s="34" t="s">
        <v>20</v>
      </c>
      <c r="C154" s="34" t="s">
        <v>21</v>
      </c>
      <c r="D154" s="35" t="s">
        <v>1185</v>
      </c>
      <c r="E154" s="36" t="s">
        <v>1186</v>
      </c>
      <c r="F154" s="36" t="s">
        <v>1187</v>
      </c>
      <c r="G154" s="35" t="s">
        <v>1188</v>
      </c>
      <c r="H154" s="36" t="s">
        <v>1189</v>
      </c>
      <c r="I154" s="34" t="s">
        <v>75</v>
      </c>
      <c r="J154" s="34" t="s">
        <v>92</v>
      </c>
      <c r="K154" s="37" t="s">
        <v>93</v>
      </c>
      <c r="L154" s="34">
        <f>IF(K154="","",IFERROR(ROUND((TODAY()-IF(ISNUMBER(K154),K154,DATEVALUE(K154)))/365.25, 1),""))</f>
        <v>0</v>
      </c>
      <c r="M154" s="34" t="s">
        <v>779</v>
      </c>
      <c r="N154" s="35" t="s">
        <v>82</v>
      </c>
      <c r="O154" s="34" t="s">
        <v>111</v>
      </c>
      <c r="P154" s="34" t="s">
        <v>112</v>
      </c>
      <c r="Q154" s="35" t="s">
        <v>82</v>
      </c>
      <c r="R154" s="34" t="s">
        <v>88</v>
      </c>
      <c r="S154" s="34" t="s">
        <v>11</v>
      </c>
      <c r="T154" s="34" t="s">
        <v>113</v>
      </c>
      <c r="U154" s="34" t="s">
        <v>85</v>
      </c>
      <c r="V154" s="35" t="s">
        <v>1190</v>
      </c>
      <c r="W154" s="35" t="s">
        <v>1191</v>
      </c>
      <c r="X154" s="34" t="s">
        <v>13</v>
      </c>
      <c r="Y154" s="37"/>
    </row>
    <row r="155" spans="1:25" ht="20" customHeight="1">
      <c r="A155" s="28">
        <v>153</v>
      </c>
      <c r="B155" s="28" t="s">
        <v>20</v>
      </c>
      <c r="C155" s="28" t="s">
        <v>25</v>
      </c>
      <c r="D155" s="29" t="s">
        <v>1192</v>
      </c>
      <c r="E155" s="30" t="s">
        <v>1193</v>
      </c>
      <c r="F155" s="30" t="s">
        <v>1194</v>
      </c>
      <c r="G155" s="29" t="s">
        <v>1195</v>
      </c>
      <c r="H155" s="30" t="s">
        <v>1196</v>
      </c>
      <c r="I155" s="28" t="s">
        <v>75</v>
      </c>
      <c r="J155" s="28" t="s">
        <v>92</v>
      </c>
      <c r="K155" s="31" t="s">
        <v>1197</v>
      </c>
      <c r="L155" s="28">
        <f>IF(K155="","",IFERROR(ROUND((TODAY()-IF(ISNUMBER(K155),K155,DATEVALUE(K155)))/365.25, 1),""))</f>
        <v>0</v>
      </c>
      <c r="M155" s="28" t="s">
        <v>1198</v>
      </c>
      <c r="N155" s="29" t="s">
        <v>82</v>
      </c>
      <c r="O155" s="28" t="s">
        <v>111</v>
      </c>
      <c r="P155" s="28" t="s">
        <v>112</v>
      </c>
      <c r="Q155" s="29" t="s">
        <v>82</v>
      </c>
      <c r="R155" s="28" t="s">
        <v>88</v>
      </c>
      <c r="S155" s="28" t="s">
        <v>11</v>
      </c>
      <c r="T155" s="28" t="s">
        <v>113</v>
      </c>
      <c r="U155" s="28" t="s">
        <v>85</v>
      </c>
      <c r="V155" s="29" t="s">
        <v>1199</v>
      </c>
      <c r="W155" s="29" t="s">
        <v>1200</v>
      </c>
      <c r="X155" s="28" t="s">
        <v>13</v>
      </c>
      <c r="Y155" s="31"/>
    </row>
    <row r="156" spans="1:25" ht="20" customHeight="1">
      <c r="A156" s="34">
        <v>154</v>
      </c>
      <c r="B156" s="34" t="s">
        <v>20</v>
      </c>
      <c r="C156" s="34" t="s">
        <v>25</v>
      </c>
      <c r="D156" s="35" t="s">
        <v>1201</v>
      </c>
      <c r="E156" s="36" t="s">
        <v>1202</v>
      </c>
      <c r="F156" s="36" t="s">
        <v>1203</v>
      </c>
      <c r="G156" s="35" t="s">
        <v>1204</v>
      </c>
      <c r="H156" s="36" t="s">
        <v>1205</v>
      </c>
      <c r="I156" s="34" t="s">
        <v>75</v>
      </c>
      <c r="J156" s="34" t="s">
        <v>76</v>
      </c>
      <c r="K156" s="37" t="s">
        <v>1206</v>
      </c>
      <c r="L156" s="34">
        <f>IF(K156="","",IFERROR(ROUND((TODAY()-IF(ISNUMBER(K156),K156,DATEVALUE(K156)))/365.25, 1),""))</f>
        <v>0</v>
      </c>
      <c r="M156" s="34" t="s">
        <v>310</v>
      </c>
      <c r="N156" s="35" t="s">
        <v>82</v>
      </c>
      <c r="O156" s="34" t="s">
        <v>80</v>
      </c>
      <c r="P156" s="34" t="s">
        <v>81</v>
      </c>
      <c r="Q156" s="35" t="s">
        <v>82</v>
      </c>
      <c r="R156" s="34" t="s">
        <v>83</v>
      </c>
      <c r="S156" s="34" t="s">
        <v>11</v>
      </c>
      <c r="T156" s="34" t="s">
        <v>84</v>
      </c>
      <c r="U156" s="34" t="s">
        <v>85</v>
      </c>
      <c r="V156" s="35" t="s">
        <v>1207</v>
      </c>
      <c r="W156" s="35" t="s">
        <v>1208</v>
      </c>
      <c r="X156" s="34" t="s">
        <v>13</v>
      </c>
      <c r="Y156" s="37"/>
    </row>
    <row r="157" spans="1:25" ht="20" customHeight="1">
      <c r="A157" s="28">
        <v>155</v>
      </c>
      <c r="B157" s="28" t="s">
        <v>20</v>
      </c>
      <c r="C157" s="28" t="s">
        <v>20</v>
      </c>
      <c r="D157" s="29" t="s">
        <v>1209</v>
      </c>
      <c r="E157" s="30" t="s">
        <v>1210</v>
      </c>
      <c r="F157" s="30" t="s">
        <v>1211</v>
      </c>
      <c r="G157" s="29" t="s">
        <v>1212</v>
      </c>
      <c r="H157" s="30" t="s">
        <v>1213</v>
      </c>
      <c r="I157" s="28" t="s">
        <v>75</v>
      </c>
      <c r="J157" s="28" t="s">
        <v>76</v>
      </c>
      <c r="K157" s="31" t="s">
        <v>1214</v>
      </c>
      <c r="L157" s="28">
        <f>IF(K157="","",IFERROR(ROUND((TODAY()-IF(ISNUMBER(K157),K157,DATEVALUE(K157)))/365.25, 1),""))</f>
        <v>0</v>
      </c>
      <c r="M157" s="28" t="s">
        <v>1215</v>
      </c>
      <c r="N157" s="29" t="s">
        <v>1216</v>
      </c>
      <c r="O157" s="28" t="s">
        <v>80</v>
      </c>
      <c r="P157" s="28" t="s">
        <v>81</v>
      </c>
      <c r="Q157" s="29" t="s">
        <v>82</v>
      </c>
      <c r="R157" s="28" t="s">
        <v>83</v>
      </c>
      <c r="S157" s="28" t="s">
        <v>11</v>
      </c>
      <c r="T157" s="28" t="s">
        <v>84</v>
      </c>
      <c r="U157" s="28" t="s">
        <v>85</v>
      </c>
      <c r="V157" s="29" t="s">
        <v>1217</v>
      </c>
      <c r="W157" s="29" t="s">
        <v>82</v>
      </c>
      <c r="X157" s="28" t="s">
        <v>13</v>
      </c>
      <c r="Y157" s="31"/>
    </row>
    <row r="158" spans="1:25" ht="20" customHeight="1">
      <c r="A158" s="34">
        <v>156</v>
      </c>
      <c r="B158" s="34" t="s">
        <v>20</v>
      </c>
      <c r="C158" s="34" t="s">
        <v>22</v>
      </c>
      <c r="D158" s="35" t="s">
        <v>1218</v>
      </c>
      <c r="E158" s="36" t="s">
        <v>1219</v>
      </c>
      <c r="F158" s="36" t="s">
        <v>1220</v>
      </c>
      <c r="G158" s="35" t="s">
        <v>1221</v>
      </c>
      <c r="H158" s="36" t="s">
        <v>1222</v>
      </c>
      <c r="I158" s="34" t="s">
        <v>128</v>
      </c>
      <c r="J158" s="34" t="s">
        <v>76</v>
      </c>
      <c r="K158" s="37" t="s">
        <v>1223</v>
      </c>
      <c r="L158" s="34">
        <f>IF(K158="","",IFERROR(ROUND((TODAY()-IF(ISNUMBER(K158),K158,DATEVALUE(K158)))/365.25, 1),""))</f>
        <v>0</v>
      </c>
      <c r="M158" s="34" t="s">
        <v>462</v>
      </c>
      <c r="N158" s="35" t="s">
        <v>82</v>
      </c>
      <c r="O158" s="34" t="s">
        <v>1224</v>
      </c>
      <c r="P158" s="34" t="s">
        <v>81</v>
      </c>
      <c r="Q158" s="35" t="s">
        <v>82</v>
      </c>
      <c r="R158" s="34" t="s">
        <v>83</v>
      </c>
      <c r="S158" s="34" t="s">
        <v>11</v>
      </c>
      <c r="T158" s="34" t="s">
        <v>84</v>
      </c>
      <c r="U158" s="34" t="s">
        <v>85</v>
      </c>
      <c r="V158" s="35" t="s">
        <v>1225</v>
      </c>
      <c r="W158" s="35" t="s">
        <v>1226</v>
      </c>
      <c r="X158" s="34" t="s">
        <v>13</v>
      </c>
      <c r="Y158" s="37"/>
    </row>
    <row r="159" spans="1:25" ht="20" customHeight="1">
      <c r="A159" s="28">
        <v>157</v>
      </c>
      <c r="B159" s="28" t="s">
        <v>20</v>
      </c>
      <c r="C159" s="28" t="s">
        <v>22</v>
      </c>
      <c r="D159" s="29" t="s">
        <v>1227</v>
      </c>
      <c r="E159" s="30" t="s">
        <v>1228</v>
      </c>
      <c r="F159" s="30" t="s">
        <v>1229</v>
      </c>
      <c r="G159" s="29" t="s">
        <v>1230</v>
      </c>
      <c r="H159" s="30" t="s">
        <v>1231</v>
      </c>
      <c r="I159" s="28" t="s">
        <v>75</v>
      </c>
      <c r="J159" s="28" t="s">
        <v>76</v>
      </c>
      <c r="K159" s="31" t="s">
        <v>1232</v>
      </c>
      <c r="L159" s="28">
        <f>IF(K159="","",IFERROR(ROUND((TODAY()-IF(ISNUMBER(K159),K159,DATEVALUE(K159)))/365.25, 1),""))</f>
        <v>0</v>
      </c>
      <c r="M159" s="28" t="s">
        <v>553</v>
      </c>
      <c r="N159" s="29" t="s">
        <v>82</v>
      </c>
      <c r="O159" s="28" t="s">
        <v>80</v>
      </c>
      <c r="P159" s="28" t="s">
        <v>81</v>
      </c>
      <c r="Q159" s="29" t="s">
        <v>82</v>
      </c>
      <c r="R159" s="28" t="s">
        <v>83</v>
      </c>
      <c r="S159" s="28" t="s">
        <v>11</v>
      </c>
      <c r="T159" s="28" t="s">
        <v>84</v>
      </c>
      <c r="U159" s="28" t="s">
        <v>85</v>
      </c>
      <c r="V159" s="29" t="s">
        <v>1233</v>
      </c>
      <c r="W159" s="29" t="s">
        <v>1234</v>
      </c>
      <c r="X159" s="28" t="s">
        <v>13</v>
      </c>
      <c r="Y159" s="31"/>
    </row>
    <row r="160" spans="1:25" ht="20" customHeight="1">
      <c r="A160" s="34">
        <v>158</v>
      </c>
      <c r="B160" s="34" t="s">
        <v>20</v>
      </c>
      <c r="C160" s="34" t="s">
        <v>22</v>
      </c>
      <c r="D160" s="35" t="s">
        <v>1235</v>
      </c>
      <c r="E160" s="36" t="s">
        <v>1236</v>
      </c>
      <c r="F160" s="36" t="s">
        <v>1237</v>
      </c>
      <c r="G160" s="35" t="s">
        <v>1238</v>
      </c>
      <c r="H160" s="36" t="s">
        <v>1239</v>
      </c>
      <c r="I160" s="34" t="s">
        <v>75</v>
      </c>
      <c r="J160" s="34" t="s">
        <v>76</v>
      </c>
      <c r="K160" s="37" t="s">
        <v>1240</v>
      </c>
      <c r="L160" s="34">
        <f>IF(K160="","",IFERROR(ROUND((TODAY()-IF(ISNUMBER(K160),K160,DATEVALUE(K160)))/365.25, 1),""))</f>
        <v>0</v>
      </c>
      <c r="M160" s="34" t="s">
        <v>507</v>
      </c>
      <c r="N160" s="35" t="s">
        <v>82</v>
      </c>
      <c r="O160" s="34" t="s">
        <v>80</v>
      </c>
      <c r="P160" s="34" t="s">
        <v>81</v>
      </c>
      <c r="Q160" s="35" t="s">
        <v>82</v>
      </c>
      <c r="R160" s="34" t="s">
        <v>83</v>
      </c>
      <c r="S160" s="34" t="s">
        <v>12</v>
      </c>
      <c r="T160" s="34" t="s">
        <v>84</v>
      </c>
      <c r="U160" s="34" t="s">
        <v>85</v>
      </c>
      <c r="V160" s="35" t="s">
        <v>1241</v>
      </c>
      <c r="W160" s="35" t="s">
        <v>1242</v>
      </c>
      <c r="X160" s="34" t="s">
        <v>13</v>
      </c>
      <c r="Y160" s="37"/>
    </row>
    <row r="161" spans="1:25" ht="20" customHeight="1">
      <c r="A161" s="28">
        <v>159</v>
      </c>
      <c r="B161" s="28" t="s">
        <v>20</v>
      </c>
      <c r="C161" s="28" t="s">
        <v>22</v>
      </c>
      <c r="D161" s="29" t="s">
        <v>1243</v>
      </c>
      <c r="E161" s="30" t="s">
        <v>1244</v>
      </c>
      <c r="F161" s="30" t="s">
        <v>1245</v>
      </c>
      <c r="G161" s="29" t="s">
        <v>1246</v>
      </c>
      <c r="H161" s="30" t="s">
        <v>1247</v>
      </c>
      <c r="I161" s="28" t="s">
        <v>75</v>
      </c>
      <c r="J161" s="28" t="s">
        <v>76</v>
      </c>
      <c r="K161" s="31" t="s">
        <v>1248</v>
      </c>
      <c r="L161" s="28">
        <f>IF(K161="","",IFERROR(ROUND((TODAY()-IF(ISNUMBER(K161),K161,DATEVALUE(K161)))/365.25, 1),""))</f>
        <v>0</v>
      </c>
      <c r="M161" s="28" t="s">
        <v>553</v>
      </c>
      <c r="N161" s="29" t="s">
        <v>82</v>
      </c>
      <c r="O161" s="28" t="s">
        <v>80</v>
      </c>
      <c r="P161" s="28" t="s">
        <v>81</v>
      </c>
      <c r="Q161" s="29" t="s">
        <v>82</v>
      </c>
      <c r="R161" s="28" t="s">
        <v>83</v>
      </c>
      <c r="S161" s="28" t="s">
        <v>12</v>
      </c>
      <c r="T161" s="28" t="s">
        <v>84</v>
      </c>
      <c r="U161" s="28" t="s">
        <v>85</v>
      </c>
      <c r="V161" s="29" t="s">
        <v>1249</v>
      </c>
      <c r="W161" s="29" t="s">
        <v>1250</v>
      </c>
      <c r="X161" s="28" t="s">
        <v>13</v>
      </c>
      <c r="Y161" s="31"/>
    </row>
    <row r="162" spans="1:25" ht="20" customHeight="1">
      <c r="A162" s="34">
        <v>160</v>
      </c>
      <c r="B162" s="34" t="s">
        <v>20</v>
      </c>
      <c r="C162" s="34" t="s">
        <v>22</v>
      </c>
      <c r="D162" s="35" t="s">
        <v>1251</v>
      </c>
      <c r="E162" s="36" t="s">
        <v>1252</v>
      </c>
      <c r="F162" s="36" t="s">
        <v>1253</v>
      </c>
      <c r="G162" s="35" t="s">
        <v>1254</v>
      </c>
      <c r="H162" s="36" t="s">
        <v>1255</v>
      </c>
      <c r="I162" s="34" t="s">
        <v>75</v>
      </c>
      <c r="J162" s="34" t="s">
        <v>76</v>
      </c>
      <c r="K162" s="37" t="s">
        <v>1232</v>
      </c>
      <c r="L162" s="34">
        <f>IF(K162="","",IFERROR(ROUND((TODAY()-IF(ISNUMBER(K162),K162,DATEVALUE(K162)))/365.25, 1),""))</f>
        <v>0</v>
      </c>
      <c r="M162" s="34" t="s">
        <v>757</v>
      </c>
      <c r="N162" s="35" t="s">
        <v>82</v>
      </c>
      <c r="O162" s="34" t="s">
        <v>80</v>
      </c>
      <c r="P162" s="34" t="s">
        <v>81</v>
      </c>
      <c r="Q162" s="35" t="s">
        <v>82</v>
      </c>
      <c r="R162" s="34" t="s">
        <v>83</v>
      </c>
      <c r="S162" s="34" t="s">
        <v>11</v>
      </c>
      <c r="T162" s="34" t="s">
        <v>84</v>
      </c>
      <c r="U162" s="34" t="s">
        <v>85</v>
      </c>
      <c r="V162" s="35" t="s">
        <v>1256</v>
      </c>
      <c r="W162" s="35" t="s">
        <v>1257</v>
      </c>
      <c r="X162" s="34" t="s">
        <v>13</v>
      </c>
      <c r="Y162" s="37"/>
    </row>
    <row r="163" spans="1:25" ht="20" customHeight="1">
      <c r="A163" s="28">
        <v>161</v>
      </c>
      <c r="B163" s="28" t="s">
        <v>20</v>
      </c>
      <c r="C163" s="28" t="s">
        <v>22</v>
      </c>
      <c r="D163" s="29" t="s">
        <v>1258</v>
      </c>
      <c r="E163" s="30" t="s">
        <v>1259</v>
      </c>
      <c r="F163" s="30" t="s">
        <v>1260</v>
      </c>
      <c r="G163" s="29" t="s">
        <v>1261</v>
      </c>
      <c r="H163" s="30" t="s">
        <v>1262</v>
      </c>
      <c r="I163" s="28" t="s">
        <v>75</v>
      </c>
      <c r="J163" s="28" t="s">
        <v>76</v>
      </c>
      <c r="K163" s="31" t="s">
        <v>1263</v>
      </c>
      <c r="L163" s="28">
        <f>IF(K163="","",IFERROR(ROUND((TODAY()-IF(ISNUMBER(K163),K163,DATEVALUE(K163)))/365.25, 1),""))</f>
        <v>0</v>
      </c>
      <c r="M163" s="28" t="s">
        <v>553</v>
      </c>
      <c r="N163" s="29" t="s">
        <v>82</v>
      </c>
      <c r="O163" s="28" t="s">
        <v>80</v>
      </c>
      <c r="P163" s="28" t="s">
        <v>81</v>
      </c>
      <c r="Q163" s="29" t="s">
        <v>82</v>
      </c>
      <c r="R163" s="28" t="s">
        <v>83</v>
      </c>
      <c r="S163" s="28" t="s">
        <v>11</v>
      </c>
      <c r="T163" s="28" t="s">
        <v>84</v>
      </c>
      <c r="U163" s="28" t="s">
        <v>85</v>
      </c>
      <c r="V163" s="29" t="s">
        <v>1264</v>
      </c>
      <c r="W163" s="29" t="s">
        <v>1265</v>
      </c>
      <c r="X163" s="28" t="s">
        <v>13</v>
      </c>
      <c r="Y163" s="31"/>
    </row>
    <row r="164" spans="1:25" ht="20" customHeight="1">
      <c r="A164" s="34">
        <v>162</v>
      </c>
      <c r="B164" s="34" t="s">
        <v>20</v>
      </c>
      <c r="C164" s="34" t="s">
        <v>22</v>
      </c>
      <c r="D164" s="35" t="s">
        <v>1266</v>
      </c>
      <c r="E164" s="36" t="s">
        <v>1267</v>
      </c>
      <c r="F164" s="36" t="s">
        <v>1268</v>
      </c>
      <c r="G164" s="35" t="s">
        <v>1269</v>
      </c>
      <c r="H164" s="36" t="s">
        <v>1270</v>
      </c>
      <c r="I164" s="34" t="s">
        <v>75</v>
      </c>
      <c r="J164" s="34" t="s">
        <v>76</v>
      </c>
      <c r="K164" s="37" t="s">
        <v>1248</v>
      </c>
      <c r="L164" s="34">
        <f>IF(K164="","",IFERROR(ROUND((TODAY()-IF(ISNUMBER(K164),K164,DATEVALUE(K164)))/365.25, 1),""))</f>
        <v>0</v>
      </c>
      <c r="M164" s="34" t="s">
        <v>507</v>
      </c>
      <c r="N164" s="35" t="s">
        <v>82</v>
      </c>
      <c r="O164" s="34" t="s">
        <v>80</v>
      </c>
      <c r="P164" s="34" t="s">
        <v>81</v>
      </c>
      <c r="Q164" s="35" t="s">
        <v>82</v>
      </c>
      <c r="R164" s="34" t="s">
        <v>83</v>
      </c>
      <c r="S164" s="34" t="s">
        <v>12</v>
      </c>
      <c r="T164" s="34" t="s">
        <v>84</v>
      </c>
      <c r="U164" s="34" t="s">
        <v>85</v>
      </c>
      <c r="V164" s="35" t="s">
        <v>1271</v>
      </c>
      <c r="W164" s="35" t="s">
        <v>1272</v>
      </c>
      <c r="X164" s="34" t="s">
        <v>13</v>
      </c>
      <c r="Y164" s="37"/>
    </row>
    <row r="165" spans="1:25" ht="20" customHeight="1">
      <c r="A165" s="28">
        <v>163</v>
      </c>
      <c r="B165" s="28" t="s">
        <v>20</v>
      </c>
      <c r="C165" s="28" t="s">
        <v>22</v>
      </c>
      <c r="D165" s="29" t="s">
        <v>1273</v>
      </c>
      <c r="E165" s="30" t="s">
        <v>1274</v>
      </c>
      <c r="F165" s="30" t="s">
        <v>1275</v>
      </c>
      <c r="G165" s="29" t="s">
        <v>1276</v>
      </c>
      <c r="H165" s="30" t="s">
        <v>1277</v>
      </c>
      <c r="I165" s="28" t="s">
        <v>75</v>
      </c>
      <c r="J165" s="28" t="s">
        <v>76</v>
      </c>
      <c r="K165" s="31" t="s">
        <v>1223</v>
      </c>
      <c r="L165" s="28">
        <f>IF(K165="","",IFERROR(ROUND((TODAY()-IF(ISNUMBER(K165),K165,DATEVALUE(K165)))/365.25, 1),""))</f>
        <v>0</v>
      </c>
      <c r="M165" s="28" t="s">
        <v>553</v>
      </c>
      <c r="N165" s="29" t="s">
        <v>82</v>
      </c>
      <c r="O165" s="28" t="s">
        <v>80</v>
      </c>
      <c r="P165" s="28" t="s">
        <v>81</v>
      </c>
      <c r="Q165" s="29" t="s">
        <v>82</v>
      </c>
      <c r="R165" s="28" t="s">
        <v>83</v>
      </c>
      <c r="S165" s="28" t="s">
        <v>12</v>
      </c>
      <c r="T165" s="28" t="s">
        <v>84</v>
      </c>
      <c r="U165" s="28" t="s">
        <v>85</v>
      </c>
      <c r="V165" s="29" t="s">
        <v>1278</v>
      </c>
      <c r="W165" s="29" t="s">
        <v>1279</v>
      </c>
      <c r="X165" s="28" t="s">
        <v>13</v>
      </c>
      <c r="Y165" s="31"/>
    </row>
    <row r="166" spans="1:25" ht="20" customHeight="1">
      <c r="A166" s="34">
        <v>164</v>
      </c>
      <c r="B166" s="34" t="s">
        <v>20</v>
      </c>
      <c r="C166" s="34" t="s">
        <v>22</v>
      </c>
      <c r="D166" s="35" t="s">
        <v>1280</v>
      </c>
      <c r="E166" s="36" t="s">
        <v>1281</v>
      </c>
      <c r="F166" s="36" t="s">
        <v>1282</v>
      </c>
      <c r="G166" s="35" t="s">
        <v>1283</v>
      </c>
      <c r="H166" s="36" t="s">
        <v>1284</v>
      </c>
      <c r="I166" s="34" t="s">
        <v>75</v>
      </c>
      <c r="J166" s="34" t="s">
        <v>76</v>
      </c>
      <c r="K166" s="37" t="s">
        <v>1285</v>
      </c>
      <c r="L166" s="34">
        <f>IF(K166="","",IFERROR(ROUND((TODAY()-IF(ISNUMBER(K166),K166,DATEVALUE(K166)))/365.25, 1),""))</f>
        <v>0</v>
      </c>
      <c r="M166" s="34" t="s">
        <v>553</v>
      </c>
      <c r="N166" s="35" t="s">
        <v>82</v>
      </c>
      <c r="O166" s="34" t="s">
        <v>80</v>
      </c>
      <c r="P166" s="34" t="s">
        <v>81</v>
      </c>
      <c r="Q166" s="35" t="s">
        <v>82</v>
      </c>
      <c r="R166" s="34" t="s">
        <v>83</v>
      </c>
      <c r="S166" s="34" t="s">
        <v>12</v>
      </c>
      <c r="T166" s="34" t="s">
        <v>84</v>
      </c>
      <c r="U166" s="34" t="s">
        <v>85</v>
      </c>
      <c r="V166" s="35" t="s">
        <v>1286</v>
      </c>
      <c r="W166" s="35" t="s">
        <v>1287</v>
      </c>
      <c r="X166" s="34" t="s">
        <v>13</v>
      </c>
      <c r="Y166" s="37"/>
    </row>
    <row r="167" spans="1:25" ht="20" customHeight="1">
      <c r="A167" s="28">
        <v>165</v>
      </c>
      <c r="B167" s="28" t="s">
        <v>20</v>
      </c>
      <c r="C167" s="28" t="s">
        <v>22</v>
      </c>
      <c r="D167" s="29" t="s">
        <v>1288</v>
      </c>
      <c r="E167" s="30" t="s">
        <v>1289</v>
      </c>
      <c r="F167" s="30" t="s">
        <v>1290</v>
      </c>
      <c r="G167" s="29" t="s">
        <v>468</v>
      </c>
      <c r="H167" s="30" t="s">
        <v>1291</v>
      </c>
      <c r="I167" s="28" t="s">
        <v>75</v>
      </c>
      <c r="J167" s="28" t="s">
        <v>76</v>
      </c>
      <c r="K167" s="31" t="s">
        <v>1292</v>
      </c>
      <c r="L167" s="28">
        <f>IF(K167="","",IFERROR(ROUND((TODAY()-IF(ISNUMBER(K167),K167,DATEVALUE(K167)))/365.25, 1),""))</f>
        <v>0</v>
      </c>
      <c r="M167" s="28" t="s">
        <v>757</v>
      </c>
      <c r="N167" s="29" t="s">
        <v>82</v>
      </c>
      <c r="O167" s="28" t="s">
        <v>80</v>
      </c>
      <c r="P167" s="28" t="s">
        <v>81</v>
      </c>
      <c r="Q167" s="29" t="s">
        <v>82</v>
      </c>
      <c r="R167" s="28" t="s">
        <v>83</v>
      </c>
      <c r="S167" s="28" t="s">
        <v>11</v>
      </c>
      <c r="T167" s="28" t="s">
        <v>84</v>
      </c>
      <c r="U167" s="28" t="s">
        <v>85</v>
      </c>
      <c r="V167" s="29" t="s">
        <v>1293</v>
      </c>
      <c r="W167" s="29" t="s">
        <v>1294</v>
      </c>
      <c r="X167" s="28" t="s">
        <v>13</v>
      </c>
      <c r="Y167" s="31"/>
    </row>
    <row r="168" spans="1:25" ht="20" customHeight="1">
      <c r="A168" s="34">
        <v>166</v>
      </c>
      <c r="B168" s="34" t="s">
        <v>20</v>
      </c>
      <c r="C168" s="34" t="s">
        <v>22</v>
      </c>
      <c r="D168" s="35" t="s">
        <v>1295</v>
      </c>
      <c r="E168" s="36" t="s">
        <v>1296</v>
      </c>
      <c r="F168" s="36" t="s">
        <v>1297</v>
      </c>
      <c r="G168" s="35" t="s">
        <v>1298</v>
      </c>
      <c r="H168" s="36" t="s">
        <v>1299</v>
      </c>
      <c r="I168" s="34" t="s">
        <v>75</v>
      </c>
      <c r="J168" s="34" t="s">
        <v>76</v>
      </c>
      <c r="K168" s="37" t="s">
        <v>1300</v>
      </c>
      <c r="L168" s="34">
        <f>IF(K168="","",IFERROR(ROUND((TODAY()-IF(ISNUMBER(K168),K168,DATEVALUE(K168)))/365.25, 1),""))</f>
        <v>0</v>
      </c>
      <c r="M168" s="34" t="s">
        <v>553</v>
      </c>
      <c r="N168" s="35" t="s">
        <v>82</v>
      </c>
      <c r="O168" s="34" t="s">
        <v>80</v>
      </c>
      <c r="P168" s="34" t="s">
        <v>81</v>
      </c>
      <c r="Q168" s="35" t="s">
        <v>82</v>
      </c>
      <c r="R168" s="34" t="s">
        <v>83</v>
      </c>
      <c r="S168" s="34" t="s">
        <v>12</v>
      </c>
      <c r="T168" s="34" t="s">
        <v>84</v>
      </c>
      <c r="U168" s="34" t="s">
        <v>85</v>
      </c>
      <c r="V168" s="35" t="s">
        <v>1301</v>
      </c>
      <c r="W168" s="35" t="s">
        <v>1302</v>
      </c>
      <c r="X168" s="34" t="s">
        <v>13</v>
      </c>
      <c r="Y168" s="37"/>
    </row>
    <row r="169" spans="1:25" ht="20" customHeight="1">
      <c r="A169" s="28">
        <v>167</v>
      </c>
      <c r="B169" s="28" t="s">
        <v>20</v>
      </c>
      <c r="C169" s="28" t="s">
        <v>22</v>
      </c>
      <c r="D169" s="29" t="s">
        <v>1303</v>
      </c>
      <c r="E169" s="30" t="s">
        <v>1304</v>
      </c>
      <c r="F169" s="30" t="s">
        <v>1305</v>
      </c>
      <c r="G169" s="29" t="s">
        <v>1306</v>
      </c>
      <c r="H169" s="30" t="s">
        <v>1307</v>
      </c>
      <c r="I169" s="28" t="s">
        <v>75</v>
      </c>
      <c r="J169" s="28" t="s">
        <v>76</v>
      </c>
      <c r="K169" s="31" t="s">
        <v>1308</v>
      </c>
      <c r="L169" s="28">
        <f>IF(K169="","",IFERROR(ROUND((TODAY()-IF(ISNUMBER(K169),K169,DATEVALUE(K169)))/365.25, 1),""))</f>
        <v>0</v>
      </c>
      <c r="M169" s="28" t="s">
        <v>553</v>
      </c>
      <c r="N169" s="29" t="s">
        <v>82</v>
      </c>
      <c r="O169" s="28" t="s">
        <v>80</v>
      </c>
      <c r="P169" s="28" t="s">
        <v>81</v>
      </c>
      <c r="Q169" s="29" t="s">
        <v>82</v>
      </c>
      <c r="R169" s="28" t="s">
        <v>83</v>
      </c>
      <c r="S169" s="28" t="s">
        <v>12</v>
      </c>
      <c r="T169" s="28" t="s">
        <v>84</v>
      </c>
      <c r="U169" s="28" t="s">
        <v>85</v>
      </c>
      <c r="V169" s="29" t="s">
        <v>1309</v>
      </c>
      <c r="W169" s="29" t="s">
        <v>1310</v>
      </c>
      <c r="X169" s="28" t="s">
        <v>13</v>
      </c>
      <c r="Y169" s="31"/>
    </row>
    <row r="170" spans="1:25" ht="20" customHeight="1">
      <c r="A170" s="34">
        <v>168</v>
      </c>
      <c r="B170" s="34" t="s">
        <v>20</v>
      </c>
      <c r="C170" s="34" t="s">
        <v>22</v>
      </c>
      <c r="D170" s="35" t="s">
        <v>1311</v>
      </c>
      <c r="E170" s="36" t="s">
        <v>1312</v>
      </c>
      <c r="F170" s="36" t="s">
        <v>1313</v>
      </c>
      <c r="G170" s="35" t="s">
        <v>1314</v>
      </c>
      <c r="H170" s="36" t="s">
        <v>1315</v>
      </c>
      <c r="I170" s="34" t="s">
        <v>75</v>
      </c>
      <c r="J170" s="34" t="s">
        <v>76</v>
      </c>
      <c r="K170" s="37" t="s">
        <v>1316</v>
      </c>
      <c r="L170" s="34">
        <f>IF(K170="","",IFERROR(ROUND((TODAY()-IF(ISNUMBER(K170),K170,DATEVALUE(K170)))/365.25, 1),""))</f>
        <v>0</v>
      </c>
      <c r="M170" s="34" t="s">
        <v>553</v>
      </c>
      <c r="N170" s="35" t="s">
        <v>82</v>
      </c>
      <c r="O170" s="34" t="s">
        <v>80</v>
      </c>
      <c r="P170" s="34" t="s">
        <v>81</v>
      </c>
      <c r="Q170" s="35" t="s">
        <v>82</v>
      </c>
      <c r="R170" s="34" t="s">
        <v>83</v>
      </c>
      <c r="S170" s="34" t="s">
        <v>12</v>
      </c>
      <c r="T170" s="34" t="s">
        <v>84</v>
      </c>
      <c r="U170" s="34" t="s">
        <v>85</v>
      </c>
      <c r="V170" s="35" t="s">
        <v>1317</v>
      </c>
      <c r="W170" s="35" t="s">
        <v>1318</v>
      </c>
      <c r="X170" s="34" t="s">
        <v>13</v>
      </c>
      <c r="Y170" s="37"/>
    </row>
    <row r="171" spans="1:25" ht="20" customHeight="1">
      <c r="A171" s="28">
        <v>169</v>
      </c>
      <c r="B171" s="28" t="s">
        <v>20</v>
      </c>
      <c r="C171" s="28" t="s">
        <v>22</v>
      </c>
      <c r="D171" s="29" t="s">
        <v>1319</v>
      </c>
      <c r="E171" s="30" t="s">
        <v>1320</v>
      </c>
      <c r="F171" s="30" t="s">
        <v>1321</v>
      </c>
      <c r="G171" s="29" t="s">
        <v>1322</v>
      </c>
      <c r="H171" s="30" t="s">
        <v>1323</v>
      </c>
      <c r="I171" s="28" t="s">
        <v>75</v>
      </c>
      <c r="J171" s="28" t="s">
        <v>76</v>
      </c>
      <c r="K171" s="31" t="s">
        <v>1324</v>
      </c>
      <c r="L171" s="28">
        <f>IF(K171="","",IFERROR(ROUND((TODAY()-IF(ISNUMBER(K171),K171,DATEVALUE(K171)))/365.25, 1),""))</f>
        <v>0</v>
      </c>
      <c r="M171" s="28" t="s">
        <v>553</v>
      </c>
      <c r="N171" s="29" t="s">
        <v>82</v>
      </c>
      <c r="O171" s="28" t="s">
        <v>80</v>
      </c>
      <c r="P171" s="28" t="s">
        <v>81</v>
      </c>
      <c r="Q171" s="29" t="s">
        <v>82</v>
      </c>
      <c r="R171" s="28" t="s">
        <v>83</v>
      </c>
      <c r="S171" s="28" t="s">
        <v>12</v>
      </c>
      <c r="T171" s="28" t="s">
        <v>84</v>
      </c>
      <c r="U171" s="28" t="s">
        <v>85</v>
      </c>
      <c r="V171" s="29" t="s">
        <v>1325</v>
      </c>
      <c r="W171" s="29" t="s">
        <v>1326</v>
      </c>
      <c r="X171" s="28" t="s">
        <v>13</v>
      </c>
      <c r="Y171" s="31"/>
    </row>
    <row r="172" spans="1:25" ht="20" customHeight="1">
      <c r="A172" s="34">
        <v>170</v>
      </c>
      <c r="B172" s="34" t="s">
        <v>20</v>
      </c>
      <c r="C172" s="34" t="s">
        <v>22</v>
      </c>
      <c r="D172" s="35" t="s">
        <v>1327</v>
      </c>
      <c r="E172" s="36" t="s">
        <v>1328</v>
      </c>
      <c r="F172" s="36" t="s">
        <v>1329</v>
      </c>
      <c r="G172" s="35" t="s">
        <v>1330</v>
      </c>
      <c r="H172" s="36" t="s">
        <v>1331</v>
      </c>
      <c r="I172" s="34" t="s">
        <v>128</v>
      </c>
      <c r="J172" s="34" t="s">
        <v>76</v>
      </c>
      <c r="K172" s="37" t="s">
        <v>1332</v>
      </c>
      <c r="L172" s="34">
        <f>IF(K172="","",IFERROR(ROUND((TODAY()-IF(ISNUMBER(K172),K172,DATEVALUE(K172)))/365.25, 1),""))</f>
        <v>0</v>
      </c>
      <c r="M172" s="34" t="s">
        <v>553</v>
      </c>
      <c r="N172" s="35" t="s">
        <v>82</v>
      </c>
      <c r="O172" s="34" t="s">
        <v>1224</v>
      </c>
      <c r="P172" s="34" t="s">
        <v>81</v>
      </c>
      <c r="Q172" s="35" t="s">
        <v>82</v>
      </c>
      <c r="R172" s="34" t="s">
        <v>83</v>
      </c>
      <c r="S172" s="34" t="s">
        <v>12</v>
      </c>
      <c r="T172" s="34" t="s">
        <v>84</v>
      </c>
      <c r="U172" s="34" t="s">
        <v>85</v>
      </c>
      <c r="V172" s="35" t="s">
        <v>1333</v>
      </c>
      <c r="W172" s="35" t="s">
        <v>1334</v>
      </c>
      <c r="X172" s="34" t="s">
        <v>13</v>
      </c>
      <c r="Y172" s="37"/>
    </row>
    <row r="173" spans="1:25" ht="20" customHeight="1">
      <c r="A173" s="28">
        <v>171</v>
      </c>
      <c r="B173" s="28" t="s">
        <v>20</v>
      </c>
      <c r="C173" s="28" t="s">
        <v>22</v>
      </c>
      <c r="D173" s="29" t="s">
        <v>1335</v>
      </c>
      <c r="E173" s="30" t="s">
        <v>1336</v>
      </c>
      <c r="F173" s="30" t="s">
        <v>1337</v>
      </c>
      <c r="G173" s="29" t="s">
        <v>1338</v>
      </c>
      <c r="H173" s="30" t="s">
        <v>1339</v>
      </c>
      <c r="I173" s="28" t="s">
        <v>75</v>
      </c>
      <c r="J173" s="28" t="s">
        <v>76</v>
      </c>
      <c r="K173" s="31" t="s">
        <v>1340</v>
      </c>
      <c r="L173" s="28">
        <f>IF(K173="","",IFERROR(ROUND((TODAY()-IF(ISNUMBER(K173),K173,DATEVALUE(K173)))/365.25, 1),""))</f>
        <v>0</v>
      </c>
      <c r="M173" s="28" t="s">
        <v>553</v>
      </c>
      <c r="N173" s="29" t="s">
        <v>82</v>
      </c>
      <c r="O173" s="28" t="s">
        <v>80</v>
      </c>
      <c r="P173" s="28" t="s">
        <v>81</v>
      </c>
      <c r="Q173" s="29" t="s">
        <v>82</v>
      </c>
      <c r="R173" s="28" t="s">
        <v>83</v>
      </c>
      <c r="S173" s="28" t="s">
        <v>12</v>
      </c>
      <c r="T173" s="28" t="s">
        <v>84</v>
      </c>
      <c r="U173" s="28" t="s">
        <v>85</v>
      </c>
      <c r="V173" s="29" t="s">
        <v>1341</v>
      </c>
      <c r="W173" s="29" t="s">
        <v>1342</v>
      </c>
      <c r="X173" s="28" t="s">
        <v>13</v>
      </c>
      <c r="Y173" s="31"/>
    </row>
    <row r="174" spans="1:25" ht="20" customHeight="1">
      <c r="A174" s="34">
        <v>172</v>
      </c>
      <c r="B174" s="34" t="s">
        <v>20</v>
      </c>
      <c r="C174" s="34" t="s">
        <v>22</v>
      </c>
      <c r="D174" s="35" t="s">
        <v>1343</v>
      </c>
      <c r="E174" s="36" t="s">
        <v>1344</v>
      </c>
      <c r="F174" s="36" t="s">
        <v>1345</v>
      </c>
      <c r="G174" s="35" t="s">
        <v>1346</v>
      </c>
      <c r="H174" s="36" t="s">
        <v>1347</v>
      </c>
      <c r="I174" s="34" t="s">
        <v>75</v>
      </c>
      <c r="J174" s="34" t="s">
        <v>76</v>
      </c>
      <c r="K174" s="37" t="s">
        <v>1248</v>
      </c>
      <c r="L174" s="34">
        <f>IF(K174="","",IFERROR(ROUND((TODAY()-IF(ISNUMBER(K174),K174,DATEVALUE(K174)))/365.25, 1),""))</f>
        <v>0</v>
      </c>
      <c r="M174" s="34" t="s">
        <v>553</v>
      </c>
      <c r="N174" s="35" t="s">
        <v>82</v>
      </c>
      <c r="O174" s="34" t="s">
        <v>80</v>
      </c>
      <c r="P174" s="34" t="s">
        <v>81</v>
      </c>
      <c r="Q174" s="35" t="s">
        <v>82</v>
      </c>
      <c r="R174" s="34" t="s">
        <v>83</v>
      </c>
      <c r="S174" s="34" t="s">
        <v>12</v>
      </c>
      <c r="T174" s="34" t="s">
        <v>84</v>
      </c>
      <c r="U174" s="34" t="s">
        <v>85</v>
      </c>
      <c r="V174" s="35" t="s">
        <v>1348</v>
      </c>
      <c r="W174" s="35" t="s">
        <v>1349</v>
      </c>
      <c r="X174" s="34" t="s">
        <v>13</v>
      </c>
      <c r="Y174" s="37"/>
    </row>
    <row r="175" spans="1:25" ht="20" customHeight="1">
      <c r="A175" s="28">
        <v>173</v>
      </c>
      <c r="B175" s="28" t="s">
        <v>20</v>
      </c>
      <c r="C175" s="28" t="s">
        <v>22</v>
      </c>
      <c r="D175" s="29" t="s">
        <v>1350</v>
      </c>
      <c r="E175" s="30" t="s">
        <v>1351</v>
      </c>
      <c r="F175" s="30" t="s">
        <v>1352</v>
      </c>
      <c r="G175" s="29" t="s">
        <v>1353</v>
      </c>
      <c r="H175" s="30" t="s">
        <v>1354</v>
      </c>
      <c r="I175" s="28" t="s">
        <v>75</v>
      </c>
      <c r="J175" s="28" t="s">
        <v>76</v>
      </c>
      <c r="K175" s="31" t="s">
        <v>1285</v>
      </c>
      <c r="L175" s="28">
        <f>IF(K175="","",IFERROR(ROUND((TODAY()-IF(ISNUMBER(K175),K175,DATEVALUE(K175)))/365.25, 1),""))</f>
        <v>0</v>
      </c>
      <c r="M175" s="28" t="s">
        <v>553</v>
      </c>
      <c r="N175" s="29" t="s">
        <v>82</v>
      </c>
      <c r="O175" s="28" t="s">
        <v>80</v>
      </c>
      <c r="P175" s="28" t="s">
        <v>81</v>
      </c>
      <c r="Q175" s="29" t="s">
        <v>82</v>
      </c>
      <c r="R175" s="28" t="s">
        <v>83</v>
      </c>
      <c r="S175" s="28" t="s">
        <v>12</v>
      </c>
      <c r="T175" s="28" t="s">
        <v>84</v>
      </c>
      <c r="U175" s="28" t="s">
        <v>85</v>
      </c>
      <c r="V175" s="29" t="s">
        <v>1355</v>
      </c>
      <c r="W175" s="29" t="s">
        <v>1356</v>
      </c>
      <c r="X175" s="28" t="s">
        <v>13</v>
      </c>
      <c r="Y175" s="31"/>
    </row>
    <row r="176" spans="1:25" ht="20" customHeight="1">
      <c r="A176" s="34">
        <v>174</v>
      </c>
      <c r="B176" s="34" t="s">
        <v>20</v>
      </c>
      <c r="C176" s="34" t="s">
        <v>22</v>
      </c>
      <c r="D176" s="35" t="s">
        <v>1357</v>
      </c>
      <c r="E176" s="36" t="s">
        <v>1358</v>
      </c>
      <c r="F176" s="36" t="s">
        <v>1359</v>
      </c>
      <c r="G176" s="35" t="s">
        <v>1360</v>
      </c>
      <c r="H176" s="36" t="s">
        <v>1361</v>
      </c>
      <c r="I176" s="34" t="s">
        <v>128</v>
      </c>
      <c r="J176" s="34" t="s">
        <v>76</v>
      </c>
      <c r="K176" s="37" t="s">
        <v>1300</v>
      </c>
      <c r="L176" s="34">
        <f>IF(K176="","",IFERROR(ROUND((TODAY()-IF(ISNUMBER(K176),K176,DATEVALUE(K176)))/365.25, 1),""))</f>
        <v>0</v>
      </c>
      <c r="M176" s="34" t="s">
        <v>553</v>
      </c>
      <c r="N176" s="35" t="s">
        <v>82</v>
      </c>
      <c r="O176" s="34" t="s">
        <v>80</v>
      </c>
      <c r="P176" s="34" t="s">
        <v>81</v>
      </c>
      <c r="Q176" s="35" t="s">
        <v>82</v>
      </c>
      <c r="R176" s="34" t="s">
        <v>83</v>
      </c>
      <c r="S176" s="34" t="s">
        <v>11</v>
      </c>
      <c r="T176" s="34" t="s">
        <v>84</v>
      </c>
      <c r="U176" s="34" t="s">
        <v>85</v>
      </c>
      <c r="V176" s="35" t="s">
        <v>1362</v>
      </c>
      <c r="W176" s="35" t="s">
        <v>1363</v>
      </c>
      <c r="X176" s="34" t="s">
        <v>13</v>
      </c>
      <c r="Y176" s="37"/>
    </row>
    <row r="177" spans="1:25" ht="20" customHeight="1">
      <c r="A177" s="28">
        <v>175</v>
      </c>
      <c r="B177" s="28" t="s">
        <v>20</v>
      </c>
      <c r="C177" s="28" t="s">
        <v>22</v>
      </c>
      <c r="D177" s="29" t="s">
        <v>1364</v>
      </c>
      <c r="E177" s="30" t="s">
        <v>1365</v>
      </c>
      <c r="F177" s="30" t="s">
        <v>1366</v>
      </c>
      <c r="G177" s="29" t="s">
        <v>1367</v>
      </c>
      <c r="H177" s="30" t="s">
        <v>1368</v>
      </c>
      <c r="I177" s="28" t="s">
        <v>128</v>
      </c>
      <c r="J177" s="28" t="s">
        <v>76</v>
      </c>
      <c r="K177" s="31" t="s">
        <v>1369</v>
      </c>
      <c r="L177" s="28">
        <f>IF(K177="","",IFERROR(ROUND((TODAY()-IF(ISNUMBER(K177),K177,DATEVALUE(K177)))/365.25, 1),""))</f>
        <v>0</v>
      </c>
      <c r="M177" s="28" t="s">
        <v>553</v>
      </c>
      <c r="N177" s="29" t="s">
        <v>82</v>
      </c>
      <c r="O177" s="28" t="s">
        <v>80</v>
      </c>
      <c r="P177" s="28" t="s">
        <v>81</v>
      </c>
      <c r="Q177" s="29" t="s">
        <v>82</v>
      </c>
      <c r="R177" s="28" t="s">
        <v>83</v>
      </c>
      <c r="S177" s="28" t="s">
        <v>11</v>
      </c>
      <c r="T177" s="28" t="s">
        <v>84</v>
      </c>
      <c r="U177" s="28" t="s">
        <v>85</v>
      </c>
      <c r="V177" s="29" t="s">
        <v>1370</v>
      </c>
      <c r="W177" s="29" t="s">
        <v>1371</v>
      </c>
      <c r="X177" s="28" t="s">
        <v>13</v>
      </c>
      <c r="Y177" s="31"/>
    </row>
    <row r="178" spans="1:25" ht="20" customHeight="1">
      <c r="A178" s="34">
        <v>176</v>
      </c>
      <c r="B178" s="34" t="s">
        <v>20</v>
      </c>
      <c r="C178" s="34" t="s">
        <v>22</v>
      </c>
      <c r="D178" s="35" t="s">
        <v>1372</v>
      </c>
      <c r="E178" s="36" t="s">
        <v>1373</v>
      </c>
      <c r="F178" s="36" t="s">
        <v>1374</v>
      </c>
      <c r="G178" s="35" t="s">
        <v>1375</v>
      </c>
      <c r="H178" s="36" t="s">
        <v>1376</v>
      </c>
      <c r="I178" s="34" t="s">
        <v>128</v>
      </c>
      <c r="J178" s="34" t="s">
        <v>76</v>
      </c>
      <c r="K178" s="37" t="s">
        <v>1263</v>
      </c>
      <c r="L178" s="34">
        <f>IF(K178="","",IFERROR(ROUND((TODAY()-IF(ISNUMBER(K178),K178,DATEVALUE(K178)))/365.25, 1),""))</f>
        <v>0</v>
      </c>
      <c r="M178" s="34" t="s">
        <v>553</v>
      </c>
      <c r="N178" s="35" t="s">
        <v>82</v>
      </c>
      <c r="O178" s="34" t="s">
        <v>80</v>
      </c>
      <c r="P178" s="34" t="s">
        <v>81</v>
      </c>
      <c r="Q178" s="35" t="s">
        <v>82</v>
      </c>
      <c r="R178" s="34" t="s">
        <v>83</v>
      </c>
      <c r="S178" s="34" t="s">
        <v>11</v>
      </c>
      <c r="T178" s="34" t="s">
        <v>84</v>
      </c>
      <c r="U178" s="34" t="s">
        <v>85</v>
      </c>
      <c r="V178" s="35" t="s">
        <v>1377</v>
      </c>
      <c r="W178" s="35" t="s">
        <v>1378</v>
      </c>
      <c r="X178" s="34" t="s">
        <v>13</v>
      </c>
      <c r="Y178" s="37"/>
    </row>
    <row r="179" spans="1:25" ht="20" customHeight="1">
      <c r="A179" s="28">
        <v>177</v>
      </c>
      <c r="B179" s="28" t="s">
        <v>20</v>
      </c>
      <c r="C179" s="28" t="s">
        <v>22</v>
      </c>
      <c r="D179" s="29" t="s">
        <v>1379</v>
      </c>
      <c r="E179" s="30" t="s">
        <v>1380</v>
      </c>
      <c r="F179" s="30" t="s">
        <v>1381</v>
      </c>
      <c r="G179" s="29" t="s">
        <v>1382</v>
      </c>
      <c r="H179" s="30" t="s">
        <v>1383</v>
      </c>
      <c r="I179" s="28" t="s">
        <v>75</v>
      </c>
      <c r="J179" s="28" t="s">
        <v>76</v>
      </c>
      <c r="K179" s="31" t="s">
        <v>1263</v>
      </c>
      <c r="L179" s="28">
        <f>IF(K179="","",IFERROR(ROUND((TODAY()-IF(ISNUMBER(K179),K179,DATEVALUE(K179)))/365.25, 1),""))</f>
        <v>0</v>
      </c>
      <c r="M179" s="28" t="s">
        <v>553</v>
      </c>
      <c r="N179" s="29" t="s">
        <v>82</v>
      </c>
      <c r="O179" s="28" t="s">
        <v>80</v>
      </c>
      <c r="P179" s="28" t="s">
        <v>81</v>
      </c>
      <c r="Q179" s="29" t="s">
        <v>82</v>
      </c>
      <c r="R179" s="28" t="s">
        <v>83</v>
      </c>
      <c r="S179" s="28" t="s">
        <v>11</v>
      </c>
      <c r="T179" s="28" t="s">
        <v>84</v>
      </c>
      <c r="U179" s="28" t="s">
        <v>85</v>
      </c>
      <c r="V179" s="29" t="s">
        <v>1384</v>
      </c>
      <c r="W179" s="29" t="s">
        <v>1385</v>
      </c>
      <c r="X179" s="28" t="s">
        <v>13</v>
      </c>
      <c r="Y179" s="31"/>
    </row>
    <row r="180" spans="1:25" ht="20" customHeight="1">
      <c r="A180" s="34">
        <v>178</v>
      </c>
      <c r="B180" s="34" t="s">
        <v>20</v>
      </c>
      <c r="C180" s="34" t="s">
        <v>22</v>
      </c>
      <c r="D180" s="35" t="s">
        <v>1386</v>
      </c>
      <c r="E180" s="36" t="s">
        <v>1387</v>
      </c>
      <c r="F180" s="36" t="s">
        <v>1388</v>
      </c>
      <c r="G180" s="35" t="s">
        <v>1389</v>
      </c>
      <c r="H180" s="36" t="s">
        <v>1390</v>
      </c>
      <c r="I180" s="34" t="s">
        <v>128</v>
      </c>
      <c r="J180" s="34" t="s">
        <v>76</v>
      </c>
      <c r="K180" s="37" t="s">
        <v>1263</v>
      </c>
      <c r="L180" s="34">
        <f>IF(K180="","",IFERROR(ROUND((TODAY()-IF(ISNUMBER(K180),K180,DATEVALUE(K180)))/365.25, 1),""))</f>
        <v>0</v>
      </c>
      <c r="M180" s="34" t="s">
        <v>553</v>
      </c>
      <c r="N180" s="35" t="s">
        <v>82</v>
      </c>
      <c r="O180" s="34" t="s">
        <v>1224</v>
      </c>
      <c r="P180" s="34" t="s">
        <v>81</v>
      </c>
      <c r="Q180" s="35" t="s">
        <v>82</v>
      </c>
      <c r="R180" s="34" t="s">
        <v>83</v>
      </c>
      <c r="S180" s="34" t="s">
        <v>12</v>
      </c>
      <c r="T180" s="34" t="s">
        <v>84</v>
      </c>
      <c r="U180" s="34" t="s">
        <v>85</v>
      </c>
      <c r="V180" s="35" t="s">
        <v>1391</v>
      </c>
      <c r="W180" s="35" t="s">
        <v>1392</v>
      </c>
      <c r="X180" s="34" t="s">
        <v>13</v>
      </c>
      <c r="Y180" s="37"/>
    </row>
    <row r="181" spans="1:25" ht="20" customHeight="1">
      <c r="A181" s="28">
        <v>179</v>
      </c>
      <c r="B181" s="28" t="s">
        <v>20</v>
      </c>
      <c r="C181" s="28" t="s">
        <v>22</v>
      </c>
      <c r="D181" s="29" t="s">
        <v>1393</v>
      </c>
      <c r="E181" s="30" t="s">
        <v>1394</v>
      </c>
      <c r="F181" s="30" t="s">
        <v>1395</v>
      </c>
      <c r="G181" s="29" t="s">
        <v>1396</v>
      </c>
      <c r="H181" s="30" t="s">
        <v>1397</v>
      </c>
      <c r="I181" s="28" t="s">
        <v>75</v>
      </c>
      <c r="J181" s="28" t="s">
        <v>76</v>
      </c>
      <c r="K181" s="31" t="s">
        <v>1248</v>
      </c>
      <c r="L181" s="28">
        <f>IF(K181="","",IFERROR(ROUND((TODAY()-IF(ISNUMBER(K181),K181,DATEVALUE(K181)))/365.25, 1),""))</f>
        <v>0</v>
      </c>
      <c r="M181" s="28" t="s">
        <v>757</v>
      </c>
      <c r="N181" s="29" t="s">
        <v>82</v>
      </c>
      <c r="O181" s="28" t="s">
        <v>80</v>
      </c>
      <c r="P181" s="28" t="s">
        <v>81</v>
      </c>
      <c r="Q181" s="29" t="s">
        <v>82</v>
      </c>
      <c r="R181" s="28" t="s">
        <v>83</v>
      </c>
      <c r="S181" s="28" t="s">
        <v>11</v>
      </c>
      <c r="T181" s="28" t="s">
        <v>84</v>
      </c>
      <c r="U181" s="28" t="s">
        <v>85</v>
      </c>
      <c r="V181" s="29" t="s">
        <v>1398</v>
      </c>
      <c r="W181" s="29" t="s">
        <v>1399</v>
      </c>
      <c r="X181" s="28" t="s">
        <v>13</v>
      </c>
      <c r="Y181" s="31"/>
    </row>
    <row r="182" spans="1:25" ht="20" customHeight="1">
      <c r="A182" s="34">
        <v>180</v>
      </c>
      <c r="B182" s="34" t="s">
        <v>20</v>
      </c>
      <c r="C182" s="34" t="s">
        <v>22</v>
      </c>
      <c r="D182" s="35" t="s">
        <v>1400</v>
      </c>
      <c r="E182" s="36" t="s">
        <v>1401</v>
      </c>
      <c r="F182" s="36" t="s">
        <v>1402</v>
      </c>
      <c r="G182" s="35" t="s">
        <v>1403</v>
      </c>
      <c r="H182" s="36" t="s">
        <v>1404</v>
      </c>
      <c r="I182" s="34" t="s">
        <v>75</v>
      </c>
      <c r="J182" s="34" t="s">
        <v>76</v>
      </c>
      <c r="K182" s="37" t="s">
        <v>1324</v>
      </c>
      <c r="L182" s="34">
        <f>IF(K182="","",IFERROR(ROUND((TODAY()-IF(ISNUMBER(K182),K182,DATEVALUE(K182)))/365.25, 1),""))</f>
        <v>0</v>
      </c>
      <c r="M182" s="34" t="s">
        <v>553</v>
      </c>
      <c r="N182" s="35" t="s">
        <v>82</v>
      </c>
      <c r="O182" s="34" t="s">
        <v>80</v>
      </c>
      <c r="P182" s="34" t="s">
        <v>81</v>
      </c>
      <c r="Q182" s="35" t="s">
        <v>82</v>
      </c>
      <c r="R182" s="34" t="s">
        <v>83</v>
      </c>
      <c r="S182" s="34" t="s">
        <v>11</v>
      </c>
      <c r="T182" s="34" t="s">
        <v>84</v>
      </c>
      <c r="U182" s="34" t="s">
        <v>85</v>
      </c>
      <c r="V182" s="35" t="s">
        <v>1405</v>
      </c>
      <c r="W182" s="35" t="s">
        <v>1406</v>
      </c>
      <c r="X182" s="34" t="s">
        <v>13</v>
      </c>
      <c r="Y182" s="37"/>
    </row>
    <row r="183" spans="1:25" ht="20" customHeight="1">
      <c r="A183" s="28">
        <v>181</v>
      </c>
      <c r="B183" s="28" t="s">
        <v>20</v>
      </c>
      <c r="C183" s="28" t="s">
        <v>22</v>
      </c>
      <c r="D183" s="29" t="s">
        <v>1407</v>
      </c>
      <c r="E183" s="30" t="s">
        <v>747</v>
      </c>
      <c r="F183" s="30" t="s">
        <v>1408</v>
      </c>
      <c r="G183" s="29" t="s">
        <v>1409</v>
      </c>
      <c r="H183" s="30" t="s">
        <v>1410</v>
      </c>
      <c r="I183" s="28" t="s">
        <v>75</v>
      </c>
      <c r="J183" s="28" t="s">
        <v>76</v>
      </c>
      <c r="K183" s="31" t="s">
        <v>1248</v>
      </c>
      <c r="L183" s="28">
        <f>IF(K183="","",IFERROR(ROUND((TODAY()-IF(ISNUMBER(K183),K183,DATEVALUE(K183)))/365.25, 1),""))</f>
        <v>0</v>
      </c>
      <c r="M183" s="28" t="s">
        <v>553</v>
      </c>
      <c r="N183" s="29" t="s">
        <v>82</v>
      </c>
      <c r="O183" s="28" t="s">
        <v>80</v>
      </c>
      <c r="P183" s="28" t="s">
        <v>81</v>
      </c>
      <c r="Q183" s="29" t="s">
        <v>82</v>
      </c>
      <c r="R183" s="28" t="s">
        <v>83</v>
      </c>
      <c r="S183" s="28" t="s">
        <v>11</v>
      </c>
      <c r="T183" s="28" t="s">
        <v>84</v>
      </c>
      <c r="U183" s="28" t="s">
        <v>85</v>
      </c>
      <c r="V183" s="29" t="s">
        <v>1411</v>
      </c>
      <c r="W183" s="29" t="s">
        <v>1412</v>
      </c>
      <c r="X183" s="28" t="s">
        <v>13</v>
      </c>
      <c r="Y183" s="31"/>
    </row>
    <row r="184" spans="1:25" ht="20" customHeight="1">
      <c r="A184" s="34">
        <v>182</v>
      </c>
      <c r="B184" s="34" t="s">
        <v>20</v>
      </c>
      <c r="C184" s="34" t="s">
        <v>22</v>
      </c>
      <c r="D184" s="35" t="s">
        <v>1413</v>
      </c>
      <c r="E184" s="36" t="s">
        <v>1414</v>
      </c>
      <c r="F184" s="36" t="s">
        <v>1415</v>
      </c>
      <c r="G184" s="35" t="s">
        <v>1416</v>
      </c>
      <c r="H184" s="36" t="s">
        <v>1417</v>
      </c>
      <c r="I184" s="34" t="s">
        <v>128</v>
      </c>
      <c r="J184" s="34" t="s">
        <v>76</v>
      </c>
      <c r="K184" s="37" t="s">
        <v>1248</v>
      </c>
      <c r="L184" s="34">
        <f>IF(K184="","",IFERROR(ROUND((TODAY()-IF(ISNUMBER(K184),K184,DATEVALUE(K184)))/365.25, 1),""))</f>
        <v>0</v>
      </c>
      <c r="M184" s="34" t="s">
        <v>553</v>
      </c>
      <c r="N184" s="35" t="s">
        <v>82</v>
      </c>
      <c r="O184" s="34" t="s">
        <v>1224</v>
      </c>
      <c r="P184" s="34" t="s">
        <v>81</v>
      </c>
      <c r="Q184" s="35" t="s">
        <v>82</v>
      </c>
      <c r="R184" s="34" t="s">
        <v>83</v>
      </c>
      <c r="S184" s="34" t="s">
        <v>12</v>
      </c>
      <c r="T184" s="34" t="s">
        <v>113</v>
      </c>
      <c r="U184" s="34" t="s">
        <v>85</v>
      </c>
      <c r="V184" s="35" t="s">
        <v>82</v>
      </c>
      <c r="W184" s="35" t="s">
        <v>1418</v>
      </c>
      <c r="X184" s="34" t="s">
        <v>13</v>
      </c>
      <c r="Y184" s="37"/>
    </row>
    <row r="185" spans="1:25" ht="20" customHeight="1">
      <c r="A185" s="28">
        <v>183</v>
      </c>
      <c r="B185" s="28" t="s">
        <v>20</v>
      </c>
      <c r="C185" s="28" t="s">
        <v>22</v>
      </c>
      <c r="D185" s="29" t="s">
        <v>1419</v>
      </c>
      <c r="E185" s="30" t="s">
        <v>1420</v>
      </c>
      <c r="F185" s="30" t="s">
        <v>1421</v>
      </c>
      <c r="G185" s="29" t="s">
        <v>1422</v>
      </c>
      <c r="H185" s="30" t="s">
        <v>1423</v>
      </c>
      <c r="I185" s="28" t="s">
        <v>75</v>
      </c>
      <c r="J185" s="28" t="s">
        <v>76</v>
      </c>
      <c r="K185" s="31" t="s">
        <v>1248</v>
      </c>
      <c r="L185" s="28">
        <f>IF(K185="","",IFERROR(ROUND((TODAY()-IF(ISNUMBER(K185),K185,DATEVALUE(K185)))/365.25, 1),""))</f>
        <v>0</v>
      </c>
      <c r="M185" s="28" t="s">
        <v>757</v>
      </c>
      <c r="N185" s="29" t="s">
        <v>82</v>
      </c>
      <c r="O185" s="28" t="s">
        <v>80</v>
      </c>
      <c r="P185" s="28" t="s">
        <v>81</v>
      </c>
      <c r="Q185" s="29" t="s">
        <v>82</v>
      </c>
      <c r="R185" s="28" t="s">
        <v>83</v>
      </c>
      <c r="S185" s="28" t="s">
        <v>11</v>
      </c>
      <c r="T185" s="28" t="s">
        <v>84</v>
      </c>
      <c r="U185" s="28" t="s">
        <v>85</v>
      </c>
      <c r="V185" s="29" t="s">
        <v>1424</v>
      </c>
      <c r="W185" s="29" t="s">
        <v>1425</v>
      </c>
      <c r="X185" s="28" t="s">
        <v>13</v>
      </c>
      <c r="Y185" s="31"/>
    </row>
    <row r="186" spans="1:25" ht="20" customHeight="1">
      <c r="A186" s="34">
        <v>184</v>
      </c>
      <c r="B186" s="34" t="s">
        <v>20</v>
      </c>
      <c r="C186" s="34" t="s">
        <v>22</v>
      </c>
      <c r="D186" s="35" t="s">
        <v>1426</v>
      </c>
      <c r="E186" s="36" t="s">
        <v>1427</v>
      </c>
      <c r="F186" s="36" t="s">
        <v>1428</v>
      </c>
      <c r="G186" s="35" t="s">
        <v>1429</v>
      </c>
      <c r="H186" s="36" t="s">
        <v>1430</v>
      </c>
      <c r="I186" s="34" t="s">
        <v>75</v>
      </c>
      <c r="J186" s="34" t="s">
        <v>76</v>
      </c>
      <c r="K186" s="37" t="s">
        <v>1431</v>
      </c>
      <c r="L186" s="34">
        <f>IF(K186="","",IFERROR(ROUND((TODAY()-IF(ISNUMBER(K186),K186,DATEVALUE(K186)))/365.25, 1),""))</f>
        <v>0</v>
      </c>
      <c r="M186" s="34" t="s">
        <v>757</v>
      </c>
      <c r="N186" s="35" t="s">
        <v>82</v>
      </c>
      <c r="O186" s="34" t="s">
        <v>80</v>
      </c>
      <c r="P186" s="34" t="s">
        <v>81</v>
      </c>
      <c r="Q186" s="35" t="s">
        <v>82</v>
      </c>
      <c r="R186" s="34" t="s">
        <v>83</v>
      </c>
      <c r="S186" s="34" t="s">
        <v>11</v>
      </c>
      <c r="T186" s="34" t="s">
        <v>84</v>
      </c>
      <c r="U186" s="34" t="s">
        <v>85</v>
      </c>
      <c r="V186" s="35" t="s">
        <v>1432</v>
      </c>
      <c r="W186" s="35" t="s">
        <v>1433</v>
      </c>
      <c r="X186" s="34" t="s">
        <v>13</v>
      </c>
      <c r="Y186" s="37"/>
    </row>
    <row r="187" spans="1:25" ht="20" customHeight="1">
      <c r="A187" s="28">
        <v>185</v>
      </c>
      <c r="B187" s="28" t="s">
        <v>20</v>
      </c>
      <c r="C187" s="28" t="s">
        <v>22</v>
      </c>
      <c r="D187" s="29" t="s">
        <v>1434</v>
      </c>
      <c r="E187" s="30" t="s">
        <v>1435</v>
      </c>
      <c r="F187" s="30" t="s">
        <v>1436</v>
      </c>
      <c r="G187" s="29" t="s">
        <v>1437</v>
      </c>
      <c r="H187" s="30" t="s">
        <v>1438</v>
      </c>
      <c r="I187" s="28" t="s">
        <v>75</v>
      </c>
      <c r="J187" s="28" t="s">
        <v>76</v>
      </c>
      <c r="K187" s="31" t="s">
        <v>1439</v>
      </c>
      <c r="L187" s="28">
        <f>IF(K187="","",IFERROR(ROUND((TODAY()-IF(ISNUMBER(K187),K187,DATEVALUE(K187)))/365.25, 1),""))</f>
        <v>0</v>
      </c>
      <c r="M187" s="28" t="s">
        <v>553</v>
      </c>
      <c r="N187" s="29" t="s">
        <v>82</v>
      </c>
      <c r="O187" s="28" t="s">
        <v>80</v>
      </c>
      <c r="P187" s="28" t="s">
        <v>81</v>
      </c>
      <c r="Q187" s="29" t="s">
        <v>82</v>
      </c>
      <c r="R187" s="28" t="s">
        <v>83</v>
      </c>
      <c r="S187" s="28" t="s">
        <v>11</v>
      </c>
      <c r="T187" s="28" t="s">
        <v>84</v>
      </c>
      <c r="U187" s="28" t="s">
        <v>85</v>
      </c>
      <c r="V187" s="29" t="s">
        <v>1440</v>
      </c>
      <c r="W187" s="29" t="s">
        <v>1441</v>
      </c>
      <c r="X187" s="28" t="s">
        <v>13</v>
      </c>
      <c r="Y187" s="31"/>
    </row>
    <row r="188" spans="1:25" ht="20" customHeight="1">
      <c r="A188" s="34">
        <v>186</v>
      </c>
      <c r="B188" s="34" t="s">
        <v>20</v>
      </c>
      <c r="C188" s="34" t="s">
        <v>22</v>
      </c>
      <c r="D188" s="35" t="s">
        <v>1442</v>
      </c>
      <c r="E188" s="36" t="s">
        <v>1443</v>
      </c>
      <c r="F188" s="36" t="s">
        <v>1444</v>
      </c>
      <c r="G188" s="35" t="s">
        <v>1445</v>
      </c>
      <c r="H188" s="36" t="s">
        <v>1446</v>
      </c>
      <c r="I188" s="34" t="s">
        <v>75</v>
      </c>
      <c r="J188" s="34" t="s">
        <v>76</v>
      </c>
      <c r="K188" s="37" t="s">
        <v>1300</v>
      </c>
      <c r="L188" s="34">
        <f>IF(K188="","",IFERROR(ROUND((TODAY()-IF(ISNUMBER(K188),K188,DATEVALUE(K188)))/365.25, 1),""))</f>
        <v>0</v>
      </c>
      <c r="M188" s="34" t="s">
        <v>553</v>
      </c>
      <c r="N188" s="35" t="s">
        <v>82</v>
      </c>
      <c r="O188" s="34" t="s">
        <v>80</v>
      </c>
      <c r="P188" s="34" t="s">
        <v>81</v>
      </c>
      <c r="Q188" s="35" t="s">
        <v>82</v>
      </c>
      <c r="R188" s="34" t="s">
        <v>83</v>
      </c>
      <c r="S188" s="34" t="s">
        <v>12</v>
      </c>
      <c r="T188" s="34" t="s">
        <v>84</v>
      </c>
      <c r="U188" s="34" t="s">
        <v>85</v>
      </c>
      <c r="V188" s="35" t="s">
        <v>1447</v>
      </c>
      <c r="W188" s="35" t="s">
        <v>1448</v>
      </c>
      <c r="X188" s="34" t="s">
        <v>13</v>
      </c>
      <c r="Y188" s="37"/>
    </row>
    <row r="189" spans="1:25" ht="20" customHeight="1">
      <c r="A189" s="28">
        <v>187</v>
      </c>
      <c r="B189" s="28" t="s">
        <v>20</v>
      </c>
      <c r="C189" s="28" t="s">
        <v>22</v>
      </c>
      <c r="D189" s="29" t="s">
        <v>1449</v>
      </c>
      <c r="E189" s="30" t="s">
        <v>1450</v>
      </c>
      <c r="F189" s="30" t="s">
        <v>1451</v>
      </c>
      <c r="G189" s="29" t="s">
        <v>1452</v>
      </c>
      <c r="H189" s="30" t="s">
        <v>1453</v>
      </c>
      <c r="I189" s="28" t="s">
        <v>128</v>
      </c>
      <c r="J189" s="28" t="s">
        <v>76</v>
      </c>
      <c r="K189" s="31" t="s">
        <v>1248</v>
      </c>
      <c r="L189" s="28">
        <f>IF(K189="","",IFERROR(ROUND((TODAY()-IF(ISNUMBER(K189),K189,DATEVALUE(K189)))/365.25, 1),""))</f>
        <v>0</v>
      </c>
      <c r="M189" s="28" t="s">
        <v>553</v>
      </c>
      <c r="N189" s="29" t="s">
        <v>82</v>
      </c>
      <c r="O189" s="28" t="s">
        <v>80</v>
      </c>
      <c r="P189" s="28" t="s">
        <v>81</v>
      </c>
      <c r="Q189" s="29" t="s">
        <v>82</v>
      </c>
      <c r="R189" s="28" t="s">
        <v>83</v>
      </c>
      <c r="S189" s="28" t="s">
        <v>11</v>
      </c>
      <c r="T189" s="28" t="s">
        <v>113</v>
      </c>
      <c r="U189" s="28" t="s">
        <v>85</v>
      </c>
      <c r="V189" s="29" t="s">
        <v>1454</v>
      </c>
      <c r="W189" s="29" t="s">
        <v>1455</v>
      </c>
      <c r="X189" s="28" t="s">
        <v>13</v>
      </c>
      <c r="Y189" s="31"/>
    </row>
    <row r="190" spans="1:25" ht="20" customHeight="1">
      <c r="A190" s="34">
        <v>188</v>
      </c>
      <c r="B190" s="34" t="s">
        <v>20</v>
      </c>
      <c r="C190" s="34" t="s">
        <v>22</v>
      </c>
      <c r="D190" s="35" t="s">
        <v>1456</v>
      </c>
      <c r="E190" s="36" t="s">
        <v>1457</v>
      </c>
      <c r="F190" s="36" t="s">
        <v>1458</v>
      </c>
      <c r="G190" s="35" t="s">
        <v>1459</v>
      </c>
      <c r="H190" s="36" t="s">
        <v>1460</v>
      </c>
      <c r="I190" s="34" t="s">
        <v>75</v>
      </c>
      <c r="J190" s="34" t="s">
        <v>76</v>
      </c>
      <c r="K190" s="37" t="s">
        <v>1461</v>
      </c>
      <c r="L190" s="34">
        <f>IF(K190="","",IFERROR(ROUND((TODAY()-IF(ISNUMBER(K190),K190,DATEVALUE(K190)))/365.25, 1),""))</f>
        <v>0</v>
      </c>
      <c r="M190" s="34" t="s">
        <v>553</v>
      </c>
      <c r="N190" s="35" t="s">
        <v>82</v>
      </c>
      <c r="O190" s="34" t="s">
        <v>80</v>
      </c>
      <c r="P190" s="34" t="s">
        <v>81</v>
      </c>
      <c r="Q190" s="35" t="s">
        <v>82</v>
      </c>
      <c r="R190" s="34" t="s">
        <v>83</v>
      </c>
      <c r="S190" s="34" t="s">
        <v>12</v>
      </c>
      <c r="T190" s="34" t="s">
        <v>84</v>
      </c>
      <c r="U190" s="34" t="s">
        <v>85</v>
      </c>
      <c r="V190" s="35" t="s">
        <v>1462</v>
      </c>
      <c r="W190" s="35" t="s">
        <v>1463</v>
      </c>
      <c r="X190" s="34" t="s">
        <v>13</v>
      </c>
      <c r="Y190" s="37"/>
    </row>
    <row r="191" spans="1:25" ht="20" customHeight="1">
      <c r="A191" s="28">
        <v>189</v>
      </c>
      <c r="B191" s="28" t="s">
        <v>20</v>
      </c>
      <c r="C191" s="28" t="s">
        <v>22</v>
      </c>
      <c r="D191" s="29" t="s">
        <v>1464</v>
      </c>
      <c r="E191" s="30" t="s">
        <v>1465</v>
      </c>
      <c r="F191" s="30" t="s">
        <v>1466</v>
      </c>
      <c r="G191" s="29" t="s">
        <v>1467</v>
      </c>
      <c r="H191" s="30" t="s">
        <v>1468</v>
      </c>
      <c r="I191" s="28" t="s">
        <v>75</v>
      </c>
      <c r="J191" s="28" t="s">
        <v>76</v>
      </c>
      <c r="K191" s="31" t="s">
        <v>1248</v>
      </c>
      <c r="L191" s="28">
        <f>IF(K191="","",IFERROR(ROUND((TODAY()-IF(ISNUMBER(K191),K191,DATEVALUE(K191)))/365.25, 1),""))</f>
        <v>0</v>
      </c>
      <c r="M191" s="28" t="s">
        <v>553</v>
      </c>
      <c r="N191" s="29" t="s">
        <v>82</v>
      </c>
      <c r="O191" s="28" t="s">
        <v>80</v>
      </c>
      <c r="P191" s="28" t="s">
        <v>81</v>
      </c>
      <c r="Q191" s="29" t="s">
        <v>82</v>
      </c>
      <c r="R191" s="28" t="s">
        <v>83</v>
      </c>
      <c r="S191" s="28" t="s">
        <v>12</v>
      </c>
      <c r="T191" s="28" t="s">
        <v>84</v>
      </c>
      <c r="U191" s="28" t="s">
        <v>85</v>
      </c>
      <c r="V191" s="29" t="s">
        <v>1469</v>
      </c>
      <c r="W191" s="29" t="s">
        <v>1470</v>
      </c>
      <c r="X191" s="28" t="s">
        <v>13</v>
      </c>
      <c r="Y191" s="31"/>
    </row>
    <row r="192" spans="1:25" ht="20" customHeight="1">
      <c r="A192" s="34">
        <v>190</v>
      </c>
      <c r="B192" s="34" t="s">
        <v>20</v>
      </c>
      <c r="C192" s="34" t="s">
        <v>22</v>
      </c>
      <c r="D192" s="35" t="s">
        <v>1471</v>
      </c>
      <c r="E192" s="36" t="s">
        <v>1472</v>
      </c>
      <c r="F192" s="36" t="s">
        <v>1473</v>
      </c>
      <c r="G192" s="35" t="s">
        <v>1474</v>
      </c>
      <c r="H192" s="36" t="s">
        <v>1475</v>
      </c>
      <c r="I192" s="34" t="s">
        <v>75</v>
      </c>
      <c r="J192" s="34" t="s">
        <v>76</v>
      </c>
      <c r="K192" s="37" t="s">
        <v>1476</v>
      </c>
      <c r="L192" s="34">
        <f>IF(K192="","",IFERROR(ROUND((TODAY()-IF(ISNUMBER(K192),K192,DATEVALUE(K192)))/365.25, 1),""))</f>
        <v>0</v>
      </c>
      <c r="M192" s="34" t="s">
        <v>553</v>
      </c>
      <c r="N192" s="35" t="s">
        <v>82</v>
      </c>
      <c r="O192" s="34" t="s">
        <v>80</v>
      </c>
      <c r="P192" s="34" t="s">
        <v>81</v>
      </c>
      <c r="Q192" s="35" t="s">
        <v>82</v>
      </c>
      <c r="R192" s="34" t="s">
        <v>83</v>
      </c>
      <c r="S192" s="34" t="s">
        <v>12</v>
      </c>
      <c r="T192" s="34" t="s">
        <v>84</v>
      </c>
      <c r="U192" s="34" t="s">
        <v>85</v>
      </c>
      <c r="V192" s="35" t="s">
        <v>1477</v>
      </c>
      <c r="W192" s="35" t="s">
        <v>1478</v>
      </c>
      <c r="X192" s="34" t="s">
        <v>13</v>
      </c>
      <c r="Y192" s="37"/>
    </row>
    <row r="193" spans="1:25" ht="20" customHeight="1">
      <c r="A193" s="28">
        <v>191</v>
      </c>
      <c r="B193" s="28" t="s">
        <v>20</v>
      </c>
      <c r="C193" s="28" t="s">
        <v>22</v>
      </c>
      <c r="D193" s="29" t="s">
        <v>1479</v>
      </c>
      <c r="E193" s="30" t="s">
        <v>1480</v>
      </c>
      <c r="F193" s="30" t="s">
        <v>1481</v>
      </c>
      <c r="G193" s="29" t="s">
        <v>1482</v>
      </c>
      <c r="H193" s="30" t="s">
        <v>1483</v>
      </c>
      <c r="I193" s="28" t="s">
        <v>75</v>
      </c>
      <c r="J193" s="28" t="s">
        <v>76</v>
      </c>
      <c r="K193" s="31" t="s">
        <v>1292</v>
      </c>
      <c r="L193" s="28">
        <f>IF(K193="","",IFERROR(ROUND((TODAY()-IF(ISNUMBER(K193),K193,DATEVALUE(K193)))/365.25, 1),""))</f>
        <v>0</v>
      </c>
      <c r="M193" s="28" t="s">
        <v>553</v>
      </c>
      <c r="N193" s="29" t="s">
        <v>82</v>
      </c>
      <c r="O193" s="28" t="s">
        <v>80</v>
      </c>
      <c r="P193" s="28" t="s">
        <v>81</v>
      </c>
      <c r="Q193" s="29" t="s">
        <v>82</v>
      </c>
      <c r="R193" s="28" t="s">
        <v>83</v>
      </c>
      <c r="S193" s="28" t="s">
        <v>12</v>
      </c>
      <c r="T193" s="28" t="s">
        <v>84</v>
      </c>
      <c r="U193" s="28" t="s">
        <v>85</v>
      </c>
      <c r="V193" s="29" t="s">
        <v>1484</v>
      </c>
      <c r="W193" s="29" t="s">
        <v>1485</v>
      </c>
      <c r="X193" s="28" t="s">
        <v>13</v>
      </c>
      <c r="Y193" s="31"/>
    </row>
    <row r="194" spans="1:25" ht="20" customHeight="1">
      <c r="A194" s="34">
        <v>192</v>
      </c>
      <c r="B194" s="34" t="s">
        <v>20</v>
      </c>
      <c r="C194" s="34" t="s">
        <v>22</v>
      </c>
      <c r="D194" s="35" t="s">
        <v>1486</v>
      </c>
      <c r="E194" s="36" t="s">
        <v>1487</v>
      </c>
      <c r="F194" s="36" t="s">
        <v>1488</v>
      </c>
      <c r="G194" s="35" t="s">
        <v>1489</v>
      </c>
      <c r="H194" s="36" t="s">
        <v>1490</v>
      </c>
      <c r="I194" s="34" t="s">
        <v>75</v>
      </c>
      <c r="J194" s="34" t="s">
        <v>76</v>
      </c>
      <c r="K194" s="37" t="s">
        <v>1491</v>
      </c>
      <c r="L194" s="34">
        <f>IF(K194="","",IFERROR(ROUND((TODAY()-IF(ISNUMBER(K194),K194,DATEVALUE(K194)))/365.25, 1),""))</f>
        <v>0</v>
      </c>
      <c r="M194" s="34" t="s">
        <v>553</v>
      </c>
      <c r="N194" s="35" t="s">
        <v>82</v>
      </c>
      <c r="O194" s="34" t="s">
        <v>80</v>
      </c>
      <c r="P194" s="34" t="s">
        <v>81</v>
      </c>
      <c r="Q194" s="35" t="s">
        <v>82</v>
      </c>
      <c r="R194" s="34" t="s">
        <v>83</v>
      </c>
      <c r="S194" s="34" t="s">
        <v>12</v>
      </c>
      <c r="T194" s="34" t="s">
        <v>84</v>
      </c>
      <c r="U194" s="34" t="s">
        <v>85</v>
      </c>
      <c r="V194" s="35" t="s">
        <v>1492</v>
      </c>
      <c r="W194" s="35" t="s">
        <v>1493</v>
      </c>
      <c r="X194" s="34" t="s">
        <v>13</v>
      </c>
      <c r="Y194" s="37"/>
    </row>
    <row r="195" spans="1:25" ht="20" customHeight="1">
      <c r="A195" s="28">
        <v>193</v>
      </c>
      <c r="B195" s="28" t="s">
        <v>20</v>
      </c>
      <c r="C195" s="28" t="s">
        <v>22</v>
      </c>
      <c r="D195" s="29" t="s">
        <v>1494</v>
      </c>
      <c r="E195" s="30" t="s">
        <v>1495</v>
      </c>
      <c r="F195" s="30" t="s">
        <v>1496</v>
      </c>
      <c r="G195" s="29" t="s">
        <v>1497</v>
      </c>
      <c r="H195" s="30" t="s">
        <v>1498</v>
      </c>
      <c r="I195" s="28" t="s">
        <v>75</v>
      </c>
      <c r="J195" s="28" t="s">
        <v>76</v>
      </c>
      <c r="K195" s="31" t="s">
        <v>1248</v>
      </c>
      <c r="L195" s="28">
        <f>IF(K195="","",IFERROR(ROUND((TODAY()-IF(ISNUMBER(K195),K195,DATEVALUE(K195)))/365.25, 1),""))</f>
        <v>0</v>
      </c>
      <c r="M195" s="28" t="s">
        <v>553</v>
      </c>
      <c r="N195" s="29" t="s">
        <v>82</v>
      </c>
      <c r="O195" s="28" t="s">
        <v>80</v>
      </c>
      <c r="P195" s="28" t="s">
        <v>81</v>
      </c>
      <c r="Q195" s="29" t="s">
        <v>82</v>
      </c>
      <c r="R195" s="28" t="s">
        <v>83</v>
      </c>
      <c r="S195" s="28" t="s">
        <v>12</v>
      </c>
      <c r="T195" s="28" t="s">
        <v>84</v>
      </c>
      <c r="U195" s="28" t="s">
        <v>85</v>
      </c>
      <c r="V195" s="29" t="s">
        <v>1499</v>
      </c>
      <c r="W195" s="29" t="s">
        <v>1500</v>
      </c>
      <c r="X195" s="28" t="s">
        <v>13</v>
      </c>
      <c r="Y195" s="31"/>
    </row>
    <row r="196" spans="1:25" ht="20" customHeight="1">
      <c r="A196" s="34">
        <v>194</v>
      </c>
      <c r="B196" s="34" t="s">
        <v>20</v>
      </c>
      <c r="C196" s="34" t="s">
        <v>22</v>
      </c>
      <c r="D196" s="35" t="s">
        <v>1501</v>
      </c>
      <c r="E196" s="36" t="s">
        <v>1502</v>
      </c>
      <c r="F196" s="36" t="s">
        <v>1503</v>
      </c>
      <c r="G196" s="35" t="s">
        <v>1504</v>
      </c>
      <c r="H196" s="36" t="s">
        <v>1505</v>
      </c>
      <c r="I196" s="34" t="s">
        <v>75</v>
      </c>
      <c r="J196" s="34" t="s">
        <v>76</v>
      </c>
      <c r="K196" s="37" t="s">
        <v>1506</v>
      </c>
      <c r="L196" s="34">
        <f>IF(K196="","",IFERROR(ROUND((TODAY()-IF(ISNUMBER(K196),K196,DATEVALUE(K196)))/365.25, 1),""))</f>
        <v>0</v>
      </c>
      <c r="M196" s="34" t="s">
        <v>553</v>
      </c>
      <c r="N196" s="35" t="s">
        <v>82</v>
      </c>
      <c r="O196" s="34" t="s">
        <v>80</v>
      </c>
      <c r="P196" s="34" t="s">
        <v>81</v>
      </c>
      <c r="Q196" s="35" t="s">
        <v>82</v>
      </c>
      <c r="R196" s="34" t="s">
        <v>83</v>
      </c>
      <c r="S196" s="34" t="s">
        <v>11</v>
      </c>
      <c r="T196" s="34" t="s">
        <v>84</v>
      </c>
      <c r="U196" s="34" t="s">
        <v>85</v>
      </c>
      <c r="V196" s="35" t="s">
        <v>1507</v>
      </c>
      <c r="W196" s="35" t="s">
        <v>1508</v>
      </c>
      <c r="X196" s="34" t="s">
        <v>13</v>
      </c>
      <c r="Y196" s="37"/>
    </row>
    <row r="197" spans="1:25" ht="20" customHeight="1">
      <c r="A197" s="28">
        <v>195</v>
      </c>
      <c r="B197" s="28" t="s">
        <v>20</v>
      </c>
      <c r="C197" s="28" t="s">
        <v>22</v>
      </c>
      <c r="D197" s="29" t="s">
        <v>1509</v>
      </c>
      <c r="E197" s="30" t="s">
        <v>1510</v>
      </c>
      <c r="F197" s="30" t="s">
        <v>1511</v>
      </c>
      <c r="G197" s="29" t="s">
        <v>1512</v>
      </c>
      <c r="H197" s="30" t="s">
        <v>1513</v>
      </c>
      <c r="I197" s="28" t="s">
        <v>75</v>
      </c>
      <c r="J197" s="28" t="s">
        <v>76</v>
      </c>
      <c r="K197" s="31" t="s">
        <v>1324</v>
      </c>
      <c r="L197" s="28">
        <f>IF(K197="","",IFERROR(ROUND((TODAY()-IF(ISNUMBER(K197),K197,DATEVALUE(K197)))/365.25, 1),""))</f>
        <v>0</v>
      </c>
      <c r="M197" s="28" t="s">
        <v>553</v>
      </c>
      <c r="N197" s="29" t="s">
        <v>82</v>
      </c>
      <c r="O197" s="28" t="s">
        <v>80</v>
      </c>
      <c r="P197" s="28" t="s">
        <v>81</v>
      </c>
      <c r="Q197" s="29" t="s">
        <v>82</v>
      </c>
      <c r="R197" s="28" t="s">
        <v>83</v>
      </c>
      <c r="S197" s="28" t="s">
        <v>12</v>
      </c>
      <c r="T197" s="28" t="s">
        <v>84</v>
      </c>
      <c r="U197" s="28" t="s">
        <v>85</v>
      </c>
      <c r="V197" s="29" t="s">
        <v>1514</v>
      </c>
      <c r="W197" s="29" t="s">
        <v>1515</v>
      </c>
      <c r="X197" s="28" t="s">
        <v>13</v>
      </c>
      <c r="Y197" s="31"/>
    </row>
    <row r="198" spans="1:25" ht="20" customHeight="1">
      <c r="A198" s="34">
        <v>196</v>
      </c>
      <c r="B198" s="34" t="s">
        <v>20</v>
      </c>
      <c r="C198" s="34" t="s">
        <v>22</v>
      </c>
      <c r="D198" s="35" t="s">
        <v>1516</v>
      </c>
      <c r="E198" s="36" t="s">
        <v>1517</v>
      </c>
      <c r="F198" s="36" t="s">
        <v>1518</v>
      </c>
      <c r="G198" s="35" t="s">
        <v>1519</v>
      </c>
      <c r="H198" s="36" t="s">
        <v>1520</v>
      </c>
      <c r="I198" s="34" t="s">
        <v>75</v>
      </c>
      <c r="J198" s="34" t="s">
        <v>76</v>
      </c>
      <c r="K198" s="37" t="s">
        <v>1521</v>
      </c>
      <c r="L198" s="34">
        <f>IF(K198="","",IFERROR(ROUND((TODAY()-IF(ISNUMBER(K198),K198,DATEVALUE(K198)))/365.25, 1),""))</f>
        <v>0</v>
      </c>
      <c r="M198" s="34" t="s">
        <v>553</v>
      </c>
      <c r="N198" s="35" t="s">
        <v>82</v>
      </c>
      <c r="O198" s="34" t="s">
        <v>80</v>
      </c>
      <c r="P198" s="34" t="s">
        <v>81</v>
      </c>
      <c r="Q198" s="35" t="s">
        <v>82</v>
      </c>
      <c r="R198" s="34" t="s">
        <v>83</v>
      </c>
      <c r="S198" s="34" t="s">
        <v>11</v>
      </c>
      <c r="T198" s="34" t="s">
        <v>84</v>
      </c>
      <c r="U198" s="34" t="s">
        <v>85</v>
      </c>
      <c r="V198" s="35" t="s">
        <v>1522</v>
      </c>
      <c r="W198" s="35" t="s">
        <v>1523</v>
      </c>
      <c r="X198" s="34" t="s">
        <v>13</v>
      </c>
      <c r="Y198" s="37"/>
    </row>
    <row r="199" spans="1:25" ht="20" customHeight="1">
      <c r="A199" s="28">
        <v>197</v>
      </c>
      <c r="B199" s="28" t="s">
        <v>20</v>
      </c>
      <c r="C199" s="28" t="s">
        <v>22</v>
      </c>
      <c r="D199" s="29" t="s">
        <v>1524</v>
      </c>
      <c r="E199" s="30" t="s">
        <v>1525</v>
      </c>
      <c r="F199" s="30" t="s">
        <v>1526</v>
      </c>
      <c r="G199" s="29" t="s">
        <v>1527</v>
      </c>
      <c r="H199" s="30" t="s">
        <v>1528</v>
      </c>
      <c r="I199" s="28" t="s">
        <v>75</v>
      </c>
      <c r="J199" s="28" t="s">
        <v>76</v>
      </c>
      <c r="K199" s="31" t="s">
        <v>1369</v>
      </c>
      <c r="L199" s="28">
        <f>IF(K199="","",IFERROR(ROUND((TODAY()-IF(ISNUMBER(K199),K199,DATEVALUE(K199)))/365.25, 1),""))</f>
        <v>0</v>
      </c>
      <c r="M199" s="28" t="s">
        <v>553</v>
      </c>
      <c r="N199" s="29" t="s">
        <v>82</v>
      </c>
      <c r="O199" s="28" t="s">
        <v>80</v>
      </c>
      <c r="P199" s="28" t="s">
        <v>81</v>
      </c>
      <c r="Q199" s="29" t="s">
        <v>82</v>
      </c>
      <c r="R199" s="28" t="s">
        <v>83</v>
      </c>
      <c r="S199" s="28" t="s">
        <v>12</v>
      </c>
      <c r="T199" s="28" t="s">
        <v>84</v>
      </c>
      <c r="U199" s="28" t="s">
        <v>85</v>
      </c>
      <c r="V199" s="29" t="s">
        <v>1529</v>
      </c>
      <c r="W199" s="29" t="s">
        <v>1530</v>
      </c>
      <c r="X199" s="28" t="s">
        <v>13</v>
      </c>
      <c r="Y199" s="31"/>
    </row>
    <row r="200" spans="1:25" ht="20" customHeight="1">
      <c r="A200" s="34">
        <v>198</v>
      </c>
      <c r="B200" s="34" t="s">
        <v>20</v>
      </c>
      <c r="C200" s="34" t="s">
        <v>22</v>
      </c>
      <c r="D200" s="35" t="s">
        <v>1531</v>
      </c>
      <c r="E200" s="36" t="s">
        <v>1532</v>
      </c>
      <c r="F200" s="36" t="s">
        <v>1533</v>
      </c>
      <c r="G200" s="35" t="s">
        <v>1534</v>
      </c>
      <c r="H200" s="36" t="s">
        <v>1535</v>
      </c>
      <c r="I200" s="34" t="s">
        <v>75</v>
      </c>
      <c r="J200" s="34" t="s">
        <v>76</v>
      </c>
      <c r="K200" s="37" t="s">
        <v>1536</v>
      </c>
      <c r="L200" s="34">
        <f>IF(K200="","",IFERROR(ROUND((TODAY()-IF(ISNUMBER(K200),K200,DATEVALUE(K200)))/365.25, 1),""))</f>
        <v>0</v>
      </c>
      <c r="M200" s="34" t="s">
        <v>553</v>
      </c>
      <c r="N200" s="35" t="s">
        <v>82</v>
      </c>
      <c r="O200" s="34" t="s">
        <v>80</v>
      </c>
      <c r="P200" s="34" t="s">
        <v>81</v>
      </c>
      <c r="Q200" s="35" t="s">
        <v>82</v>
      </c>
      <c r="R200" s="34" t="s">
        <v>83</v>
      </c>
      <c r="S200" s="34" t="s">
        <v>12</v>
      </c>
      <c r="T200" s="34" t="s">
        <v>84</v>
      </c>
      <c r="U200" s="34" t="s">
        <v>85</v>
      </c>
      <c r="V200" s="35" t="s">
        <v>1537</v>
      </c>
      <c r="W200" s="35" t="s">
        <v>1538</v>
      </c>
      <c r="X200" s="34" t="s">
        <v>13</v>
      </c>
      <c r="Y200" s="37"/>
    </row>
    <row r="201" spans="1:25" ht="20" customHeight="1">
      <c r="A201" s="28">
        <v>199</v>
      </c>
      <c r="B201" s="28" t="s">
        <v>20</v>
      </c>
      <c r="C201" s="28" t="s">
        <v>22</v>
      </c>
      <c r="D201" s="29" t="s">
        <v>1539</v>
      </c>
      <c r="E201" s="30" t="s">
        <v>1540</v>
      </c>
      <c r="F201" s="30" t="s">
        <v>1541</v>
      </c>
      <c r="G201" s="29" t="s">
        <v>1542</v>
      </c>
      <c r="H201" s="30" t="s">
        <v>1543</v>
      </c>
      <c r="I201" s="28" t="s">
        <v>75</v>
      </c>
      <c r="J201" s="28" t="s">
        <v>76</v>
      </c>
      <c r="K201" s="31" t="s">
        <v>1544</v>
      </c>
      <c r="L201" s="28">
        <f>IF(K201="","",IFERROR(ROUND((TODAY()-IF(ISNUMBER(K201),K201,DATEVALUE(K201)))/365.25, 1),""))</f>
        <v>0</v>
      </c>
      <c r="M201" s="28" t="s">
        <v>553</v>
      </c>
      <c r="N201" s="29" t="s">
        <v>82</v>
      </c>
      <c r="O201" s="28" t="s">
        <v>80</v>
      </c>
      <c r="P201" s="28" t="s">
        <v>81</v>
      </c>
      <c r="Q201" s="29" t="s">
        <v>82</v>
      </c>
      <c r="R201" s="28" t="s">
        <v>83</v>
      </c>
      <c r="S201" s="28" t="s">
        <v>11</v>
      </c>
      <c r="T201" s="28" t="s">
        <v>84</v>
      </c>
      <c r="U201" s="28" t="s">
        <v>85</v>
      </c>
      <c r="V201" s="29" t="s">
        <v>1545</v>
      </c>
      <c r="W201" s="29" t="s">
        <v>1546</v>
      </c>
      <c r="X201" s="28" t="s">
        <v>13</v>
      </c>
      <c r="Y201" s="31"/>
    </row>
    <row r="202" spans="1:25" ht="20" customHeight="1">
      <c r="A202" s="34">
        <v>200</v>
      </c>
      <c r="B202" s="34" t="s">
        <v>20</v>
      </c>
      <c r="C202" s="34" t="s">
        <v>22</v>
      </c>
      <c r="D202" s="35" t="s">
        <v>1547</v>
      </c>
      <c r="E202" s="36" t="s">
        <v>1548</v>
      </c>
      <c r="F202" s="36" t="s">
        <v>1549</v>
      </c>
      <c r="G202" s="35" t="s">
        <v>1550</v>
      </c>
      <c r="H202" s="36" t="s">
        <v>1551</v>
      </c>
      <c r="I202" s="34" t="s">
        <v>128</v>
      </c>
      <c r="J202" s="34" t="s">
        <v>76</v>
      </c>
      <c r="K202" s="37" t="s">
        <v>1552</v>
      </c>
      <c r="L202" s="34">
        <f>IF(K202="","",IFERROR(ROUND((TODAY()-IF(ISNUMBER(K202),K202,DATEVALUE(K202)))/365.25, 1),""))</f>
        <v>0</v>
      </c>
      <c r="M202" s="34" t="s">
        <v>553</v>
      </c>
      <c r="N202" s="35" t="s">
        <v>82</v>
      </c>
      <c r="O202" s="34" t="s">
        <v>1224</v>
      </c>
      <c r="P202" s="34" t="s">
        <v>81</v>
      </c>
      <c r="Q202" s="35" t="s">
        <v>82</v>
      </c>
      <c r="R202" s="34" t="s">
        <v>83</v>
      </c>
      <c r="S202" s="34" t="s">
        <v>12</v>
      </c>
      <c r="T202" s="34" t="s">
        <v>84</v>
      </c>
      <c r="U202" s="34" t="s">
        <v>85</v>
      </c>
      <c r="V202" s="35" t="s">
        <v>1553</v>
      </c>
      <c r="W202" s="35" t="s">
        <v>1554</v>
      </c>
      <c r="X202" s="34" t="s">
        <v>13</v>
      </c>
      <c r="Y202" s="37"/>
    </row>
    <row r="203" spans="1:25" ht="20" customHeight="1">
      <c r="A203" s="28">
        <v>201</v>
      </c>
      <c r="B203" s="28" t="s">
        <v>20</v>
      </c>
      <c r="C203" s="28" t="s">
        <v>22</v>
      </c>
      <c r="D203" s="29" t="s">
        <v>1555</v>
      </c>
      <c r="E203" s="30" t="s">
        <v>1556</v>
      </c>
      <c r="F203" s="30" t="s">
        <v>1557</v>
      </c>
      <c r="G203" s="29" t="s">
        <v>1558</v>
      </c>
      <c r="H203" s="30" t="s">
        <v>1559</v>
      </c>
      <c r="I203" s="28" t="s">
        <v>128</v>
      </c>
      <c r="J203" s="28" t="s">
        <v>76</v>
      </c>
      <c r="K203" s="31" t="s">
        <v>1263</v>
      </c>
      <c r="L203" s="28">
        <f>IF(K203="","",IFERROR(ROUND((TODAY()-IF(ISNUMBER(K203),K203,DATEVALUE(K203)))/365.25, 1),""))</f>
        <v>0</v>
      </c>
      <c r="M203" s="28" t="s">
        <v>553</v>
      </c>
      <c r="N203" s="29" t="s">
        <v>82</v>
      </c>
      <c r="O203" s="28" t="s">
        <v>80</v>
      </c>
      <c r="P203" s="28" t="s">
        <v>81</v>
      </c>
      <c r="Q203" s="29" t="s">
        <v>82</v>
      </c>
      <c r="R203" s="28" t="s">
        <v>83</v>
      </c>
      <c r="S203" s="28" t="s">
        <v>11</v>
      </c>
      <c r="T203" s="28" t="s">
        <v>84</v>
      </c>
      <c r="U203" s="28" t="s">
        <v>85</v>
      </c>
      <c r="V203" s="29" t="s">
        <v>1560</v>
      </c>
      <c r="W203" s="29" t="s">
        <v>1561</v>
      </c>
      <c r="X203" s="28" t="s">
        <v>13</v>
      </c>
      <c r="Y203" s="31"/>
    </row>
    <row r="204" spans="1:25" ht="20" customHeight="1">
      <c r="A204" s="34">
        <v>202</v>
      </c>
      <c r="B204" s="34" t="s">
        <v>20</v>
      </c>
      <c r="C204" s="34" t="s">
        <v>22</v>
      </c>
      <c r="D204" s="35" t="s">
        <v>1562</v>
      </c>
      <c r="E204" s="36" t="s">
        <v>1563</v>
      </c>
      <c r="F204" s="36" t="s">
        <v>1564</v>
      </c>
      <c r="G204" s="35" t="s">
        <v>1565</v>
      </c>
      <c r="H204" s="36" t="s">
        <v>1566</v>
      </c>
      <c r="I204" s="34" t="s">
        <v>128</v>
      </c>
      <c r="J204" s="34" t="s">
        <v>76</v>
      </c>
      <c r="K204" s="37" t="s">
        <v>1248</v>
      </c>
      <c r="L204" s="34">
        <f>IF(K204="","",IFERROR(ROUND((TODAY()-IF(ISNUMBER(K204),K204,DATEVALUE(K204)))/365.25, 1),""))</f>
        <v>0</v>
      </c>
      <c r="M204" s="34" t="s">
        <v>553</v>
      </c>
      <c r="N204" s="35" t="s">
        <v>82</v>
      </c>
      <c r="O204" s="34" t="s">
        <v>80</v>
      </c>
      <c r="P204" s="34" t="s">
        <v>81</v>
      </c>
      <c r="Q204" s="35" t="s">
        <v>82</v>
      </c>
      <c r="R204" s="34" t="s">
        <v>83</v>
      </c>
      <c r="S204" s="34" t="s">
        <v>11</v>
      </c>
      <c r="T204" s="34" t="s">
        <v>84</v>
      </c>
      <c r="U204" s="34" t="s">
        <v>85</v>
      </c>
      <c r="V204" s="35" t="s">
        <v>1567</v>
      </c>
      <c r="W204" s="35" t="s">
        <v>1568</v>
      </c>
      <c r="X204" s="34" t="s">
        <v>13</v>
      </c>
      <c r="Y204" s="37"/>
    </row>
    <row r="205" spans="1:25" ht="20" customHeight="1">
      <c r="A205" s="28">
        <v>203</v>
      </c>
      <c r="B205" s="28" t="s">
        <v>20</v>
      </c>
      <c r="C205" s="28" t="s">
        <v>22</v>
      </c>
      <c r="D205" s="29" t="s">
        <v>1569</v>
      </c>
      <c r="E205" s="30" t="s">
        <v>1570</v>
      </c>
      <c r="F205" s="30" t="s">
        <v>1571</v>
      </c>
      <c r="G205" s="29" t="s">
        <v>1572</v>
      </c>
      <c r="H205" s="30" t="s">
        <v>1573</v>
      </c>
      <c r="I205" s="28" t="s">
        <v>75</v>
      </c>
      <c r="J205" s="28" t="s">
        <v>76</v>
      </c>
      <c r="K205" s="31" t="s">
        <v>1574</v>
      </c>
      <c r="L205" s="28">
        <f>IF(K205="","",IFERROR(ROUND((TODAY()-IF(ISNUMBER(K205),K205,DATEVALUE(K205)))/365.25, 1),""))</f>
        <v>0</v>
      </c>
      <c r="M205" s="28" t="s">
        <v>553</v>
      </c>
      <c r="N205" s="29" t="s">
        <v>82</v>
      </c>
      <c r="O205" s="28" t="s">
        <v>80</v>
      </c>
      <c r="P205" s="28" t="s">
        <v>81</v>
      </c>
      <c r="Q205" s="29" t="s">
        <v>82</v>
      </c>
      <c r="R205" s="28" t="s">
        <v>83</v>
      </c>
      <c r="S205" s="28" t="s">
        <v>12</v>
      </c>
      <c r="T205" s="28" t="s">
        <v>84</v>
      </c>
      <c r="U205" s="28" t="s">
        <v>85</v>
      </c>
      <c r="V205" s="29" t="s">
        <v>1575</v>
      </c>
      <c r="W205" s="29" t="s">
        <v>1576</v>
      </c>
      <c r="X205" s="28" t="s">
        <v>13</v>
      </c>
      <c r="Y205" s="31"/>
    </row>
    <row r="206" spans="1:25" ht="20" customHeight="1">
      <c r="A206" s="34">
        <v>204</v>
      </c>
      <c r="B206" s="34" t="s">
        <v>20</v>
      </c>
      <c r="C206" s="34" t="s">
        <v>22</v>
      </c>
      <c r="D206" s="35" t="s">
        <v>1577</v>
      </c>
      <c r="E206" s="36" t="s">
        <v>1578</v>
      </c>
      <c r="F206" s="36" t="s">
        <v>1579</v>
      </c>
      <c r="G206" s="35" t="s">
        <v>1580</v>
      </c>
      <c r="H206" s="36" t="s">
        <v>1581</v>
      </c>
      <c r="I206" s="34" t="s">
        <v>75</v>
      </c>
      <c r="J206" s="34" t="s">
        <v>76</v>
      </c>
      <c r="K206" s="37" t="s">
        <v>1248</v>
      </c>
      <c r="L206" s="34">
        <f>IF(K206="","",IFERROR(ROUND((TODAY()-IF(ISNUMBER(K206),K206,DATEVALUE(K206)))/365.25, 1),""))</f>
        <v>0</v>
      </c>
      <c r="M206" s="34" t="s">
        <v>553</v>
      </c>
      <c r="N206" s="35" t="s">
        <v>82</v>
      </c>
      <c r="O206" s="34" t="s">
        <v>80</v>
      </c>
      <c r="P206" s="34" t="s">
        <v>81</v>
      </c>
      <c r="Q206" s="35" t="s">
        <v>82</v>
      </c>
      <c r="R206" s="34" t="s">
        <v>83</v>
      </c>
      <c r="S206" s="34" t="s">
        <v>11</v>
      </c>
      <c r="T206" s="34" t="s">
        <v>84</v>
      </c>
      <c r="U206" s="34" t="s">
        <v>85</v>
      </c>
      <c r="V206" s="35" t="s">
        <v>1582</v>
      </c>
      <c r="W206" s="35" t="s">
        <v>1583</v>
      </c>
      <c r="X206" s="34" t="s">
        <v>13</v>
      </c>
      <c r="Y206" s="37"/>
    </row>
    <row r="207" spans="1:25" ht="20" customHeight="1">
      <c r="A207" s="28">
        <v>205</v>
      </c>
      <c r="B207" s="28" t="s">
        <v>20</v>
      </c>
      <c r="C207" s="28" t="s">
        <v>22</v>
      </c>
      <c r="D207" s="29" t="s">
        <v>1584</v>
      </c>
      <c r="E207" s="30" t="s">
        <v>1585</v>
      </c>
      <c r="F207" s="30" t="s">
        <v>1586</v>
      </c>
      <c r="G207" s="29" t="s">
        <v>1587</v>
      </c>
      <c r="H207" s="30" t="s">
        <v>1588</v>
      </c>
      <c r="I207" s="28" t="s">
        <v>128</v>
      </c>
      <c r="J207" s="28" t="s">
        <v>76</v>
      </c>
      <c r="K207" s="31" t="s">
        <v>1439</v>
      </c>
      <c r="L207" s="28">
        <f>IF(K207="","",IFERROR(ROUND((TODAY()-IF(ISNUMBER(K207),K207,DATEVALUE(K207)))/365.25, 1),""))</f>
        <v>0</v>
      </c>
      <c r="M207" s="28" t="s">
        <v>553</v>
      </c>
      <c r="N207" s="29" t="s">
        <v>82</v>
      </c>
      <c r="O207" s="28" t="s">
        <v>80</v>
      </c>
      <c r="P207" s="28" t="s">
        <v>81</v>
      </c>
      <c r="Q207" s="29" t="s">
        <v>82</v>
      </c>
      <c r="R207" s="28" t="s">
        <v>83</v>
      </c>
      <c r="S207" s="28" t="s">
        <v>11</v>
      </c>
      <c r="T207" s="28" t="s">
        <v>84</v>
      </c>
      <c r="U207" s="28" t="s">
        <v>85</v>
      </c>
      <c r="V207" s="29" t="s">
        <v>1589</v>
      </c>
      <c r="W207" s="29" t="s">
        <v>1590</v>
      </c>
      <c r="X207" s="28" t="s">
        <v>13</v>
      </c>
      <c r="Y207" s="31"/>
    </row>
    <row r="208" spans="1:25" ht="20" customHeight="1">
      <c r="A208" s="34">
        <v>206</v>
      </c>
      <c r="B208" s="34" t="s">
        <v>20</v>
      </c>
      <c r="C208" s="34" t="s">
        <v>22</v>
      </c>
      <c r="D208" s="35" t="s">
        <v>1591</v>
      </c>
      <c r="E208" s="36" t="s">
        <v>1592</v>
      </c>
      <c r="F208" s="36" t="s">
        <v>1593</v>
      </c>
      <c r="G208" s="35" t="s">
        <v>1594</v>
      </c>
      <c r="H208" s="36" t="s">
        <v>1595</v>
      </c>
      <c r="I208" s="34" t="s">
        <v>75</v>
      </c>
      <c r="J208" s="34" t="s">
        <v>76</v>
      </c>
      <c r="K208" s="37" t="s">
        <v>1248</v>
      </c>
      <c r="L208" s="34">
        <f>IF(K208="","",IFERROR(ROUND((TODAY()-IF(ISNUMBER(K208),K208,DATEVALUE(K208)))/365.25, 1),""))</f>
        <v>0</v>
      </c>
      <c r="M208" s="34" t="s">
        <v>757</v>
      </c>
      <c r="N208" s="35" t="s">
        <v>82</v>
      </c>
      <c r="O208" s="34" t="s">
        <v>80</v>
      </c>
      <c r="P208" s="34" t="s">
        <v>81</v>
      </c>
      <c r="Q208" s="35" t="s">
        <v>82</v>
      </c>
      <c r="R208" s="34" t="s">
        <v>83</v>
      </c>
      <c r="S208" s="34" t="s">
        <v>12</v>
      </c>
      <c r="T208" s="34" t="s">
        <v>84</v>
      </c>
      <c r="U208" s="34" t="s">
        <v>85</v>
      </c>
      <c r="V208" s="35" t="s">
        <v>1596</v>
      </c>
      <c r="W208" s="35" t="s">
        <v>1597</v>
      </c>
      <c r="X208" s="34" t="s">
        <v>13</v>
      </c>
      <c r="Y208" s="37"/>
    </row>
    <row r="209" spans="1:25" ht="20" customHeight="1">
      <c r="A209" s="28">
        <v>207</v>
      </c>
      <c r="B209" s="28" t="s">
        <v>20</v>
      </c>
      <c r="C209" s="28" t="s">
        <v>25</v>
      </c>
      <c r="D209" s="29" t="s">
        <v>1598</v>
      </c>
      <c r="E209" s="30" t="s">
        <v>1599</v>
      </c>
      <c r="F209" s="30" t="s">
        <v>1600</v>
      </c>
      <c r="G209" s="29" t="s">
        <v>1601</v>
      </c>
      <c r="H209" s="30" t="s">
        <v>1602</v>
      </c>
      <c r="I209" s="28" t="s">
        <v>75</v>
      </c>
      <c r="J209" s="28" t="s">
        <v>76</v>
      </c>
      <c r="K209" s="31" t="s">
        <v>1248</v>
      </c>
      <c r="L209" s="28">
        <f>IF(K209="","",IFERROR(ROUND((TODAY()-IF(ISNUMBER(K209),K209,DATEVALUE(K209)))/365.25, 1),""))</f>
        <v>0</v>
      </c>
      <c r="M209" s="28" t="s">
        <v>277</v>
      </c>
      <c r="N209" s="29" t="s">
        <v>82</v>
      </c>
      <c r="O209" s="28" t="s">
        <v>80</v>
      </c>
      <c r="P209" s="28" t="s">
        <v>81</v>
      </c>
      <c r="Q209" s="29" t="s">
        <v>82</v>
      </c>
      <c r="R209" s="28" t="s">
        <v>83</v>
      </c>
      <c r="S209" s="28" t="s">
        <v>11</v>
      </c>
      <c r="T209" s="28" t="s">
        <v>84</v>
      </c>
      <c r="U209" s="28" t="s">
        <v>85</v>
      </c>
      <c r="V209" s="29" t="s">
        <v>1603</v>
      </c>
      <c r="W209" s="29" t="s">
        <v>1604</v>
      </c>
      <c r="X209" s="28" t="s">
        <v>13</v>
      </c>
      <c r="Y209" s="31"/>
    </row>
    <row r="210" spans="1:25" ht="20" customHeight="1">
      <c r="A210" s="34">
        <v>208</v>
      </c>
      <c r="B210" s="34" t="s">
        <v>20</v>
      </c>
      <c r="C210" s="34" t="s">
        <v>25</v>
      </c>
      <c r="D210" s="35" t="s">
        <v>1605</v>
      </c>
      <c r="E210" s="36" t="s">
        <v>1606</v>
      </c>
      <c r="F210" s="36" t="s">
        <v>1607</v>
      </c>
      <c r="G210" s="35" t="s">
        <v>1608</v>
      </c>
      <c r="H210" s="36" t="s">
        <v>1609</v>
      </c>
      <c r="I210" s="34" t="s">
        <v>75</v>
      </c>
      <c r="J210" s="34" t="s">
        <v>76</v>
      </c>
      <c r="K210" s="37" t="s">
        <v>1610</v>
      </c>
      <c r="L210" s="34">
        <f>IF(K210="","",IFERROR(ROUND((TODAY()-IF(ISNUMBER(K210),K210,DATEVALUE(K210)))/365.25, 1),""))</f>
        <v>0</v>
      </c>
      <c r="M210" s="34" t="s">
        <v>363</v>
      </c>
      <c r="N210" s="35" t="s">
        <v>82</v>
      </c>
      <c r="O210" s="34" t="s">
        <v>80</v>
      </c>
      <c r="P210" s="34" t="s">
        <v>81</v>
      </c>
      <c r="Q210" s="35" t="s">
        <v>82</v>
      </c>
      <c r="R210" s="34" t="s">
        <v>83</v>
      </c>
      <c r="S210" s="34" t="s">
        <v>11</v>
      </c>
      <c r="T210" s="34" t="s">
        <v>84</v>
      </c>
      <c r="U210" s="34" t="s">
        <v>85</v>
      </c>
      <c r="V210" s="35" t="s">
        <v>1611</v>
      </c>
      <c r="W210" s="35" t="s">
        <v>1612</v>
      </c>
      <c r="X210" s="34" t="s">
        <v>13</v>
      </c>
      <c r="Y210" s="37"/>
    </row>
    <row r="211" spans="1:25" ht="20" customHeight="1">
      <c r="A211" s="28">
        <v>209</v>
      </c>
      <c r="B211" s="28" t="s">
        <v>20</v>
      </c>
      <c r="C211" s="28" t="s">
        <v>25</v>
      </c>
      <c r="D211" s="29" t="s">
        <v>1613</v>
      </c>
      <c r="E211" s="30" t="s">
        <v>1614</v>
      </c>
      <c r="F211" s="30" t="s">
        <v>1615</v>
      </c>
      <c r="G211" s="29" t="s">
        <v>1616</v>
      </c>
      <c r="H211" s="30" t="s">
        <v>1617</v>
      </c>
      <c r="I211" s="28" t="s">
        <v>75</v>
      </c>
      <c r="J211" s="28" t="s">
        <v>76</v>
      </c>
      <c r="K211" s="31" t="s">
        <v>1610</v>
      </c>
      <c r="L211" s="28">
        <f>IF(K211="","",IFERROR(ROUND((TODAY()-IF(ISNUMBER(K211),K211,DATEVALUE(K211)))/365.25, 1),""))</f>
        <v>0</v>
      </c>
      <c r="M211" s="28" t="s">
        <v>363</v>
      </c>
      <c r="N211" s="29" t="s">
        <v>82</v>
      </c>
      <c r="O211" s="28" t="s">
        <v>80</v>
      </c>
      <c r="P211" s="28" t="s">
        <v>81</v>
      </c>
      <c r="Q211" s="29" t="s">
        <v>82</v>
      </c>
      <c r="R211" s="28" t="s">
        <v>83</v>
      </c>
      <c r="S211" s="28" t="s">
        <v>11</v>
      </c>
      <c r="T211" s="28" t="s">
        <v>84</v>
      </c>
      <c r="U211" s="28" t="s">
        <v>85</v>
      </c>
      <c r="V211" s="29" t="s">
        <v>1618</v>
      </c>
      <c r="W211" s="29" t="s">
        <v>1619</v>
      </c>
      <c r="X211" s="28" t="s">
        <v>13</v>
      </c>
      <c r="Y211" s="31"/>
    </row>
    <row r="212" spans="1:25" ht="20" customHeight="1">
      <c r="A212" s="34">
        <v>210</v>
      </c>
      <c r="B212" s="34" t="s">
        <v>20</v>
      </c>
      <c r="C212" s="34" t="s">
        <v>25</v>
      </c>
      <c r="D212" s="35" t="s">
        <v>1620</v>
      </c>
      <c r="E212" s="36" t="s">
        <v>1621</v>
      </c>
      <c r="F212" s="36" t="s">
        <v>1622</v>
      </c>
      <c r="G212" s="35" t="s">
        <v>1623</v>
      </c>
      <c r="H212" s="36" t="s">
        <v>1624</v>
      </c>
      <c r="I212" s="34" t="s">
        <v>75</v>
      </c>
      <c r="J212" s="34" t="s">
        <v>76</v>
      </c>
      <c r="K212" s="37" t="s">
        <v>1625</v>
      </c>
      <c r="L212" s="34">
        <f>IF(K212="","",IFERROR(ROUND((TODAY()-IF(ISNUMBER(K212),K212,DATEVALUE(K212)))/365.25, 1),""))</f>
        <v>0</v>
      </c>
      <c r="M212" s="34" t="s">
        <v>277</v>
      </c>
      <c r="N212" s="35" t="s">
        <v>82</v>
      </c>
      <c r="O212" s="34" t="s">
        <v>80</v>
      </c>
      <c r="P212" s="34" t="s">
        <v>81</v>
      </c>
      <c r="Q212" s="35" t="s">
        <v>82</v>
      </c>
      <c r="R212" s="34" t="s">
        <v>83</v>
      </c>
      <c r="S212" s="34" t="s">
        <v>12</v>
      </c>
      <c r="T212" s="34" t="s">
        <v>84</v>
      </c>
      <c r="U212" s="34" t="s">
        <v>85</v>
      </c>
      <c r="V212" s="35" t="s">
        <v>1626</v>
      </c>
      <c r="W212" s="35" t="s">
        <v>1627</v>
      </c>
      <c r="X212" s="34" t="s">
        <v>13</v>
      </c>
      <c r="Y212" s="37"/>
    </row>
    <row r="213" spans="1:25" ht="20" customHeight="1">
      <c r="A213" s="28">
        <v>211</v>
      </c>
      <c r="B213" s="28" t="s">
        <v>20</v>
      </c>
      <c r="C213" s="28" t="s">
        <v>25</v>
      </c>
      <c r="D213" s="29" t="s">
        <v>1628</v>
      </c>
      <c r="E213" s="30" t="s">
        <v>1629</v>
      </c>
      <c r="F213" s="30" t="s">
        <v>1630</v>
      </c>
      <c r="G213" s="29" t="s">
        <v>1631</v>
      </c>
      <c r="H213" s="30" t="s">
        <v>1632</v>
      </c>
      <c r="I213" s="28" t="s">
        <v>75</v>
      </c>
      <c r="J213" s="28" t="s">
        <v>76</v>
      </c>
      <c r="K213" s="31" t="s">
        <v>1223</v>
      </c>
      <c r="L213" s="28">
        <f>IF(K213="","",IFERROR(ROUND((TODAY()-IF(ISNUMBER(K213),K213,DATEVALUE(K213)))/365.25, 1),""))</f>
        <v>0</v>
      </c>
      <c r="M213" s="28" t="s">
        <v>277</v>
      </c>
      <c r="N213" s="29" t="s">
        <v>82</v>
      </c>
      <c r="O213" s="28" t="s">
        <v>80</v>
      </c>
      <c r="P213" s="28" t="s">
        <v>81</v>
      </c>
      <c r="Q213" s="29" t="s">
        <v>82</v>
      </c>
      <c r="R213" s="28" t="s">
        <v>83</v>
      </c>
      <c r="S213" s="28" t="s">
        <v>11</v>
      </c>
      <c r="T213" s="28" t="s">
        <v>84</v>
      </c>
      <c r="U213" s="28" t="s">
        <v>85</v>
      </c>
      <c r="V213" s="29" t="s">
        <v>1633</v>
      </c>
      <c r="W213" s="29" t="s">
        <v>1634</v>
      </c>
      <c r="X213" s="28" t="s">
        <v>13</v>
      </c>
      <c r="Y213" s="31"/>
    </row>
    <row r="214" spans="1:25" ht="20" customHeight="1">
      <c r="A214" s="34">
        <v>212</v>
      </c>
      <c r="B214" s="34" t="s">
        <v>20</v>
      </c>
      <c r="C214" s="34" t="s">
        <v>25</v>
      </c>
      <c r="D214" s="35" t="s">
        <v>1635</v>
      </c>
      <c r="E214" s="36" t="s">
        <v>1636</v>
      </c>
      <c r="F214" s="36" t="s">
        <v>1637</v>
      </c>
      <c r="G214" s="35" t="s">
        <v>1638</v>
      </c>
      <c r="H214" s="36" t="s">
        <v>1639</v>
      </c>
      <c r="I214" s="34" t="s">
        <v>75</v>
      </c>
      <c r="J214" s="34" t="s">
        <v>76</v>
      </c>
      <c r="K214" s="37" t="s">
        <v>1640</v>
      </c>
      <c r="L214" s="34">
        <f>IF(K214="","",IFERROR(ROUND((TODAY()-IF(ISNUMBER(K214),K214,DATEVALUE(K214)))/365.25, 1),""))</f>
        <v>0</v>
      </c>
      <c r="M214" s="34" t="s">
        <v>252</v>
      </c>
      <c r="N214" s="35" t="s">
        <v>82</v>
      </c>
      <c r="O214" s="34" t="s">
        <v>80</v>
      </c>
      <c r="P214" s="34" t="s">
        <v>81</v>
      </c>
      <c r="Q214" s="35" t="s">
        <v>82</v>
      </c>
      <c r="R214" s="34" t="s">
        <v>83</v>
      </c>
      <c r="S214" s="34" t="s">
        <v>11</v>
      </c>
      <c r="T214" s="34" t="s">
        <v>84</v>
      </c>
      <c r="U214" s="34" t="s">
        <v>85</v>
      </c>
      <c r="V214" s="35" t="s">
        <v>1641</v>
      </c>
      <c r="W214" s="35" t="s">
        <v>1642</v>
      </c>
      <c r="X214" s="34" t="s">
        <v>13</v>
      </c>
      <c r="Y214" s="37"/>
    </row>
    <row r="215" spans="1:25" ht="20" customHeight="1">
      <c r="A215" s="28">
        <v>213</v>
      </c>
      <c r="B215" s="28" t="s">
        <v>20</v>
      </c>
      <c r="C215" s="28" t="s">
        <v>25</v>
      </c>
      <c r="D215" s="29" t="s">
        <v>1643</v>
      </c>
      <c r="E215" s="30" t="s">
        <v>1644</v>
      </c>
      <c r="F215" s="30" t="s">
        <v>1645</v>
      </c>
      <c r="G215" s="29" t="s">
        <v>1646</v>
      </c>
      <c r="H215" s="30" t="s">
        <v>1647</v>
      </c>
      <c r="I215" s="28" t="s">
        <v>75</v>
      </c>
      <c r="J215" s="28" t="s">
        <v>76</v>
      </c>
      <c r="K215" s="31" t="s">
        <v>1324</v>
      </c>
      <c r="L215" s="28">
        <f>IF(K215="","",IFERROR(ROUND((TODAY()-IF(ISNUMBER(K215),K215,DATEVALUE(K215)))/365.25, 1),""))</f>
        <v>0</v>
      </c>
      <c r="M215" s="28" t="s">
        <v>252</v>
      </c>
      <c r="N215" s="29" t="s">
        <v>82</v>
      </c>
      <c r="O215" s="28" t="s">
        <v>80</v>
      </c>
      <c r="P215" s="28" t="s">
        <v>81</v>
      </c>
      <c r="Q215" s="29" t="s">
        <v>82</v>
      </c>
      <c r="R215" s="28" t="s">
        <v>83</v>
      </c>
      <c r="S215" s="28" t="s">
        <v>11</v>
      </c>
      <c r="T215" s="28" t="s">
        <v>84</v>
      </c>
      <c r="U215" s="28" t="s">
        <v>85</v>
      </c>
      <c r="V215" s="29" t="s">
        <v>1648</v>
      </c>
      <c r="W215" s="29" t="s">
        <v>1649</v>
      </c>
      <c r="X215" s="28" t="s">
        <v>13</v>
      </c>
      <c r="Y215" s="31"/>
    </row>
    <row r="216" spans="1:25" ht="20" customHeight="1">
      <c r="A216" s="34">
        <v>214</v>
      </c>
      <c r="B216" s="34" t="s">
        <v>20</v>
      </c>
      <c r="C216" s="34" t="s">
        <v>25</v>
      </c>
      <c r="D216" s="35" t="s">
        <v>1650</v>
      </c>
      <c r="E216" s="36" t="s">
        <v>1651</v>
      </c>
      <c r="F216" s="36" t="s">
        <v>1652</v>
      </c>
      <c r="G216" s="35" t="s">
        <v>1653</v>
      </c>
      <c r="H216" s="36" t="s">
        <v>1654</v>
      </c>
      <c r="I216" s="34" t="s">
        <v>75</v>
      </c>
      <c r="J216" s="34" t="s">
        <v>76</v>
      </c>
      <c r="K216" s="37" t="s">
        <v>1655</v>
      </c>
      <c r="L216" s="34">
        <f>IF(K216="","",IFERROR(ROUND((TODAY()-IF(ISNUMBER(K216),K216,DATEVALUE(K216)))/365.25, 1),""))</f>
        <v>0</v>
      </c>
      <c r="M216" s="34" t="s">
        <v>277</v>
      </c>
      <c r="N216" s="35" t="s">
        <v>82</v>
      </c>
      <c r="O216" s="34" t="s">
        <v>80</v>
      </c>
      <c r="P216" s="34" t="s">
        <v>81</v>
      </c>
      <c r="Q216" s="35" t="s">
        <v>82</v>
      </c>
      <c r="R216" s="34" t="s">
        <v>83</v>
      </c>
      <c r="S216" s="34" t="s">
        <v>11</v>
      </c>
      <c r="T216" s="34" t="s">
        <v>84</v>
      </c>
      <c r="U216" s="34" t="s">
        <v>85</v>
      </c>
      <c r="V216" s="35" t="s">
        <v>1656</v>
      </c>
      <c r="W216" s="35" t="s">
        <v>1657</v>
      </c>
      <c r="X216" s="34" t="s">
        <v>13</v>
      </c>
      <c r="Y216" s="37"/>
    </row>
    <row r="217" spans="1:25" ht="20" customHeight="1">
      <c r="A217" s="28">
        <v>215</v>
      </c>
      <c r="B217" s="28" t="s">
        <v>20</v>
      </c>
      <c r="C217" s="28" t="s">
        <v>25</v>
      </c>
      <c r="D217" s="29" t="s">
        <v>1658</v>
      </c>
      <c r="E217" s="30" t="s">
        <v>1659</v>
      </c>
      <c r="F217" s="30" t="s">
        <v>1660</v>
      </c>
      <c r="G217" s="29" t="s">
        <v>1661</v>
      </c>
      <c r="H217" s="30" t="s">
        <v>1662</v>
      </c>
      <c r="I217" s="28" t="s">
        <v>75</v>
      </c>
      <c r="J217" s="28" t="s">
        <v>76</v>
      </c>
      <c r="K217" s="31" t="s">
        <v>1663</v>
      </c>
      <c r="L217" s="28">
        <f>IF(K217="","",IFERROR(ROUND((TODAY()-IF(ISNUMBER(K217),K217,DATEVALUE(K217)))/365.25, 1),""))</f>
        <v>0</v>
      </c>
      <c r="M217" s="28" t="s">
        <v>252</v>
      </c>
      <c r="N217" s="29" t="s">
        <v>82</v>
      </c>
      <c r="O217" s="28" t="s">
        <v>80</v>
      </c>
      <c r="P217" s="28" t="s">
        <v>81</v>
      </c>
      <c r="Q217" s="29" t="s">
        <v>82</v>
      </c>
      <c r="R217" s="28" t="s">
        <v>83</v>
      </c>
      <c r="S217" s="28" t="s">
        <v>11</v>
      </c>
      <c r="T217" s="28" t="s">
        <v>84</v>
      </c>
      <c r="U217" s="28" t="s">
        <v>85</v>
      </c>
      <c r="V217" s="29" t="s">
        <v>1664</v>
      </c>
      <c r="W217" s="29" t="s">
        <v>1665</v>
      </c>
      <c r="X217" s="28" t="s">
        <v>13</v>
      </c>
      <c r="Y217" s="31"/>
    </row>
    <row r="218" spans="1:25" ht="20" customHeight="1">
      <c r="A218" s="34">
        <v>216</v>
      </c>
      <c r="B218" s="34" t="s">
        <v>20</v>
      </c>
      <c r="C218" s="34" t="s">
        <v>21</v>
      </c>
      <c r="D218" s="35" t="s">
        <v>1666</v>
      </c>
      <c r="E218" s="36" t="s">
        <v>1667</v>
      </c>
      <c r="F218" s="36" t="s">
        <v>1668</v>
      </c>
      <c r="G218" s="35" t="s">
        <v>1669</v>
      </c>
      <c r="H218" s="36" t="s">
        <v>1670</v>
      </c>
      <c r="I218" s="34" t="s">
        <v>75</v>
      </c>
      <c r="J218" s="34" t="s">
        <v>92</v>
      </c>
      <c r="K218" s="37" t="s">
        <v>1655</v>
      </c>
      <c r="L218" s="34">
        <f>IF(K218="","",IFERROR(ROUND((TODAY()-IF(ISNUMBER(K218),K218,DATEVALUE(K218)))/365.25, 1),""))</f>
        <v>0</v>
      </c>
      <c r="M218" s="34" t="s">
        <v>553</v>
      </c>
      <c r="N218" s="35" t="s">
        <v>82</v>
      </c>
      <c r="O218" s="34" t="s">
        <v>111</v>
      </c>
      <c r="P218" s="34" t="s">
        <v>112</v>
      </c>
      <c r="Q218" s="35" t="s">
        <v>82</v>
      </c>
      <c r="R218" s="34" t="s">
        <v>88</v>
      </c>
      <c r="S218" s="34" t="s">
        <v>11</v>
      </c>
      <c r="T218" s="34" t="s">
        <v>113</v>
      </c>
      <c r="U218" s="34" t="s">
        <v>85</v>
      </c>
      <c r="V218" s="35" t="s">
        <v>1671</v>
      </c>
      <c r="W218" s="35" t="s">
        <v>1672</v>
      </c>
      <c r="X218" s="34" t="s">
        <v>13</v>
      </c>
      <c r="Y218" s="37"/>
    </row>
    <row r="219" spans="1:25" ht="20" customHeight="1">
      <c r="A219" s="28">
        <v>217</v>
      </c>
      <c r="B219" s="28" t="s">
        <v>20</v>
      </c>
      <c r="C219" s="28" t="s">
        <v>21</v>
      </c>
      <c r="D219" s="29" t="s">
        <v>1673</v>
      </c>
      <c r="E219" s="30" t="s">
        <v>1674</v>
      </c>
      <c r="F219" s="30" t="s">
        <v>1675</v>
      </c>
      <c r="G219" s="29" t="s">
        <v>1676</v>
      </c>
      <c r="H219" s="30" t="s">
        <v>1677</v>
      </c>
      <c r="I219" s="28" t="s">
        <v>128</v>
      </c>
      <c r="J219" s="28" t="s">
        <v>76</v>
      </c>
      <c r="K219" s="31" t="s">
        <v>1678</v>
      </c>
      <c r="L219" s="28">
        <f>IF(K219="","",IFERROR(ROUND((TODAY()-IF(ISNUMBER(K219),K219,DATEVALUE(K219)))/365.25, 1),""))</f>
        <v>0</v>
      </c>
      <c r="M219" s="28" t="s">
        <v>1679</v>
      </c>
      <c r="N219" s="29" t="s">
        <v>82</v>
      </c>
      <c r="O219" s="28" t="s">
        <v>111</v>
      </c>
      <c r="P219" s="28" t="s">
        <v>112</v>
      </c>
      <c r="Q219" s="29" t="s">
        <v>82</v>
      </c>
      <c r="R219" s="28" t="s">
        <v>88</v>
      </c>
      <c r="S219" s="28" t="s">
        <v>11</v>
      </c>
      <c r="T219" s="28" t="s">
        <v>113</v>
      </c>
      <c r="U219" s="28" t="s">
        <v>85</v>
      </c>
      <c r="V219" s="29" t="s">
        <v>1680</v>
      </c>
      <c r="W219" s="29" t="s">
        <v>1681</v>
      </c>
      <c r="X219" s="28" t="s">
        <v>13</v>
      </c>
      <c r="Y219" s="31"/>
    </row>
    <row r="220" spans="1:25" ht="20" customHeight="1">
      <c r="A220" s="34">
        <v>218</v>
      </c>
      <c r="B220" s="34" t="s">
        <v>20</v>
      </c>
      <c r="C220" s="34" t="s">
        <v>21</v>
      </c>
      <c r="D220" s="35" t="s">
        <v>1682</v>
      </c>
      <c r="E220" s="36" t="s">
        <v>1683</v>
      </c>
      <c r="F220" s="36" t="s">
        <v>1684</v>
      </c>
      <c r="G220" s="35" t="s">
        <v>1685</v>
      </c>
      <c r="H220" s="36" t="s">
        <v>1686</v>
      </c>
      <c r="I220" s="34" t="s">
        <v>75</v>
      </c>
      <c r="J220" s="34" t="s">
        <v>76</v>
      </c>
      <c r="K220" s="37" t="s">
        <v>1687</v>
      </c>
      <c r="L220" s="34">
        <f>IF(K220="","",IFERROR(ROUND((TODAY()-IF(ISNUMBER(K220),K220,DATEVALUE(K220)))/365.25, 1),""))</f>
        <v>0</v>
      </c>
      <c r="M220" s="34" t="s">
        <v>553</v>
      </c>
      <c r="N220" s="35" t="s">
        <v>82</v>
      </c>
      <c r="O220" s="34" t="s">
        <v>111</v>
      </c>
      <c r="P220" s="34" t="s">
        <v>112</v>
      </c>
      <c r="Q220" s="35" t="s">
        <v>82</v>
      </c>
      <c r="R220" s="34" t="s">
        <v>88</v>
      </c>
      <c r="S220" s="34" t="s">
        <v>12</v>
      </c>
      <c r="T220" s="34" t="s">
        <v>113</v>
      </c>
      <c r="U220" s="34" t="s">
        <v>85</v>
      </c>
      <c r="V220" s="35" t="s">
        <v>1688</v>
      </c>
      <c r="W220" s="35" t="s">
        <v>1689</v>
      </c>
      <c r="X220" s="34" t="s">
        <v>14</v>
      </c>
      <c r="Y220" s="37" t="s">
        <v>1690</v>
      </c>
    </row>
    <row r="221" spans="1:25" ht="20" customHeight="1">
      <c r="A221" s="28">
        <v>219</v>
      </c>
      <c r="B221" s="28" t="s">
        <v>20</v>
      </c>
      <c r="C221" s="28" t="s">
        <v>21</v>
      </c>
      <c r="D221" s="29" t="s">
        <v>1691</v>
      </c>
      <c r="E221" s="30" t="s">
        <v>1692</v>
      </c>
      <c r="F221" s="30" t="s">
        <v>1693</v>
      </c>
      <c r="G221" s="29" t="s">
        <v>1694</v>
      </c>
      <c r="H221" s="30" t="s">
        <v>1695</v>
      </c>
      <c r="I221" s="28" t="s">
        <v>75</v>
      </c>
      <c r="J221" s="28" t="s">
        <v>92</v>
      </c>
      <c r="K221" s="31" t="s">
        <v>1696</v>
      </c>
      <c r="L221" s="28">
        <f>IF(K221="","",IFERROR(ROUND((TODAY()-IF(ISNUMBER(K221),K221,DATEVALUE(K221)))/365.25, 1),""))</f>
        <v>0</v>
      </c>
      <c r="M221" s="28" t="s">
        <v>553</v>
      </c>
      <c r="N221" s="29" t="s">
        <v>82</v>
      </c>
      <c r="O221" s="28" t="s">
        <v>111</v>
      </c>
      <c r="P221" s="28" t="s">
        <v>112</v>
      </c>
      <c r="Q221" s="29" t="s">
        <v>82</v>
      </c>
      <c r="R221" s="28" t="s">
        <v>88</v>
      </c>
      <c r="S221" s="28" t="s">
        <v>12</v>
      </c>
      <c r="T221" s="28" t="s">
        <v>113</v>
      </c>
      <c r="U221" s="28" t="s">
        <v>85</v>
      </c>
      <c r="V221" s="29" t="s">
        <v>1697</v>
      </c>
      <c r="W221" s="29" t="s">
        <v>1698</v>
      </c>
      <c r="X221" s="28" t="s">
        <v>13</v>
      </c>
      <c r="Y221" s="31"/>
    </row>
    <row r="222" spans="1:25" ht="20" customHeight="1">
      <c r="A222" s="34">
        <v>220</v>
      </c>
      <c r="B222" s="34" t="s">
        <v>20</v>
      </c>
      <c r="C222" s="34" t="s">
        <v>21</v>
      </c>
      <c r="D222" s="35" t="s">
        <v>1699</v>
      </c>
      <c r="E222" s="36" t="s">
        <v>1700</v>
      </c>
      <c r="F222" s="36" t="s">
        <v>1701</v>
      </c>
      <c r="G222" s="35" t="s">
        <v>1702</v>
      </c>
      <c r="H222" s="36" t="s">
        <v>1703</v>
      </c>
      <c r="I222" s="34" t="s">
        <v>128</v>
      </c>
      <c r="J222" s="34" t="s">
        <v>92</v>
      </c>
      <c r="K222" s="37" t="s">
        <v>1704</v>
      </c>
      <c r="L222" s="34">
        <f>IF(K222="","",IFERROR(ROUND((TODAY()-IF(ISNUMBER(K222),K222,DATEVALUE(K222)))/365.25, 1),""))</f>
        <v>0</v>
      </c>
      <c r="M222" s="34" t="s">
        <v>608</v>
      </c>
      <c r="N222" s="35" t="s">
        <v>82</v>
      </c>
      <c r="O222" s="34" t="s">
        <v>111</v>
      </c>
      <c r="P222" s="34" t="s">
        <v>112</v>
      </c>
      <c r="Q222" s="35" t="s">
        <v>82</v>
      </c>
      <c r="R222" s="34" t="s">
        <v>88</v>
      </c>
      <c r="S222" s="34" t="s">
        <v>11</v>
      </c>
      <c r="T222" s="34" t="s">
        <v>113</v>
      </c>
      <c r="U222" s="34" t="s">
        <v>85</v>
      </c>
      <c r="V222" s="35" t="s">
        <v>1705</v>
      </c>
      <c r="W222" s="35" t="s">
        <v>1706</v>
      </c>
      <c r="X222" s="34" t="s">
        <v>13</v>
      </c>
      <c r="Y222" s="37"/>
    </row>
    <row r="223" spans="1:25" ht="20" customHeight="1">
      <c r="A223" s="28">
        <v>221</v>
      </c>
      <c r="B223" s="28" t="s">
        <v>20</v>
      </c>
      <c r="C223" s="28" t="s">
        <v>21</v>
      </c>
      <c r="D223" s="29" t="s">
        <v>1707</v>
      </c>
      <c r="E223" s="30" t="s">
        <v>1708</v>
      </c>
      <c r="F223" s="30" t="s">
        <v>1709</v>
      </c>
      <c r="G223" s="29" t="s">
        <v>1710</v>
      </c>
      <c r="H223" s="30" t="s">
        <v>1711</v>
      </c>
      <c r="I223" s="28" t="s">
        <v>128</v>
      </c>
      <c r="J223" s="28" t="s">
        <v>92</v>
      </c>
      <c r="K223" s="31" t="s">
        <v>1610</v>
      </c>
      <c r="L223" s="28">
        <f>IF(K223="","",IFERROR(ROUND((TODAY()-IF(ISNUMBER(K223),K223,DATEVALUE(K223)))/365.25, 1),""))</f>
        <v>0</v>
      </c>
      <c r="M223" s="28" t="s">
        <v>608</v>
      </c>
      <c r="N223" s="29" t="s">
        <v>82</v>
      </c>
      <c r="O223" s="28" t="s">
        <v>111</v>
      </c>
      <c r="P223" s="28" t="s">
        <v>112</v>
      </c>
      <c r="Q223" s="29" t="s">
        <v>82</v>
      </c>
      <c r="R223" s="28" t="s">
        <v>88</v>
      </c>
      <c r="S223" s="28" t="s">
        <v>11</v>
      </c>
      <c r="T223" s="28" t="s">
        <v>113</v>
      </c>
      <c r="U223" s="28" t="s">
        <v>85</v>
      </c>
      <c r="V223" s="29" t="s">
        <v>1712</v>
      </c>
      <c r="W223" s="29" t="s">
        <v>1713</v>
      </c>
      <c r="X223" s="28" t="s">
        <v>13</v>
      </c>
      <c r="Y223" s="31"/>
    </row>
    <row r="224" spans="1:25" ht="20" customHeight="1">
      <c r="A224" s="34">
        <v>222</v>
      </c>
      <c r="B224" s="34" t="s">
        <v>20</v>
      </c>
      <c r="C224" s="34" t="s">
        <v>21</v>
      </c>
      <c r="D224" s="35" t="s">
        <v>1714</v>
      </c>
      <c r="E224" s="36" t="s">
        <v>1259</v>
      </c>
      <c r="F224" s="36" t="s">
        <v>1715</v>
      </c>
      <c r="G224" s="35" t="s">
        <v>1716</v>
      </c>
      <c r="H224" s="36" t="s">
        <v>1717</v>
      </c>
      <c r="I224" s="34" t="s">
        <v>75</v>
      </c>
      <c r="J224" s="34" t="s">
        <v>92</v>
      </c>
      <c r="K224" s="37" t="s">
        <v>1718</v>
      </c>
      <c r="L224" s="34">
        <f>IF(K224="","",IFERROR(ROUND((TODAY()-IF(ISNUMBER(K224),K224,DATEVALUE(K224)))/365.25, 1),""))</f>
        <v>0</v>
      </c>
      <c r="M224" s="34" t="s">
        <v>553</v>
      </c>
      <c r="N224" s="35" t="s">
        <v>82</v>
      </c>
      <c r="O224" s="34" t="s">
        <v>111</v>
      </c>
      <c r="P224" s="34" t="s">
        <v>112</v>
      </c>
      <c r="Q224" s="35" t="s">
        <v>82</v>
      </c>
      <c r="R224" s="34" t="s">
        <v>88</v>
      </c>
      <c r="S224" s="34" t="s">
        <v>12</v>
      </c>
      <c r="T224" s="34" t="s">
        <v>113</v>
      </c>
      <c r="U224" s="34" t="s">
        <v>85</v>
      </c>
      <c r="V224" s="35" t="s">
        <v>1719</v>
      </c>
      <c r="W224" s="35" t="s">
        <v>1720</v>
      </c>
      <c r="X224" s="34" t="s">
        <v>13</v>
      </c>
      <c r="Y224" s="37"/>
    </row>
    <row r="225" spans="1:25" ht="20" customHeight="1">
      <c r="A225" s="28">
        <v>223</v>
      </c>
      <c r="B225" s="28" t="s">
        <v>20</v>
      </c>
      <c r="C225" s="28" t="s">
        <v>21</v>
      </c>
      <c r="D225" s="29" t="s">
        <v>1721</v>
      </c>
      <c r="E225" s="30" t="s">
        <v>1722</v>
      </c>
      <c r="F225" s="30" t="s">
        <v>1723</v>
      </c>
      <c r="G225" s="29" t="s">
        <v>1724</v>
      </c>
      <c r="H225" s="30" t="s">
        <v>1725</v>
      </c>
      <c r="I225" s="28" t="s">
        <v>128</v>
      </c>
      <c r="J225" s="28" t="s">
        <v>92</v>
      </c>
      <c r="K225" s="31" t="s">
        <v>1552</v>
      </c>
      <c r="L225" s="28">
        <f>IF(K225="","",IFERROR(ROUND((TODAY()-IF(ISNUMBER(K225),K225,DATEVALUE(K225)))/365.25, 1),""))</f>
        <v>0</v>
      </c>
      <c r="M225" s="28" t="s">
        <v>608</v>
      </c>
      <c r="N225" s="29" t="s">
        <v>82</v>
      </c>
      <c r="O225" s="28" t="s">
        <v>111</v>
      </c>
      <c r="P225" s="28" t="s">
        <v>112</v>
      </c>
      <c r="Q225" s="29" t="s">
        <v>82</v>
      </c>
      <c r="R225" s="28" t="s">
        <v>88</v>
      </c>
      <c r="S225" s="28" t="s">
        <v>11</v>
      </c>
      <c r="T225" s="28" t="s">
        <v>113</v>
      </c>
      <c r="U225" s="28" t="s">
        <v>85</v>
      </c>
      <c r="V225" s="29" t="s">
        <v>1726</v>
      </c>
      <c r="W225" s="29" t="s">
        <v>1727</v>
      </c>
      <c r="X225" s="28" t="s">
        <v>13</v>
      </c>
      <c r="Y225" s="31"/>
    </row>
    <row r="226" spans="1:25" ht="20" customHeight="1">
      <c r="A226" s="34">
        <v>224</v>
      </c>
      <c r="B226" s="34" t="s">
        <v>20</v>
      </c>
      <c r="C226" s="34" t="s">
        <v>21</v>
      </c>
      <c r="D226" s="35" t="s">
        <v>1728</v>
      </c>
      <c r="E226" s="36" t="s">
        <v>1729</v>
      </c>
      <c r="F226" s="36" t="s">
        <v>1730</v>
      </c>
      <c r="G226" s="35" t="s">
        <v>1731</v>
      </c>
      <c r="H226" s="36" t="s">
        <v>1732</v>
      </c>
      <c r="I226" s="34" t="s">
        <v>128</v>
      </c>
      <c r="J226" s="34" t="s">
        <v>92</v>
      </c>
      <c r="K226" s="37" t="s">
        <v>1552</v>
      </c>
      <c r="L226" s="34">
        <f>IF(K226="","",IFERROR(ROUND((TODAY()-IF(ISNUMBER(K226),K226,DATEVALUE(K226)))/365.25, 1),""))</f>
        <v>0</v>
      </c>
      <c r="M226" s="34" t="s">
        <v>608</v>
      </c>
      <c r="N226" s="35" t="s">
        <v>82</v>
      </c>
      <c r="O226" s="34" t="s">
        <v>111</v>
      </c>
      <c r="P226" s="34" t="s">
        <v>112</v>
      </c>
      <c r="Q226" s="35" t="s">
        <v>82</v>
      </c>
      <c r="R226" s="34" t="s">
        <v>88</v>
      </c>
      <c r="S226" s="34" t="s">
        <v>11</v>
      </c>
      <c r="T226" s="34" t="s">
        <v>113</v>
      </c>
      <c r="U226" s="34" t="s">
        <v>85</v>
      </c>
      <c r="V226" s="35" t="s">
        <v>1733</v>
      </c>
      <c r="W226" s="35" t="s">
        <v>1734</v>
      </c>
      <c r="X226" s="34" t="s">
        <v>13</v>
      </c>
      <c r="Y226" s="37"/>
    </row>
    <row r="227" spans="1:25" ht="20" customHeight="1">
      <c r="A227" s="28">
        <v>225</v>
      </c>
      <c r="B227" s="28" t="s">
        <v>20</v>
      </c>
      <c r="C227" s="28" t="s">
        <v>21</v>
      </c>
      <c r="D227" s="29" t="s">
        <v>1735</v>
      </c>
      <c r="E227" s="30" t="s">
        <v>1736</v>
      </c>
      <c r="F227" s="30" t="s">
        <v>1737</v>
      </c>
      <c r="G227" s="29" t="s">
        <v>1738</v>
      </c>
      <c r="H227" s="30" t="s">
        <v>1739</v>
      </c>
      <c r="I227" s="28" t="s">
        <v>75</v>
      </c>
      <c r="J227" s="28" t="s">
        <v>92</v>
      </c>
      <c r="K227" s="31" t="s">
        <v>1740</v>
      </c>
      <c r="L227" s="28">
        <f>IF(K227="","",IFERROR(ROUND((TODAY()-IF(ISNUMBER(K227),K227,DATEVALUE(K227)))/365.25, 1),""))</f>
        <v>0</v>
      </c>
      <c r="M227" s="28" t="s">
        <v>553</v>
      </c>
      <c r="N227" s="29" t="s">
        <v>82</v>
      </c>
      <c r="O227" s="28" t="s">
        <v>111</v>
      </c>
      <c r="P227" s="28" t="s">
        <v>112</v>
      </c>
      <c r="Q227" s="29" t="s">
        <v>82</v>
      </c>
      <c r="R227" s="28" t="s">
        <v>88</v>
      </c>
      <c r="S227" s="28" t="s">
        <v>11</v>
      </c>
      <c r="T227" s="28" t="s">
        <v>113</v>
      </c>
      <c r="U227" s="28" t="s">
        <v>85</v>
      </c>
      <c r="V227" s="29" t="s">
        <v>1741</v>
      </c>
      <c r="W227" s="29" t="s">
        <v>1742</v>
      </c>
      <c r="X227" s="28" t="s">
        <v>13</v>
      </c>
      <c r="Y227" s="31"/>
    </row>
    <row r="228" spans="1:25" ht="20" customHeight="1">
      <c r="A228" s="34">
        <v>226</v>
      </c>
      <c r="B228" s="34" t="s">
        <v>20</v>
      </c>
      <c r="C228" s="34" t="s">
        <v>21</v>
      </c>
      <c r="D228" s="35" t="s">
        <v>1743</v>
      </c>
      <c r="E228" s="36" t="s">
        <v>1744</v>
      </c>
      <c r="F228" s="36" t="s">
        <v>1745</v>
      </c>
      <c r="G228" s="35" t="s">
        <v>1746</v>
      </c>
      <c r="H228" s="36" t="s">
        <v>1747</v>
      </c>
      <c r="I228" s="34" t="s">
        <v>75</v>
      </c>
      <c r="J228" s="34" t="s">
        <v>76</v>
      </c>
      <c r="K228" s="37" t="s">
        <v>1748</v>
      </c>
      <c r="L228" s="34">
        <f>IF(K228="","",IFERROR(ROUND((TODAY()-IF(ISNUMBER(K228),K228,DATEVALUE(K228)))/365.25, 1),""))</f>
        <v>0</v>
      </c>
      <c r="M228" s="34" t="s">
        <v>553</v>
      </c>
      <c r="N228" s="35" t="s">
        <v>82</v>
      </c>
      <c r="O228" s="34" t="s">
        <v>80</v>
      </c>
      <c r="P228" s="34" t="s">
        <v>81</v>
      </c>
      <c r="Q228" s="35" t="s">
        <v>82</v>
      </c>
      <c r="R228" s="34" t="s">
        <v>83</v>
      </c>
      <c r="S228" s="34" t="s">
        <v>12</v>
      </c>
      <c r="T228" s="34" t="s">
        <v>113</v>
      </c>
      <c r="U228" s="34" t="s">
        <v>85</v>
      </c>
      <c r="V228" s="35" t="s">
        <v>1749</v>
      </c>
      <c r="W228" s="35" t="s">
        <v>1750</v>
      </c>
      <c r="X228" s="34" t="s">
        <v>14</v>
      </c>
      <c r="Y228" s="37" t="s">
        <v>1751</v>
      </c>
    </row>
    <row r="229" spans="1:25" ht="20" customHeight="1">
      <c r="A229" s="28">
        <v>227</v>
      </c>
      <c r="B229" s="28" t="s">
        <v>20</v>
      </c>
      <c r="C229" s="28" t="s">
        <v>21</v>
      </c>
      <c r="D229" s="29" t="s">
        <v>1752</v>
      </c>
      <c r="E229" s="30" t="s">
        <v>1753</v>
      </c>
      <c r="F229" s="30" t="s">
        <v>1754</v>
      </c>
      <c r="G229" s="29" t="s">
        <v>1755</v>
      </c>
      <c r="H229" s="30" t="s">
        <v>1756</v>
      </c>
      <c r="I229" s="28" t="s">
        <v>75</v>
      </c>
      <c r="J229" s="28" t="s">
        <v>92</v>
      </c>
      <c r="K229" s="31" t="s">
        <v>1757</v>
      </c>
      <c r="L229" s="28">
        <f>IF(K229="","",IFERROR(ROUND((TODAY()-IF(ISNUMBER(K229),K229,DATEVALUE(K229)))/365.25, 1),""))</f>
        <v>0</v>
      </c>
      <c r="M229" s="28" t="s">
        <v>553</v>
      </c>
      <c r="N229" s="29" t="s">
        <v>82</v>
      </c>
      <c r="O229" s="28" t="s">
        <v>111</v>
      </c>
      <c r="P229" s="28" t="s">
        <v>112</v>
      </c>
      <c r="Q229" s="29" t="s">
        <v>82</v>
      </c>
      <c r="R229" s="28" t="s">
        <v>88</v>
      </c>
      <c r="S229" s="28" t="s">
        <v>12</v>
      </c>
      <c r="T229" s="28" t="s">
        <v>113</v>
      </c>
      <c r="U229" s="28" t="s">
        <v>85</v>
      </c>
      <c r="V229" s="29" t="s">
        <v>1758</v>
      </c>
      <c r="W229" s="29" t="s">
        <v>1759</v>
      </c>
      <c r="X229" s="28" t="s">
        <v>13</v>
      </c>
      <c r="Y229" s="31"/>
    </row>
    <row r="230" spans="1:25" ht="20" customHeight="1">
      <c r="A230" s="34">
        <v>228</v>
      </c>
      <c r="B230" s="34" t="s">
        <v>20</v>
      </c>
      <c r="C230" s="34" t="s">
        <v>21</v>
      </c>
      <c r="D230" s="35" t="s">
        <v>1760</v>
      </c>
      <c r="E230" s="36" t="s">
        <v>1761</v>
      </c>
      <c r="F230" s="36" t="s">
        <v>1762</v>
      </c>
      <c r="G230" s="35" t="s">
        <v>1763</v>
      </c>
      <c r="H230" s="36" t="s">
        <v>1764</v>
      </c>
      <c r="I230" s="34" t="s">
        <v>75</v>
      </c>
      <c r="J230" s="34" t="s">
        <v>92</v>
      </c>
      <c r="K230" s="37" t="s">
        <v>1765</v>
      </c>
      <c r="L230" s="34">
        <f>IF(K230="","",IFERROR(ROUND((TODAY()-IF(ISNUMBER(K230),K230,DATEVALUE(K230)))/365.25, 1),""))</f>
        <v>0</v>
      </c>
      <c r="M230" s="34" t="s">
        <v>757</v>
      </c>
      <c r="N230" s="35" t="s">
        <v>82</v>
      </c>
      <c r="O230" s="34" t="s">
        <v>111</v>
      </c>
      <c r="P230" s="34" t="s">
        <v>112</v>
      </c>
      <c r="Q230" s="35" t="s">
        <v>82</v>
      </c>
      <c r="R230" s="34" t="s">
        <v>88</v>
      </c>
      <c r="S230" s="34" t="s">
        <v>12</v>
      </c>
      <c r="T230" s="34" t="s">
        <v>113</v>
      </c>
      <c r="U230" s="34" t="s">
        <v>85</v>
      </c>
      <c r="V230" s="35" t="s">
        <v>1766</v>
      </c>
      <c r="W230" s="35" t="s">
        <v>1767</v>
      </c>
      <c r="X230" s="34" t="s">
        <v>13</v>
      </c>
      <c r="Y230" s="37"/>
    </row>
    <row r="231" spans="1:25" ht="20" customHeight="1">
      <c r="A231" s="28">
        <v>229</v>
      </c>
      <c r="B231" s="28" t="s">
        <v>20</v>
      </c>
      <c r="C231" s="28" t="s">
        <v>21</v>
      </c>
      <c r="D231" s="29" t="s">
        <v>1768</v>
      </c>
      <c r="E231" s="30" t="s">
        <v>1769</v>
      </c>
      <c r="F231" s="30" t="s">
        <v>1770</v>
      </c>
      <c r="G231" s="29" t="s">
        <v>1771</v>
      </c>
      <c r="H231" s="30" t="s">
        <v>1772</v>
      </c>
      <c r="I231" s="28" t="s">
        <v>75</v>
      </c>
      <c r="J231" s="28" t="s">
        <v>92</v>
      </c>
      <c r="K231" s="31" t="s">
        <v>1773</v>
      </c>
      <c r="L231" s="28">
        <f>IF(K231="","",IFERROR(ROUND((TODAY()-IF(ISNUMBER(K231),K231,DATEVALUE(K231)))/365.25, 1),""))</f>
        <v>0</v>
      </c>
      <c r="M231" s="28" t="s">
        <v>507</v>
      </c>
      <c r="N231" s="29" t="s">
        <v>82</v>
      </c>
      <c r="O231" s="28" t="s">
        <v>111</v>
      </c>
      <c r="P231" s="28" t="s">
        <v>112</v>
      </c>
      <c r="Q231" s="29" t="s">
        <v>82</v>
      </c>
      <c r="R231" s="28" t="s">
        <v>88</v>
      </c>
      <c r="S231" s="28" t="s">
        <v>12</v>
      </c>
      <c r="T231" s="28" t="s">
        <v>113</v>
      </c>
      <c r="U231" s="28" t="s">
        <v>85</v>
      </c>
      <c r="V231" s="29" t="s">
        <v>1774</v>
      </c>
      <c r="W231" s="29" t="s">
        <v>1775</v>
      </c>
      <c r="X231" s="28" t="s">
        <v>13</v>
      </c>
      <c r="Y231" s="31"/>
    </row>
    <row r="232" spans="1:25" ht="20" customHeight="1">
      <c r="A232" s="34">
        <v>230</v>
      </c>
      <c r="B232" s="34" t="s">
        <v>20</v>
      </c>
      <c r="C232" s="34" t="s">
        <v>21</v>
      </c>
      <c r="D232" s="35" t="s">
        <v>1776</v>
      </c>
      <c r="E232" s="36" t="s">
        <v>1777</v>
      </c>
      <c r="F232" s="36" t="s">
        <v>1778</v>
      </c>
      <c r="G232" s="35" t="s">
        <v>1779</v>
      </c>
      <c r="H232" s="36" t="s">
        <v>1780</v>
      </c>
      <c r="I232" s="34" t="s">
        <v>75</v>
      </c>
      <c r="J232" s="34" t="s">
        <v>92</v>
      </c>
      <c r="K232" s="37" t="s">
        <v>1655</v>
      </c>
      <c r="L232" s="34">
        <f>IF(K232="","",IFERROR(ROUND((TODAY()-IF(ISNUMBER(K232),K232,DATEVALUE(K232)))/365.25, 1),""))</f>
        <v>0</v>
      </c>
      <c r="M232" s="34" t="s">
        <v>553</v>
      </c>
      <c r="N232" s="35" t="s">
        <v>82</v>
      </c>
      <c r="O232" s="34" t="s">
        <v>111</v>
      </c>
      <c r="P232" s="34" t="s">
        <v>112</v>
      </c>
      <c r="Q232" s="35" t="s">
        <v>82</v>
      </c>
      <c r="R232" s="34" t="s">
        <v>88</v>
      </c>
      <c r="S232" s="34" t="s">
        <v>11</v>
      </c>
      <c r="T232" s="34" t="s">
        <v>113</v>
      </c>
      <c r="U232" s="34" t="s">
        <v>85</v>
      </c>
      <c r="V232" s="35" t="s">
        <v>1781</v>
      </c>
      <c r="W232" s="35" t="s">
        <v>1782</v>
      </c>
      <c r="X232" s="34" t="s">
        <v>13</v>
      </c>
      <c r="Y232" s="37"/>
    </row>
    <row r="233" spans="1:25" ht="20" customHeight="1">
      <c r="A233" s="28">
        <v>231</v>
      </c>
      <c r="B233" s="28" t="s">
        <v>20</v>
      </c>
      <c r="C233" s="28" t="s">
        <v>21</v>
      </c>
      <c r="D233" s="29" t="s">
        <v>1783</v>
      </c>
      <c r="E233" s="30" t="s">
        <v>1784</v>
      </c>
      <c r="F233" s="30" t="s">
        <v>1785</v>
      </c>
      <c r="G233" s="29" t="s">
        <v>1786</v>
      </c>
      <c r="H233" s="30" t="s">
        <v>1787</v>
      </c>
      <c r="I233" s="28" t="s">
        <v>75</v>
      </c>
      <c r="J233" s="28" t="s">
        <v>92</v>
      </c>
      <c r="K233" s="31" t="s">
        <v>1765</v>
      </c>
      <c r="L233" s="28">
        <f>IF(K233="","",IFERROR(ROUND((TODAY()-IF(ISNUMBER(K233),K233,DATEVALUE(K233)))/365.25, 1),""))</f>
        <v>0</v>
      </c>
      <c r="M233" s="28" t="s">
        <v>553</v>
      </c>
      <c r="N233" s="29" t="s">
        <v>82</v>
      </c>
      <c r="O233" s="28" t="s">
        <v>111</v>
      </c>
      <c r="P233" s="28" t="s">
        <v>112</v>
      </c>
      <c r="Q233" s="29" t="s">
        <v>82</v>
      </c>
      <c r="R233" s="28" t="s">
        <v>88</v>
      </c>
      <c r="S233" s="28" t="s">
        <v>11</v>
      </c>
      <c r="T233" s="28" t="s">
        <v>113</v>
      </c>
      <c r="U233" s="28" t="s">
        <v>85</v>
      </c>
      <c r="V233" s="29" t="s">
        <v>1788</v>
      </c>
      <c r="W233" s="29" t="s">
        <v>1789</v>
      </c>
      <c r="X233" s="28" t="s">
        <v>13</v>
      </c>
      <c r="Y233" s="31"/>
    </row>
    <row r="234" spans="1:25" ht="20" customHeight="1">
      <c r="A234" s="34">
        <v>232</v>
      </c>
      <c r="B234" s="34" t="s">
        <v>20</v>
      </c>
      <c r="C234" s="34" t="s">
        <v>21</v>
      </c>
      <c r="D234" s="35" t="s">
        <v>1790</v>
      </c>
      <c r="E234" s="36" t="s">
        <v>1791</v>
      </c>
      <c r="F234" s="36" t="s">
        <v>1792</v>
      </c>
      <c r="G234" s="35" t="s">
        <v>1793</v>
      </c>
      <c r="H234" s="36" t="s">
        <v>1794</v>
      </c>
      <c r="I234" s="34"/>
      <c r="J234" s="34" t="s">
        <v>76</v>
      </c>
      <c r="K234" s="37" t="s">
        <v>1795</v>
      </c>
      <c r="L234" s="34">
        <f>IF(K234="","",IFERROR(ROUND((TODAY()-IF(ISNUMBER(K234),K234,DATEVALUE(K234)))/365.25, 1),""))</f>
        <v>0</v>
      </c>
      <c r="M234" s="34" t="s">
        <v>757</v>
      </c>
      <c r="N234" s="35" t="s">
        <v>82</v>
      </c>
      <c r="O234" s="34" t="s">
        <v>80</v>
      </c>
      <c r="P234" s="34" t="s">
        <v>81</v>
      </c>
      <c r="Q234" s="35" t="s">
        <v>82</v>
      </c>
      <c r="R234" s="34" t="s">
        <v>83</v>
      </c>
      <c r="S234" s="34" t="s">
        <v>11</v>
      </c>
      <c r="T234" s="34" t="s">
        <v>113</v>
      </c>
      <c r="U234" s="34" t="s">
        <v>85</v>
      </c>
      <c r="V234" s="35" t="s">
        <v>1796</v>
      </c>
      <c r="W234" s="35" t="s">
        <v>1797</v>
      </c>
      <c r="X234" s="34" t="s">
        <v>13</v>
      </c>
      <c r="Y234" s="37"/>
    </row>
    <row r="235" spans="1:25" ht="20" customHeight="1">
      <c r="A235" s="28">
        <v>233</v>
      </c>
      <c r="B235" s="28" t="s">
        <v>20</v>
      </c>
      <c r="C235" s="28" t="s">
        <v>21</v>
      </c>
      <c r="D235" s="29" t="s">
        <v>1798</v>
      </c>
      <c r="E235" s="30" t="s">
        <v>1799</v>
      </c>
      <c r="F235" s="30" t="s">
        <v>1800</v>
      </c>
      <c r="G235" s="29" t="s">
        <v>1801</v>
      </c>
      <c r="H235" s="30" t="s">
        <v>1802</v>
      </c>
      <c r="I235" s="28" t="s">
        <v>75</v>
      </c>
      <c r="J235" s="28" t="s">
        <v>92</v>
      </c>
      <c r="K235" s="31" t="s">
        <v>1803</v>
      </c>
      <c r="L235" s="28">
        <f>IF(K235="","",IFERROR(ROUND((TODAY()-IF(ISNUMBER(K235),K235,DATEVALUE(K235)))/365.25, 1),""))</f>
        <v>0</v>
      </c>
      <c r="M235" s="28" t="s">
        <v>553</v>
      </c>
      <c r="N235" s="29" t="s">
        <v>82</v>
      </c>
      <c r="O235" s="28" t="s">
        <v>111</v>
      </c>
      <c r="P235" s="28" t="s">
        <v>112</v>
      </c>
      <c r="Q235" s="29" t="s">
        <v>82</v>
      </c>
      <c r="R235" s="28" t="s">
        <v>88</v>
      </c>
      <c r="S235" s="28" t="s">
        <v>12</v>
      </c>
      <c r="T235" s="28" t="s">
        <v>113</v>
      </c>
      <c r="U235" s="28" t="s">
        <v>85</v>
      </c>
      <c r="V235" s="29" t="s">
        <v>82</v>
      </c>
      <c r="W235" s="29" t="s">
        <v>1804</v>
      </c>
      <c r="X235" s="28" t="s">
        <v>13</v>
      </c>
      <c r="Y235" s="31"/>
    </row>
    <row r="236" spans="1:25" ht="20" customHeight="1">
      <c r="A236" s="34">
        <v>234</v>
      </c>
      <c r="B236" s="34" t="s">
        <v>20</v>
      </c>
      <c r="C236" s="34" t="s">
        <v>21</v>
      </c>
      <c r="D236" s="35" t="s">
        <v>1805</v>
      </c>
      <c r="E236" s="36" t="s">
        <v>1806</v>
      </c>
      <c r="F236" s="36" t="s">
        <v>1807</v>
      </c>
      <c r="G236" s="35" t="s">
        <v>1808</v>
      </c>
      <c r="H236" s="36" t="s">
        <v>1809</v>
      </c>
      <c r="I236" s="34" t="s">
        <v>128</v>
      </c>
      <c r="J236" s="34" t="s">
        <v>92</v>
      </c>
      <c r="K236" s="37" t="s">
        <v>1810</v>
      </c>
      <c r="L236" s="34">
        <f>IF(K236="","",IFERROR(ROUND((TODAY()-IF(ISNUMBER(K236),K236,DATEVALUE(K236)))/365.25, 1),""))</f>
        <v>0</v>
      </c>
      <c r="M236" s="34" t="s">
        <v>608</v>
      </c>
      <c r="N236" s="35" t="s">
        <v>82</v>
      </c>
      <c r="O236" s="34" t="s">
        <v>111</v>
      </c>
      <c r="P236" s="34" t="s">
        <v>112</v>
      </c>
      <c r="Q236" s="35" t="s">
        <v>82</v>
      </c>
      <c r="R236" s="34" t="s">
        <v>88</v>
      </c>
      <c r="S236" s="34" t="s">
        <v>12</v>
      </c>
      <c r="T236" s="34" t="s">
        <v>113</v>
      </c>
      <c r="U236" s="34" t="s">
        <v>85</v>
      </c>
      <c r="V236" s="35" t="s">
        <v>82</v>
      </c>
      <c r="W236" s="35" t="s">
        <v>1811</v>
      </c>
      <c r="X236" s="34" t="s">
        <v>13</v>
      </c>
      <c r="Y236" s="37"/>
    </row>
    <row r="237" spans="1:25" ht="20" customHeight="1">
      <c r="A237" s="28">
        <v>235</v>
      </c>
      <c r="B237" s="28" t="s">
        <v>20</v>
      </c>
      <c r="C237" s="28" t="s">
        <v>21</v>
      </c>
      <c r="D237" s="29" t="s">
        <v>1812</v>
      </c>
      <c r="E237" s="30" t="s">
        <v>1813</v>
      </c>
      <c r="F237" s="30" t="s">
        <v>1814</v>
      </c>
      <c r="G237" s="29" t="s">
        <v>1815</v>
      </c>
      <c r="H237" s="30" t="s">
        <v>1816</v>
      </c>
      <c r="I237" s="28" t="s">
        <v>75</v>
      </c>
      <c r="J237" s="28" t="s">
        <v>92</v>
      </c>
      <c r="K237" s="31" t="s">
        <v>1817</v>
      </c>
      <c r="L237" s="28">
        <f>IF(K237="","",IFERROR(ROUND((TODAY()-IF(ISNUMBER(K237),K237,DATEVALUE(K237)))/365.25, 1),""))</f>
        <v>0</v>
      </c>
      <c r="M237" s="28" t="s">
        <v>553</v>
      </c>
      <c r="N237" s="29" t="s">
        <v>82</v>
      </c>
      <c r="O237" s="28" t="s">
        <v>111</v>
      </c>
      <c r="P237" s="28" t="s">
        <v>112</v>
      </c>
      <c r="Q237" s="29" t="s">
        <v>82</v>
      </c>
      <c r="R237" s="28" t="s">
        <v>88</v>
      </c>
      <c r="S237" s="28" t="s">
        <v>11</v>
      </c>
      <c r="T237" s="28" t="s">
        <v>113</v>
      </c>
      <c r="U237" s="28" t="s">
        <v>85</v>
      </c>
      <c r="V237" s="29" t="s">
        <v>1818</v>
      </c>
      <c r="W237" s="29" t="s">
        <v>1819</v>
      </c>
      <c r="X237" s="28" t="s">
        <v>13</v>
      </c>
      <c r="Y237" s="31"/>
    </row>
    <row r="238" spans="1:25" ht="20" customHeight="1">
      <c r="A238" s="34">
        <v>236</v>
      </c>
      <c r="B238" s="34" t="s">
        <v>20</v>
      </c>
      <c r="C238" s="34" t="s">
        <v>21</v>
      </c>
      <c r="D238" s="35" t="s">
        <v>1820</v>
      </c>
      <c r="E238" s="36" t="s">
        <v>1821</v>
      </c>
      <c r="F238" s="36" t="s">
        <v>1822</v>
      </c>
      <c r="G238" s="35" t="s">
        <v>1823</v>
      </c>
      <c r="H238" s="36" t="s">
        <v>1824</v>
      </c>
      <c r="I238" s="34" t="s">
        <v>75</v>
      </c>
      <c r="J238" s="34" t="s">
        <v>92</v>
      </c>
      <c r="K238" s="37" t="s">
        <v>1825</v>
      </c>
      <c r="L238" s="34">
        <f>IF(K238="","",IFERROR(ROUND((TODAY()-IF(ISNUMBER(K238),K238,DATEVALUE(K238)))/365.25, 1),""))</f>
        <v>0</v>
      </c>
      <c r="M238" s="34" t="s">
        <v>1094</v>
      </c>
      <c r="N238" s="35" t="s">
        <v>82</v>
      </c>
      <c r="O238" s="34" t="s">
        <v>111</v>
      </c>
      <c r="P238" s="34" t="s">
        <v>112</v>
      </c>
      <c r="Q238" s="35" t="s">
        <v>82</v>
      </c>
      <c r="R238" s="34" t="s">
        <v>88</v>
      </c>
      <c r="S238" s="34" t="s">
        <v>11</v>
      </c>
      <c r="T238" s="34" t="s">
        <v>113</v>
      </c>
      <c r="U238" s="34" t="s">
        <v>85</v>
      </c>
      <c r="V238" s="35" t="s">
        <v>82</v>
      </c>
      <c r="W238" s="35" t="s">
        <v>1826</v>
      </c>
      <c r="X238" s="34" t="s">
        <v>13</v>
      </c>
      <c r="Y238" s="37"/>
    </row>
    <row r="239" spans="1:25" ht="20" customHeight="1">
      <c r="A239" s="28">
        <v>237</v>
      </c>
      <c r="B239" s="28" t="s">
        <v>20</v>
      </c>
      <c r="C239" s="28" t="s">
        <v>21</v>
      </c>
      <c r="D239" s="29" t="s">
        <v>1827</v>
      </c>
      <c r="E239" s="30" t="s">
        <v>1828</v>
      </c>
      <c r="F239" s="30" t="s">
        <v>1829</v>
      </c>
      <c r="G239" s="29" t="s">
        <v>1830</v>
      </c>
      <c r="H239" s="30" t="s">
        <v>1831</v>
      </c>
      <c r="I239" s="28" t="s">
        <v>75</v>
      </c>
      <c r="J239" s="28" t="s">
        <v>92</v>
      </c>
      <c r="K239" s="31" t="s">
        <v>1825</v>
      </c>
      <c r="L239" s="28">
        <f>IF(K239="","",IFERROR(ROUND((TODAY()-IF(ISNUMBER(K239),K239,DATEVALUE(K239)))/365.25, 1),""))</f>
        <v>0</v>
      </c>
      <c r="M239" s="28" t="s">
        <v>553</v>
      </c>
      <c r="N239" s="29" t="s">
        <v>82</v>
      </c>
      <c r="O239" s="28" t="s">
        <v>111</v>
      </c>
      <c r="P239" s="28" t="s">
        <v>112</v>
      </c>
      <c r="Q239" s="29" t="s">
        <v>82</v>
      </c>
      <c r="R239" s="28" t="s">
        <v>88</v>
      </c>
      <c r="S239" s="28" t="s">
        <v>11</v>
      </c>
      <c r="T239" s="28" t="s">
        <v>113</v>
      </c>
      <c r="U239" s="28" t="s">
        <v>85</v>
      </c>
      <c r="V239" s="29" t="s">
        <v>82</v>
      </c>
      <c r="W239" s="29" t="s">
        <v>1832</v>
      </c>
      <c r="X239" s="28" t="s">
        <v>13</v>
      </c>
      <c r="Y239" s="31"/>
    </row>
    <row r="240" spans="1:25" ht="20" customHeight="1">
      <c r="A240" s="34">
        <v>238</v>
      </c>
      <c r="B240" s="34" t="s">
        <v>20</v>
      </c>
      <c r="C240" s="34" t="s">
        <v>21</v>
      </c>
      <c r="D240" s="35" t="s">
        <v>1833</v>
      </c>
      <c r="E240" s="36" t="s">
        <v>1834</v>
      </c>
      <c r="F240" s="36" t="s">
        <v>1835</v>
      </c>
      <c r="G240" s="35" t="s">
        <v>1836</v>
      </c>
      <c r="H240" s="36" t="s">
        <v>1837</v>
      </c>
      <c r="I240" s="34" t="s">
        <v>75</v>
      </c>
      <c r="J240" s="34" t="s">
        <v>92</v>
      </c>
      <c r="K240" s="37" t="s">
        <v>1838</v>
      </c>
      <c r="L240" s="34">
        <f>IF(K240="","",IFERROR(ROUND((TODAY()-IF(ISNUMBER(K240),K240,DATEVALUE(K240)))/365.25, 1),""))</f>
        <v>0</v>
      </c>
      <c r="M240" s="34" t="s">
        <v>553</v>
      </c>
      <c r="N240" s="35" t="s">
        <v>82</v>
      </c>
      <c r="O240" s="34" t="s">
        <v>111</v>
      </c>
      <c r="P240" s="34" t="s">
        <v>112</v>
      </c>
      <c r="Q240" s="35" t="s">
        <v>82</v>
      </c>
      <c r="R240" s="34" t="s">
        <v>88</v>
      </c>
      <c r="S240" s="34" t="s">
        <v>11</v>
      </c>
      <c r="T240" s="34" t="s">
        <v>113</v>
      </c>
      <c r="U240" s="34" t="s">
        <v>85</v>
      </c>
      <c r="V240" s="35" t="s">
        <v>1839</v>
      </c>
      <c r="W240" s="35" t="s">
        <v>1840</v>
      </c>
      <c r="X240" s="34" t="s">
        <v>13</v>
      </c>
      <c r="Y240" s="37"/>
    </row>
    <row r="241" spans="1:25" ht="20" customHeight="1">
      <c r="A241" s="28">
        <v>239</v>
      </c>
      <c r="B241" s="28" t="s">
        <v>20</v>
      </c>
      <c r="C241" s="28" t="s">
        <v>21</v>
      </c>
      <c r="D241" s="29" t="s">
        <v>1841</v>
      </c>
      <c r="E241" s="30" t="s">
        <v>175</v>
      </c>
      <c r="F241" s="30" t="s">
        <v>1842</v>
      </c>
      <c r="G241" s="29" t="s">
        <v>1843</v>
      </c>
      <c r="H241" s="30" t="s">
        <v>1844</v>
      </c>
      <c r="I241" s="28" t="s">
        <v>128</v>
      </c>
      <c r="J241" s="28" t="s">
        <v>92</v>
      </c>
      <c r="K241" s="31" t="s">
        <v>1845</v>
      </c>
      <c r="L241" s="28">
        <f>IF(K241="","",IFERROR(ROUND((TODAY()-IF(ISNUMBER(K241),K241,DATEVALUE(K241)))/365.25, 1),""))</f>
        <v>0</v>
      </c>
      <c r="M241" s="28" t="s">
        <v>608</v>
      </c>
      <c r="N241" s="29" t="s">
        <v>82</v>
      </c>
      <c r="O241" s="28" t="s">
        <v>111</v>
      </c>
      <c r="P241" s="28" t="s">
        <v>112</v>
      </c>
      <c r="Q241" s="29" t="s">
        <v>82</v>
      </c>
      <c r="R241" s="28" t="s">
        <v>88</v>
      </c>
      <c r="S241" s="28" t="s">
        <v>11</v>
      </c>
      <c r="T241" s="28" t="s">
        <v>113</v>
      </c>
      <c r="U241" s="28" t="s">
        <v>85</v>
      </c>
      <c r="V241" s="29" t="s">
        <v>82</v>
      </c>
      <c r="W241" s="29" t="s">
        <v>1846</v>
      </c>
      <c r="X241" s="28" t="s">
        <v>13</v>
      </c>
      <c r="Y241" s="31"/>
    </row>
    <row r="242" spans="1:25" ht="20" customHeight="1">
      <c r="A242" s="34">
        <v>240</v>
      </c>
      <c r="B242" s="34" t="s">
        <v>20</v>
      </c>
      <c r="C242" s="34" t="s">
        <v>21</v>
      </c>
      <c r="D242" s="35" t="s">
        <v>1847</v>
      </c>
      <c r="E242" s="36" t="s">
        <v>1848</v>
      </c>
      <c r="F242" s="36" t="s">
        <v>139</v>
      </c>
      <c r="G242" s="35" t="s">
        <v>1849</v>
      </c>
      <c r="H242" s="36" t="s">
        <v>1850</v>
      </c>
      <c r="I242" s="34" t="s">
        <v>128</v>
      </c>
      <c r="J242" s="34" t="s">
        <v>92</v>
      </c>
      <c r="K242" s="37" t="s">
        <v>1851</v>
      </c>
      <c r="L242" s="34">
        <f>IF(K242="","",IFERROR(ROUND((TODAY()-IF(ISNUMBER(K242),K242,DATEVALUE(K242)))/365.25, 1),""))</f>
        <v>0</v>
      </c>
      <c r="M242" s="34" t="s">
        <v>608</v>
      </c>
      <c r="N242" s="35" t="s">
        <v>82</v>
      </c>
      <c r="O242" s="34" t="s">
        <v>111</v>
      </c>
      <c r="P242" s="34" t="s">
        <v>112</v>
      </c>
      <c r="Q242" s="35" t="s">
        <v>82</v>
      </c>
      <c r="R242" s="34" t="s">
        <v>88</v>
      </c>
      <c r="S242" s="34" t="s">
        <v>11</v>
      </c>
      <c r="T242" s="34" t="s">
        <v>113</v>
      </c>
      <c r="U242" s="34" t="s">
        <v>85</v>
      </c>
      <c r="V242" s="35" t="s">
        <v>1852</v>
      </c>
      <c r="W242" s="35" t="s">
        <v>1853</v>
      </c>
      <c r="X242" s="34" t="s">
        <v>13</v>
      </c>
      <c r="Y242" s="37"/>
    </row>
    <row r="243" spans="1:25" ht="20" customHeight="1">
      <c r="A243" s="28">
        <v>241</v>
      </c>
      <c r="B243" s="28" t="s">
        <v>20</v>
      </c>
      <c r="C243" s="28" t="s">
        <v>21</v>
      </c>
      <c r="D243" s="29" t="s">
        <v>1854</v>
      </c>
      <c r="E243" s="30" t="s">
        <v>1855</v>
      </c>
      <c r="F243" s="30" t="s">
        <v>1856</v>
      </c>
      <c r="G243" s="29" t="s">
        <v>1857</v>
      </c>
      <c r="H243" s="30" t="s">
        <v>1858</v>
      </c>
      <c r="I243" s="28" t="s">
        <v>75</v>
      </c>
      <c r="J243" s="28" t="s">
        <v>92</v>
      </c>
      <c r="K243" s="31" t="s">
        <v>93</v>
      </c>
      <c r="L243" s="28">
        <f>IF(K243="","",IFERROR(ROUND((TODAY()-IF(ISNUMBER(K243),K243,DATEVALUE(K243)))/365.25, 1),""))</f>
        <v>0</v>
      </c>
      <c r="M243" s="28" t="s">
        <v>553</v>
      </c>
      <c r="N243" s="29" t="s">
        <v>82</v>
      </c>
      <c r="O243" s="28" t="s">
        <v>111</v>
      </c>
      <c r="P243" s="28" t="s">
        <v>112</v>
      </c>
      <c r="Q243" s="29" t="s">
        <v>82</v>
      </c>
      <c r="R243" s="28" t="s">
        <v>88</v>
      </c>
      <c r="S243" s="28" t="s">
        <v>12</v>
      </c>
      <c r="T243" s="28" t="s">
        <v>113</v>
      </c>
      <c r="U243" s="28" t="s">
        <v>85</v>
      </c>
      <c r="V243" s="29" t="s">
        <v>1859</v>
      </c>
      <c r="W243" s="29" t="s">
        <v>1860</v>
      </c>
      <c r="X243" s="28" t="s">
        <v>13</v>
      </c>
      <c r="Y243" s="31"/>
    </row>
    <row r="244" spans="1:25" ht="20" customHeight="1">
      <c r="A244" s="34">
        <v>242</v>
      </c>
      <c r="B244" s="34" t="s">
        <v>20</v>
      </c>
      <c r="C244" s="34" t="s">
        <v>21</v>
      </c>
      <c r="D244" s="35" t="s">
        <v>1861</v>
      </c>
      <c r="E244" s="36" t="s">
        <v>1629</v>
      </c>
      <c r="F244" s="36" t="s">
        <v>1862</v>
      </c>
      <c r="G244" s="35" t="s">
        <v>1863</v>
      </c>
      <c r="H244" s="36" t="s">
        <v>1864</v>
      </c>
      <c r="I244" s="34" t="s">
        <v>75</v>
      </c>
      <c r="J244" s="34" t="s">
        <v>76</v>
      </c>
      <c r="K244" s="37" t="s">
        <v>1865</v>
      </c>
      <c r="L244" s="34">
        <f>IF(K244="","",IFERROR(ROUND((TODAY()-IF(ISNUMBER(K244),K244,DATEVALUE(K244)))/365.25, 1),""))</f>
        <v>0</v>
      </c>
      <c r="M244" s="34" t="s">
        <v>553</v>
      </c>
      <c r="N244" s="35" t="s">
        <v>82</v>
      </c>
      <c r="O244" s="34" t="s">
        <v>80</v>
      </c>
      <c r="P244" s="34" t="s">
        <v>81</v>
      </c>
      <c r="Q244" s="35" t="s">
        <v>82</v>
      </c>
      <c r="R244" s="34" t="s">
        <v>83</v>
      </c>
      <c r="S244" s="34" t="s">
        <v>11</v>
      </c>
      <c r="T244" s="34" t="s">
        <v>113</v>
      </c>
      <c r="U244" s="34" t="s">
        <v>85</v>
      </c>
      <c r="V244" s="35" t="s">
        <v>1866</v>
      </c>
      <c r="W244" s="35" t="s">
        <v>1867</v>
      </c>
      <c r="X244" s="34" t="s">
        <v>13</v>
      </c>
      <c r="Y244" s="37"/>
    </row>
    <row r="245" spans="1:25" ht="20" customHeight="1">
      <c r="A245" s="28">
        <v>243</v>
      </c>
      <c r="B245" s="28" t="s">
        <v>20</v>
      </c>
      <c r="C245" s="28" t="s">
        <v>21</v>
      </c>
      <c r="D245" s="29" t="s">
        <v>1868</v>
      </c>
      <c r="E245" s="30" t="s">
        <v>1869</v>
      </c>
      <c r="F245" s="30" t="s">
        <v>1870</v>
      </c>
      <c r="G245" s="29" t="s">
        <v>1871</v>
      </c>
      <c r="H245" s="30" t="s">
        <v>1872</v>
      </c>
      <c r="I245" s="28" t="s">
        <v>128</v>
      </c>
      <c r="J245" s="28" t="s">
        <v>76</v>
      </c>
      <c r="K245" s="31" t="s">
        <v>1838</v>
      </c>
      <c r="L245" s="28">
        <f>IF(K245="","",IFERROR(ROUND((TODAY()-IF(ISNUMBER(K245),K245,DATEVALUE(K245)))/365.25, 1),""))</f>
        <v>0</v>
      </c>
      <c r="M245" s="28" t="s">
        <v>608</v>
      </c>
      <c r="N245" s="29" t="s">
        <v>82</v>
      </c>
      <c r="O245" s="28" t="s">
        <v>80</v>
      </c>
      <c r="P245" s="28" t="s">
        <v>81</v>
      </c>
      <c r="Q245" s="29" t="s">
        <v>82</v>
      </c>
      <c r="R245" s="28" t="s">
        <v>83</v>
      </c>
      <c r="S245" s="28" t="s">
        <v>12</v>
      </c>
      <c r="T245" s="28" t="s">
        <v>113</v>
      </c>
      <c r="U245" s="28" t="s">
        <v>85</v>
      </c>
      <c r="V245" s="29" t="s">
        <v>82</v>
      </c>
      <c r="W245" s="29" t="s">
        <v>1873</v>
      </c>
      <c r="X245" s="28" t="s">
        <v>13</v>
      </c>
      <c r="Y245" s="31"/>
    </row>
    <row r="246" spans="1:25" ht="20" customHeight="1">
      <c r="A246" s="34">
        <v>244</v>
      </c>
      <c r="B246" s="34" t="s">
        <v>20</v>
      </c>
      <c r="C246" s="34" t="s">
        <v>21</v>
      </c>
      <c r="D246" s="35" t="s">
        <v>1874</v>
      </c>
      <c r="E246" s="36" t="s">
        <v>1875</v>
      </c>
      <c r="F246" s="36" t="s">
        <v>1876</v>
      </c>
      <c r="G246" s="35" t="s">
        <v>1877</v>
      </c>
      <c r="H246" s="36" t="s">
        <v>1878</v>
      </c>
      <c r="I246" s="34" t="s">
        <v>128</v>
      </c>
      <c r="J246" s="34" t="s">
        <v>76</v>
      </c>
      <c r="K246" s="37" t="s">
        <v>569</v>
      </c>
      <c r="L246" s="34">
        <f>IF(K246="","",IFERROR(ROUND((TODAY()-IF(ISNUMBER(K246),K246,DATEVALUE(K246)))/365.25, 1),""))</f>
        <v>0</v>
      </c>
      <c r="M246" s="34" t="s">
        <v>1079</v>
      </c>
      <c r="N246" s="35" t="s">
        <v>82</v>
      </c>
      <c r="O246" s="34" t="s">
        <v>80</v>
      </c>
      <c r="P246" s="34" t="s">
        <v>81</v>
      </c>
      <c r="Q246" s="35" t="s">
        <v>82</v>
      </c>
      <c r="R246" s="34" t="s">
        <v>83</v>
      </c>
      <c r="S246" s="34" t="s">
        <v>11</v>
      </c>
      <c r="T246" s="34" t="s">
        <v>113</v>
      </c>
      <c r="U246" s="34" t="s">
        <v>85</v>
      </c>
      <c r="V246" s="35" t="s">
        <v>1879</v>
      </c>
      <c r="W246" s="35" t="s">
        <v>1880</v>
      </c>
      <c r="X246" s="34" t="s">
        <v>13</v>
      </c>
      <c r="Y246" s="37"/>
    </row>
    <row r="247" spans="1:25" ht="20" customHeight="1">
      <c r="A247" s="28">
        <v>245</v>
      </c>
      <c r="B247" s="28" t="s">
        <v>20</v>
      </c>
      <c r="C247" s="28" t="s">
        <v>21</v>
      </c>
      <c r="D247" s="29" t="s">
        <v>1881</v>
      </c>
      <c r="E247" s="30" t="s">
        <v>1882</v>
      </c>
      <c r="F247" s="30" t="s">
        <v>1883</v>
      </c>
      <c r="G247" s="29" t="s">
        <v>1884</v>
      </c>
      <c r="H247" s="30" t="s">
        <v>1885</v>
      </c>
      <c r="I247" s="28" t="s">
        <v>75</v>
      </c>
      <c r="J247" s="28" t="s">
        <v>76</v>
      </c>
      <c r="K247" s="31" t="s">
        <v>1292</v>
      </c>
      <c r="L247" s="28">
        <f>IF(K247="","",IFERROR(ROUND((TODAY()-IF(ISNUMBER(K247),K247,DATEVALUE(K247)))/365.25, 1),""))</f>
        <v>0</v>
      </c>
      <c r="M247" s="28" t="s">
        <v>553</v>
      </c>
      <c r="N247" s="29" t="s">
        <v>82</v>
      </c>
      <c r="O247" s="28" t="s">
        <v>80</v>
      </c>
      <c r="P247" s="28" t="s">
        <v>81</v>
      </c>
      <c r="Q247" s="29" t="s">
        <v>82</v>
      </c>
      <c r="R247" s="28" t="s">
        <v>83</v>
      </c>
      <c r="S247" s="28" t="s">
        <v>12</v>
      </c>
      <c r="T247" s="28" t="s">
        <v>113</v>
      </c>
      <c r="U247" s="28" t="s">
        <v>85</v>
      </c>
      <c r="V247" s="29" t="s">
        <v>1886</v>
      </c>
      <c r="W247" s="29" t="s">
        <v>1887</v>
      </c>
      <c r="X247" s="28" t="s">
        <v>13</v>
      </c>
      <c r="Y247" s="31"/>
    </row>
    <row r="248" spans="1:25" ht="20" customHeight="1">
      <c r="A248" s="34">
        <v>246</v>
      </c>
      <c r="B248" s="34" t="s">
        <v>20</v>
      </c>
      <c r="C248" s="34" t="s">
        <v>21</v>
      </c>
      <c r="D248" s="35" t="s">
        <v>1888</v>
      </c>
      <c r="E248" s="36" t="s">
        <v>1889</v>
      </c>
      <c r="F248" s="36" t="s">
        <v>1890</v>
      </c>
      <c r="G248" s="35" t="s">
        <v>1891</v>
      </c>
      <c r="H248" s="36" t="s">
        <v>1892</v>
      </c>
      <c r="I248" s="34" t="s">
        <v>75</v>
      </c>
      <c r="J248" s="34" t="s">
        <v>76</v>
      </c>
      <c r="K248" s="37" t="s">
        <v>1893</v>
      </c>
      <c r="L248" s="34">
        <f>IF(K248="","",IFERROR(ROUND((TODAY()-IF(ISNUMBER(K248),K248,DATEVALUE(K248)))/365.25, 1),""))</f>
        <v>0</v>
      </c>
      <c r="M248" s="34" t="s">
        <v>757</v>
      </c>
      <c r="N248" s="35" t="s">
        <v>82</v>
      </c>
      <c r="O248" s="34" t="s">
        <v>80</v>
      </c>
      <c r="P248" s="34" t="s">
        <v>81</v>
      </c>
      <c r="Q248" s="35" t="s">
        <v>82</v>
      </c>
      <c r="R248" s="34" t="s">
        <v>83</v>
      </c>
      <c r="S248" s="34" t="s">
        <v>12</v>
      </c>
      <c r="T248" s="34" t="s">
        <v>113</v>
      </c>
      <c r="U248" s="34" t="s">
        <v>85</v>
      </c>
      <c r="V248" s="35" t="s">
        <v>1894</v>
      </c>
      <c r="W248" s="35" t="s">
        <v>1895</v>
      </c>
      <c r="X248" s="34" t="s">
        <v>13</v>
      </c>
      <c r="Y248" s="37"/>
    </row>
    <row r="249" spans="1:25" ht="20" customHeight="1">
      <c r="A249" s="28">
        <v>247</v>
      </c>
      <c r="B249" s="28" t="s">
        <v>20</v>
      </c>
      <c r="C249" s="28" t="s">
        <v>21</v>
      </c>
      <c r="D249" s="29" t="s">
        <v>1896</v>
      </c>
      <c r="E249" s="30" t="s">
        <v>1897</v>
      </c>
      <c r="F249" s="30" t="s">
        <v>1898</v>
      </c>
      <c r="G249" s="29" t="s">
        <v>1899</v>
      </c>
      <c r="H249" s="30" t="s">
        <v>1900</v>
      </c>
      <c r="I249" s="28" t="s">
        <v>75</v>
      </c>
      <c r="J249" s="28" t="s">
        <v>76</v>
      </c>
      <c r="K249" s="31" t="s">
        <v>1901</v>
      </c>
      <c r="L249" s="28">
        <f>IF(K249="","",IFERROR(ROUND((TODAY()-IF(ISNUMBER(K249),K249,DATEVALUE(K249)))/365.25, 1),""))</f>
        <v>0</v>
      </c>
      <c r="M249" s="28" t="s">
        <v>553</v>
      </c>
      <c r="N249" s="29" t="s">
        <v>82</v>
      </c>
      <c r="O249" s="28" t="s">
        <v>80</v>
      </c>
      <c r="P249" s="28" t="s">
        <v>81</v>
      </c>
      <c r="Q249" s="29" t="s">
        <v>82</v>
      </c>
      <c r="R249" s="28" t="s">
        <v>83</v>
      </c>
      <c r="S249" s="28" t="s">
        <v>12</v>
      </c>
      <c r="T249" s="28" t="s">
        <v>113</v>
      </c>
      <c r="U249" s="28" t="s">
        <v>85</v>
      </c>
      <c r="V249" s="29" t="s">
        <v>1902</v>
      </c>
      <c r="W249" s="29" t="s">
        <v>1903</v>
      </c>
      <c r="X249" s="28" t="s">
        <v>13</v>
      </c>
      <c r="Y249" s="31"/>
    </row>
    <row r="250" spans="1:25" ht="20" customHeight="1">
      <c r="A250" s="34">
        <v>248</v>
      </c>
      <c r="B250" s="34" t="s">
        <v>20</v>
      </c>
      <c r="C250" s="34" t="s">
        <v>21</v>
      </c>
      <c r="D250" s="35" t="s">
        <v>1904</v>
      </c>
      <c r="E250" s="36" t="s">
        <v>1905</v>
      </c>
      <c r="F250" s="36" t="s">
        <v>359</v>
      </c>
      <c r="G250" s="35" t="s">
        <v>1906</v>
      </c>
      <c r="H250" s="36" t="s">
        <v>1907</v>
      </c>
      <c r="I250" s="34" t="s">
        <v>75</v>
      </c>
      <c r="J250" s="34" t="s">
        <v>76</v>
      </c>
      <c r="K250" s="37" t="s">
        <v>1206</v>
      </c>
      <c r="L250" s="34">
        <f>IF(K250="","",IFERROR(ROUND((TODAY()-IF(ISNUMBER(K250),K250,DATEVALUE(K250)))/365.25, 1),""))</f>
        <v>0</v>
      </c>
      <c r="M250" s="34" t="s">
        <v>553</v>
      </c>
      <c r="N250" s="35" t="s">
        <v>82</v>
      </c>
      <c r="O250" s="34" t="s">
        <v>80</v>
      </c>
      <c r="P250" s="34" t="s">
        <v>81</v>
      </c>
      <c r="Q250" s="35" t="s">
        <v>82</v>
      </c>
      <c r="R250" s="34" t="s">
        <v>83</v>
      </c>
      <c r="S250" s="34" t="s">
        <v>12</v>
      </c>
      <c r="T250" s="34" t="s">
        <v>113</v>
      </c>
      <c r="U250" s="34" t="s">
        <v>85</v>
      </c>
      <c r="V250" s="35" t="s">
        <v>1908</v>
      </c>
      <c r="W250" s="35" t="s">
        <v>1909</v>
      </c>
      <c r="X250" s="34" t="s">
        <v>13</v>
      </c>
      <c r="Y250" s="37"/>
    </row>
    <row r="251" spans="1:25" ht="20" customHeight="1">
      <c r="A251" s="28">
        <v>249</v>
      </c>
      <c r="B251" s="28" t="s">
        <v>20</v>
      </c>
      <c r="C251" s="28" t="s">
        <v>21</v>
      </c>
      <c r="D251" s="29" t="s">
        <v>1910</v>
      </c>
      <c r="E251" s="30" t="s">
        <v>1911</v>
      </c>
      <c r="F251" s="30" t="s">
        <v>1912</v>
      </c>
      <c r="G251" s="29" t="s">
        <v>1913</v>
      </c>
      <c r="H251" s="30" t="s">
        <v>1914</v>
      </c>
      <c r="I251" s="28" t="s">
        <v>75</v>
      </c>
      <c r="J251" s="28" t="s">
        <v>76</v>
      </c>
      <c r="K251" s="31" t="s">
        <v>1915</v>
      </c>
      <c r="L251" s="28">
        <f>IF(K251="","",IFERROR(ROUND((TODAY()-IF(ISNUMBER(K251),K251,DATEVALUE(K251)))/365.25, 1),""))</f>
        <v>0</v>
      </c>
      <c r="M251" s="28" t="s">
        <v>553</v>
      </c>
      <c r="N251" s="29" t="s">
        <v>82</v>
      </c>
      <c r="O251" s="28" t="s">
        <v>80</v>
      </c>
      <c r="P251" s="28" t="s">
        <v>81</v>
      </c>
      <c r="Q251" s="29" t="s">
        <v>82</v>
      </c>
      <c r="R251" s="28" t="s">
        <v>83</v>
      </c>
      <c r="S251" s="28" t="s">
        <v>12</v>
      </c>
      <c r="T251" s="28" t="s">
        <v>113</v>
      </c>
      <c r="U251" s="28" t="s">
        <v>85</v>
      </c>
      <c r="V251" s="29" t="s">
        <v>1916</v>
      </c>
      <c r="W251" s="29" t="s">
        <v>1917</v>
      </c>
      <c r="X251" s="28" t="s">
        <v>14</v>
      </c>
      <c r="Y251" s="31" t="s">
        <v>1918</v>
      </c>
    </row>
    <row r="252" spans="1:25" ht="20" customHeight="1">
      <c r="A252" s="34">
        <v>250</v>
      </c>
      <c r="B252" s="34" t="s">
        <v>20</v>
      </c>
      <c r="C252" s="34" t="s">
        <v>21</v>
      </c>
      <c r="D252" s="35" t="s">
        <v>1919</v>
      </c>
      <c r="E252" s="36" t="s">
        <v>268</v>
      </c>
      <c r="F252" s="36" t="s">
        <v>1920</v>
      </c>
      <c r="G252" s="35" t="s">
        <v>1921</v>
      </c>
      <c r="H252" s="36" t="s">
        <v>1922</v>
      </c>
      <c r="I252" s="34" t="s">
        <v>75</v>
      </c>
      <c r="J252" s="34" t="s">
        <v>76</v>
      </c>
      <c r="K252" s="37" t="s">
        <v>1552</v>
      </c>
      <c r="L252" s="34">
        <f>IF(K252="","",IFERROR(ROUND((TODAY()-IF(ISNUMBER(K252),K252,DATEVALUE(K252)))/365.25, 1),""))</f>
        <v>0</v>
      </c>
      <c r="M252" s="34" t="s">
        <v>507</v>
      </c>
      <c r="N252" s="35" t="s">
        <v>82</v>
      </c>
      <c r="O252" s="34" t="s">
        <v>80</v>
      </c>
      <c r="P252" s="34" t="s">
        <v>81</v>
      </c>
      <c r="Q252" s="35" t="s">
        <v>82</v>
      </c>
      <c r="R252" s="34" t="s">
        <v>83</v>
      </c>
      <c r="S252" s="34" t="s">
        <v>11</v>
      </c>
      <c r="T252" s="34" t="s">
        <v>113</v>
      </c>
      <c r="U252" s="34" t="s">
        <v>85</v>
      </c>
      <c r="V252" s="35" t="s">
        <v>1923</v>
      </c>
      <c r="W252" s="35" t="s">
        <v>1924</v>
      </c>
      <c r="X252" s="34" t="s">
        <v>13</v>
      </c>
      <c r="Y252" s="37"/>
    </row>
    <row r="253" spans="1:25" ht="20" customHeight="1">
      <c r="A253" s="28">
        <v>251</v>
      </c>
      <c r="B253" s="28" t="s">
        <v>20</v>
      </c>
      <c r="C253" s="28" t="s">
        <v>21</v>
      </c>
      <c r="D253" s="29" t="s">
        <v>1925</v>
      </c>
      <c r="E253" s="30" t="s">
        <v>1926</v>
      </c>
      <c r="F253" s="30" t="s">
        <v>1927</v>
      </c>
      <c r="G253" s="29" t="s">
        <v>1928</v>
      </c>
      <c r="H253" s="30" t="s">
        <v>1929</v>
      </c>
      <c r="I253" s="28" t="s">
        <v>75</v>
      </c>
      <c r="J253" s="28" t="s">
        <v>76</v>
      </c>
      <c r="K253" s="31" t="s">
        <v>1930</v>
      </c>
      <c r="L253" s="28">
        <f>IF(K253="","",IFERROR(ROUND((TODAY()-IF(ISNUMBER(K253),K253,DATEVALUE(K253)))/365.25, 1),""))</f>
        <v>0</v>
      </c>
      <c r="M253" s="28" t="s">
        <v>553</v>
      </c>
      <c r="N253" s="29" t="s">
        <v>82</v>
      </c>
      <c r="O253" s="28" t="s">
        <v>80</v>
      </c>
      <c r="P253" s="28" t="s">
        <v>81</v>
      </c>
      <c r="Q253" s="29" t="s">
        <v>82</v>
      </c>
      <c r="R253" s="28" t="s">
        <v>83</v>
      </c>
      <c r="S253" s="28" t="s">
        <v>11</v>
      </c>
      <c r="T253" s="28" t="s">
        <v>113</v>
      </c>
      <c r="U253" s="28" t="s">
        <v>85</v>
      </c>
      <c r="V253" s="29" t="s">
        <v>1931</v>
      </c>
      <c r="W253" s="29" t="s">
        <v>1932</v>
      </c>
      <c r="X253" s="28" t="s">
        <v>13</v>
      </c>
      <c r="Y253" s="31"/>
    </row>
    <row r="254" spans="1:25" ht="20" customHeight="1">
      <c r="A254" s="34">
        <v>252</v>
      </c>
      <c r="B254" s="34" t="s">
        <v>20</v>
      </c>
      <c r="C254" s="34" t="s">
        <v>21</v>
      </c>
      <c r="D254" s="35" t="s">
        <v>1933</v>
      </c>
      <c r="E254" s="36" t="s">
        <v>1934</v>
      </c>
      <c r="F254" s="36" t="s">
        <v>1935</v>
      </c>
      <c r="G254" s="35" t="s">
        <v>1936</v>
      </c>
      <c r="H254" s="36" t="s">
        <v>1937</v>
      </c>
      <c r="I254" s="34" t="s">
        <v>75</v>
      </c>
      <c r="J254" s="34" t="s">
        <v>76</v>
      </c>
      <c r="K254" s="37" t="s">
        <v>1938</v>
      </c>
      <c r="L254" s="34">
        <f>IF(K254="","",IFERROR(ROUND((TODAY()-IF(ISNUMBER(K254),K254,DATEVALUE(K254)))/365.25, 1),""))</f>
        <v>0</v>
      </c>
      <c r="M254" s="34" t="s">
        <v>553</v>
      </c>
      <c r="N254" s="35" t="s">
        <v>82</v>
      </c>
      <c r="O254" s="34" t="s">
        <v>80</v>
      </c>
      <c r="P254" s="34" t="s">
        <v>81</v>
      </c>
      <c r="Q254" s="35" t="s">
        <v>82</v>
      </c>
      <c r="R254" s="34" t="s">
        <v>83</v>
      </c>
      <c r="S254" s="34" t="s">
        <v>11</v>
      </c>
      <c r="T254" s="34" t="s">
        <v>113</v>
      </c>
      <c r="U254" s="34" t="s">
        <v>85</v>
      </c>
      <c r="V254" s="35" t="s">
        <v>1939</v>
      </c>
      <c r="W254" s="35" t="s">
        <v>1940</v>
      </c>
      <c r="X254" s="34" t="s">
        <v>13</v>
      </c>
      <c r="Y254" s="37"/>
    </row>
    <row r="255" spans="1:25" ht="20" customHeight="1">
      <c r="A255" s="28">
        <v>253</v>
      </c>
      <c r="B255" s="28" t="s">
        <v>20</v>
      </c>
      <c r="C255" s="28" t="s">
        <v>21</v>
      </c>
      <c r="D255" s="29" t="s">
        <v>1941</v>
      </c>
      <c r="E255" s="30" t="s">
        <v>1942</v>
      </c>
      <c r="F255" s="30" t="s">
        <v>1943</v>
      </c>
      <c r="G255" s="29" t="s">
        <v>1944</v>
      </c>
      <c r="H255" s="30" t="s">
        <v>1945</v>
      </c>
      <c r="I255" s="28" t="s">
        <v>75</v>
      </c>
      <c r="J255" s="28" t="s">
        <v>76</v>
      </c>
      <c r="K255" s="31" t="s">
        <v>1300</v>
      </c>
      <c r="L255" s="28">
        <f>IF(K255="","",IFERROR(ROUND((TODAY()-IF(ISNUMBER(K255),K255,DATEVALUE(K255)))/365.25, 1),""))</f>
        <v>0</v>
      </c>
      <c r="M255" s="28" t="s">
        <v>553</v>
      </c>
      <c r="N255" s="29" t="s">
        <v>82</v>
      </c>
      <c r="O255" s="28" t="s">
        <v>80</v>
      </c>
      <c r="P255" s="28" t="s">
        <v>81</v>
      </c>
      <c r="Q255" s="29" t="s">
        <v>82</v>
      </c>
      <c r="R255" s="28" t="s">
        <v>83</v>
      </c>
      <c r="S255" s="28" t="s">
        <v>12</v>
      </c>
      <c r="T255" s="28" t="s">
        <v>113</v>
      </c>
      <c r="U255" s="28" t="s">
        <v>85</v>
      </c>
      <c r="V255" s="29" t="s">
        <v>1946</v>
      </c>
      <c r="W255" s="29" t="s">
        <v>1947</v>
      </c>
      <c r="X255" s="28" t="s">
        <v>13</v>
      </c>
      <c r="Y255" s="31"/>
    </row>
    <row r="256" spans="1:25" ht="20" customHeight="1">
      <c r="A256" s="34">
        <v>254</v>
      </c>
      <c r="B256" s="34" t="s">
        <v>20</v>
      </c>
      <c r="C256" s="34" t="s">
        <v>21</v>
      </c>
      <c r="D256" s="35" t="s">
        <v>1948</v>
      </c>
      <c r="E256" s="36" t="s">
        <v>1949</v>
      </c>
      <c r="F256" s="36" t="s">
        <v>1950</v>
      </c>
      <c r="G256" s="35" t="s">
        <v>1951</v>
      </c>
      <c r="H256" s="36" t="s">
        <v>1952</v>
      </c>
      <c r="I256" s="34" t="s">
        <v>75</v>
      </c>
      <c r="J256" s="34" t="s">
        <v>76</v>
      </c>
      <c r="K256" s="37" t="s">
        <v>1901</v>
      </c>
      <c r="L256" s="34">
        <f>IF(K256="","",IFERROR(ROUND((TODAY()-IF(ISNUMBER(K256),K256,DATEVALUE(K256)))/365.25, 1),""))</f>
        <v>0</v>
      </c>
      <c r="M256" s="34" t="s">
        <v>757</v>
      </c>
      <c r="N256" s="35" t="s">
        <v>82</v>
      </c>
      <c r="O256" s="34" t="s">
        <v>80</v>
      </c>
      <c r="P256" s="34" t="s">
        <v>81</v>
      </c>
      <c r="Q256" s="35" t="s">
        <v>82</v>
      </c>
      <c r="R256" s="34" t="s">
        <v>83</v>
      </c>
      <c r="S256" s="34" t="s">
        <v>11</v>
      </c>
      <c r="T256" s="34" t="s">
        <v>113</v>
      </c>
      <c r="U256" s="34" t="s">
        <v>85</v>
      </c>
      <c r="V256" s="35" t="s">
        <v>1953</v>
      </c>
      <c r="W256" s="35" t="s">
        <v>1954</v>
      </c>
      <c r="X256" s="34" t="s">
        <v>13</v>
      </c>
      <c r="Y256" s="37"/>
    </row>
    <row r="257" spans="1:25" ht="20" customHeight="1">
      <c r="A257" s="28">
        <v>255</v>
      </c>
      <c r="B257" s="28" t="s">
        <v>20</v>
      </c>
      <c r="C257" s="28" t="s">
        <v>21</v>
      </c>
      <c r="D257" s="29" t="s">
        <v>1955</v>
      </c>
      <c r="E257" s="30" t="s">
        <v>1956</v>
      </c>
      <c r="F257" s="30" t="s">
        <v>1957</v>
      </c>
      <c r="G257" s="29" t="s">
        <v>1958</v>
      </c>
      <c r="H257" s="30" t="s">
        <v>1959</v>
      </c>
      <c r="I257" s="28" t="s">
        <v>128</v>
      </c>
      <c r="J257" s="28" t="s">
        <v>76</v>
      </c>
      <c r="K257" s="31" t="s">
        <v>1851</v>
      </c>
      <c r="L257" s="28">
        <f>IF(K257="","",IFERROR(ROUND((TODAY()-IF(ISNUMBER(K257),K257,DATEVALUE(K257)))/365.25, 1),""))</f>
        <v>0</v>
      </c>
      <c r="M257" s="28" t="s">
        <v>608</v>
      </c>
      <c r="N257" s="29" t="s">
        <v>82</v>
      </c>
      <c r="O257" s="28" t="s">
        <v>80</v>
      </c>
      <c r="P257" s="28" t="s">
        <v>81</v>
      </c>
      <c r="Q257" s="29" t="s">
        <v>82</v>
      </c>
      <c r="R257" s="28" t="s">
        <v>83</v>
      </c>
      <c r="S257" s="28" t="s">
        <v>11</v>
      </c>
      <c r="T257" s="28" t="s">
        <v>113</v>
      </c>
      <c r="U257" s="28" t="s">
        <v>85</v>
      </c>
      <c r="V257" s="29" t="s">
        <v>82</v>
      </c>
      <c r="W257" s="29" t="s">
        <v>1960</v>
      </c>
      <c r="X257" s="28" t="s">
        <v>13</v>
      </c>
      <c r="Y257" s="31"/>
    </row>
    <row r="258" spans="1:25" ht="20" customHeight="1">
      <c r="A258" s="34">
        <v>256</v>
      </c>
      <c r="B258" s="34" t="s">
        <v>20</v>
      </c>
      <c r="C258" s="34" t="s">
        <v>21</v>
      </c>
      <c r="D258" s="35" t="s">
        <v>1961</v>
      </c>
      <c r="E258" s="36" t="s">
        <v>1962</v>
      </c>
      <c r="F258" s="36" t="s">
        <v>1963</v>
      </c>
      <c r="G258" s="35" t="s">
        <v>1964</v>
      </c>
      <c r="H258" s="36" t="s">
        <v>1965</v>
      </c>
      <c r="I258" s="34" t="s">
        <v>128</v>
      </c>
      <c r="J258" s="34" t="s">
        <v>76</v>
      </c>
      <c r="K258" s="37" t="s">
        <v>1966</v>
      </c>
      <c r="L258" s="34">
        <f>IF(K258="","",IFERROR(ROUND((TODAY()-IF(ISNUMBER(K258),K258,DATEVALUE(K258)))/365.25, 1),""))</f>
        <v>0</v>
      </c>
      <c r="M258" s="34" t="s">
        <v>608</v>
      </c>
      <c r="N258" s="35" t="s">
        <v>82</v>
      </c>
      <c r="O258" s="34" t="s">
        <v>80</v>
      </c>
      <c r="P258" s="34" t="s">
        <v>81</v>
      </c>
      <c r="Q258" s="35" t="s">
        <v>82</v>
      </c>
      <c r="R258" s="34" t="s">
        <v>83</v>
      </c>
      <c r="S258" s="34" t="s">
        <v>11</v>
      </c>
      <c r="T258" s="34" t="s">
        <v>113</v>
      </c>
      <c r="U258" s="34" t="s">
        <v>85</v>
      </c>
      <c r="V258" s="35" t="s">
        <v>1967</v>
      </c>
      <c r="W258" s="35" t="s">
        <v>1968</v>
      </c>
      <c r="X258" s="34" t="s">
        <v>13</v>
      </c>
      <c r="Y258" s="37"/>
    </row>
    <row r="259" spans="1:25" ht="20" customHeight="1">
      <c r="A259" s="28">
        <v>257</v>
      </c>
      <c r="B259" s="28" t="s">
        <v>20</v>
      </c>
      <c r="C259" s="28" t="s">
        <v>21</v>
      </c>
      <c r="D259" s="29" t="s">
        <v>1969</v>
      </c>
      <c r="E259" s="30" t="s">
        <v>1970</v>
      </c>
      <c r="F259" s="30" t="s">
        <v>1971</v>
      </c>
      <c r="G259" s="29" t="s">
        <v>1972</v>
      </c>
      <c r="H259" s="30" t="s">
        <v>1973</v>
      </c>
      <c r="I259" s="28" t="s">
        <v>75</v>
      </c>
      <c r="J259" s="28" t="s">
        <v>76</v>
      </c>
      <c r="K259" s="31" t="s">
        <v>1838</v>
      </c>
      <c r="L259" s="28">
        <f>IF(K259="","",IFERROR(ROUND((TODAY()-IF(ISNUMBER(K259),K259,DATEVALUE(K259)))/365.25, 1),""))</f>
        <v>0</v>
      </c>
      <c r="M259" s="28" t="s">
        <v>743</v>
      </c>
      <c r="N259" s="29" t="s">
        <v>82</v>
      </c>
      <c r="O259" s="28" t="s">
        <v>80</v>
      </c>
      <c r="P259" s="28" t="s">
        <v>81</v>
      </c>
      <c r="Q259" s="29" t="s">
        <v>82</v>
      </c>
      <c r="R259" s="28" t="s">
        <v>83</v>
      </c>
      <c r="S259" s="28" t="s">
        <v>11</v>
      </c>
      <c r="T259" s="28" t="s">
        <v>113</v>
      </c>
      <c r="U259" s="28" t="s">
        <v>85</v>
      </c>
      <c r="V259" s="29" t="s">
        <v>1974</v>
      </c>
      <c r="W259" s="29" t="s">
        <v>1975</v>
      </c>
      <c r="X259" s="28" t="s">
        <v>13</v>
      </c>
      <c r="Y259" s="31"/>
    </row>
    <row r="260" spans="1:25" ht="20" customHeight="1">
      <c r="A260" s="34">
        <v>258</v>
      </c>
      <c r="B260" s="34" t="s">
        <v>20</v>
      </c>
      <c r="C260" s="34" t="s">
        <v>21</v>
      </c>
      <c r="D260" s="35" t="s">
        <v>1976</v>
      </c>
      <c r="E260" s="36" t="s">
        <v>1977</v>
      </c>
      <c r="F260" s="36" t="s">
        <v>1978</v>
      </c>
      <c r="G260" s="35" t="s">
        <v>1979</v>
      </c>
      <c r="H260" s="36" t="s">
        <v>1980</v>
      </c>
      <c r="I260" s="34" t="s">
        <v>75</v>
      </c>
      <c r="J260" s="34" t="s">
        <v>76</v>
      </c>
      <c r="K260" s="37" t="s">
        <v>1981</v>
      </c>
      <c r="L260" s="34">
        <f>IF(K260="","",IFERROR(ROUND((TODAY()-IF(ISNUMBER(K260),K260,DATEVALUE(K260)))/365.25, 1),""))</f>
        <v>0</v>
      </c>
      <c r="M260" s="34" t="s">
        <v>553</v>
      </c>
      <c r="N260" s="35" t="s">
        <v>82</v>
      </c>
      <c r="O260" s="34" t="s">
        <v>80</v>
      </c>
      <c r="P260" s="34" t="s">
        <v>81</v>
      </c>
      <c r="Q260" s="35" t="s">
        <v>82</v>
      </c>
      <c r="R260" s="34" t="s">
        <v>83</v>
      </c>
      <c r="S260" s="34" t="s">
        <v>11</v>
      </c>
      <c r="T260" s="34" t="s">
        <v>113</v>
      </c>
      <c r="U260" s="34" t="s">
        <v>85</v>
      </c>
      <c r="V260" s="35" t="s">
        <v>1982</v>
      </c>
      <c r="W260" s="35" t="s">
        <v>1983</v>
      </c>
      <c r="X260" s="34" t="s">
        <v>13</v>
      </c>
      <c r="Y260" s="37"/>
    </row>
    <row r="261" spans="1:25" ht="20" customHeight="1">
      <c r="A261" s="28">
        <v>259</v>
      </c>
      <c r="B261" s="28" t="s">
        <v>20</v>
      </c>
      <c r="C261" s="28" t="s">
        <v>21</v>
      </c>
      <c r="D261" s="29" t="s">
        <v>1984</v>
      </c>
      <c r="E261" s="30" t="s">
        <v>1165</v>
      </c>
      <c r="F261" s="30" t="s">
        <v>1985</v>
      </c>
      <c r="G261" s="29" t="s">
        <v>1986</v>
      </c>
      <c r="H261" s="30" t="s">
        <v>1987</v>
      </c>
      <c r="I261" s="28" t="s">
        <v>128</v>
      </c>
      <c r="J261" s="28" t="s">
        <v>76</v>
      </c>
      <c r="K261" s="31" t="s">
        <v>1838</v>
      </c>
      <c r="L261" s="28">
        <f>IF(K261="","",IFERROR(ROUND((TODAY()-IF(ISNUMBER(K261),K261,DATEVALUE(K261)))/365.25, 1),""))</f>
        <v>0</v>
      </c>
      <c r="M261" s="28" t="s">
        <v>608</v>
      </c>
      <c r="N261" s="29" t="s">
        <v>82</v>
      </c>
      <c r="O261" s="28" t="s">
        <v>80</v>
      </c>
      <c r="P261" s="28" t="s">
        <v>81</v>
      </c>
      <c r="Q261" s="29" t="s">
        <v>82</v>
      </c>
      <c r="R261" s="28" t="s">
        <v>83</v>
      </c>
      <c r="S261" s="28" t="s">
        <v>12</v>
      </c>
      <c r="T261" s="28" t="s">
        <v>113</v>
      </c>
      <c r="U261" s="28" t="s">
        <v>85</v>
      </c>
      <c r="V261" s="29" t="s">
        <v>82</v>
      </c>
      <c r="W261" s="29" t="s">
        <v>1988</v>
      </c>
      <c r="X261" s="28" t="s">
        <v>13</v>
      </c>
      <c r="Y261" s="31"/>
    </row>
    <row r="262" spans="1:25" ht="20" customHeight="1">
      <c r="A262" s="34">
        <v>260</v>
      </c>
      <c r="B262" s="34" t="s">
        <v>20</v>
      </c>
      <c r="C262" s="34" t="s">
        <v>21</v>
      </c>
      <c r="D262" s="35" t="s">
        <v>1989</v>
      </c>
      <c r="E262" s="36" t="s">
        <v>1990</v>
      </c>
      <c r="F262" s="36" t="s">
        <v>1991</v>
      </c>
      <c r="G262" s="35" t="s">
        <v>1992</v>
      </c>
      <c r="H262" s="36" t="s">
        <v>1993</v>
      </c>
      <c r="I262" s="34" t="s">
        <v>75</v>
      </c>
      <c r="J262" s="34" t="s">
        <v>76</v>
      </c>
      <c r="K262" s="37" t="s">
        <v>1994</v>
      </c>
      <c r="L262" s="34">
        <f>IF(K262="","",IFERROR(ROUND((TODAY()-IF(ISNUMBER(K262),K262,DATEVALUE(K262)))/365.25, 1),""))</f>
        <v>0</v>
      </c>
      <c r="M262" s="34" t="s">
        <v>553</v>
      </c>
      <c r="N262" s="35" t="s">
        <v>82</v>
      </c>
      <c r="O262" s="34" t="s">
        <v>80</v>
      </c>
      <c r="P262" s="34" t="s">
        <v>81</v>
      </c>
      <c r="Q262" s="35" t="s">
        <v>82</v>
      </c>
      <c r="R262" s="34" t="s">
        <v>83</v>
      </c>
      <c r="S262" s="34" t="s">
        <v>12</v>
      </c>
      <c r="T262" s="34" t="s">
        <v>113</v>
      </c>
      <c r="U262" s="34" t="s">
        <v>85</v>
      </c>
      <c r="V262" s="35" t="s">
        <v>1995</v>
      </c>
      <c r="W262" s="35" t="s">
        <v>1996</v>
      </c>
      <c r="X262" s="34" t="s">
        <v>13</v>
      </c>
      <c r="Y262" s="37"/>
    </row>
    <row r="263" spans="1:25" ht="20" customHeight="1">
      <c r="A263" s="28">
        <v>261</v>
      </c>
      <c r="B263" s="28" t="s">
        <v>20</v>
      </c>
      <c r="C263" s="28" t="s">
        <v>21</v>
      </c>
      <c r="D263" s="29" t="s">
        <v>1997</v>
      </c>
      <c r="E263" s="30" t="s">
        <v>1487</v>
      </c>
      <c r="F263" s="30" t="s">
        <v>1998</v>
      </c>
      <c r="G263" s="29" t="s">
        <v>1999</v>
      </c>
      <c r="H263" s="30" t="s">
        <v>2000</v>
      </c>
      <c r="I263" s="28" t="s">
        <v>75</v>
      </c>
      <c r="J263" s="28" t="s">
        <v>76</v>
      </c>
      <c r="K263" s="31" t="s">
        <v>2001</v>
      </c>
      <c r="L263" s="28">
        <f>IF(K263="","",IFERROR(ROUND((TODAY()-IF(ISNUMBER(K263),K263,DATEVALUE(K263)))/365.25, 1),""))</f>
        <v>0</v>
      </c>
      <c r="M263" s="28" t="s">
        <v>553</v>
      </c>
      <c r="N263" s="29" t="s">
        <v>82</v>
      </c>
      <c r="O263" s="28" t="s">
        <v>80</v>
      </c>
      <c r="P263" s="28" t="s">
        <v>81</v>
      </c>
      <c r="Q263" s="29" t="s">
        <v>82</v>
      </c>
      <c r="R263" s="28" t="s">
        <v>83</v>
      </c>
      <c r="S263" s="28" t="s">
        <v>11</v>
      </c>
      <c r="T263" s="28" t="s">
        <v>113</v>
      </c>
      <c r="U263" s="28" t="s">
        <v>85</v>
      </c>
      <c r="V263" s="29" t="s">
        <v>2002</v>
      </c>
      <c r="W263" s="29" t="s">
        <v>2003</v>
      </c>
      <c r="X263" s="28" t="s">
        <v>13</v>
      </c>
      <c r="Y263" s="31"/>
    </row>
    <row r="264" spans="1:25" ht="20" customHeight="1">
      <c r="A264" s="34">
        <v>262</v>
      </c>
      <c r="B264" s="34" t="s">
        <v>20</v>
      </c>
      <c r="C264" s="34" t="s">
        <v>21</v>
      </c>
      <c r="D264" s="35" t="s">
        <v>2004</v>
      </c>
      <c r="E264" s="36" t="s">
        <v>2005</v>
      </c>
      <c r="F264" s="36" t="s">
        <v>2006</v>
      </c>
      <c r="G264" s="35" t="s">
        <v>2007</v>
      </c>
      <c r="H264" s="36" t="s">
        <v>2008</v>
      </c>
      <c r="I264" s="34" t="s">
        <v>128</v>
      </c>
      <c r="J264" s="34" t="s">
        <v>76</v>
      </c>
      <c r="K264" s="37" t="s">
        <v>2009</v>
      </c>
      <c r="L264" s="34">
        <f>IF(K264="","",IFERROR(ROUND((TODAY()-IF(ISNUMBER(K264),K264,DATEVALUE(K264)))/365.25, 1),""))</f>
        <v>0</v>
      </c>
      <c r="M264" s="34" t="s">
        <v>608</v>
      </c>
      <c r="N264" s="35" t="s">
        <v>82</v>
      </c>
      <c r="O264" s="34" t="s">
        <v>80</v>
      </c>
      <c r="P264" s="34" t="s">
        <v>81</v>
      </c>
      <c r="Q264" s="35" t="s">
        <v>82</v>
      </c>
      <c r="R264" s="34" t="s">
        <v>83</v>
      </c>
      <c r="S264" s="34" t="s">
        <v>12</v>
      </c>
      <c r="T264" s="34" t="s">
        <v>113</v>
      </c>
      <c r="U264" s="34" t="s">
        <v>85</v>
      </c>
      <c r="V264" s="35" t="s">
        <v>2010</v>
      </c>
      <c r="W264" s="35" t="s">
        <v>2011</v>
      </c>
      <c r="X264" s="34" t="s">
        <v>13</v>
      </c>
      <c r="Y264" s="37"/>
    </row>
    <row r="265" spans="1:25" ht="20" customHeight="1">
      <c r="A265" s="28">
        <v>263</v>
      </c>
      <c r="B265" s="28" t="s">
        <v>20</v>
      </c>
      <c r="C265" s="28" t="s">
        <v>21</v>
      </c>
      <c r="D265" s="29" t="s">
        <v>2012</v>
      </c>
      <c r="E265" s="30" t="s">
        <v>2013</v>
      </c>
      <c r="F265" s="30" t="s">
        <v>2014</v>
      </c>
      <c r="G265" s="29" t="s">
        <v>2015</v>
      </c>
      <c r="H265" s="30" t="s">
        <v>2016</v>
      </c>
      <c r="I265" s="28" t="s">
        <v>75</v>
      </c>
      <c r="J265" s="28" t="s">
        <v>76</v>
      </c>
      <c r="K265" s="31" t="s">
        <v>2017</v>
      </c>
      <c r="L265" s="28">
        <f>IF(K265="","",IFERROR(ROUND((TODAY()-IF(ISNUMBER(K265),K265,DATEVALUE(K265)))/365.25, 1),""))</f>
        <v>0</v>
      </c>
      <c r="M265" s="28" t="s">
        <v>743</v>
      </c>
      <c r="N265" s="29" t="s">
        <v>82</v>
      </c>
      <c r="O265" s="28" t="s">
        <v>80</v>
      </c>
      <c r="P265" s="28" t="s">
        <v>81</v>
      </c>
      <c r="Q265" s="29" t="s">
        <v>82</v>
      </c>
      <c r="R265" s="28" t="s">
        <v>83</v>
      </c>
      <c r="S265" s="28" t="s">
        <v>11</v>
      </c>
      <c r="T265" s="28" t="s">
        <v>113</v>
      </c>
      <c r="U265" s="28" t="s">
        <v>85</v>
      </c>
      <c r="V265" s="29" t="s">
        <v>2018</v>
      </c>
      <c r="W265" s="29" t="s">
        <v>2019</v>
      </c>
      <c r="X265" s="28" t="s">
        <v>13</v>
      </c>
      <c r="Y265" s="31"/>
    </row>
    <row r="266" spans="1:25" ht="20" customHeight="1">
      <c r="A266" s="34">
        <v>264</v>
      </c>
      <c r="B266" s="34" t="s">
        <v>20</v>
      </c>
      <c r="C266" s="34" t="s">
        <v>21</v>
      </c>
      <c r="D266" s="35" t="s">
        <v>2020</v>
      </c>
      <c r="E266" s="36" t="s">
        <v>2021</v>
      </c>
      <c r="F266" s="36" t="s">
        <v>2022</v>
      </c>
      <c r="G266" s="35" t="s">
        <v>2023</v>
      </c>
      <c r="H266" s="36" t="s">
        <v>2024</v>
      </c>
      <c r="I266" s="34" t="s">
        <v>128</v>
      </c>
      <c r="J266" s="34" t="s">
        <v>76</v>
      </c>
      <c r="K266" s="37" t="s">
        <v>1678</v>
      </c>
      <c r="L266" s="34">
        <f>IF(K266="","",IFERROR(ROUND((TODAY()-IF(ISNUMBER(K266),K266,DATEVALUE(K266)))/365.25, 1),""))</f>
        <v>0</v>
      </c>
      <c r="M266" s="34" t="s">
        <v>608</v>
      </c>
      <c r="N266" s="35" t="s">
        <v>82</v>
      </c>
      <c r="O266" s="34" t="s">
        <v>80</v>
      </c>
      <c r="P266" s="34" t="s">
        <v>81</v>
      </c>
      <c r="Q266" s="35" t="s">
        <v>82</v>
      </c>
      <c r="R266" s="34" t="s">
        <v>83</v>
      </c>
      <c r="S266" s="34" t="s">
        <v>12</v>
      </c>
      <c r="T266" s="34" t="s">
        <v>113</v>
      </c>
      <c r="U266" s="34" t="s">
        <v>85</v>
      </c>
      <c r="V266" s="35" t="s">
        <v>82</v>
      </c>
      <c r="W266" s="35" t="s">
        <v>2025</v>
      </c>
      <c r="X266" s="34" t="s">
        <v>13</v>
      </c>
      <c r="Y266" s="37"/>
    </row>
    <row r="267" spans="1:25" ht="20" customHeight="1">
      <c r="A267" s="28">
        <v>265</v>
      </c>
      <c r="B267" s="28" t="s">
        <v>20</v>
      </c>
      <c r="C267" s="28" t="s">
        <v>21</v>
      </c>
      <c r="D267" s="29" t="s">
        <v>2026</v>
      </c>
      <c r="E267" s="30" t="s">
        <v>2027</v>
      </c>
      <c r="F267" s="30" t="s">
        <v>2028</v>
      </c>
      <c r="G267" s="29" t="s">
        <v>2029</v>
      </c>
      <c r="H267" s="30" t="s">
        <v>2030</v>
      </c>
      <c r="I267" s="28" t="s">
        <v>75</v>
      </c>
      <c r="J267" s="28" t="s">
        <v>76</v>
      </c>
      <c r="K267" s="31" t="s">
        <v>1263</v>
      </c>
      <c r="L267" s="28">
        <f>IF(K267="","",IFERROR(ROUND((TODAY()-IF(ISNUMBER(K267),K267,DATEVALUE(K267)))/365.25, 1),""))</f>
        <v>0</v>
      </c>
      <c r="M267" s="28" t="s">
        <v>553</v>
      </c>
      <c r="N267" s="29" t="s">
        <v>82</v>
      </c>
      <c r="O267" s="28" t="s">
        <v>80</v>
      </c>
      <c r="P267" s="28" t="s">
        <v>81</v>
      </c>
      <c r="Q267" s="29" t="s">
        <v>82</v>
      </c>
      <c r="R267" s="28" t="s">
        <v>83</v>
      </c>
      <c r="S267" s="28" t="s">
        <v>12</v>
      </c>
      <c r="T267" s="28" t="s">
        <v>113</v>
      </c>
      <c r="U267" s="28" t="s">
        <v>85</v>
      </c>
      <c r="V267" s="29" t="s">
        <v>2031</v>
      </c>
      <c r="W267" s="29" t="s">
        <v>2032</v>
      </c>
      <c r="X267" s="28" t="s">
        <v>13</v>
      </c>
      <c r="Y267" s="31"/>
    </row>
    <row r="268" spans="1:25" ht="20" customHeight="1">
      <c r="A268" s="34">
        <v>266</v>
      </c>
      <c r="B268" s="34" t="s">
        <v>20</v>
      </c>
      <c r="C268" s="34" t="s">
        <v>21</v>
      </c>
      <c r="D268" s="35" t="s">
        <v>2033</v>
      </c>
      <c r="E268" s="36" t="s">
        <v>2034</v>
      </c>
      <c r="F268" s="36" t="s">
        <v>2035</v>
      </c>
      <c r="G268" s="35" t="s">
        <v>2036</v>
      </c>
      <c r="H268" s="36" t="s">
        <v>2037</v>
      </c>
      <c r="I268" s="34" t="s">
        <v>128</v>
      </c>
      <c r="J268" s="34" t="s">
        <v>76</v>
      </c>
      <c r="K268" s="37" t="s">
        <v>2009</v>
      </c>
      <c r="L268" s="34">
        <f>IF(K268="","",IFERROR(ROUND((TODAY()-IF(ISNUMBER(K268),K268,DATEVALUE(K268)))/365.25, 1),""))</f>
        <v>0</v>
      </c>
      <c r="M268" s="34" t="s">
        <v>608</v>
      </c>
      <c r="N268" s="35" t="s">
        <v>82</v>
      </c>
      <c r="O268" s="34" t="s">
        <v>80</v>
      </c>
      <c r="P268" s="34" t="s">
        <v>81</v>
      </c>
      <c r="Q268" s="35" t="s">
        <v>82</v>
      </c>
      <c r="R268" s="34" t="s">
        <v>83</v>
      </c>
      <c r="S268" s="34" t="s">
        <v>11</v>
      </c>
      <c r="T268" s="34" t="s">
        <v>113</v>
      </c>
      <c r="U268" s="34" t="s">
        <v>85</v>
      </c>
      <c r="V268" s="35" t="s">
        <v>2038</v>
      </c>
      <c r="W268" s="35" t="s">
        <v>2039</v>
      </c>
      <c r="X268" s="34" t="s">
        <v>13</v>
      </c>
      <c r="Y268" s="37"/>
    </row>
    <row r="269" spans="1:25" ht="20" customHeight="1">
      <c r="A269" s="28">
        <v>267</v>
      </c>
      <c r="B269" s="28" t="s">
        <v>20</v>
      </c>
      <c r="C269" s="28" t="s">
        <v>21</v>
      </c>
      <c r="D269" s="29" t="s">
        <v>2040</v>
      </c>
      <c r="E269" s="30" t="s">
        <v>2041</v>
      </c>
      <c r="F269" s="30" t="s">
        <v>2042</v>
      </c>
      <c r="G269" s="29" t="s">
        <v>2043</v>
      </c>
      <c r="H269" s="30" t="s">
        <v>2044</v>
      </c>
      <c r="I269" s="28" t="s">
        <v>128</v>
      </c>
      <c r="J269" s="28" t="s">
        <v>76</v>
      </c>
      <c r="K269" s="31" t="s">
        <v>1232</v>
      </c>
      <c r="L269" s="28">
        <f>IF(K269="","",IFERROR(ROUND((TODAY()-IF(ISNUMBER(K269),K269,DATEVALUE(K269)))/365.25, 1),""))</f>
        <v>0</v>
      </c>
      <c r="M269" s="28" t="s">
        <v>608</v>
      </c>
      <c r="N269" s="29" t="s">
        <v>82</v>
      </c>
      <c r="O269" s="28" t="s">
        <v>80</v>
      </c>
      <c r="P269" s="28" t="s">
        <v>81</v>
      </c>
      <c r="Q269" s="29" t="s">
        <v>82</v>
      </c>
      <c r="R269" s="28" t="s">
        <v>83</v>
      </c>
      <c r="S269" s="28" t="s">
        <v>12</v>
      </c>
      <c r="T269" s="28" t="s">
        <v>113</v>
      </c>
      <c r="U269" s="28" t="s">
        <v>85</v>
      </c>
      <c r="V269" s="29" t="s">
        <v>2045</v>
      </c>
      <c r="W269" s="29" t="s">
        <v>2046</v>
      </c>
      <c r="X269" s="28" t="s">
        <v>13</v>
      </c>
      <c r="Y269" s="31"/>
    </row>
    <row r="270" spans="1:25" ht="20" customHeight="1">
      <c r="A270" s="34">
        <v>268</v>
      </c>
      <c r="B270" s="34" t="s">
        <v>20</v>
      </c>
      <c r="C270" s="34" t="s">
        <v>21</v>
      </c>
      <c r="D270" s="35" t="s">
        <v>2047</v>
      </c>
      <c r="E270" s="36" t="s">
        <v>2048</v>
      </c>
      <c r="F270" s="36" t="s">
        <v>2049</v>
      </c>
      <c r="G270" s="35" t="s">
        <v>2050</v>
      </c>
      <c r="H270" s="36" t="s">
        <v>2051</v>
      </c>
      <c r="I270" s="34" t="s">
        <v>75</v>
      </c>
      <c r="J270" s="34" t="s">
        <v>76</v>
      </c>
      <c r="K270" s="37" t="s">
        <v>2052</v>
      </c>
      <c r="L270" s="34">
        <f>IF(K270="","",IFERROR(ROUND((TODAY()-IF(ISNUMBER(K270),K270,DATEVALUE(K270)))/365.25, 1),""))</f>
        <v>0</v>
      </c>
      <c r="M270" s="34" t="s">
        <v>553</v>
      </c>
      <c r="N270" s="35" t="s">
        <v>82</v>
      </c>
      <c r="O270" s="34" t="s">
        <v>80</v>
      </c>
      <c r="P270" s="34" t="s">
        <v>81</v>
      </c>
      <c r="Q270" s="35" t="s">
        <v>82</v>
      </c>
      <c r="R270" s="34" t="s">
        <v>83</v>
      </c>
      <c r="S270" s="34" t="s">
        <v>12</v>
      </c>
      <c r="T270" s="34" t="s">
        <v>113</v>
      </c>
      <c r="U270" s="34" t="s">
        <v>85</v>
      </c>
      <c r="V270" s="35" t="s">
        <v>82</v>
      </c>
      <c r="W270" s="35" t="s">
        <v>2053</v>
      </c>
      <c r="X270" s="34" t="s">
        <v>13</v>
      </c>
      <c r="Y270" s="37"/>
    </row>
    <row r="271" spans="1:25" ht="20" customHeight="1">
      <c r="A271" s="28">
        <v>269</v>
      </c>
      <c r="B271" s="28" t="s">
        <v>20</v>
      </c>
      <c r="C271" s="28" t="s">
        <v>21</v>
      </c>
      <c r="D271" s="29" t="s">
        <v>2054</v>
      </c>
      <c r="E271" s="30" t="s">
        <v>2055</v>
      </c>
      <c r="F271" s="30" t="s">
        <v>2056</v>
      </c>
      <c r="G271" s="29" t="s">
        <v>2057</v>
      </c>
      <c r="H271" s="30" t="s">
        <v>2058</v>
      </c>
      <c r="I271" s="28" t="s">
        <v>75</v>
      </c>
      <c r="J271" s="28" t="s">
        <v>76</v>
      </c>
      <c r="K271" s="31" t="s">
        <v>2059</v>
      </c>
      <c r="L271" s="28">
        <f>IF(K271="","",IFERROR(ROUND((TODAY()-IF(ISNUMBER(K271),K271,DATEVALUE(K271)))/365.25, 1),""))</f>
        <v>0</v>
      </c>
      <c r="M271" s="28" t="s">
        <v>553</v>
      </c>
      <c r="N271" s="29" t="s">
        <v>82</v>
      </c>
      <c r="O271" s="28" t="s">
        <v>80</v>
      </c>
      <c r="P271" s="28" t="s">
        <v>81</v>
      </c>
      <c r="Q271" s="29" t="s">
        <v>82</v>
      </c>
      <c r="R271" s="28" t="s">
        <v>83</v>
      </c>
      <c r="S271" s="28" t="s">
        <v>11</v>
      </c>
      <c r="T271" s="28" t="s">
        <v>113</v>
      </c>
      <c r="U271" s="28" t="s">
        <v>85</v>
      </c>
      <c r="V271" s="29" t="s">
        <v>2060</v>
      </c>
      <c r="W271" s="29" t="s">
        <v>2061</v>
      </c>
      <c r="X271" s="28" t="s">
        <v>13</v>
      </c>
      <c r="Y271" s="31"/>
    </row>
    <row r="272" spans="1:25" ht="20" customHeight="1">
      <c r="A272" s="34">
        <v>270</v>
      </c>
      <c r="B272" s="34" t="s">
        <v>20</v>
      </c>
      <c r="C272" s="34" t="s">
        <v>21</v>
      </c>
      <c r="D272" s="35" t="s">
        <v>2062</v>
      </c>
      <c r="E272" s="36" t="s">
        <v>2063</v>
      </c>
      <c r="F272" s="36" t="s">
        <v>2064</v>
      </c>
      <c r="G272" s="35" t="s">
        <v>2065</v>
      </c>
      <c r="H272" s="36" t="s">
        <v>2066</v>
      </c>
      <c r="I272" s="34" t="s">
        <v>128</v>
      </c>
      <c r="J272" s="34" t="s">
        <v>76</v>
      </c>
      <c r="K272" s="37" t="s">
        <v>2067</v>
      </c>
      <c r="L272" s="34">
        <f>IF(K272="","",IFERROR(ROUND((TODAY()-IF(ISNUMBER(K272),K272,DATEVALUE(K272)))/365.25, 1),""))</f>
        <v>0</v>
      </c>
      <c r="M272" s="34" t="s">
        <v>608</v>
      </c>
      <c r="N272" s="35" t="s">
        <v>82</v>
      </c>
      <c r="O272" s="34" t="s">
        <v>80</v>
      </c>
      <c r="P272" s="34" t="s">
        <v>81</v>
      </c>
      <c r="Q272" s="35" t="s">
        <v>82</v>
      </c>
      <c r="R272" s="34" t="s">
        <v>83</v>
      </c>
      <c r="S272" s="34" t="s">
        <v>12</v>
      </c>
      <c r="T272" s="34" t="s">
        <v>113</v>
      </c>
      <c r="U272" s="34" t="s">
        <v>85</v>
      </c>
      <c r="V272" s="35" t="s">
        <v>82</v>
      </c>
      <c r="W272" s="35" t="s">
        <v>2068</v>
      </c>
      <c r="X272" s="34" t="s">
        <v>13</v>
      </c>
      <c r="Y272" s="37"/>
    </row>
    <row r="273" spans="1:25" ht="20" customHeight="1">
      <c r="A273" s="28">
        <v>271</v>
      </c>
      <c r="B273" s="28" t="s">
        <v>20</v>
      </c>
      <c r="C273" s="28" t="s">
        <v>21</v>
      </c>
      <c r="D273" s="29" t="s">
        <v>2069</v>
      </c>
      <c r="E273" s="30" t="s">
        <v>812</v>
      </c>
      <c r="F273" s="30" t="s">
        <v>820</v>
      </c>
      <c r="G273" s="29" t="s">
        <v>2070</v>
      </c>
      <c r="H273" s="30" t="s">
        <v>2071</v>
      </c>
      <c r="I273" s="28" t="s">
        <v>75</v>
      </c>
      <c r="J273" s="28" t="s">
        <v>76</v>
      </c>
      <c r="K273" s="31" t="s">
        <v>2072</v>
      </c>
      <c r="L273" s="28">
        <f>IF(K273="","",IFERROR(ROUND((TODAY()-IF(ISNUMBER(K273),K273,DATEVALUE(K273)))/365.25, 1),""))</f>
        <v>0</v>
      </c>
      <c r="M273" s="28" t="s">
        <v>553</v>
      </c>
      <c r="N273" s="29" t="s">
        <v>82</v>
      </c>
      <c r="O273" s="28" t="s">
        <v>80</v>
      </c>
      <c r="P273" s="28" t="s">
        <v>81</v>
      </c>
      <c r="Q273" s="29" t="s">
        <v>82</v>
      </c>
      <c r="R273" s="28" t="s">
        <v>83</v>
      </c>
      <c r="S273" s="28" t="s">
        <v>11</v>
      </c>
      <c r="T273" s="28" t="s">
        <v>113</v>
      </c>
      <c r="U273" s="28" t="s">
        <v>85</v>
      </c>
      <c r="V273" s="29" t="s">
        <v>2073</v>
      </c>
      <c r="W273" s="29" t="s">
        <v>2074</v>
      </c>
      <c r="X273" s="28" t="s">
        <v>13</v>
      </c>
      <c r="Y273" s="31"/>
    </row>
    <row r="274" spans="1:25" ht="20" customHeight="1">
      <c r="A274" s="34">
        <v>272</v>
      </c>
      <c r="B274" s="34" t="s">
        <v>20</v>
      </c>
      <c r="C274" s="34" t="s">
        <v>21</v>
      </c>
      <c r="D274" s="35" t="s">
        <v>2075</v>
      </c>
      <c r="E274" s="36" t="s">
        <v>2076</v>
      </c>
      <c r="F274" s="36" t="s">
        <v>2077</v>
      </c>
      <c r="G274" s="35" t="s">
        <v>2078</v>
      </c>
      <c r="H274" s="36" t="s">
        <v>2079</v>
      </c>
      <c r="I274" s="34" t="s">
        <v>128</v>
      </c>
      <c r="J274" s="34" t="s">
        <v>76</v>
      </c>
      <c r="K274" s="37" t="s">
        <v>1678</v>
      </c>
      <c r="L274" s="34">
        <f>IF(K274="","",IFERROR(ROUND((TODAY()-IF(ISNUMBER(K274),K274,DATEVALUE(K274)))/365.25, 1),""))</f>
        <v>0</v>
      </c>
      <c r="M274" s="34" t="s">
        <v>608</v>
      </c>
      <c r="N274" s="35" t="s">
        <v>82</v>
      </c>
      <c r="O274" s="34" t="s">
        <v>80</v>
      </c>
      <c r="P274" s="34" t="s">
        <v>81</v>
      </c>
      <c r="Q274" s="35" t="s">
        <v>82</v>
      </c>
      <c r="R274" s="34" t="s">
        <v>83</v>
      </c>
      <c r="S274" s="34" t="s">
        <v>12</v>
      </c>
      <c r="T274" s="34" t="s">
        <v>113</v>
      </c>
      <c r="U274" s="34" t="s">
        <v>85</v>
      </c>
      <c r="V274" s="35" t="s">
        <v>82</v>
      </c>
      <c r="W274" s="35" t="s">
        <v>2080</v>
      </c>
      <c r="X274" s="34" t="s">
        <v>13</v>
      </c>
      <c r="Y274" s="37"/>
    </row>
    <row r="275" spans="1:25" ht="20" customHeight="1">
      <c r="A275" s="28">
        <v>273</v>
      </c>
      <c r="B275" s="28" t="s">
        <v>20</v>
      </c>
      <c r="C275" s="28" t="s">
        <v>21</v>
      </c>
      <c r="D275" s="29" t="s">
        <v>2081</v>
      </c>
      <c r="E275" s="30" t="s">
        <v>2082</v>
      </c>
      <c r="F275" s="30" t="s">
        <v>2083</v>
      </c>
      <c r="G275" s="29" t="s">
        <v>2084</v>
      </c>
      <c r="H275" s="30" t="s">
        <v>2085</v>
      </c>
      <c r="I275" s="28" t="s">
        <v>75</v>
      </c>
      <c r="J275" s="28" t="s">
        <v>76</v>
      </c>
      <c r="K275" s="31" t="s">
        <v>2086</v>
      </c>
      <c r="L275" s="28">
        <f>IF(K275="","",IFERROR(ROUND((TODAY()-IF(ISNUMBER(K275),K275,DATEVALUE(K275)))/365.25, 1),""))</f>
        <v>0</v>
      </c>
      <c r="M275" s="28" t="s">
        <v>553</v>
      </c>
      <c r="N275" s="29" t="s">
        <v>82</v>
      </c>
      <c r="O275" s="28" t="s">
        <v>80</v>
      </c>
      <c r="P275" s="28" t="s">
        <v>81</v>
      </c>
      <c r="Q275" s="29" t="s">
        <v>82</v>
      </c>
      <c r="R275" s="28" t="s">
        <v>83</v>
      </c>
      <c r="S275" s="28" t="s">
        <v>11</v>
      </c>
      <c r="T275" s="28" t="s">
        <v>113</v>
      </c>
      <c r="U275" s="28" t="s">
        <v>85</v>
      </c>
      <c r="V275" s="29" t="s">
        <v>2087</v>
      </c>
      <c r="W275" s="29" t="s">
        <v>2088</v>
      </c>
      <c r="X275" s="28" t="s">
        <v>13</v>
      </c>
      <c r="Y275" s="31"/>
    </row>
    <row r="276" spans="1:25" ht="20" customHeight="1">
      <c r="A276" s="34">
        <v>274</v>
      </c>
      <c r="B276" s="34" t="s">
        <v>20</v>
      </c>
      <c r="C276" s="34" t="s">
        <v>25</v>
      </c>
      <c r="D276" s="35" t="s">
        <v>2089</v>
      </c>
      <c r="E276" s="36" t="s">
        <v>2090</v>
      </c>
      <c r="F276" s="36" t="s">
        <v>2091</v>
      </c>
      <c r="G276" s="35" t="s">
        <v>2092</v>
      </c>
      <c r="H276" s="36" t="s">
        <v>2093</v>
      </c>
      <c r="I276" s="34" t="s">
        <v>75</v>
      </c>
      <c r="J276" s="34" t="s">
        <v>76</v>
      </c>
      <c r="K276" s="37" t="s">
        <v>2094</v>
      </c>
      <c r="L276" s="34">
        <f>IF(K276="","",IFERROR(ROUND((TODAY()-IF(ISNUMBER(K276),K276,DATEVALUE(K276)))/365.25, 1),""))</f>
        <v>0</v>
      </c>
      <c r="M276" s="34" t="s">
        <v>252</v>
      </c>
      <c r="N276" s="35" t="s">
        <v>82</v>
      </c>
      <c r="O276" s="34" t="s">
        <v>80</v>
      </c>
      <c r="P276" s="34" t="s">
        <v>81</v>
      </c>
      <c r="Q276" s="35" t="s">
        <v>82</v>
      </c>
      <c r="R276" s="34" t="s">
        <v>83</v>
      </c>
      <c r="S276" s="34" t="s">
        <v>12</v>
      </c>
      <c r="T276" s="34" t="s">
        <v>113</v>
      </c>
      <c r="U276" s="34" t="s">
        <v>85</v>
      </c>
      <c r="V276" s="35" t="s">
        <v>2095</v>
      </c>
      <c r="W276" s="35" t="s">
        <v>2096</v>
      </c>
      <c r="X276" s="34" t="s">
        <v>13</v>
      </c>
      <c r="Y276" s="37"/>
    </row>
    <row r="277" spans="1:25" ht="20" customHeight="1">
      <c r="A277" s="28">
        <v>275</v>
      </c>
      <c r="B277" s="28" t="s">
        <v>20</v>
      </c>
      <c r="C277" s="28" t="s">
        <v>25</v>
      </c>
      <c r="D277" s="29" t="s">
        <v>2097</v>
      </c>
      <c r="E277" s="30" t="s">
        <v>2098</v>
      </c>
      <c r="F277" s="30" t="s">
        <v>2099</v>
      </c>
      <c r="G277" s="29" t="s">
        <v>2100</v>
      </c>
      <c r="H277" s="30" t="s">
        <v>423</v>
      </c>
      <c r="I277" s="28" t="s">
        <v>75</v>
      </c>
      <c r="J277" s="28" t="s">
        <v>76</v>
      </c>
      <c r="K277" s="31" t="s">
        <v>2101</v>
      </c>
      <c r="L277" s="28">
        <f>IF(K277="","",IFERROR(ROUND((TODAY()-IF(ISNUMBER(K277),K277,DATEVALUE(K277)))/365.25, 1),""))</f>
        <v>0</v>
      </c>
      <c r="M277" s="28" t="s">
        <v>277</v>
      </c>
      <c r="N277" s="29" t="s">
        <v>82</v>
      </c>
      <c r="O277" s="28" t="s">
        <v>80</v>
      </c>
      <c r="P277" s="28" t="s">
        <v>81</v>
      </c>
      <c r="Q277" s="29" t="s">
        <v>82</v>
      </c>
      <c r="R277" s="28" t="s">
        <v>83</v>
      </c>
      <c r="S277" s="28" t="s">
        <v>11</v>
      </c>
      <c r="T277" s="28" t="s">
        <v>113</v>
      </c>
      <c r="U277" s="28" t="s">
        <v>85</v>
      </c>
      <c r="V277" s="29" t="s">
        <v>2102</v>
      </c>
      <c r="W277" s="29" t="s">
        <v>2103</v>
      </c>
      <c r="X277" s="28" t="s">
        <v>13</v>
      </c>
      <c r="Y277" s="31"/>
    </row>
    <row r="278" spans="1:25" ht="20" customHeight="1">
      <c r="A278" s="34">
        <v>276</v>
      </c>
      <c r="B278" s="34" t="s">
        <v>20</v>
      </c>
      <c r="C278" s="34" t="s">
        <v>25</v>
      </c>
      <c r="D278" s="35" t="s">
        <v>2104</v>
      </c>
      <c r="E278" s="36" t="s">
        <v>2105</v>
      </c>
      <c r="F278" s="36" t="s">
        <v>2106</v>
      </c>
      <c r="G278" s="35" t="s">
        <v>2107</v>
      </c>
      <c r="H278" s="36" t="s">
        <v>2108</v>
      </c>
      <c r="I278" s="34" t="s">
        <v>75</v>
      </c>
      <c r="J278" s="34" t="s">
        <v>76</v>
      </c>
      <c r="K278" s="37" t="s">
        <v>1930</v>
      </c>
      <c r="L278" s="34">
        <f>IF(K278="","",IFERROR(ROUND((TODAY()-IF(ISNUMBER(K278),K278,DATEVALUE(K278)))/365.25, 1),""))</f>
        <v>0</v>
      </c>
      <c r="M278" s="34" t="s">
        <v>277</v>
      </c>
      <c r="N278" s="35" t="s">
        <v>82</v>
      </c>
      <c r="O278" s="34" t="s">
        <v>80</v>
      </c>
      <c r="P278" s="34" t="s">
        <v>81</v>
      </c>
      <c r="Q278" s="35" t="s">
        <v>82</v>
      </c>
      <c r="R278" s="34" t="s">
        <v>83</v>
      </c>
      <c r="S278" s="34" t="s">
        <v>11</v>
      </c>
      <c r="T278" s="34" t="s">
        <v>113</v>
      </c>
      <c r="U278" s="34" t="s">
        <v>85</v>
      </c>
      <c r="V278" s="35" t="s">
        <v>2109</v>
      </c>
      <c r="W278" s="35" t="s">
        <v>2110</v>
      </c>
      <c r="X278" s="34" t="s">
        <v>13</v>
      </c>
      <c r="Y278" s="37"/>
    </row>
    <row r="279" spans="1:25" ht="20" customHeight="1">
      <c r="A279" s="28">
        <v>277</v>
      </c>
      <c r="B279" s="28" t="s">
        <v>20</v>
      </c>
      <c r="C279" s="28" t="s">
        <v>25</v>
      </c>
      <c r="D279" s="29" t="s">
        <v>2111</v>
      </c>
      <c r="E279" s="30" t="s">
        <v>2112</v>
      </c>
      <c r="F279" s="30" t="s">
        <v>2113</v>
      </c>
      <c r="G279" s="29" t="s">
        <v>2114</v>
      </c>
      <c r="H279" s="30" t="s">
        <v>2115</v>
      </c>
      <c r="I279" s="28" t="s">
        <v>75</v>
      </c>
      <c r="J279" s="28" t="s">
        <v>76</v>
      </c>
      <c r="K279" s="31" t="s">
        <v>2116</v>
      </c>
      <c r="L279" s="28">
        <f>IF(K279="","",IFERROR(ROUND((TODAY()-IF(ISNUMBER(K279),K279,DATEVALUE(K279)))/365.25, 1),""))</f>
        <v>0</v>
      </c>
      <c r="M279" s="28" t="s">
        <v>277</v>
      </c>
      <c r="N279" s="29" t="s">
        <v>82</v>
      </c>
      <c r="O279" s="28" t="s">
        <v>80</v>
      </c>
      <c r="P279" s="28" t="s">
        <v>81</v>
      </c>
      <c r="Q279" s="29" t="s">
        <v>82</v>
      </c>
      <c r="R279" s="28" t="s">
        <v>83</v>
      </c>
      <c r="S279" s="28" t="s">
        <v>11</v>
      </c>
      <c r="T279" s="28" t="s">
        <v>113</v>
      </c>
      <c r="U279" s="28" t="s">
        <v>85</v>
      </c>
      <c r="V279" s="29" t="s">
        <v>2117</v>
      </c>
      <c r="W279" s="29" t="s">
        <v>2118</v>
      </c>
      <c r="X279" s="28" t="s">
        <v>13</v>
      </c>
      <c r="Y279" s="31"/>
    </row>
    <row r="280" spans="1:25" ht="20" customHeight="1">
      <c r="A280" s="34">
        <v>278</v>
      </c>
      <c r="B280" s="34" t="s">
        <v>20</v>
      </c>
      <c r="C280" s="34" t="s">
        <v>22</v>
      </c>
      <c r="D280" s="35" t="s">
        <v>2119</v>
      </c>
      <c r="E280" s="36" t="s">
        <v>2120</v>
      </c>
      <c r="F280" s="36" t="s">
        <v>2121</v>
      </c>
      <c r="G280" s="35" t="s">
        <v>2122</v>
      </c>
      <c r="H280" s="36" t="s">
        <v>2123</v>
      </c>
      <c r="I280" s="34" t="s">
        <v>75</v>
      </c>
      <c r="J280" s="34" t="s">
        <v>76</v>
      </c>
      <c r="K280" s="37" t="s">
        <v>1285</v>
      </c>
      <c r="L280" s="34">
        <f>IF(K280="","",IFERROR(ROUND((TODAY()-IF(ISNUMBER(K280),K280,DATEVALUE(K280)))/365.25, 1),""))</f>
        <v>0</v>
      </c>
      <c r="M280" s="34" t="s">
        <v>553</v>
      </c>
      <c r="N280" s="35" t="s">
        <v>82</v>
      </c>
      <c r="O280" s="34" t="s">
        <v>80</v>
      </c>
      <c r="P280" s="34" t="s">
        <v>81</v>
      </c>
      <c r="Q280" s="35" t="s">
        <v>82</v>
      </c>
      <c r="R280" s="34" t="s">
        <v>83</v>
      </c>
      <c r="S280" s="34" t="s">
        <v>12</v>
      </c>
      <c r="T280" s="34" t="s">
        <v>113</v>
      </c>
      <c r="U280" s="34" t="s">
        <v>85</v>
      </c>
      <c r="V280" s="35" t="s">
        <v>2124</v>
      </c>
      <c r="W280" s="35" t="s">
        <v>2125</v>
      </c>
      <c r="X280" s="34" t="s">
        <v>13</v>
      </c>
      <c r="Y280" s="37"/>
    </row>
    <row r="281" spans="1:25" ht="20" customHeight="1">
      <c r="A281" s="28">
        <v>279</v>
      </c>
      <c r="B281" s="28" t="s">
        <v>20</v>
      </c>
      <c r="C281" s="28" t="s">
        <v>22</v>
      </c>
      <c r="D281" s="29" t="s">
        <v>2126</v>
      </c>
      <c r="E281" s="30" t="s">
        <v>480</v>
      </c>
      <c r="F281" s="30" t="s">
        <v>2127</v>
      </c>
      <c r="G281" s="29" t="s">
        <v>482</v>
      </c>
      <c r="H281" s="30" t="s">
        <v>2128</v>
      </c>
      <c r="I281" s="28" t="s">
        <v>128</v>
      </c>
      <c r="J281" s="28" t="s">
        <v>76</v>
      </c>
      <c r="K281" s="31" t="s">
        <v>1248</v>
      </c>
      <c r="L281" s="28">
        <f>IF(K281="","",IFERROR(ROUND((TODAY()-IF(ISNUMBER(K281),K281,DATEVALUE(K281)))/365.25, 1),""))</f>
        <v>0</v>
      </c>
      <c r="M281" s="28" t="s">
        <v>462</v>
      </c>
      <c r="N281" s="29" t="s">
        <v>82</v>
      </c>
      <c r="O281" s="28" t="s">
        <v>80</v>
      </c>
      <c r="P281" s="28" t="s">
        <v>81</v>
      </c>
      <c r="Q281" s="29" t="s">
        <v>82</v>
      </c>
      <c r="R281" s="28" t="s">
        <v>83</v>
      </c>
      <c r="S281" s="28" t="s">
        <v>11</v>
      </c>
      <c r="T281" s="28" t="s">
        <v>113</v>
      </c>
      <c r="U281" s="28" t="s">
        <v>85</v>
      </c>
      <c r="V281" s="29" t="s">
        <v>485</v>
      </c>
      <c r="W281" s="29" t="s">
        <v>486</v>
      </c>
      <c r="X281" s="28" t="s">
        <v>13</v>
      </c>
      <c r="Y281" s="31"/>
    </row>
    <row r="282" spans="1:25" ht="20" customHeight="1">
      <c r="A282" s="34">
        <v>280</v>
      </c>
      <c r="B282" s="34" t="s">
        <v>20</v>
      </c>
      <c r="C282" s="34" t="s">
        <v>22</v>
      </c>
      <c r="D282" s="35" t="s">
        <v>2129</v>
      </c>
      <c r="E282" s="36" t="s">
        <v>2130</v>
      </c>
      <c r="F282" s="36" t="s">
        <v>2131</v>
      </c>
      <c r="G282" s="35" t="s">
        <v>2132</v>
      </c>
      <c r="H282" s="36" t="s">
        <v>2133</v>
      </c>
      <c r="I282" s="34" t="s">
        <v>75</v>
      </c>
      <c r="J282" s="34" t="s">
        <v>76</v>
      </c>
      <c r="K282" s="37" t="s">
        <v>1340</v>
      </c>
      <c r="L282" s="34">
        <f>IF(K282="","",IFERROR(ROUND((TODAY()-IF(ISNUMBER(K282),K282,DATEVALUE(K282)))/365.25, 1),""))</f>
        <v>0</v>
      </c>
      <c r="M282" s="34" t="s">
        <v>553</v>
      </c>
      <c r="N282" s="35" t="s">
        <v>82</v>
      </c>
      <c r="O282" s="34" t="s">
        <v>80</v>
      </c>
      <c r="P282" s="34" t="s">
        <v>81</v>
      </c>
      <c r="Q282" s="35" t="s">
        <v>82</v>
      </c>
      <c r="R282" s="34" t="s">
        <v>83</v>
      </c>
      <c r="S282" s="34" t="s">
        <v>12</v>
      </c>
      <c r="T282" s="34" t="s">
        <v>113</v>
      </c>
      <c r="U282" s="34" t="s">
        <v>85</v>
      </c>
      <c r="V282" s="35" t="s">
        <v>2134</v>
      </c>
      <c r="W282" s="35" t="s">
        <v>2135</v>
      </c>
      <c r="X282" s="34" t="s">
        <v>13</v>
      </c>
      <c r="Y282" s="37"/>
    </row>
    <row r="283" spans="1:25" ht="20" customHeight="1">
      <c r="A283" s="28">
        <v>281</v>
      </c>
      <c r="B283" s="28" t="s">
        <v>20</v>
      </c>
      <c r="C283" s="28" t="s">
        <v>22</v>
      </c>
      <c r="D283" s="29" t="s">
        <v>2136</v>
      </c>
      <c r="E283" s="30" t="s">
        <v>495</v>
      </c>
      <c r="F283" s="30" t="s">
        <v>2137</v>
      </c>
      <c r="G283" s="29" t="s">
        <v>497</v>
      </c>
      <c r="H283" s="30" t="s">
        <v>2138</v>
      </c>
      <c r="I283" s="28" t="s">
        <v>128</v>
      </c>
      <c r="J283" s="28" t="s">
        <v>76</v>
      </c>
      <c r="K283" s="31" t="s">
        <v>1248</v>
      </c>
      <c r="L283" s="28">
        <f>IF(K283="","",IFERROR(ROUND((TODAY()-IF(ISNUMBER(K283),K283,DATEVALUE(K283)))/365.25, 1),""))</f>
        <v>0</v>
      </c>
      <c r="M283" s="28" t="s">
        <v>462</v>
      </c>
      <c r="N283" s="29" t="s">
        <v>82</v>
      </c>
      <c r="O283" s="28" t="s">
        <v>80</v>
      </c>
      <c r="P283" s="28" t="s">
        <v>81</v>
      </c>
      <c r="Q283" s="29" t="s">
        <v>82</v>
      </c>
      <c r="R283" s="28" t="s">
        <v>83</v>
      </c>
      <c r="S283" s="28" t="s">
        <v>11</v>
      </c>
      <c r="T283" s="28" t="s">
        <v>113</v>
      </c>
      <c r="U283" s="28" t="s">
        <v>85</v>
      </c>
      <c r="V283" s="29" t="s">
        <v>500</v>
      </c>
      <c r="W283" s="29" t="s">
        <v>2139</v>
      </c>
      <c r="X283" s="28" t="s">
        <v>13</v>
      </c>
      <c r="Y283" s="31"/>
    </row>
    <row r="284" spans="1:25" ht="20" customHeight="1">
      <c r="A284" s="34">
        <v>282</v>
      </c>
      <c r="B284" s="34" t="s">
        <v>20</v>
      </c>
      <c r="C284" s="34" t="s">
        <v>22</v>
      </c>
      <c r="D284" s="35" t="s">
        <v>2140</v>
      </c>
      <c r="E284" s="36" t="s">
        <v>2141</v>
      </c>
      <c r="F284" s="36" t="s">
        <v>2142</v>
      </c>
      <c r="G284" s="35" t="s">
        <v>2143</v>
      </c>
      <c r="H284" s="36" t="s">
        <v>2144</v>
      </c>
      <c r="I284" s="34" t="s">
        <v>75</v>
      </c>
      <c r="J284" s="34" t="s">
        <v>76</v>
      </c>
      <c r="K284" s="37" t="s">
        <v>1248</v>
      </c>
      <c r="L284" s="34">
        <f>IF(K284="","",IFERROR(ROUND((TODAY()-IF(ISNUMBER(K284),K284,DATEVALUE(K284)))/365.25, 1),""))</f>
        <v>0</v>
      </c>
      <c r="M284" s="34" t="s">
        <v>757</v>
      </c>
      <c r="N284" s="35" t="s">
        <v>82</v>
      </c>
      <c r="O284" s="34" t="s">
        <v>80</v>
      </c>
      <c r="P284" s="34" t="s">
        <v>81</v>
      </c>
      <c r="Q284" s="35" t="s">
        <v>82</v>
      </c>
      <c r="R284" s="34" t="s">
        <v>83</v>
      </c>
      <c r="S284" s="34" t="s">
        <v>12</v>
      </c>
      <c r="T284" s="34" t="s">
        <v>113</v>
      </c>
      <c r="U284" s="34" t="s">
        <v>85</v>
      </c>
      <c r="V284" s="35" t="s">
        <v>2145</v>
      </c>
      <c r="W284" s="35" t="s">
        <v>2146</v>
      </c>
      <c r="X284" s="34" t="s">
        <v>13</v>
      </c>
      <c r="Y284" s="37"/>
    </row>
    <row r="285" spans="1:25" ht="20" customHeight="1">
      <c r="A285" s="28">
        <v>283</v>
      </c>
      <c r="B285" s="28" t="s">
        <v>20</v>
      </c>
      <c r="C285" s="28" t="s">
        <v>22</v>
      </c>
      <c r="D285" s="29" t="s">
        <v>2147</v>
      </c>
      <c r="E285" s="30" t="s">
        <v>2148</v>
      </c>
      <c r="F285" s="30" t="s">
        <v>2149</v>
      </c>
      <c r="G285" s="29" t="s">
        <v>2150</v>
      </c>
      <c r="H285" s="30" t="s">
        <v>2151</v>
      </c>
      <c r="I285" s="28" t="s">
        <v>128</v>
      </c>
      <c r="J285" s="28" t="s">
        <v>76</v>
      </c>
      <c r="K285" s="31" t="s">
        <v>1248</v>
      </c>
      <c r="L285" s="28">
        <f>IF(K285="","",IFERROR(ROUND((TODAY()-IF(ISNUMBER(K285),K285,DATEVALUE(K285)))/365.25, 1),""))</f>
        <v>0</v>
      </c>
      <c r="M285" s="28" t="s">
        <v>553</v>
      </c>
      <c r="N285" s="29" t="s">
        <v>82</v>
      </c>
      <c r="O285" s="28" t="s">
        <v>80</v>
      </c>
      <c r="P285" s="28" t="s">
        <v>81</v>
      </c>
      <c r="Q285" s="29" t="s">
        <v>82</v>
      </c>
      <c r="R285" s="28" t="s">
        <v>83</v>
      </c>
      <c r="S285" s="28" t="s">
        <v>12</v>
      </c>
      <c r="T285" s="28" t="s">
        <v>113</v>
      </c>
      <c r="U285" s="28" t="s">
        <v>85</v>
      </c>
      <c r="V285" s="29" t="s">
        <v>2152</v>
      </c>
      <c r="W285" s="29" t="s">
        <v>2153</v>
      </c>
      <c r="X285" s="28" t="s">
        <v>13</v>
      </c>
      <c r="Y285" s="31"/>
    </row>
    <row r="286" spans="1:25" ht="20" customHeight="1">
      <c r="A286" s="34">
        <v>284</v>
      </c>
      <c r="B286" s="34" t="s">
        <v>20</v>
      </c>
      <c r="C286" s="34" t="s">
        <v>22</v>
      </c>
      <c r="D286" s="35" t="s">
        <v>2154</v>
      </c>
      <c r="E286" s="36" t="s">
        <v>2155</v>
      </c>
      <c r="F286" s="36" t="s">
        <v>2156</v>
      </c>
      <c r="G286" s="35" t="s">
        <v>2157</v>
      </c>
      <c r="H286" s="36" t="s">
        <v>2158</v>
      </c>
      <c r="I286" s="34" t="s">
        <v>128</v>
      </c>
      <c r="J286" s="34" t="s">
        <v>76</v>
      </c>
      <c r="K286" s="37" t="s">
        <v>1340</v>
      </c>
      <c r="L286" s="34">
        <f>IF(K286="","",IFERROR(ROUND((TODAY()-IF(ISNUMBER(K286),K286,DATEVALUE(K286)))/365.25, 1),""))</f>
        <v>0</v>
      </c>
      <c r="M286" s="34" t="s">
        <v>553</v>
      </c>
      <c r="N286" s="35" t="s">
        <v>82</v>
      </c>
      <c r="O286" s="34" t="s">
        <v>80</v>
      </c>
      <c r="P286" s="34" t="s">
        <v>81</v>
      </c>
      <c r="Q286" s="35" t="s">
        <v>82</v>
      </c>
      <c r="R286" s="34" t="s">
        <v>83</v>
      </c>
      <c r="S286" s="34" t="s">
        <v>11</v>
      </c>
      <c r="T286" s="34" t="s">
        <v>113</v>
      </c>
      <c r="U286" s="34" t="s">
        <v>85</v>
      </c>
      <c r="V286" s="35" t="s">
        <v>2159</v>
      </c>
      <c r="W286" s="35" t="s">
        <v>2160</v>
      </c>
      <c r="X286" s="34" t="s">
        <v>13</v>
      </c>
      <c r="Y286" s="37"/>
    </row>
    <row r="287" spans="1:25" ht="20" customHeight="1">
      <c r="A287" s="28">
        <v>285</v>
      </c>
      <c r="B287" s="28" t="s">
        <v>20</v>
      </c>
      <c r="C287" s="28" t="s">
        <v>22</v>
      </c>
      <c r="D287" s="29" t="s">
        <v>2161</v>
      </c>
      <c r="E287" s="30" t="s">
        <v>2162</v>
      </c>
      <c r="F287" s="30" t="s">
        <v>2163</v>
      </c>
      <c r="G287" s="29" t="s">
        <v>2164</v>
      </c>
      <c r="H287" s="30" t="s">
        <v>2165</v>
      </c>
      <c r="I287" s="28" t="s">
        <v>128</v>
      </c>
      <c r="J287" s="28" t="s">
        <v>76</v>
      </c>
      <c r="K287" s="31" t="s">
        <v>2166</v>
      </c>
      <c r="L287" s="28">
        <f>IF(K287="","",IFERROR(ROUND((TODAY()-IF(ISNUMBER(K287),K287,DATEVALUE(K287)))/365.25, 1),""))</f>
        <v>0</v>
      </c>
      <c r="M287" s="28" t="s">
        <v>553</v>
      </c>
      <c r="N287" s="29" t="s">
        <v>82</v>
      </c>
      <c r="O287" s="28" t="s">
        <v>80</v>
      </c>
      <c r="P287" s="28" t="s">
        <v>81</v>
      </c>
      <c r="Q287" s="29" t="s">
        <v>82</v>
      </c>
      <c r="R287" s="28" t="s">
        <v>83</v>
      </c>
      <c r="S287" s="28" t="s">
        <v>12</v>
      </c>
      <c r="T287" s="28" t="s">
        <v>113</v>
      </c>
      <c r="U287" s="28" t="s">
        <v>85</v>
      </c>
      <c r="V287" s="29" t="s">
        <v>82</v>
      </c>
      <c r="W287" s="29" t="s">
        <v>2167</v>
      </c>
      <c r="X287" s="28" t="s">
        <v>13</v>
      </c>
      <c r="Y287" s="31"/>
    </row>
    <row r="288" spans="1:25" ht="20" customHeight="1">
      <c r="A288" s="34">
        <v>286</v>
      </c>
      <c r="B288" s="34" t="s">
        <v>20</v>
      </c>
      <c r="C288" s="34" t="s">
        <v>22</v>
      </c>
      <c r="D288" s="35" t="s">
        <v>2168</v>
      </c>
      <c r="E288" s="36" t="s">
        <v>2169</v>
      </c>
      <c r="F288" s="36" t="s">
        <v>2170</v>
      </c>
      <c r="G288" s="35" t="s">
        <v>2171</v>
      </c>
      <c r="H288" s="36" t="s">
        <v>2172</v>
      </c>
      <c r="I288" s="34" t="s">
        <v>75</v>
      </c>
      <c r="J288" s="34" t="s">
        <v>76</v>
      </c>
      <c r="K288" s="37" t="s">
        <v>2173</v>
      </c>
      <c r="L288" s="34">
        <f>IF(K288="","",IFERROR(ROUND((TODAY()-IF(ISNUMBER(K288),K288,DATEVALUE(K288)))/365.25, 1),""))</f>
        <v>0</v>
      </c>
      <c r="M288" s="34" t="s">
        <v>553</v>
      </c>
      <c r="N288" s="35" t="s">
        <v>82</v>
      </c>
      <c r="O288" s="34" t="s">
        <v>80</v>
      </c>
      <c r="P288" s="34" t="s">
        <v>81</v>
      </c>
      <c r="Q288" s="35" t="s">
        <v>82</v>
      </c>
      <c r="R288" s="34" t="s">
        <v>83</v>
      </c>
      <c r="S288" s="34" t="s">
        <v>12</v>
      </c>
      <c r="T288" s="34" t="s">
        <v>113</v>
      </c>
      <c r="U288" s="34" t="s">
        <v>85</v>
      </c>
      <c r="V288" s="35" t="s">
        <v>82</v>
      </c>
      <c r="W288" s="35" t="s">
        <v>2174</v>
      </c>
      <c r="X288" s="34" t="s">
        <v>13</v>
      </c>
      <c r="Y288" s="37"/>
    </row>
    <row r="289" spans="1:25" ht="20" customHeight="1">
      <c r="A289" s="28">
        <v>287</v>
      </c>
      <c r="B289" s="28" t="s">
        <v>20</v>
      </c>
      <c r="C289" s="28" t="s">
        <v>22</v>
      </c>
      <c r="D289" s="29" t="s">
        <v>2175</v>
      </c>
      <c r="E289" s="30" t="s">
        <v>2176</v>
      </c>
      <c r="F289" s="30" t="s">
        <v>2177</v>
      </c>
      <c r="G289" s="29" t="s">
        <v>2178</v>
      </c>
      <c r="H289" s="30" t="s">
        <v>2179</v>
      </c>
      <c r="I289" s="28" t="s">
        <v>75</v>
      </c>
      <c r="J289" s="28" t="s">
        <v>76</v>
      </c>
      <c r="K289" s="31" t="s">
        <v>1930</v>
      </c>
      <c r="L289" s="28">
        <f>IF(K289="","",IFERROR(ROUND((TODAY()-IF(ISNUMBER(K289),K289,DATEVALUE(K289)))/365.25, 1),""))</f>
        <v>0</v>
      </c>
      <c r="M289" s="28" t="s">
        <v>553</v>
      </c>
      <c r="N289" s="29" t="s">
        <v>82</v>
      </c>
      <c r="O289" s="28" t="s">
        <v>80</v>
      </c>
      <c r="P289" s="28" t="s">
        <v>81</v>
      </c>
      <c r="Q289" s="29" t="s">
        <v>82</v>
      </c>
      <c r="R289" s="28" t="s">
        <v>83</v>
      </c>
      <c r="S289" s="28" t="s">
        <v>12</v>
      </c>
      <c r="T289" s="28" t="s">
        <v>113</v>
      </c>
      <c r="U289" s="28" t="s">
        <v>85</v>
      </c>
      <c r="V289" s="29" t="s">
        <v>2180</v>
      </c>
      <c r="W289" s="29" t="s">
        <v>2181</v>
      </c>
      <c r="X289" s="28" t="s">
        <v>13</v>
      </c>
      <c r="Y289" s="31"/>
    </row>
    <row r="290" spans="1:25" ht="20" customHeight="1">
      <c r="A290" s="34">
        <v>288</v>
      </c>
      <c r="B290" s="34" t="s">
        <v>20</v>
      </c>
      <c r="C290" s="34" t="s">
        <v>22</v>
      </c>
      <c r="D290" s="35" t="s">
        <v>2182</v>
      </c>
      <c r="E290" s="36" t="s">
        <v>2183</v>
      </c>
      <c r="F290" s="36" t="s">
        <v>2184</v>
      </c>
      <c r="G290" s="35" t="s">
        <v>2185</v>
      </c>
      <c r="H290" s="36" t="s">
        <v>2186</v>
      </c>
      <c r="I290" s="34" t="s">
        <v>75</v>
      </c>
      <c r="J290" s="34" t="s">
        <v>76</v>
      </c>
      <c r="K290" s="37" t="s">
        <v>1308</v>
      </c>
      <c r="L290" s="34">
        <f>IF(K290="","",IFERROR(ROUND((TODAY()-IF(ISNUMBER(K290),K290,DATEVALUE(K290)))/365.25, 1),""))</f>
        <v>0</v>
      </c>
      <c r="M290" s="34" t="s">
        <v>553</v>
      </c>
      <c r="N290" s="35" t="s">
        <v>82</v>
      </c>
      <c r="O290" s="34" t="s">
        <v>80</v>
      </c>
      <c r="P290" s="34" t="s">
        <v>81</v>
      </c>
      <c r="Q290" s="35" t="s">
        <v>82</v>
      </c>
      <c r="R290" s="34" t="s">
        <v>83</v>
      </c>
      <c r="S290" s="34" t="s">
        <v>11</v>
      </c>
      <c r="T290" s="34" t="s">
        <v>113</v>
      </c>
      <c r="U290" s="34" t="s">
        <v>85</v>
      </c>
      <c r="V290" s="35" t="s">
        <v>2187</v>
      </c>
      <c r="W290" s="35" t="s">
        <v>2188</v>
      </c>
      <c r="X290" s="34" t="s">
        <v>13</v>
      </c>
      <c r="Y290" s="37"/>
    </row>
    <row r="291" spans="1:25" ht="20" customHeight="1">
      <c r="A291" s="28">
        <v>289</v>
      </c>
      <c r="B291" s="28" t="s">
        <v>20</v>
      </c>
      <c r="C291" s="28" t="s">
        <v>22</v>
      </c>
      <c r="D291" s="29" t="s">
        <v>2189</v>
      </c>
      <c r="E291" s="30" t="s">
        <v>2190</v>
      </c>
      <c r="F291" s="30" t="s">
        <v>2191</v>
      </c>
      <c r="G291" s="29" t="s">
        <v>2192</v>
      </c>
      <c r="H291" s="30" t="s">
        <v>2193</v>
      </c>
      <c r="I291" s="28" t="s">
        <v>75</v>
      </c>
      <c r="J291" s="28" t="s">
        <v>76</v>
      </c>
      <c r="K291" s="31" t="s">
        <v>2017</v>
      </c>
      <c r="L291" s="28">
        <f>IF(K291="","",IFERROR(ROUND((TODAY()-IF(ISNUMBER(K291),K291,DATEVALUE(K291)))/365.25, 1),""))</f>
        <v>0</v>
      </c>
      <c r="M291" s="28" t="s">
        <v>779</v>
      </c>
      <c r="N291" s="29" t="s">
        <v>82</v>
      </c>
      <c r="O291" s="28" t="s">
        <v>80</v>
      </c>
      <c r="P291" s="28" t="s">
        <v>81</v>
      </c>
      <c r="Q291" s="29" t="s">
        <v>82</v>
      </c>
      <c r="R291" s="28" t="s">
        <v>83</v>
      </c>
      <c r="S291" s="28" t="s">
        <v>11</v>
      </c>
      <c r="T291" s="28" t="s">
        <v>113</v>
      </c>
      <c r="U291" s="28" t="s">
        <v>85</v>
      </c>
      <c r="V291" s="29" t="s">
        <v>2194</v>
      </c>
      <c r="W291" s="29" t="s">
        <v>2195</v>
      </c>
      <c r="X291" s="28" t="s">
        <v>13</v>
      </c>
      <c r="Y291" s="31"/>
    </row>
    <row r="292" spans="1:25" ht="20" customHeight="1">
      <c r="A292" s="34">
        <v>290</v>
      </c>
      <c r="B292" s="34" t="s">
        <v>20</v>
      </c>
      <c r="C292" s="34" t="s">
        <v>22</v>
      </c>
      <c r="D292" s="35" t="s">
        <v>2196</v>
      </c>
      <c r="E292" s="36" t="s">
        <v>2197</v>
      </c>
      <c r="F292" s="36" t="s">
        <v>2198</v>
      </c>
      <c r="G292" s="35" t="s">
        <v>2199</v>
      </c>
      <c r="H292" s="36" t="s">
        <v>2200</v>
      </c>
      <c r="I292" s="34" t="s">
        <v>128</v>
      </c>
      <c r="J292" s="34" t="s">
        <v>76</v>
      </c>
      <c r="K292" s="37" t="s">
        <v>1285</v>
      </c>
      <c r="L292" s="34">
        <f>IF(K292="","",IFERROR(ROUND((TODAY()-IF(ISNUMBER(K292),K292,DATEVALUE(K292)))/365.25, 1),""))</f>
        <v>0</v>
      </c>
      <c r="M292" s="34" t="s">
        <v>553</v>
      </c>
      <c r="N292" s="35" t="s">
        <v>82</v>
      </c>
      <c r="O292" s="34" t="s">
        <v>80</v>
      </c>
      <c r="P292" s="34" t="s">
        <v>81</v>
      </c>
      <c r="Q292" s="35" t="s">
        <v>82</v>
      </c>
      <c r="R292" s="34" t="s">
        <v>83</v>
      </c>
      <c r="S292" s="34" t="s">
        <v>11</v>
      </c>
      <c r="T292" s="34" t="s">
        <v>113</v>
      </c>
      <c r="U292" s="34" t="s">
        <v>85</v>
      </c>
      <c r="V292" s="35" t="s">
        <v>2201</v>
      </c>
      <c r="W292" s="35" t="s">
        <v>2202</v>
      </c>
      <c r="X292" s="34" t="s">
        <v>13</v>
      </c>
      <c r="Y292" s="37"/>
    </row>
    <row r="293" spans="1:25" ht="20" customHeight="1">
      <c r="A293" s="28">
        <v>291</v>
      </c>
      <c r="B293" s="28" t="s">
        <v>20</v>
      </c>
      <c r="C293" s="28" t="s">
        <v>22</v>
      </c>
      <c r="D293" s="29" t="s">
        <v>2203</v>
      </c>
      <c r="E293" s="30" t="s">
        <v>2204</v>
      </c>
      <c r="F293" s="30" t="s">
        <v>2205</v>
      </c>
      <c r="G293" s="29" t="s">
        <v>2206</v>
      </c>
      <c r="H293" s="30" t="s">
        <v>2207</v>
      </c>
      <c r="I293" s="28" t="s">
        <v>128</v>
      </c>
      <c r="J293" s="28" t="s">
        <v>76</v>
      </c>
      <c r="K293" s="31" t="s">
        <v>2166</v>
      </c>
      <c r="L293" s="28">
        <f>IF(K293="","",IFERROR(ROUND((TODAY()-IF(ISNUMBER(K293),K293,DATEVALUE(K293)))/365.25, 1),""))</f>
        <v>0</v>
      </c>
      <c r="M293" s="28" t="s">
        <v>553</v>
      </c>
      <c r="N293" s="29" t="s">
        <v>82</v>
      </c>
      <c r="O293" s="28" t="s">
        <v>80</v>
      </c>
      <c r="P293" s="28" t="s">
        <v>81</v>
      </c>
      <c r="Q293" s="29" t="s">
        <v>82</v>
      </c>
      <c r="R293" s="28" t="s">
        <v>83</v>
      </c>
      <c r="S293" s="28" t="s">
        <v>11</v>
      </c>
      <c r="T293" s="28" t="s">
        <v>113</v>
      </c>
      <c r="U293" s="28" t="s">
        <v>85</v>
      </c>
      <c r="V293" s="29" t="s">
        <v>82</v>
      </c>
      <c r="W293" s="29" t="s">
        <v>82</v>
      </c>
      <c r="X293" s="28" t="s">
        <v>13</v>
      </c>
      <c r="Y293" s="31"/>
    </row>
    <row r="294" spans="1:25" ht="20" customHeight="1">
      <c r="A294" s="34">
        <v>292</v>
      </c>
      <c r="B294" s="34" t="s">
        <v>20</v>
      </c>
      <c r="C294" s="34" t="s">
        <v>22</v>
      </c>
      <c r="D294" s="35" t="s">
        <v>2208</v>
      </c>
      <c r="E294" s="36" t="s">
        <v>2209</v>
      </c>
      <c r="F294" s="36" t="s">
        <v>2210</v>
      </c>
      <c r="G294" s="35" t="s">
        <v>2211</v>
      </c>
      <c r="H294" s="36" t="s">
        <v>2212</v>
      </c>
      <c r="I294" s="34" t="s">
        <v>75</v>
      </c>
      <c r="J294" s="34" t="s">
        <v>76</v>
      </c>
      <c r="K294" s="37" t="s">
        <v>2213</v>
      </c>
      <c r="L294" s="34">
        <f>IF(K294="","",IFERROR(ROUND((TODAY()-IF(ISNUMBER(K294),K294,DATEVALUE(K294)))/365.25, 1),""))</f>
        <v>0</v>
      </c>
      <c r="M294" s="34" t="s">
        <v>553</v>
      </c>
      <c r="N294" s="35" t="s">
        <v>82</v>
      </c>
      <c r="O294" s="34" t="s">
        <v>80</v>
      </c>
      <c r="P294" s="34" t="s">
        <v>81</v>
      </c>
      <c r="Q294" s="35" t="s">
        <v>82</v>
      </c>
      <c r="R294" s="34" t="s">
        <v>83</v>
      </c>
      <c r="S294" s="34" t="s">
        <v>12</v>
      </c>
      <c r="T294" s="34" t="s">
        <v>113</v>
      </c>
      <c r="U294" s="34" t="s">
        <v>85</v>
      </c>
      <c r="V294" s="35" t="s">
        <v>2214</v>
      </c>
      <c r="W294" s="35" t="s">
        <v>2215</v>
      </c>
      <c r="X294" s="34" t="s">
        <v>13</v>
      </c>
      <c r="Y294" s="37"/>
    </row>
    <row r="295" spans="1:25" ht="20" customHeight="1">
      <c r="A295" s="28">
        <v>293</v>
      </c>
      <c r="B295" s="28" t="s">
        <v>20</v>
      </c>
      <c r="C295" s="28" t="s">
        <v>22</v>
      </c>
      <c r="D295" s="29" t="s">
        <v>2216</v>
      </c>
      <c r="E295" s="30" t="s">
        <v>2217</v>
      </c>
      <c r="F295" s="30" t="s">
        <v>2218</v>
      </c>
      <c r="G295" s="29" t="s">
        <v>2219</v>
      </c>
      <c r="H295" s="30" t="s">
        <v>2220</v>
      </c>
      <c r="I295" s="28" t="s">
        <v>128</v>
      </c>
      <c r="J295" s="28" t="s">
        <v>76</v>
      </c>
      <c r="K295" s="31" t="s">
        <v>1810</v>
      </c>
      <c r="L295" s="28">
        <f>IF(K295="","",IFERROR(ROUND((TODAY()-IF(ISNUMBER(K295),K295,DATEVALUE(K295)))/365.25, 1),""))</f>
        <v>0</v>
      </c>
      <c r="M295" s="28" t="s">
        <v>462</v>
      </c>
      <c r="N295" s="29" t="s">
        <v>82</v>
      </c>
      <c r="O295" s="28" t="s">
        <v>80</v>
      </c>
      <c r="P295" s="28" t="s">
        <v>81</v>
      </c>
      <c r="Q295" s="29" t="s">
        <v>82</v>
      </c>
      <c r="R295" s="28" t="s">
        <v>83</v>
      </c>
      <c r="S295" s="28" t="s">
        <v>11</v>
      </c>
      <c r="T295" s="28" t="s">
        <v>113</v>
      </c>
      <c r="U295" s="28" t="s">
        <v>85</v>
      </c>
      <c r="V295" s="29" t="s">
        <v>82</v>
      </c>
      <c r="W295" s="29" t="s">
        <v>2221</v>
      </c>
      <c r="X295" s="28" t="s">
        <v>13</v>
      </c>
      <c r="Y295" s="31"/>
    </row>
    <row r="296" spans="1:25" ht="20" customHeight="1">
      <c r="A296" s="34">
        <v>294</v>
      </c>
      <c r="B296" s="34" t="s">
        <v>20</v>
      </c>
      <c r="C296" s="34" t="s">
        <v>22</v>
      </c>
      <c r="D296" s="35" t="s">
        <v>2222</v>
      </c>
      <c r="E296" s="36" t="s">
        <v>466</v>
      </c>
      <c r="F296" s="36" t="s">
        <v>2223</v>
      </c>
      <c r="G296" s="35" t="s">
        <v>468</v>
      </c>
      <c r="H296" s="36" t="s">
        <v>2224</v>
      </c>
      <c r="I296" s="34" t="s">
        <v>128</v>
      </c>
      <c r="J296" s="34" t="s">
        <v>76</v>
      </c>
      <c r="K296" s="37" t="s">
        <v>1248</v>
      </c>
      <c r="L296" s="34">
        <f>IF(K296="","",IFERROR(ROUND((TODAY()-IF(ISNUMBER(K296),K296,DATEVALUE(K296)))/365.25, 1),""))</f>
        <v>0</v>
      </c>
      <c r="M296" s="34" t="s">
        <v>553</v>
      </c>
      <c r="N296" s="35" t="s">
        <v>82</v>
      </c>
      <c r="O296" s="34" t="s">
        <v>80</v>
      </c>
      <c r="P296" s="34" t="s">
        <v>81</v>
      </c>
      <c r="Q296" s="35" t="s">
        <v>82</v>
      </c>
      <c r="R296" s="34" t="s">
        <v>83</v>
      </c>
      <c r="S296" s="34" t="s">
        <v>12</v>
      </c>
      <c r="T296" s="34" t="s">
        <v>113</v>
      </c>
      <c r="U296" s="34" t="s">
        <v>85</v>
      </c>
      <c r="V296" s="35" t="s">
        <v>470</v>
      </c>
      <c r="W296" s="35" t="s">
        <v>2225</v>
      </c>
      <c r="X296" s="34" t="s">
        <v>13</v>
      </c>
      <c r="Y296" s="37"/>
    </row>
    <row r="297" spans="1:25" ht="20" customHeight="1">
      <c r="A297" s="28">
        <v>295</v>
      </c>
      <c r="B297" s="28" t="s">
        <v>20</v>
      </c>
      <c r="C297" s="28" t="s">
        <v>22</v>
      </c>
      <c r="D297" s="29" t="s">
        <v>2226</v>
      </c>
      <c r="E297" s="30" t="s">
        <v>2227</v>
      </c>
      <c r="F297" s="30" t="s">
        <v>2228</v>
      </c>
      <c r="G297" s="29" t="s">
        <v>2229</v>
      </c>
      <c r="H297" s="30" t="s">
        <v>2230</v>
      </c>
      <c r="I297" s="28" t="s">
        <v>128</v>
      </c>
      <c r="J297" s="28" t="s">
        <v>76</v>
      </c>
      <c r="K297" s="31" t="s">
        <v>1825</v>
      </c>
      <c r="L297" s="28">
        <f>IF(K297="","",IFERROR(ROUND((TODAY()-IF(ISNUMBER(K297),K297,DATEVALUE(K297)))/365.25, 1),""))</f>
        <v>0</v>
      </c>
      <c r="M297" s="28" t="s">
        <v>553</v>
      </c>
      <c r="N297" s="29" t="s">
        <v>82</v>
      </c>
      <c r="O297" s="28" t="s">
        <v>80</v>
      </c>
      <c r="P297" s="28" t="s">
        <v>81</v>
      </c>
      <c r="Q297" s="29" t="s">
        <v>82</v>
      </c>
      <c r="R297" s="28" t="s">
        <v>83</v>
      </c>
      <c r="S297" s="28" t="s">
        <v>11</v>
      </c>
      <c r="T297" s="28" t="s">
        <v>113</v>
      </c>
      <c r="U297" s="28" t="s">
        <v>85</v>
      </c>
      <c r="V297" s="29" t="s">
        <v>2231</v>
      </c>
      <c r="W297" s="29" t="s">
        <v>2232</v>
      </c>
      <c r="X297" s="28" t="s">
        <v>13</v>
      </c>
      <c r="Y297" s="31"/>
    </row>
    <row r="298" spans="1:25" ht="20" customHeight="1">
      <c r="A298" s="34">
        <v>296</v>
      </c>
      <c r="B298" s="34" t="s">
        <v>20</v>
      </c>
      <c r="C298" s="34" t="s">
        <v>22</v>
      </c>
      <c r="D298" s="35" t="s">
        <v>2233</v>
      </c>
      <c r="E298" s="36" t="s">
        <v>2227</v>
      </c>
      <c r="F298" s="36" t="s">
        <v>2234</v>
      </c>
      <c r="G298" s="35" t="s">
        <v>2235</v>
      </c>
      <c r="H298" s="36" t="s">
        <v>2236</v>
      </c>
      <c r="I298" s="34" t="s">
        <v>128</v>
      </c>
      <c r="J298" s="34" t="s">
        <v>76</v>
      </c>
      <c r="K298" s="37" t="s">
        <v>1248</v>
      </c>
      <c r="L298" s="34">
        <f>IF(K298="","",IFERROR(ROUND((TODAY()-IF(ISNUMBER(K298),K298,DATEVALUE(K298)))/365.25, 1),""))</f>
        <v>0</v>
      </c>
      <c r="M298" s="34" t="s">
        <v>757</v>
      </c>
      <c r="N298" s="35" t="s">
        <v>82</v>
      </c>
      <c r="O298" s="34" t="s">
        <v>80</v>
      </c>
      <c r="P298" s="34" t="s">
        <v>81</v>
      </c>
      <c r="Q298" s="35" t="s">
        <v>82</v>
      </c>
      <c r="R298" s="34" t="s">
        <v>83</v>
      </c>
      <c r="S298" s="34" t="s">
        <v>11</v>
      </c>
      <c r="T298" s="34" t="s">
        <v>113</v>
      </c>
      <c r="U298" s="34" t="s">
        <v>85</v>
      </c>
      <c r="V298" s="35" t="s">
        <v>2237</v>
      </c>
      <c r="W298" s="35" t="s">
        <v>2238</v>
      </c>
      <c r="X298" s="34" t="s">
        <v>13</v>
      </c>
      <c r="Y298" s="37"/>
    </row>
    <row r="299" spans="1:25" ht="20" customHeight="1">
      <c r="A299" s="28">
        <v>297</v>
      </c>
      <c r="B299" s="28" t="s">
        <v>20</v>
      </c>
      <c r="C299" s="28" t="s">
        <v>22</v>
      </c>
      <c r="D299" s="29" t="s">
        <v>2239</v>
      </c>
      <c r="E299" s="30" t="s">
        <v>2240</v>
      </c>
      <c r="F299" s="30" t="s">
        <v>2241</v>
      </c>
      <c r="G299" s="29" t="s">
        <v>2242</v>
      </c>
      <c r="H299" s="30" t="s">
        <v>2243</v>
      </c>
      <c r="I299" s="28" t="s">
        <v>75</v>
      </c>
      <c r="J299" s="28" t="s">
        <v>76</v>
      </c>
      <c r="K299" s="31" t="s">
        <v>1248</v>
      </c>
      <c r="L299" s="28">
        <f>IF(K299="","",IFERROR(ROUND((TODAY()-IF(ISNUMBER(K299),K299,DATEVALUE(K299)))/365.25, 1),""))</f>
        <v>0</v>
      </c>
      <c r="M299" s="28" t="s">
        <v>507</v>
      </c>
      <c r="N299" s="29" t="s">
        <v>82</v>
      </c>
      <c r="O299" s="28" t="s">
        <v>80</v>
      </c>
      <c r="P299" s="28" t="s">
        <v>81</v>
      </c>
      <c r="Q299" s="29" t="s">
        <v>82</v>
      </c>
      <c r="R299" s="28" t="s">
        <v>83</v>
      </c>
      <c r="S299" s="28" t="s">
        <v>11</v>
      </c>
      <c r="T299" s="28" t="s">
        <v>113</v>
      </c>
      <c r="U299" s="28" t="s">
        <v>85</v>
      </c>
      <c r="V299" s="29" t="s">
        <v>2244</v>
      </c>
      <c r="W299" s="29" t="s">
        <v>2245</v>
      </c>
      <c r="X299" s="28" t="s">
        <v>13</v>
      </c>
      <c r="Y299" s="31"/>
    </row>
    <row r="300" spans="1:25" ht="20" customHeight="1">
      <c r="A300" s="34">
        <v>298</v>
      </c>
      <c r="B300" s="34" t="s">
        <v>20</v>
      </c>
      <c r="C300" s="34" t="s">
        <v>22</v>
      </c>
      <c r="D300" s="35" t="s">
        <v>2246</v>
      </c>
      <c r="E300" s="36" t="s">
        <v>2247</v>
      </c>
      <c r="F300" s="36" t="s">
        <v>2248</v>
      </c>
      <c r="G300" s="35" t="s">
        <v>2249</v>
      </c>
      <c r="H300" s="36" t="s">
        <v>2250</v>
      </c>
      <c r="I300" s="34" t="s">
        <v>75</v>
      </c>
      <c r="J300" s="34" t="s">
        <v>76</v>
      </c>
      <c r="K300" s="37" t="s">
        <v>1248</v>
      </c>
      <c r="L300" s="34">
        <f>IF(K300="","",IFERROR(ROUND((TODAY()-IF(ISNUMBER(K300),K300,DATEVALUE(K300)))/365.25, 1),""))</f>
        <v>0</v>
      </c>
      <c r="M300" s="34" t="s">
        <v>507</v>
      </c>
      <c r="N300" s="35" t="s">
        <v>82</v>
      </c>
      <c r="O300" s="34" t="s">
        <v>80</v>
      </c>
      <c r="P300" s="34" t="s">
        <v>81</v>
      </c>
      <c r="Q300" s="35" t="s">
        <v>82</v>
      </c>
      <c r="R300" s="34" t="s">
        <v>83</v>
      </c>
      <c r="S300" s="34" t="s">
        <v>11</v>
      </c>
      <c r="T300" s="34" t="s">
        <v>113</v>
      </c>
      <c r="U300" s="34" t="s">
        <v>85</v>
      </c>
      <c r="V300" s="35" t="s">
        <v>2251</v>
      </c>
      <c r="W300" s="35" t="s">
        <v>2252</v>
      </c>
      <c r="X300" s="34" t="s">
        <v>13</v>
      </c>
      <c r="Y300" s="37"/>
    </row>
    <row r="301" spans="1:25" ht="20" customHeight="1">
      <c r="A301" s="28">
        <v>299</v>
      </c>
      <c r="B301" s="28" t="s">
        <v>20</v>
      </c>
      <c r="C301" s="28" t="s">
        <v>22</v>
      </c>
      <c r="D301" s="29" t="s">
        <v>2253</v>
      </c>
      <c r="E301" s="30" t="s">
        <v>2254</v>
      </c>
      <c r="F301" s="30" t="s">
        <v>2255</v>
      </c>
      <c r="G301" s="29" t="s">
        <v>2256</v>
      </c>
      <c r="H301" s="30" t="s">
        <v>2257</v>
      </c>
      <c r="I301" s="28" t="s">
        <v>75</v>
      </c>
      <c r="J301" s="28" t="s">
        <v>76</v>
      </c>
      <c r="K301" s="31" t="s">
        <v>1248</v>
      </c>
      <c r="L301" s="28">
        <f>IF(K301="","",IFERROR(ROUND((TODAY()-IF(ISNUMBER(K301),K301,DATEVALUE(K301)))/365.25, 1),""))</f>
        <v>0</v>
      </c>
      <c r="M301" s="28" t="s">
        <v>553</v>
      </c>
      <c r="N301" s="29" t="s">
        <v>82</v>
      </c>
      <c r="O301" s="28" t="s">
        <v>80</v>
      </c>
      <c r="P301" s="28" t="s">
        <v>81</v>
      </c>
      <c r="Q301" s="29" t="s">
        <v>82</v>
      </c>
      <c r="R301" s="28" t="s">
        <v>83</v>
      </c>
      <c r="S301" s="28" t="s">
        <v>11</v>
      </c>
      <c r="T301" s="28" t="s">
        <v>113</v>
      </c>
      <c r="U301" s="28" t="s">
        <v>85</v>
      </c>
      <c r="V301" s="29" t="s">
        <v>2258</v>
      </c>
      <c r="W301" s="29" t="s">
        <v>2259</v>
      </c>
      <c r="X301" s="28" t="s">
        <v>13</v>
      </c>
      <c r="Y301" s="31"/>
    </row>
    <row r="302" spans="1:25" ht="20" customHeight="1">
      <c r="A302" s="34">
        <v>300</v>
      </c>
      <c r="B302" s="34" t="s">
        <v>20</v>
      </c>
      <c r="C302" s="34" t="s">
        <v>22</v>
      </c>
      <c r="D302" s="35" t="s">
        <v>2260</v>
      </c>
      <c r="E302" s="36" t="s">
        <v>2261</v>
      </c>
      <c r="F302" s="36" t="s">
        <v>2262</v>
      </c>
      <c r="G302" s="35" t="s">
        <v>2263</v>
      </c>
      <c r="H302" s="36" t="s">
        <v>2264</v>
      </c>
      <c r="I302" s="34" t="s">
        <v>75</v>
      </c>
      <c r="J302" s="34" t="s">
        <v>76</v>
      </c>
      <c r="K302" s="37" t="s">
        <v>1248</v>
      </c>
      <c r="L302" s="34">
        <f>IF(K302="","",IFERROR(ROUND((TODAY()-IF(ISNUMBER(K302),K302,DATEVALUE(K302)))/365.25, 1),""))</f>
        <v>0</v>
      </c>
      <c r="M302" s="34" t="s">
        <v>553</v>
      </c>
      <c r="N302" s="35" t="s">
        <v>82</v>
      </c>
      <c r="O302" s="34" t="s">
        <v>80</v>
      </c>
      <c r="P302" s="34" t="s">
        <v>81</v>
      </c>
      <c r="Q302" s="35" t="s">
        <v>82</v>
      </c>
      <c r="R302" s="34" t="s">
        <v>83</v>
      </c>
      <c r="S302" s="34" t="s">
        <v>11</v>
      </c>
      <c r="T302" s="34" t="s">
        <v>113</v>
      </c>
      <c r="U302" s="34" t="s">
        <v>85</v>
      </c>
      <c r="V302" s="35" t="s">
        <v>2265</v>
      </c>
      <c r="W302" s="35" t="s">
        <v>2266</v>
      </c>
      <c r="X302" s="34" t="s">
        <v>13</v>
      </c>
      <c r="Y302" s="37"/>
    </row>
    <row r="303" spans="1:25" ht="20" customHeight="1">
      <c r="A303" s="28">
        <v>301</v>
      </c>
      <c r="B303" s="28" t="s">
        <v>20</v>
      </c>
      <c r="C303" s="28" t="s">
        <v>22</v>
      </c>
      <c r="D303" s="29" t="s">
        <v>2267</v>
      </c>
      <c r="E303" s="30" t="s">
        <v>2268</v>
      </c>
      <c r="F303" s="30" t="s">
        <v>2269</v>
      </c>
      <c r="G303" s="29" t="s">
        <v>2270</v>
      </c>
      <c r="H303" s="30" t="s">
        <v>2271</v>
      </c>
      <c r="I303" s="28" t="s">
        <v>75</v>
      </c>
      <c r="J303" s="28" t="s">
        <v>76</v>
      </c>
      <c r="K303" s="31" t="s">
        <v>2067</v>
      </c>
      <c r="L303" s="28">
        <f>IF(K303="","",IFERROR(ROUND((TODAY()-IF(ISNUMBER(K303),K303,DATEVALUE(K303)))/365.25, 1),""))</f>
        <v>0</v>
      </c>
      <c r="M303" s="28" t="s">
        <v>507</v>
      </c>
      <c r="N303" s="29" t="s">
        <v>82</v>
      </c>
      <c r="O303" s="28" t="s">
        <v>80</v>
      </c>
      <c r="P303" s="28" t="s">
        <v>81</v>
      </c>
      <c r="Q303" s="29" t="s">
        <v>82</v>
      </c>
      <c r="R303" s="28" t="s">
        <v>83</v>
      </c>
      <c r="S303" s="28" t="s">
        <v>11</v>
      </c>
      <c r="T303" s="28" t="s">
        <v>113</v>
      </c>
      <c r="U303" s="28" t="s">
        <v>85</v>
      </c>
      <c r="V303" s="29" t="s">
        <v>82</v>
      </c>
      <c r="W303" s="29" t="s">
        <v>2272</v>
      </c>
      <c r="X303" s="28" t="s">
        <v>13</v>
      </c>
      <c r="Y303" s="31"/>
    </row>
    <row r="304" spans="1:25" ht="20" customHeight="1">
      <c r="A304" s="34">
        <v>302</v>
      </c>
      <c r="B304" s="34" t="s">
        <v>20</v>
      </c>
      <c r="C304" s="34" t="s">
        <v>22</v>
      </c>
      <c r="D304" s="35" t="s">
        <v>2273</v>
      </c>
      <c r="E304" s="36" t="s">
        <v>2274</v>
      </c>
      <c r="F304" s="36" t="s">
        <v>2275</v>
      </c>
      <c r="G304" s="35" t="s">
        <v>2276</v>
      </c>
      <c r="H304" s="36" t="s">
        <v>2277</v>
      </c>
      <c r="I304" s="34" t="s">
        <v>75</v>
      </c>
      <c r="J304" s="34" t="s">
        <v>76</v>
      </c>
      <c r="K304" s="37" t="s">
        <v>1248</v>
      </c>
      <c r="L304" s="34">
        <f>IF(K304="","",IFERROR(ROUND((TODAY()-IF(ISNUMBER(K304),K304,DATEVALUE(K304)))/365.25, 1),""))</f>
        <v>0</v>
      </c>
      <c r="M304" s="34" t="s">
        <v>553</v>
      </c>
      <c r="N304" s="35" t="s">
        <v>82</v>
      </c>
      <c r="O304" s="34" t="s">
        <v>80</v>
      </c>
      <c r="P304" s="34" t="s">
        <v>81</v>
      </c>
      <c r="Q304" s="35" t="s">
        <v>82</v>
      </c>
      <c r="R304" s="34" t="s">
        <v>83</v>
      </c>
      <c r="S304" s="34" t="s">
        <v>11</v>
      </c>
      <c r="T304" s="34" t="s">
        <v>113</v>
      </c>
      <c r="U304" s="34" t="s">
        <v>85</v>
      </c>
      <c r="V304" s="35" t="s">
        <v>2278</v>
      </c>
      <c r="W304" s="35" t="s">
        <v>2279</v>
      </c>
      <c r="X304" s="34" t="s">
        <v>13</v>
      </c>
      <c r="Y304" s="37"/>
    </row>
    <row r="305" spans="1:25" ht="20" customHeight="1">
      <c r="A305" s="28">
        <v>303</v>
      </c>
      <c r="B305" s="28" t="s">
        <v>20</v>
      </c>
      <c r="C305" s="28" t="s">
        <v>22</v>
      </c>
      <c r="D305" s="29" t="s">
        <v>2280</v>
      </c>
      <c r="E305" s="30" t="s">
        <v>731</v>
      </c>
      <c r="F305" s="30" t="s">
        <v>2281</v>
      </c>
      <c r="G305" s="29" t="s">
        <v>733</v>
      </c>
      <c r="H305" s="30" t="s">
        <v>2282</v>
      </c>
      <c r="I305" s="28" t="s">
        <v>128</v>
      </c>
      <c r="J305" s="28" t="s">
        <v>76</v>
      </c>
      <c r="K305" s="31" t="s">
        <v>1248</v>
      </c>
      <c r="L305" s="28">
        <f>IF(K305="","",IFERROR(ROUND((TODAY()-IF(ISNUMBER(K305),K305,DATEVALUE(K305)))/365.25, 1),""))</f>
        <v>0</v>
      </c>
      <c r="M305" s="28" t="s">
        <v>553</v>
      </c>
      <c r="N305" s="29" t="s">
        <v>82</v>
      </c>
      <c r="O305" s="28" t="s">
        <v>80</v>
      </c>
      <c r="P305" s="28" t="s">
        <v>81</v>
      </c>
      <c r="Q305" s="29" t="s">
        <v>82</v>
      </c>
      <c r="R305" s="28" t="s">
        <v>83</v>
      </c>
      <c r="S305" s="28" t="s">
        <v>11</v>
      </c>
      <c r="T305" s="28" t="s">
        <v>113</v>
      </c>
      <c r="U305" s="28" t="s">
        <v>85</v>
      </c>
      <c r="V305" s="29" t="s">
        <v>735</v>
      </c>
      <c r="W305" s="29" t="s">
        <v>736</v>
      </c>
      <c r="X305" s="28" t="s">
        <v>13</v>
      </c>
      <c r="Y305" s="31"/>
    </row>
    <row r="306" spans="1:25" ht="20" customHeight="1">
      <c r="A306" s="34">
        <v>304</v>
      </c>
      <c r="B306" s="34" t="s">
        <v>20</v>
      </c>
      <c r="C306" s="34" t="s">
        <v>22</v>
      </c>
      <c r="D306" s="35" t="s">
        <v>2283</v>
      </c>
      <c r="E306" s="36" t="s">
        <v>2284</v>
      </c>
      <c r="F306" s="36" t="s">
        <v>2285</v>
      </c>
      <c r="G306" s="35" t="s">
        <v>2286</v>
      </c>
      <c r="H306" s="36" t="s">
        <v>2287</v>
      </c>
      <c r="I306" s="34" t="s">
        <v>75</v>
      </c>
      <c r="J306" s="34" t="s">
        <v>76</v>
      </c>
      <c r="K306" s="37" t="s">
        <v>1340</v>
      </c>
      <c r="L306" s="34">
        <f>IF(K306="","",IFERROR(ROUND((TODAY()-IF(ISNUMBER(K306),K306,DATEVALUE(K306)))/365.25, 1),""))</f>
        <v>0</v>
      </c>
      <c r="M306" s="34" t="s">
        <v>553</v>
      </c>
      <c r="N306" s="35" t="s">
        <v>82</v>
      </c>
      <c r="O306" s="34" t="s">
        <v>80</v>
      </c>
      <c r="P306" s="34" t="s">
        <v>81</v>
      </c>
      <c r="Q306" s="35" t="s">
        <v>82</v>
      </c>
      <c r="R306" s="34" t="s">
        <v>83</v>
      </c>
      <c r="S306" s="34" t="s">
        <v>11</v>
      </c>
      <c r="T306" s="34" t="s">
        <v>113</v>
      </c>
      <c r="U306" s="34" t="s">
        <v>85</v>
      </c>
      <c r="V306" s="35" t="s">
        <v>2288</v>
      </c>
      <c r="W306" s="35" t="s">
        <v>2289</v>
      </c>
      <c r="X306" s="34" t="s">
        <v>13</v>
      </c>
      <c r="Y306" s="37"/>
    </row>
    <row r="307" spans="1:25" ht="20" customHeight="1">
      <c r="A307" s="28">
        <v>305</v>
      </c>
      <c r="B307" s="28" t="s">
        <v>20</v>
      </c>
      <c r="C307" s="28" t="s">
        <v>22</v>
      </c>
      <c r="D307" s="29" t="s">
        <v>2290</v>
      </c>
      <c r="E307" s="30" t="s">
        <v>473</v>
      </c>
      <c r="F307" s="30" t="s">
        <v>2291</v>
      </c>
      <c r="G307" s="29" t="s">
        <v>475</v>
      </c>
      <c r="H307" s="30" t="s">
        <v>2292</v>
      </c>
      <c r="I307" s="28" t="s">
        <v>128</v>
      </c>
      <c r="J307" s="28" t="s">
        <v>76</v>
      </c>
      <c r="K307" s="31" t="s">
        <v>1248</v>
      </c>
      <c r="L307" s="28">
        <f>IF(K307="","",IFERROR(ROUND((TODAY()-IF(ISNUMBER(K307),K307,DATEVALUE(K307)))/365.25, 1),""))</f>
        <v>0</v>
      </c>
      <c r="M307" s="28" t="s">
        <v>462</v>
      </c>
      <c r="N307" s="29" t="s">
        <v>82</v>
      </c>
      <c r="O307" s="28" t="s">
        <v>80</v>
      </c>
      <c r="P307" s="28" t="s">
        <v>81</v>
      </c>
      <c r="Q307" s="29" t="s">
        <v>82</v>
      </c>
      <c r="R307" s="28" t="s">
        <v>83</v>
      </c>
      <c r="S307" s="28" t="s">
        <v>11</v>
      </c>
      <c r="T307" s="28" t="s">
        <v>113</v>
      </c>
      <c r="U307" s="28" t="s">
        <v>85</v>
      </c>
      <c r="V307" s="29" t="s">
        <v>477</v>
      </c>
      <c r="W307" s="29" t="s">
        <v>2293</v>
      </c>
      <c r="X307" s="28" t="s">
        <v>13</v>
      </c>
      <c r="Y307" s="31"/>
    </row>
    <row r="308" spans="1:25" ht="20" customHeight="1">
      <c r="A308" s="34">
        <v>306</v>
      </c>
      <c r="B308" s="34" t="s">
        <v>20</v>
      </c>
      <c r="C308" s="34" t="s">
        <v>22</v>
      </c>
      <c r="D308" s="35" t="s">
        <v>2294</v>
      </c>
      <c r="E308" s="36" t="s">
        <v>2295</v>
      </c>
      <c r="F308" s="36" t="s">
        <v>2296</v>
      </c>
      <c r="G308" s="35" t="s">
        <v>2297</v>
      </c>
      <c r="H308" s="36" t="s">
        <v>2298</v>
      </c>
      <c r="I308" s="34" t="s">
        <v>75</v>
      </c>
      <c r="J308" s="34" t="s">
        <v>76</v>
      </c>
      <c r="K308" s="37" t="s">
        <v>1285</v>
      </c>
      <c r="L308" s="34">
        <f>IF(K308="","",IFERROR(ROUND((TODAY()-IF(ISNUMBER(K308),K308,DATEVALUE(K308)))/365.25, 1),""))</f>
        <v>0</v>
      </c>
      <c r="M308" s="34" t="s">
        <v>553</v>
      </c>
      <c r="N308" s="35" t="s">
        <v>82</v>
      </c>
      <c r="O308" s="34" t="s">
        <v>80</v>
      </c>
      <c r="P308" s="34" t="s">
        <v>81</v>
      </c>
      <c r="Q308" s="35" t="s">
        <v>82</v>
      </c>
      <c r="R308" s="34" t="s">
        <v>83</v>
      </c>
      <c r="S308" s="34" t="s">
        <v>11</v>
      </c>
      <c r="T308" s="34" t="s">
        <v>113</v>
      </c>
      <c r="U308" s="34" t="s">
        <v>85</v>
      </c>
      <c r="V308" s="35" t="s">
        <v>2299</v>
      </c>
      <c r="W308" s="35" t="s">
        <v>2300</v>
      </c>
      <c r="X308" s="34" t="s">
        <v>13</v>
      </c>
      <c r="Y308" s="37"/>
    </row>
    <row r="309" spans="1:25" ht="20" customHeight="1">
      <c r="A309" s="28">
        <v>307</v>
      </c>
      <c r="B309" s="28" t="s">
        <v>20</v>
      </c>
      <c r="C309" s="28" t="s">
        <v>22</v>
      </c>
      <c r="D309" s="29" t="s">
        <v>2301</v>
      </c>
      <c r="E309" s="30" t="s">
        <v>2302</v>
      </c>
      <c r="F309" s="30" t="s">
        <v>2303</v>
      </c>
      <c r="G309" s="29" t="s">
        <v>2304</v>
      </c>
      <c r="H309" s="30" t="s">
        <v>2305</v>
      </c>
      <c r="I309" s="28" t="s">
        <v>75</v>
      </c>
      <c r="J309" s="28" t="s">
        <v>76</v>
      </c>
      <c r="K309" s="31" t="s">
        <v>1810</v>
      </c>
      <c r="L309" s="28">
        <f>IF(K309="","",IFERROR(ROUND((TODAY()-IF(ISNUMBER(K309),K309,DATEVALUE(K309)))/365.25, 1),""))</f>
        <v>0</v>
      </c>
      <c r="M309" s="28" t="s">
        <v>553</v>
      </c>
      <c r="N309" s="29" t="s">
        <v>82</v>
      </c>
      <c r="O309" s="28" t="s">
        <v>80</v>
      </c>
      <c r="P309" s="28" t="s">
        <v>81</v>
      </c>
      <c r="Q309" s="29" t="s">
        <v>82</v>
      </c>
      <c r="R309" s="28" t="s">
        <v>83</v>
      </c>
      <c r="S309" s="28" t="s">
        <v>11</v>
      </c>
      <c r="T309" s="28" t="s">
        <v>113</v>
      </c>
      <c r="U309" s="28" t="s">
        <v>85</v>
      </c>
      <c r="V309" s="29" t="s">
        <v>82</v>
      </c>
      <c r="W309" s="29" t="s">
        <v>2306</v>
      </c>
      <c r="X309" s="28" t="s">
        <v>13</v>
      </c>
      <c r="Y309" s="31"/>
    </row>
    <row r="310" spans="1:25" ht="20" customHeight="1">
      <c r="A310" s="34">
        <v>308</v>
      </c>
      <c r="B310" s="34" t="s">
        <v>20</v>
      </c>
      <c r="C310" s="34" t="s">
        <v>22</v>
      </c>
      <c r="D310" s="35" t="s">
        <v>2307</v>
      </c>
      <c r="E310" s="36" t="s">
        <v>2308</v>
      </c>
      <c r="F310" s="36" t="s">
        <v>1395</v>
      </c>
      <c r="G310" s="35" t="s">
        <v>2309</v>
      </c>
      <c r="H310" s="36" t="s">
        <v>2310</v>
      </c>
      <c r="I310" s="34" t="s">
        <v>75</v>
      </c>
      <c r="J310" s="34" t="s">
        <v>76</v>
      </c>
      <c r="K310" s="37" t="s">
        <v>2311</v>
      </c>
      <c r="L310" s="34">
        <f>IF(K310="","",IFERROR(ROUND((TODAY()-IF(ISNUMBER(K310),K310,DATEVALUE(K310)))/365.25, 1),""))</f>
        <v>0</v>
      </c>
      <c r="M310" s="34" t="s">
        <v>757</v>
      </c>
      <c r="N310" s="35" t="s">
        <v>82</v>
      </c>
      <c r="O310" s="34" t="s">
        <v>80</v>
      </c>
      <c r="P310" s="34" t="s">
        <v>81</v>
      </c>
      <c r="Q310" s="35" t="s">
        <v>82</v>
      </c>
      <c r="R310" s="34" t="s">
        <v>83</v>
      </c>
      <c r="S310" s="34" t="s">
        <v>11</v>
      </c>
      <c r="T310" s="34" t="s">
        <v>113</v>
      </c>
      <c r="U310" s="34" t="s">
        <v>85</v>
      </c>
      <c r="V310" s="35" t="s">
        <v>82</v>
      </c>
      <c r="W310" s="35" t="s">
        <v>2312</v>
      </c>
      <c r="X310" s="34" t="s">
        <v>13</v>
      </c>
      <c r="Y310" s="37"/>
    </row>
    <row r="311" spans="1:25" ht="20" customHeight="1">
      <c r="A311" s="28">
        <v>309</v>
      </c>
      <c r="B311" s="28" t="s">
        <v>20</v>
      </c>
      <c r="C311" s="28" t="s">
        <v>22</v>
      </c>
      <c r="D311" s="29" t="s">
        <v>2313</v>
      </c>
      <c r="E311" s="30" t="s">
        <v>2314</v>
      </c>
      <c r="F311" s="30" t="s">
        <v>2315</v>
      </c>
      <c r="G311" s="29" t="s">
        <v>2316</v>
      </c>
      <c r="H311" s="30" t="s">
        <v>2317</v>
      </c>
      <c r="I311" s="28" t="s">
        <v>128</v>
      </c>
      <c r="J311" s="28" t="s">
        <v>76</v>
      </c>
      <c r="K311" s="31" t="s">
        <v>1248</v>
      </c>
      <c r="L311" s="28">
        <f>IF(K311="","",IFERROR(ROUND((TODAY()-IF(ISNUMBER(K311),K311,DATEVALUE(K311)))/365.25, 1),""))</f>
        <v>0</v>
      </c>
      <c r="M311" s="28" t="s">
        <v>507</v>
      </c>
      <c r="N311" s="29" t="s">
        <v>82</v>
      </c>
      <c r="O311" s="28" t="s">
        <v>80</v>
      </c>
      <c r="P311" s="28" t="s">
        <v>81</v>
      </c>
      <c r="Q311" s="29" t="s">
        <v>82</v>
      </c>
      <c r="R311" s="28" t="s">
        <v>83</v>
      </c>
      <c r="S311" s="28" t="s">
        <v>11</v>
      </c>
      <c r="T311" s="28" t="s">
        <v>113</v>
      </c>
      <c r="U311" s="28" t="s">
        <v>85</v>
      </c>
      <c r="V311" s="29" t="s">
        <v>2318</v>
      </c>
      <c r="W311" s="29" t="s">
        <v>2319</v>
      </c>
      <c r="X311" s="28" t="s">
        <v>13</v>
      </c>
      <c r="Y311" s="31"/>
    </row>
    <row r="312" spans="1:25" ht="20" customHeight="1">
      <c r="A312" s="34">
        <v>310</v>
      </c>
      <c r="B312" s="34" t="s">
        <v>20</v>
      </c>
      <c r="C312" s="34" t="s">
        <v>22</v>
      </c>
      <c r="D312" s="35" t="s">
        <v>2320</v>
      </c>
      <c r="E312" s="36" t="s">
        <v>2321</v>
      </c>
      <c r="F312" s="36" t="s">
        <v>2322</v>
      </c>
      <c r="G312" s="35" t="s">
        <v>2323</v>
      </c>
      <c r="H312" s="36" t="s">
        <v>2324</v>
      </c>
      <c r="I312" s="34" t="s">
        <v>128</v>
      </c>
      <c r="J312" s="34" t="s">
        <v>76</v>
      </c>
      <c r="K312" s="37" t="s">
        <v>1994</v>
      </c>
      <c r="L312" s="34">
        <f>IF(K312="","",IFERROR(ROUND((TODAY()-IF(ISNUMBER(K312),K312,DATEVALUE(K312)))/365.25, 1),""))</f>
        <v>0</v>
      </c>
      <c r="M312" s="34" t="s">
        <v>553</v>
      </c>
      <c r="N312" s="35" t="s">
        <v>82</v>
      </c>
      <c r="O312" s="34" t="s">
        <v>80</v>
      </c>
      <c r="P312" s="34" t="s">
        <v>81</v>
      </c>
      <c r="Q312" s="35" t="s">
        <v>82</v>
      </c>
      <c r="R312" s="34" t="s">
        <v>83</v>
      </c>
      <c r="S312" s="34" t="s">
        <v>11</v>
      </c>
      <c r="T312" s="34" t="s">
        <v>113</v>
      </c>
      <c r="U312" s="34" t="s">
        <v>85</v>
      </c>
      <c r="V312" s="35" t="s">
        <v>2325</v>
      </c>
      <c r="W312" s="35" t="s">
        <v>2326</v>
      </c>
      <c r="X312" s="34" t="s">
        <v>13</v>
      </c>
      <c r="Y312" s="37"/>
    </row>
    <row r="313" spans="1:25" ht="20" customHeight="1">
      <c r="A313" s="28">
        <v>311</v>
      </c>
      <c r="B313" s="28" t="s">
        <v>20</v>
      </c>
      <c r="C313" s="28" t="s">
        <v>22</v>
      </c>
      <c r="D313" s="29" t="s">
        <v>2327</v>
      </c>
      <c r="E313" s="30" t="s">
        <v>488</v>
      </c>
      <c r="F313" s="30" t="s">
        <v>2328</v>
      </c>
      <c r="G313" s="29" t="s">
        <v>490</v>
      </c>
      <c r="H313" s="30" t="s">
        <v>2329</v>
      </c>
      <c r="I313" s="28" t="s">
        <v>128</v>
      </c>
      <c r="J313" s="28" t="s">
        <v>76</v>
      </c>
      <c r="K313" s="31" t="s">
        <v>1248</v>
      </c>
      <c r="L313" s="28">
        <f>IF(K313="","",IFERROR(ROUND((TODAY()-IF(ISNUMBER(K313),K313,DATEVALUE(K313)))/365.25, 1),""))</f>
        <v>0</v>
      </c>
      <c r="M313" s="28" t="s">
        <v>462</v>
      </c>
      <c r="N313" s="29" t="s">
        <v>82</v>
      </c>
      <c r="O313" s="28" t="s">
        <v>80</v>
      </c>
      <c r="P313" s="28" t="s">
        <v>81</v>
      </c>
      <c r="Q313" s="29" t="s">
        <v>82</v>
      </c>
      <c r="R313" s="28" t="s">
        <v>83</v>
      </c>
      <c r="S313" s="28" t="s">
        <v>11</v>
      </c>
      <c r="T313" s="28" t="s">
        <v>113</v>
      </c>
      <c r="U313" s="28" t="s">
        <v>85</v>
      </c>
      <c r="V313" s="29" t="s">
        <v>492</v>
      </c>
      <c r="W313" s="29" t="s">
        <v>493</v>
      </c>
      <c r="X313" s="28" t="s">
        <v>13</v>
      </c>
      <c r="Y313" s="31"/>
    </row>
    <row r="314" spans="1:25" ht="20" customHeight="1">
      <c r="A314" s="34">
        <v>312</v>
      </c>
      <c r="B314" s="34" t="s">
        <v>20</v>
      </c>
      <c r="C314" s="34" t="s">
        <v>22</v>
      </c>
      <c r="D314" s="35" t="s">
        <v>2330</v>
      </c>
      <c r="E314" s="36" t="s">
        <v>2331</v>
      </c>
      <c r="F314" s="36" t="s">
        <v>2332</v>
      </c>
      <c r="G314" s="35" t="s">
        <v>2333</v>
      </c>
      <c r="H314" s="36" t="s">
        <v>2334</v>
      </c>
      <c r="I314" s="34" t="s">
        <v>75</v>
      </c>
      <c r="J314" s="34" t="s">
        <v>76</v>
      </c>
      <c r="K314" s="37" t="s">
        <v>1340</v>
      </c>
      <c r="L314" s="34">
        <f>IF(K314="","",IFERROR(ROUND((TODAY()-IF(ISNUMBER(K314),K314,DATEVALUE(K314)))/365.25, 1),""))</f>
        <v>0</v>
      </c>
      <c r="M314" s="34" t="s">
        <v>507</v>
      </c>
      <c r="N314" s="35" t="s">
        <v>82</v>
      </c>
      <c r="O314" s="34" t="s">
        <v>80</v>
      </c>
      <c r="P314" s="34" t="s">
        <v>81</v>
      </c>
      <c r="Q314" s="35" t="s">
        <v>82</v>
      </c>
      <c r="R314" s="34" t="s">
        <v>83</v>
      </c>
      <c r="S314" s="34" t="s">
        <v>11</v>
      </c>
      <c r="T314" s="34" t="s">
        <v>113</v>
      </c>
      <c r="U314" s="34" t="s">
        <v>85</v>
      </c>
      <c r="V314" s="35" t="s">
        <v>2335</v>
      </c>
      <c r="W314" s="35" t="s">
        <v>2336</v>
      </c>
      <c r="X314" s="34" t="s">
        <v>13</v>
      </c>
      <c r="Y314" s="37"/>
    </row>
    <row r="315" spans="1:25" ht="20" customHeight="1">
      <c r="A315" s="28">
        <v>313</v>
      </c>
      <c r="B315" s="28" t="s">
        <v>20</v>
      </c>
      <c r="C315" s="28" t="s">
        <v>22</v>
      </c>
      <c r="D315" s="29" t="s">
        <v>2337</v>
      </c>
      <c r="E315" s="30" t="s">
        <v>2338</v>
      </c>
      <c r="F315" s="30" t="s">
        <v>2339</v>
      </c>
      <c r="G315" s="29" t="s">
        <v>2340</v>
      </c>
      <c r="H315" s="30" t="s">
        <v>2341</v>
      </c>
      <c r="I315" s="28" t="s">
        <v>75</v>
      </c>
      <c r="J315" s="28" t="s">
        <v>76</v>
      </c>
      <c r="K315" s="31" t="s">
        <v>1263</v>
      </c>
      <c r="L315" s="28">
        <f>IF(K315="","",IFERROR(ROUND((TODAY()-IF(ISNUMBER(K315),K315,DATEVALUE(K315)))/365.25, 1),""))</f>
        <v>0</v>
      </c>
      <c r="M315" s="28" t="s">
        <v>553</v>
      </c>
      <c r="N315" s="29" t="s">
        <v>82</v>
      </c>
      <c r="O315" s="28" t="s">
        <v>80</v>
      </c>
      <c r="P315" s="28" t="s">
        <v>81</v>
      </c>
      <c r="Q315" s="29" t="s">
        <v>82</v>
      </c>
      <c r="R315" s="28" t="s">
        <v>83</v>
      </c>
      <c r="S315" s="28" t="s">
        <v>12</v>
      </c>
      <c r="T315" s="28" t="s">
        <v>113</v>
      </c>
      <c r="U315" s="28" t="s">
        <v>85</v>
      </c>
      <c r="V315" s="29" t="s">
        <v>2342</v>
      </c>
      <c r="W315" s="29" t="s">
        <v>2343</v>
      </c>
      <c r="X315" s="28" t="s">
        <v>13</v>
      </c>
      <c r="Y315" s="31"/>
    </row>
    <row r="316" spans="1:25" ht="20" customHeight="1">
      <c r="A316" s="34">
        <v>314</v>
      </c>
      <c r="B316" s="34" t="s">
        <v>20</v>
      </c>
      <c r="C316" s="34" t="s">
        <v>22</v>
      </c>
      <c r="D316" s="35" t="s">
        <v>2344</v>
      </c>
      <c r="E316" s="36" t="s">
        <v>2345</v>
      </c>
      <c r="F316" s="36" t="s">
        <v>2346</v>
      </c>
      <c r="G316" s="35" t="s">
        <v>2347</v>
      </c>
      <c r="H316" s="36" t="s">
        <v>2348</v>
      </c>
      <c r="I316" s="34" t="s">
        <v>75</v>
      </c>
      <c r="J316" s="34" t="s">
        <v>76</v>
      </c>
      <c r="K316" s="37" t="s">
        <v>1248</v>
      </c>
      <c r="L316" s="34">
        <f>IF(K316="","",IFERROR(ROUND((TODAY()-IF(ISNUMBER(K316),K316,DATEVALUE(K316)))/365.25, 1),""))</f>
        <v>0</v>
      </c>
      <c r="M316" s="34" t="s">
        <v>553</v>
      </c>
      <c r="N316" s="35" t="s">
        <v>82</v>
      </c>
      <c r="O316" s="34" t="s">
        <v>80</v>
      </c>
      <c r="P316" s="34" t="s">
        <v>81</v>
      </c>
      <c r="Q316" s="35" t="s">
        <v>82</v>
      </c>
      <c r="R316" s="34" t="s">
        <v>83</v>
      </c>
      <c r="S316" s="34" t="s">
        <v>12</v>
      </c>
      <c r="T316" s="34" t="s">
        <v>113</v>
      </c>
      <c r="U316" s="34" t="s">
        <v>85</v>
      </c>
      <c r="V316" s="35" t="s">
        <v>2349</v>
      </c>
      <c r="W316" s="35" t="s">
        <v>2350</v>
      </c>
      <c r="X316" s="34" t="s">
        <v>13</v>
      </c>
      <c r="Y316" s="37"/>
    </row>
    <row r="317" spans="1:25" ht="20" customHeight="1">
      <c r="A317" s="28">
        <v>315</v>
      </c>
      <c r="B317" s="28" t="s">
        <v>20</v>
      </c>
      <c r="C317" s="28" t="s">
        <v>22</v>
      </c>
      <c r="D317" s="29" t="s">
        <v>2351</v>
      </c>
      <c r="E317" s="30" t="s">
        <v>587</v>
      </c>
      <c r="F317" s="30" t="s">
        <v>2352</v>
      </c>
      <c r="G317" s="29" t="s">
        <v>2353</v>
      </c>
      <c r="H317" s="30" t="s">
        <v>2354</v>
      </c>
      <c r="I317" s="28" t="s">
        <v>75</v>
      </c>
      <c r="J317" s="28" t="s">
        <v>76</v>
      </c>
      <c r="K317" s="31" t="s">
        <v>2355</v>
      </c>
      <c r="L317" s="28">
        <f>IF(K317="","",IFERROR(ROUND((TODAY()-IF(ISNUMBER(K317),K317,DATEVALUE(K317)))/365.25, 1),""))</f>
        <v>0</v>
      </c>
      <c r="M317" s="28" t="s">
        <v>553</v>
      </c>
      <c r="N317" s="29" t="s">
        <v>82</v>
      </c>
      <c r="O317" s="28" t="s">
        <v>80</v>
      </c>
      <c r="P317" s="28" t="s">
        <v>81</v>
      </c>
      <c r="Q317" s="29" t="s">
        <v>82</v>
      </c>
      <c r="R317" s="28" t="s">
        <v>83</v>
      </c>
      <c r="S317" s="28" t="s">
        <v>12</v>
      </c>
      <c r="T317" s="28" t="s">
        <v>113</v>
      </c>
      <c r="U317" s="28" t="s">
        <v>85</v>
      </c>
      <c r="V317" s="29" t="s">
        <v>2356</v>
      </c>
      <c r="W317" s="29" t="s">
        <v>2357</v>
      </c>
      <c r="X317" s="28" t="s">
        <v>13</v>
      </c>
      <c r="Y317" s="31"/>
    </row>
    <row r="318" spans="1:25" ht="20" customHeight="1">
      <c r="A318" s="34">
        <v>316</v>
      </c>
      <c r="B318" s="34" t="s">
        <v>20</v>
      </c>
      <c r="C318" s="34" t="s">
        <v>22</v>
      </c>
      <c r="D318" s="35" t="s">
        <v>2358</v>
      </c>
      <c r="E318" s="36" t="s">
        <v>2359</v>
      </c>
      <c r="F318" s="36" t="s">
        <v>2360</v>
      </c>
      <c r="G318" s="35" t="s">
        <v>2361</v>
      </c>
      <c r="H318" s="36" t="s">
        <v>2362</v>
      </c>
      <c r="I318" s="34" t="s">
        <v>75</v>
      </c>
      <c r="J318" s="34" t="s">
        <v>76</v>
      </c>
      <c r="K318" s="37" t="s">
        <v>1248</v>
      </c>
      <c r="L318" s="34">
        <f>IF(K318="","",IFERROR(ROUND((TODAY()-IF(ISNUMBER(K318),K318,DATEVALUE(K318)))/365.25, 1),""))</f>
        <v>0</v>
      </c>
      <c r="M318" s="34" t="s">
        <v>507</v>
      </c>
      <c r="N318" s="35" t="s">
        <v>82</v>
      </c>
      <c r="O318" s="34" t="s">
        <v>80</v>
      </c>
      <c r="P318" s="34" t="s">
        <v>81</v>
      </c>
      <c r="Q318" s="35" t="s">
        <v>82</v>
      </c>
      <c r="R318" s="34" t="s">
        <v>83</v>
      </c>
      <c r="S318" s="34" t="s">
        <v>12</v>
      </c>
      <c r="T318" s="34" t="s">
        <v>113</v>
      </c>
      <c r="U318" s="34" t="s">
        <v>85</v>
      </c>
      <c r="V318" s="35" t="s">
        <v>2363</v>
      </c>
      <c r="W318" s="35" t="s">
        <v>2364</v>
      </c>
      <c r="X318" s="34" t="s">
        <v>13</v>
      </c>
      <c r="Y318" s="37"/>
    </row>
    <row r="319" spans="1:25" ht="20" customHeight="1">
      <c r="A319" s="28">
        <v>317</v>
      </c>
      <c r="B319" s="28" t="s">
        <v>20</v>
      </c>
      <c r="C319" s="28" t="s">
        <v>22</v>
      </c>
      <c r="D319" s="29" t="s">
        <v>2365</v>
      </c>
      <c r="E319" s="30" t="s">
        <v>2366</v>
      </c>
      <c r="F319" s="30" t="s">
        <v>2367</v>
      </c>
      <c r="G319" s="29" t="s">
        <v>2368</v>
      </c>
      <c r="H319" s="30" t="s">
        <v>2369</v>
      </c>
      <c r="I319" s="28" t="s">
        <v>75</v>
      </c>
      <c r="J319" s="28" t="s">
        <v>76</v>
      </c>
      <c r="K319" s="31" t="s">
        <v>2370</v>
      </c>
      <c r="L319" s="28">
        <f>IF(K319="","",IFERROR(ROUND((TODAY()-IF(ISNUMBER(K319),K319,DATEVALUE(K319)))/365.25, 1),""))</f>
        <v>0</v>
      </c>
      <c r="M319" s="28" t="s">
        <v>553</v>
      </c>
      <c r="N319" s="29" t="s">
        <v>82</v>
      </c>
      <c r="O319" s="28" t="s">
        <v>80</v>
      </c>
      <c r="P319" s="28" t="s">
        <v>81</v>
      </c>
      <c r="Q319" s="29" t="s">
        <v>82</v>
      </c>
      <c r="R319" s="28" t="s">
        <v>83</v>
      </c>
      <c r="S319" s="28" t="s">
        <v>12</v>
      </c>
      <c r="T319" s="28" t="s">
        <v>113</v>
      </c>
      <c r="U319" s="28" t="s">
        <v>85</v>
      </c>
      <c r="V319" s="29" t="s">
        <v>2371</v>
      </c>
      <c r="W319" s="29" t="s">
        <v>2372</v>
      </c>
      <c r="X319" s="28" t="s">
        <v>13</v>
      </c>
      <c r="Y319" s="31"/>
    </row>
    <row r="320" spans="1:25" ht="20" customHeight="1">
      <c r="A320" s="34">
        <v>318</v>
      </c>
      <c r="B320" s="34" t="s">
        <v>20</v>
      </c>
      <c r="C320" s="34" t="s">
        <v>22</v>
      </c>
      <c r="D320" s="35" t="s">
        <v>2373</v>
      </c>
      <c r="E320" s="36" t="s">
        <v>2374</v>
      </c>
      <c r="F320" s="36" t="s">
        <v>2375</v>
      </c>
      <c r="G320" s="35" t="s">
        <v>2376</v>
      </c>
      <c r="H320" s="36" t="s">
        <v>2377</v>
      </c>
      <c r="I320" s="34" t="s">
        <v>75</v>
      </c>
      <c r="J320" s="34" t="s">
        <v>76</v>
      </c>
      <c r="K320" s="37" t="s">
        <v>2378</v>
      </c>
      <c r="L320" s="34">
        <f>IF(K320="","",IFERROR(ROUND((TODAY()-IF(ISNUMBER(K320),K320,DATEVALUE(K320)))/365.25, 1),""))</f>
        <v>0</v>
      </c>
      <c r="M320" s="34" t="s">
        <v>553</v>
      </c>
      <c r="N320" s="35" t="s">
        <v>82</v>
      </c>
      <c r="O320" s="34" t="s">
        <v>80</v>
      </c>
      <c r="P320" s="34" t="s">
        <v>81</v>
      </c>
      <c r="Q320" s="35" t="s">
        <v>82</v>
      </c>
      <c r="R320" s="34" t="s">
        <v>83</v>
      </c>
      <c r="S320" s="34" t="s">
        <v>12</v>
      </c>
      <c r="T320" s="34" t="s">
        <v>113</v>
      </c>
      <c r="U320" s="34" t="s">
        <v>85</v>
      </c>
      <c r="V320" s="35" t="s">
        <v>2379</v>
      </c>
      <c r="W320" s="35" t="s">
        <v>2380</v>
      </c>
      <c r="X320" s="34" t="s">
        <v>13</v>
      </c>
      <c r="Y320" s="37"/>
    </row>
    <row r="321" spans="1:25" ht="20" customHeight="1">
      <c r="A321" s="28">
        <v>319</v>
      </c>
      <c r="B321" s="28" t="s">
        <v>20</v>
      </c>
      <c r="C321" s="28" t="s">
        <v>22</v>
      </c>
      <c r="D321" s="29" t="s">
        <v>2381</v>
      </c>
      <c r="E321" s="30" t="s">
        <v>2382</v>
      </c>
      <c r="F321" s="30" t="s">
        <v>2383</v>
      </c>
      <c r="G321" s="29" t="s">
        <v>2384</v>
      </c>
      <c r="H321" s="30" t="s">
        <v>2385</v>
      </c>
      <c r="I321" s="28" t="s">
        <v>75</v>
      </c>
      <c r="J321" s="28" t="s">
        <v>76</v>
      </c>
      <c r="K321" s="31" t="s">
        <v>1757</v>
      </c>
      <c r="L321" s="28">
        <f>IF(K321="","",IFERROR(ROUND((TODAY()-IF(ISNUMBER(K321),K321,DATEVALUE(K321)))/365.25, 1),""))</f>
        <v>0</v>
      </c>
      <c r="M321" s="28" t="s">
        <v>553</v>
      </c>
      <c r="N321" s="29" t="s">
        <v>82</v>
      </c>
      <c r="O321" s="28" t="s">
        <v>80</v>
      </c>
      <c r="P321" s="28" t="s">
        <v>81</v>
      </c>
      <c r="Q321" s="29" t="s">
        <v>82</v>
      </c>
      <c r="R321" s="28" t="s">
        <v>83</v>
      </c>
      <c r="S321" s="28" t="s">
        <v>12</v>
      </c>
      <c r="T321" s="28" t="s">
        <v>113</v>
      </c>
      <c r="U321" s="28" t="s">
        <v>85</v>
      </c>
      <c r="V321" s="29" t="s">
        <v>2386</v>
      </c>
      <c r="W321" s="29" t="s">
        <v>2387</v>
      </c>
      <c r="X321" s="28" t="s">
        <v>13</v>
      </c>
      <c r="Y321" s="31"/>
    </row>
    <row r="322" spans="1:25" ht="20" customHeight="1">
      <c r="A322" s="34">
        <v>320</v>
      </c>
      <c r="B322" s="34" t="s">
        <v>20</v>
      </c>
      <c r="C322" s="34" t="s">
        <v>22</v>
      </c>
      <c r="D322" s="35" t="s">
        <v>2388</v>
      </c>
      <c r="E322" s="36" t="s">
        <v>2389</v>
      </c>
      <c r="F322" s="36" t="s">
        <v>2390</v>
      </c>
      <c r="G322" s="35" t="s">
        <v>2391</v>
      </c>
      <c r="H322" s="36" t="s">
        <v>2392</v>
      </c>
      <c r="I322" s="34" t="s">
        <v>75</v>
      </c>
      <c r="J322" s="34" t="s">
        <v>76</v>
      </c>
      <c r="K322" s="37" t="s">
        <v>1966</v>
      </c>
      <c r="L322" s="34">
        <f>IF(K322="","",IFERROR(ROUND((TODAY()-IF(ISNUMBER(K322),K322,DATEVALUE(K322)))/365.25, 1),""))</f>
        <v>0</v>
      </c>
      <c r="M322" s="34" t="s">
        <v>553</v>
      </c>
      <c r="N322" s="35" t="s">
        <v>82</v>
      </c>
      <c r="O322" s="34" t="s">
        <v>80</v>
      </c>
      <c r="P322" s="34" t="s">
        <v>81</v>
      </c>
      <c r="Q322" s="35" t="s">
        <v>82</v>
      </c>
      <c r="R322" s="34" t="s">
        <v>83</v>
      </c>
      <c r="S322" s="34" t="s">
        <v>12</v>
      </c>
      <c r="T322" s="34" t="s">
        <v>113</v>
      </c>
      <c r="U322" s="34" t="s">
        <v>85</v>
      </c>
      <c r="V322" s="35" t="s">
        <v>2393</v>
      </c>
      <c r="W322" s="35" t="s">
        <v>2394</v>
      </c>
      <c r="X322" s="34" t="s">
        <v>13</v>
      </c>
      <c r="Y322" s="37"/>
    </row>
    <row r="323" spans="1:25" ht="20" customHeight="1">
      <c r="A323" s="28">
        <v>321</v>
      </c>
      <c r="B323" s="28" t="s">
        <v>20</v>
      </c>
      <c r="C323" s="28" t="s">
        <v>22</v>
      </c>
      <c r="D323" s="29" t="s">
        <v>2395</v>
      </c>
      <c r="E323" s="30" t="s">
        <v>1821</v>
      </c>
      <c r="F323" s="30" t="s">
        <v>2396</v>
      </c>
      <c r="G323" s="29" t="s">
        <v>2397</v>
      </c>
      <c r="H323" s="30" t="s">
        <v>2398</v>
      </c>
      <c r="I323" s="28" t="s">
        <v>75</v>
      </c>
      <c r="J323" s="28" t="s">
        <v>76</v>
      </c>
      <c r="K323" s="31" t="s">
        <v>237</v>
      </c>
      <c r="L323" s="28">
        <f>IF(K323="","",IFERROR(ROUND((TODAY()-IF(ISNUMBER(K323),K323,DATEVALUE(K323)))/365.25, 1),""))</f>
        <v>0</v>
      </c>
      <c r="M323" s="28" t="s">
        <v>553</v>
      </c>
      <c r="N323" s="29" t="s">
        <v>82</v>
      </c>
      <c r="O323" s="28" t="s">
        <v>80</v>
      </c>
      <c r="P323" s="28" t="s">
        <v>81</v>
      </c>
      <c r="Q323" s="29" t="s">
        <v>82</v>
      </c>
      <c r="R323" s="28" t="s">
        <v>83</v>
      </c>
      <c r="S323" s="28" t="s">
        <v>12</v>
      </c>
      <c r="T323" s="28" t="s">
        <v>113</v>
      </c>
      <c r="U323" s="28" t="s">
        <v>85</v>
      </c>
      <c r="V323" s="29" t="s">
        <v>2399</v>
      </c>
      <c r="W323" s="29" t="s">
        <v>2400</v>
      </c>
      <c r="X323" s="28" t="s">
        <v>13</v>
      </c>
      <c r="Y323" s="31"/>
    </row>
    <row r="324" spans="1:25" ht="20" customHeight="1">
      <c r="A324" s="34">
        <v>322</v>
      </c>
      <c r="B324" s="34" t="s">
        <v>20</v>
      </c>
      <c r="C324" s="34" t="s">
        <v>22</v>
      </c>
      <c r="D324" s="35" t="s">
        <v>2401</v>
      </c>
      <c r="E324" s="36" t="s">
        <v>2402</v>
      </c>
      <c r="F324" s="36" t="s">
        <v>2403</v>
      </c>
      <c r="G324" s="35" t="s">
        <v>2404</v>
      </c>
      <c r="H324" s="36" t="s">
        <v>2405</v>
      </c>
      <c r="I324" s="34" t="s">
        <v>75</v>
      </c>
      <c r="J324" s="34" t="s">
        <v>76</v>
      </c>
      <c r="K324" s="37" t="s">
        <v>1206</v>
      </c>
      <c r="L324" s="34">
        <f>IF(K324="","",IFERROR(ROUND((TODAY()-IF(ISNUMBER(K324),K324,DATEVALUE(K324)))/365.25, 1),""))</f>
        <v>0</v>
      </c>
      <c r="M324" s="34" t="s">
        <v>507</v>
      </c>
      <c r="N324" s="35" t="s">
        <v>82</v>
      </c>
      <c r="O324" s="34" t="s">
        <v>80</v>
      </c>
      <c r="P324" s="34" t="s">
        <v>81</v>
      </c>
      <c r="Q324" s="35" t="s">
        <v>82</v>
      </c>
      <c r="R324" s="34" t="s">
        <v>83</v>
      </c>
      <c r="S324" s="34" t="s">
        <v>12</v>
      </c>
      <c r="T324" s="34" t="s">
        <v>113</v>
      </c>
      <c r="U324" s="34" t="s">
        <v>85</v>
      </c>
      <c r="V324" s="35" t="s">
        <v>2406</v>
      </c>
      <c r="W324" s="35" t="s">
        <v>2407</v>
      </c>
      <c r="X324" s="34" t="s">
        <v>13</v>
      </c>
      <c r="Y324" s="37"/>
    </row>
    <row r="325" spans="1:25" ht="20" customHeight="1">
      <c r="A325" s="28">
        <v>323</v>
      </c>
      <c r="B325" s="28" t="s">
        <v>20</v>
      </c>
      <c r="C325" s="28" t="s">
        <v>22</v>
      </c>
      <c r="D325" s="29" t="s">
        <v>2408</v>
      </c>
      <c r="E325" s="30" t="s">
        <v>768</v>
      </c>
      <c r="F325" s="30" t="s">
        <v>2409</v>
      </c>
      <c r="G325" s="29" t="s">
        <v>770</v>
      </c>
      <c r="H325" s="30" t="s">
        <v>2410</v>
      </c>
      <c r="I325" s="28" t="s">
        <v>75</v>
      </c>
      <c r="J325" s="28" t="s">
        <v>76</v>
      </c>
      <c r="K325" s="31" t="s">
        <v>1248</v>
      </c>
      <c r="L325" s="28">
        <f>IF(K325="","",IFERROR(ROUND((TODAY()-IF(ISNUMBER(K325),K325,DATEVALUE(K325)))/365.25, 1),""))</f>
        <v>0</v>
      </c>
      <c r="M325" s="28" t="s">
        <v>757</v>
      </c>
      <c r="N325" s="29" t="s">
        <v>82</v>
      </c>
      <c r="O325" s="28" t="s">
        <v>80</v>
      </c>
      <c r="P325" s="28" t="s">
        <v>81</v>
      </c>
      <c r="Q325" s="29" t="s">
        <v>82</v>
      </c>
      <c r="R325" s="28" t="s">
        <v>83</v>
      </c>
      <c r="S325" s="28" t="s">
        <v>12</v>
      </c>
      <c r="T325" s="28" t="s">
        <v>113</v>
      </c>
      <c r="U325" s="28" t="s">
        <v>85</v>
      </c>
      <c r="V325" s="29" t="s">
        <v>772</v>
      </c>
      <c r="W325" s="29" t="s">
        <v>773</v>
      </c>
      <c r="X325" s="28" t="s">
        <v>13</v>
      </c>
      <c r="Y325" s="31"/>
    </row>
    <row r="326" spans="1:25" ht="20" customHeight="1">
      <c r="A326" s="34">
        <v>324</v>
      </c>
      <c r="B326" s="34" t="s">
        <v>20</v>
      </c>
      <c r="C326" s="34" t="s">
        <v>22</v>
      </c>
      <c r="D326" s="35" t="s">
        <v>2411</v>
      </c>
      <c r="E326" s="36" t="s">
        <v>2412</v>
      </c>
      <c r="F326" s="36" t="s">
        <v>2413</v>
      </c>
      <c r="G326" s="35" t="s">
        <v>2414</v>
      </c>
      <c r="H326" s="36" t="s">
        <v>2415</v>
      </c>
      <c r="I326" s="34" t="s">
        <v>75</v>
      </c>
      <c r="J326" s="34" t="s">
        <v>76</v>
      </c>
      <c r="K326" s="37" t="s">
        <v>2416</v>
      </c>
      <c r="L326" s="34">
        <f>IF(K326="","",IFERROR(ROUND((TODAY()-IF(ISNUMBER(K326),K326,DATEVALUE(K326)))/365.25, 1),""))</f>
        <v>0</v>
      </c>
      <c r="M326" s="34" t="s">
        <v>553</v>
      </c>
      <c r="N326" s="35" t="s">
        <v>82</v>
      </c>
      <c r="O326" s="34" t="s">
        <v>80</v>
      </c>
      <c r="P326" s="34" t="s">
        <v>81</v>
      </c>
      <c r="Q326" s="35" t="s">
        <v>82</v>
      </c>
      <c r="R326" s="34" t="s">
        <v>83</v>
      </c>
      <c r="S326" s="34" t="s">
        <v>12</v>
      </c>
      <c r="T326" s="34" t="s">
        <v>113</v>
      </c>
      <c r="U326" s="34" t="s">
        <v>85</v>
      </c>
      <c r="V326" s="35" t="s">
        <v>2417</v>
      </c>
      <c r="W326" s="35" t="s">
        <v>2418</v>
      </c>
      <c r="X326" s="34" t="s">
        <v>13</v>
      </c>
      <c r="Y326" s="37"/>
    </row>
    <row r="327" spans="1:25" ht="20" customHeight="1">
      <c r="A327" s="28">
        <v>325</v>
      </c>
      <c r="B327" s="28" t="s">
        <v>20</v>
      </c>
      <c r="C327" s="28" t="s">
        <v>22</v>
      </c>
      <c r="D327" s="29" t="s">
        <v>2419</v>
      </c>
      <c r="E327" s="30" t="s">
        <v>2420</v>
      </c>
      <c r="F327" s="30" t="s">
        <v>2247</v>
      </c>
      <c r="G327" s="29" t="s">
        <v>2421</v>
      </c>
      <c r="H327" s="30" t="s">
        <v>2422</v>
      </c>
      <c r="I327" s="28" t="s">
        <v>75</v>
      </c>
      <c r="J327" s="28" t="s">
        <v>76</v>
      </c>
      <c r="K327" s="31" t="s">
        <v>1248</v>
      </c>
      <c r="L327" s="28">
        <f>IF(K327="","",IFERROR(ROUND((TODAY()-IF(ISNUMBER(K327),K327,DATEVALUE(K327)))/365.25, 1),""))</f>
        <v>0</v>
      </c>
      <c r="M327" s="28" t="s">
        <v>553</v>
      </c>
      <c r="N327" s="29" t="s">
        <v>82</v>
      </c>
      <c r="O327" s="28" t="s">
        <v>80</v>
      </c>
      <c r="P327" s="28" t="s">
        <v>81</v>
      </c>
      <c r="Q327" s="29" t="s">
        <v>82</v>
      </c>
      <c r="R327" s="28" t="s">
        <v>83</v>
      </c>
      <c r="S327" s="28" t="s">
        <v>12</v>
      </c>
      <c r="T327" s="28" t="s">
        <v>113</v>
      </c>
      <c r="U327" s="28" t="s">
        <v>85</v>
      </c>
      <c r="V327" s="29" t="s">
        <v>2423</v>
      </c>
      <c r="W327" s="29" t="s">
        <v>2424</v>
      </c>
      <c r="X327" s="28" t="s">
        <v>13</v>
      </c>
      <c r="Y327" s="31"/>
    </row>
    <row r="328" spans="1:25" ht="20" customHeight="1">
      <c r="A328" s="34">
        <v>326</v>
      </c>
      <c r="B328" s="34" t="s">
        <v>20</v>
      </c>
      <c r="C328" s="34" t="s">
        <v>22</v>
      </c>
      <c r="D328" s="35" t="s">
        <v>2425</v>
      </c>
      <c r="E328" s="36" t="s">
        <v>480</v>
      </c>
      <c r="F328" s="36" t="s">
        <v>2426</v>
      </c>
      <c r="G328" s="35" t="s">
        <v>2427</v>
      </c>
      <c r="H328" s="36" t="s">
        <v>2428</v>
      </c>
      <c r="I328" s="34" t="s">
        <v>75</v>
      </c>
      <c r="J328" s="34" t="s">
        <v>76</v>
      </c>
      <c r="K328" s="37" t="s">
        <v>1748</v>
      </c>
      <c r="L328" s="34">
        <f>IF(K328="","",IFERROR(ROUND((TODAY()-IF(ISNUMBER(K328),K328,DATEVALUE(K328)))/365.25, 1),""))</f>
        <v>0</v>
      </c>
      <c r="M328" s="34" t="s">
        <v>553</v>
      </c>
      <c r="N328" s="35" t="s">
        <v>82</v>
      </c>
      <c r="O328" s="34" t="s">
        <v>80</v>
      </c>
      <c r="P328" s="34" t="s">
        <v>81</v>
      </c>
      <c r="Q328" s="35" t="s">
        <v>82</v>
      </c>
      <c r="R328" s="34" t="s">
        <v>83</v>
      </c>
      <c r="S328" s="34" t="s">
        <v>12</v>
      </c>
      <c r="T328" s="34" t="s">
        <v>113</v>
      </c>
      <c r="U328" s="34" t="s">
        <v>85</v>
      </c>
      <c r="V328" s="35" t="s">
        <v>2429</v>
      </c>
      <c r="W328" s="35" t="s">
        <v>2430</v>
      </c>
      <c r="X328" s="34" t="s">
        <v>13</v>
      </c>
      <c r="Y328" s="37"/>
    </row>
    <row r="329" spans="1:25" ht="20" customHeight="1">
      <c r="A329" s="28">
        <v>327</v>
      </c>
      <c r="B329" s="28" t="s">
        <v>20</v>
      </c>
      <c r="C329" s="28" t="s">
        <v>22</v>
      </c>
      <c r="D329" s="29" t="s">
        <v>2431</v>
      </c>
      <c r="E329" s="30" t="s">
        <v>2432</v>
      </c>
      <c r="F329" s="30" t="s">
        <v>2433</v>
      </c>
      <c r="G329" s="29" t="s">
        <v>2434</v>
      </c>
      <c r="H329" s="30" t="s">
        <v>2435</v>
      </c>
      <c r="I329" s="28" t="s">
        <v>75</v>
      </c>
      <c r="J329" s="28" t="s">
        <v>76</v>
      </c>
      <c r="K329" s="31" t="s">
        <v>1292</v>
      </c>
      <c r="L329" s="28">
        <f>IF(K329="","",IFERROR(ROUND((TODAY()-IF(ISNUMBER(K329),K329,DATEVALUE(K329)))/365.25, 1),""))</f>
        <v>0</v>
      </c>
      <c r="M329" s="28" t="s">
        <v>553</v>
      </c>
      <c r="N329" s="29" t="s">
        <v>82</v>
      </c>
      <c r="O329" s="28" t="s">
        <v>80</v>
      </c>
      <c r="P329" s="28" t="s">
        <v>81</v>
      </c>
      <c r="Q329" s="29" t="s">
        <v>82</v>
      </c>
      <c r="R329" s="28" t="s">
        <v>83</v>
      </c>
      <c r="S329" s="28" t="s">
        <v>12</v>
      </c>
      <c r="T329" s="28" t="s">
        <v>113</v>
      </c>
      <c r="U329" s="28" t="s">
        <v>85</v>
      </c>
      <c r="V329" s="29" t="s">
        <v>2436</v>
      </c>
      <c r="W329" s="29" t="s">
        <v>2437</v>
      </c>
      <c r="X329" s="28" t="s">
        <v>13</v>
      </c>
      <c r="Y329" s="31"/>
    </row>
    <row r="330" spans="1:25" ht="20" customHeight="1">
      <c r="A330" s="34">
        <v>328</v>
      </c>
      <c r="B330" s="34" t="s">
        <v>20</v>
      </c>
      <c r="C330" s="34" t="s">
        <v>22</v>
      </c>
      <c r="D330" s="35" t="s">
        <v>2438</v>
      </c>
      <c r="E330" s="36" t="s">
        <v>2439</v>
      </c>
      <c r="F330" s="36" t="s">
        <v>2440</v>
      </c>
      <c r="G330" s="35" t="s">
        <v>2441</v>
      </c>
      <c r="H330" s="36" t="s">
        <v>2442</v>
      </c>
      <c r="I330" s="34" t="s">
        <v>75</v>
      </c>
      <c r="J330" s="34" t="s">
        <v>76</v>
      </c>
      <c r="K330" s="37" t="s">
        <v>1248</v>
      </c>
      <c r="L330" s="34">
        <f>IF(K330="","",IFERROR(ROUND((TODAY()-IF(ISNUMBER(K330),K330,DATEVALUE(K330)))/365.25, 1),""))</f>
        <v>0</v>
      </c>
      <c r="M330" s="34" t="s">
        <v>553</v>
      </c>
      <c r="N330" s="35" t="s">
        <v>82</v>
      </c>
      <c r="O330" s="34" t="s">
        <v>80</v>
      </c>
      <c r="P330" s="34" t="s">
        <v>81</v>
      </c>
      <c r="Q330" s="35" t="s">
        <v>82</v>
      </c>
      <c r="R330" s="34" t="s">
        <v>83</v>
      </c>
      <c r="S330" s="34" t="s">
        <v>12</v>
      </c>
      <c r="T330" s="34" t="s">
        <v>113</v>
      </c>
      <c r="U330" s="34" t="s">
        <v>85</v>
      </c>
      <c r="V330" s="35" t="s">
        <v>2443</v>
      </c>
      <c r="W330" s="35" t="s">
        <v>2444</v>
      </c>
      <c r="X330" s="34" t="s">
        <v>13</v>
      </c>
      <c r="Y330" s="37"/>
    </row>
    <row r="331" spans="1:25" ht="20" customHeight="1">
      <c r="A331" s="28">
        <v>329</v>
      </c>
      <c r="B331" s="28" t="s">
        <v>20</v>
      </c>
      <c r="C331" s="28" t="s">
        <v>22</v>
      </c>
      <c r="D331" s="29" t="s">
        <v>2445</v>
      </c>
      <c r="E331" s="30" t="s">
        <v>2446</v>
      </c>
      <c r="F331" s="30" t="s">
        <v>2447</v>
      </c>
      <c r="G331" s="29" t="s">
        <v>2448</v>
      </c>
      <c r="H331" s="30" t="s">
        <v>2449</v>
      </c>
      <c r="I331" s="28" t="s">
        <v>75</v>
      </c>
      <c r="J331" s="28" t="s">
        <v>76</v>
      </c>
      <c r="K331" s="31" t="s">
        <v>2213</v>
      </c>
      <c r="L331" s="28">
        <f>IF(K331="","",IFERROR(ROUND((TODAY()-IF(ISNUMBER(K331),K331,DATEVALUE(K331)))/365.25, 1),""))</f>
        <v>0</v>
      </c>
      <c r="M331" s="28" t="s">
        <v>553</v>
      </c>
      <c r="N331" s="29" t="s">
        <v>82</v>
      </c>
      <c r="O331" s="28" t="s">
        <v>80</v>
      </c>
      <c r="P331" s="28" t="s">
        <v>81</v>
      </c>
      <c r="Q331" s="29" t="s">
        <v>82</v>
      </c>
      <c r="R331" s="28" t="s">
        <v>83</v>
      </c>
      <c r="S331" s="28" t="s">
        <v>12</v>
      </c>
      <c r="T331" s="28" t="s">
        <v>113</v>
      </c>
      <c r="U331" s="28" t="s">
        <v>85</v>
      </c>
      <c r="V331" s="29" t="s">
        <v>2450</v>
      </c>
      <c r="W331" s="29" t="s">
        <v>2451</v>
      </c>
      <c r="X331" s="28" t="s">
        <v>13</v>
      </c>
      <c r="Y331" s="31"/>
    </row>
    <row r="332" spans="1:25" ht="20" customHeight="1">
      <c r="A332" s="34">
        <v>330</v>
      </c>
      <c r="B332" s="34" t="s">
        <v>20</v>
      </c>
      <c r="C332" s="34" t="s">
        <v>22</v>
      </c>
      <c r="D332" s="35" t="s">
        <v>2452</v>
      </c>
      <c r="E332" s="36" t="s">
        <v>2453</v>
      </c>
      <c r="F332" s="36" t="s">
        <v>2454</v>
      </c>
      <c r="G332" s="35" t="s">
        <v>2455</v>
      </c>
      <c r="H332" s="36" t="s">
        <v>2456</v>
      </c>
      <c r="I332" s="34" t="s">
        <v>75</v>
      </c>
      <c r="J332" s="34" t="s">
        <v>76</v>
      </c>
      <c r="K332" s="37" t="s">
        <v>1248</v>
      </c>
      <c r="L332" s="34">
        <f>IF(K332="","",IFERROR(ROUND((TODAY()-IF(ISNUMBER(K332),K332,DATEVALUE(K332)))/365.25, 1),""))</f>
        <v>0</v>
      </c>
      <c r="M332" s="34" t="s">
        <v>553</v>
      </c>
      <c r="N332" s="35" t="s">
        <v>82</v>
      </c>
      <c r="O332" s="34" t="s">
        <v>80</v>
      </c>
      <c r="P332" s="34" t="s">
        <v>81</v>
      </c>
      <c r="Q332" s="35" t="s">
        <v>82</v>
      </c>
      <c r="R332" s="34" t="s">
        <v>83</v>
      </c>
      <c r="S332" s="34" t="s">
        <v>12</v>
      </c>
      <c r="T332" s="34" t="s">
        <v>113</v>
      </c>
      <c r="U332" s="34" t="s">
        <v>85</v>
      </c>
      <c r="V332" s="35" t="s">
        <v>2457</v>
      </c>
      <c r="W332" s="35" t="s">
        <v>2458</v>
      </c>
      <c r="X332" s="34" t="s">
        <v>13</v>
      </c>
      <c r="Y332" s="37"/>
    </row>
    <row r="333" spans="1:25" ht="20" customHeight="1">
      <c r="A333" s="28">
        <v>331</v>
      </c>
      <c r="B333" s="28" t="s">
        <v>20</v>
      </c>
      <c r="C333" s="28" t="s">
        <v>22</v>
      </c>
      <c r="D333" s="29" t="s">
        <v>2459</v>
      </c>
      <c r="E333" s="30" t="s">
        <v>2460</v>
      </c>
      <c r="F333" s="30" t="s">
        <v>2461</v>
      </c>
      <c r="G333" s="29" t="s">
        <v>2462</v>
      </c>
      <c r="H333" s="30" t="s">
        <v>2463</v>
      </c>
      <c r="I333" s="28" t="s">
        <v>75</v>
      </c>
      <c r="J333" s="28" t="s">
        <v>76</v>
      </c>
      <c r="K333" s="31" t="s">
        <v>1248</v>
      </c>
      <c r="L333" s="28">
        <f>IF(K333="","",IFERROR(ROUND((TODAY()-IF(ISNUMBER(K333),K333,DATEVALUE(K333)))/365.25, 1),""))</f>
        <v>0</v>
      </c>
      <c r="M333" s="28" t="s">
        <v>553</v>
      </c>
      <c r="N333" s="29" t="s">
        <v>82</v>
      </c>
      <c r="O333" s="28" t="s">
        <v>80</v>
      </c>
      <c r="P333" s="28" t="s">
        <v>81</v>
      </c>
      <c r="Q333" s="29" t="s">
        <v>82</v>
      </c>
      <c r="R333" s="28" t="s">
        <v>83</v>
      </c>
      <c r="S333" s="28" t="s">
        <v>12</v>
      </c>
      <c r="T333" s="28" t="s">
        <v>113</v>
      </c>
      <c r="U333" s="28" t="s">
        <v>85</v>
      </c>
      <c r="V333" s="29" t="s">
        <v>2464</v>
      </c>
      <c r="W333" s="29" t="s">
        <v>2465</v>
      </c>
      <c r="X333" s="28" t="s">
        <v>13</v>
      </c>
      <c r="Y333" s="31"/>
    </row>
    <row r="334" spans="1:25" ht="20" customHeight="1">
      <c r="A334" s="34">
        <v>332</v>
      </c>
      <c r="B334" s="34" t="s">
        <v>20</v>
      </c>
      <c r="C334" s="34" t="s">
        <v>22</v>
      </c>
      <c r="D334" s="35" t="s">
        <v>2466</v>
      </c>
      <c r="E334" s="36" t="s">
        <v>2467</v>
      </c>
      <c r="F334" s="36" t="s">
        <v>2468</v>
      </c>
      <c r="G334" s="35" t="s">
        <v>2469</v>
      </c>
      <c r="H334" s="36" t="s">
        <v>2470</v>
      </c>
      <c r="I334" s="34" t="s">
        <v>75</v>
      </c>
      <c r="J334" s="34" t="s">
        <v>76</v>
      </c>
      <c r="K334" s="37" t="s">
        <v>1248</v>
      </c>
      <c r="L334" s="34">
        <f>IF(K334="","",IFERROR(ROUND((TODAY()-IF(ISNUMBER(K334),K334,DATEVALUE(K334)))/365.25, 1),""))</f>
        <v>0</v>
      </c>
      <c r="M334" s="34" t="s">
        <v>507</v>
      </c>
      <c r="N334" s="35" t="s">
        <v>82</v>
      </c>
      <c r="O334" s="34" t="s">
        <v>80</v>
      </c>
      <c r="P334" s="34" t="s">
        <v>81</v>
      </c>
      <c r="Q334" s="35" t="s">
        <v>82</v>
      </c>
      <c r="R334" s="34" t="s">
        <v>83</v>
      </c>
      <c r="S334" s="34" t="s">
        <v>12</v>
      </c>
      <c r="T334" s="34" t="s">
        <v>113</v>
      </c>
      <c r="U334" s="34" t="s">
        <v>85</v>
      </c>
      <c r="V334" s="35" t="s">
        <v>2471</v>
      </c>
      <c r="W334" s="35" t="s">
        <v>2472</v>
      </c>
      <c r="X334" s="34" t="s">
        <v>13</v>
      </c>
      <c r="Y334" s="37"/>
    </row>
    <row r="335" spans="1:25" ht="20" customHeight="1">
      <c r="A335" s="28">
        <v>333</v>
      </c>
      <c r="B335" s="28" t="s">
        <v>20</v>
      </c>
      <c r="C335" s="28" t="s">
        <v>22</v>
      </c>
      <c r="D335" s="29" t="s">
        <v>2473</v>
      </c>
      <c r="E335" s="30" t="s">
        <v>2474</v>
      </c>
      <c r="F335" s="30" t="s">
        <v>2475</v>
      </c>
      <c r="G335" s="29" t="s">
        <v>2476</v>
      </c>
      <c r="H335" s="30" t="s">
        <v>2477</v>
      </c>
      <c r="I335" s="28" t="s">
        <v>75</v>
      </c>
      <c r="J335" s="28" t="s">
        <v>76</v>
      </c>
      <c r="K335" s="31" t="s">
        <v>1625</v>
      </c>
      <c r="L335" s="28">
        <f>IF(K335="","",IFERROR(ROUND((TODAY()-IF(ISNUMBER(K335),K335,DATEVALUE(K335)))/365.25, 1),""))</f>
        <v>0</v>
      </c>
      <c r="M335" s="28" t="s">
        <v>757</v>
      </c>
      <c r="N335" s="29" t="s">
        <v>82</v>
      </c>
      <c r="O335" s="28" t="s">
        <v>80</v>
      </c>
      <c r="P335" s="28" t="s">
        <v>81</v>
      </c>
      <c r="Q335" s="29" t="s">
        <v>82</v>
      </c>
      <c r="R335" s="28" t="s">
        <v>83</v>
      </c>
      <c r="S335" s="28" t="s">
        <v>12</v>
      </c>
      <c r="T335" s="28" t="s">
        <v>113</v>
      </c>
      <c r="U335" s="28" t="s">
        <v>85</v>
      </c>
      <c r="V335" s="29" t="s">
        <v>2478</v>
      </c>
      <c r="W335" s="29" t="s">
        <v>2479</v>
      </c>
      <c r="X335" s="28" t="s">
        <v>13</v>
      </c>
      <c r="Y335" s="31"/>
    </row>
    <row r="336" spans="1:25" ht="20" customHeight="1">
      <c r="A336" s="34">
        <v>334</v>
      </c>
      <c r="B336" s="34" t="s">
        <v>20</v>
      </c>
      <c r="C336" s="34" t="s">
        <v>22</v>
      </c>
      <c r="D336" s="35" t="s">
        <v>2480</v>
      </c>
      <c r="E336" s="36" t="s">
        <v>1274</v>
      </c>
      <c r="F336" s="36" t="s">
        <v>2481</v>
      </c>
      <c r="G336" s="35" t="s">
        <v>2482</v>
      </c>
      <c r="H336" s="36" t="s">
        <v>2483</v>
      </c>
      <c r="I336" s="34" t="s">
        <v>75</v>
      </c>
      <c r="J336" s="34" t="s">
        <v>76</v>
      </c>
      <c r="K336" s="37" t="s">
        <v>1308</v>
      </c>
      <c r="L336" s="34">
        <f>IF(K336="","",IFERROR(ROUND((TODAY()-IF(ISNUMBER(K336),K336,DATEVALUE(K336)))/365.25, 1),""))</f>
        <v>0</v>
      </c>
      <c r="M336" s="34" t="s">
        <v>757</v>
      </c>
      <c r="N336" s="35" t="s">
        <v>82</v>
      </c>
      <c r="O336" s="34" t="s">
        <v>80</v>
      </c>
      <c r="P336" s="34" t="s">
        <v>81</v>
      </c>
      <c r="Q336" s="35" t="s">
        <v>82</v>
      </c>
      <c r="R336" s="34" t="s">
        <v>83</v>
      </c>
      <c r="S336" s="34" t="s">
        <v>12</v>
      </c>
      <c r="T336" s="34" t="s">
        <v>113</v>
      </c>
      <c r="U336" s="34" t="s">
        <v>85</v>
      </c>
      <c r="V336" s="35" t="s">
        <v>2484</v>
      </c>
      <c r="W336" s="35" t="s">
        <v>2485</v>
      </c>
      <c r="X336" s="34" t="s">
        <v>13</v>
      </c>
      <c r="Y336" s="37"/>
    </row>
    <row r="337" spans="1:25" ht="20" customHeight="1">
      <c r="A337" s="28">
        <v>335</v>
      </c>
      <c r="B337" s="28" t="s">
        <v>20</v>
      </c>
      <c r="C337" s="28" t="s">
        <v>22</v>
      </c>
      <c r="D337" s="29" t="s">
        <v>2486</v>
      </c>
      <c r="E337" s="30" t="s">
        <v>2487</v>
      </c>
      <c r="F337" s="30" t="s">
        <v>2488</v>
      </c>
      <c r="G337" s="29" t="s">
        <v>2489</v>
      </c>
      <c r="H337" s="30" t="s">
        <v>2490</v>
      </c>
      <c r="I337" s="28" t="s">
        <v>75</v>
      </c>
      <c r="J337" s="28" t="s">
        <v>76</v>
      </c>
      <c r="K337" s="31" t="s">
        <v>1308</v>
      </c>
      <c r="L337" s="28">
        <f>IF(K337="","",IFERROR(ROUND((TODAY()-IF(ISNUMBER(K337),K337,DATEVALUE(K337)))/365.25, 1),""))</f>
        <v>0</v>
      </c>
      <c r="M337" s="28" t="s">
        <v>553</v>
      </c>
      <c r="N337" s="29" t="s">
        <v>82</v>
      </c>
      <c r="O337" s="28" t="s">
        <v>80</v>
      </c>
      <c r="P337" s="28" t="s">
        <v>81</v>
      </c>
      <c r="Q337" s="29" t="s">
        <v>82</v>
      </c>
      <c r="R337" s="28" t="s">
        <v>83</v>
      </c>
      <c r="S337" s="28" t="s">
        <v>12</v>
      </c>
      <c r="T337" s="28" t="s">
        <v>113</v>
      </c>
      <c r="U337" s="28" t="s">
        <v>85</v>
      </c>
      <c r="V337" s="29" t="s">
        <v>2491</v>
      </c>
      <c r="W337" s="29" t="s">
        <v>2492</v>
      </c>
      <c r="X337" s="28" t="s">
        <v>13</v>
      </c>
      <c r="Y337" s="31"/>
    </row>
    <row r="338" spans="1:25" ht="20" customHeight="1">
      <c r="A338" s="34">
        <v>336</v>
      </c>
      <c r="B338" s="34" t="s">
        <v>20</v>
      </c>
      <c r="C338" s="34" t="s">
        <v>22</v>
      </c>
      <c r="D338" s="35" t="s">
        <v>2493</v>
      </c>
      <c r="E338" s="36" t="s">
        <v>2494</v>
      </c>
      <c r="F338" s="36" t="s">
        <v>2495</v>
      </c>
      <c r="G338" s="35" t="s">
        <v>2496</v>
      </c>
      <c r="H338" s="36" t="s">
        <v>2497</v>
      </c>
      <c r="I338" s="34" t="s">
        <v>75</v>
      </c>
      <c r="J338" s="34" t="s">
        <v>76</v>
      </c>
      <c r="K338" s="37" t="s">
        <v>1981</v>
      </c>
      <c r="L338" s="34">
        <f>IF(K338="","",IFERROR(ROUND((TODAY()-IF(ISNUMBER(K338),K338,DATEVALUE(K338)))/365.25, 1),""))</f>
        <v>0</v>
      </c>
      <c r="M338" s="34" t="s">
        <v>553</v>
      </c>
      <c r="N338" s="35" t="s">
        <v>82</v>
      </c>
      <c r="O338" s="34" t="s">
        <v>80</v>
      </c>
      <c r="P338" s="34" t="s">
        <v>81</v>
      </c>
      <c r="Q338" s="35" t="s">
        <v>82</v>
      </c>
      <c r="R338" s="34" t="s">
        <v>83</v>
      </c>
      <c r="S338" s="34" t="s">
        <v>12</v>
      </c>
      <c r="T338" s="34" t="s">
        <v>113</v>
      </c>
      <c r="U338" s="34" t="s">
        <v>85</v>
      </c>
      <c r="V338" s="35" t="s">
        <v>2498</v>
      </c>
      <c r="W338" s="35" t="s">
        <v>2499</v>
      </c>
      <c r="X338" s="34" t="s">
        <v>13</v>
      </c>
      <c r="Y338" s="37"/>
    </row>
    <row r="339" spans="1:25" ht="20" customHeight="1">
      <c r="A339" s="28">
        <v>337</v>
      </c>
      <c r="B339" s="28" t="s">
        <v>20</v>
      </c>
      <c r="C339" s="28" t="s">
        <v>22</v>
      </c>
      <c r="D339" s="29" t="s">
        <v>2500</v>
      </c>
      <c r="E339" s="30" t="s">
        <v>2501</v>
      </c>
      <c r="F339" s="30" t="s">
        <v>2502</v>
      </c>
      <c r="G339" s="29" t="s">
        <v>2503</v>
      </c>
      <c r="H339" s="30" t="s">
        <v>2504</v>
      </c>
      <c r="I339" s="28" t="s">
        <v>75</v>
      </c>
      <c r="J339" s="28" t="s">
        <v>76</v>
      </c>
      <c r="K339" s="31" t="s">
        <v>1300</v>
      </c>
      <c r="L339" s="28">
        <f>IF(K339="","",IFERROR(ROUND((TODAY()-IF(ISNUMBER(K339),K339,DATEVALUE(K339)))/365.25, 1),""))</f>
        <v>0</v>
      </c>
      <c r="M339" s="28" t="s">
        <v>553</v>
      </c>
      <c r="N339" s="29" t="s">
        <v>82</v>
      </c>
      <c r="O339" s="28" t="s">
        <v>80</v>
      </c>
      <c r="P339" s="28" t="s">
        <v>81</v>
      </c>
      <c r="Q339" s="29" t="s">
        <v>82</v>
      </c>
      <c r="R339" s="28" t="s">
        <v>83</v>
      </c>
      <c r="S339" s="28" t="s">
        <v>12</v>
      </c>
      <c r="T339" s="28" t="s">
        <v>113</v>
      </c>
      <c r="U339" s="28" t="s">
        <v>85</v>
      </c>
      <c r="V339" s="29" t="s">
        <v>2505</v>
      </c>
      <c r="W339" s="29" t="s">
        <v>2506</v>
      </c>
      <c r="X339" s="28" t="s">
        <v>13</v>
      </c>
      <c r="Y339" s="31"/>
    </row>
    <row r="340" spans="1:25" ht="20" customHeight="1">
      <c r="A340" s="34">
        <v>338</v>
      </c>
      <c r="B340" s="34" t="s">
        <v>20</v>
      </c>
      <c r="C340" s="34" t="s">
        <v>22</v>
      </c>
      <c r="D340" s="35" t="s">
        <v>2507</v>
      </c>
      <c r="E340" s="36" t="s">
        <v>2508</v>
      </c>
      <c r="F340" s="36" t="s">
        <v>2509</v>
      </c>
      <c r="G340" s="35" t="s">
        <v>2510</v>
      </c>
      <c r="H340" s="36" t="s">
        <v>2511</v>
      </c>
      <c r="I340" s="34" t="s">
        <v>75</v>
      </c>
      <c r="J340" s="34" t="s">
        <v>76</v>
      </c>
      <c r="K340" s="37" t="s">
        <v>1285</v>
      </c>
      <c r="L340" s="34">
        <f>IF(K340="","",IFERROR(ROUND((TODAY()-IF(ISNUMBER(K340),K340,DATEVALUE(K340)))/365.25, 1),""))</f>
        <v>0</v>
      </c>
      <c r="M340" s="34" t="s">
        <v>553</v>
      </c>
      <c r="N340" s="35" t="s">
        <v>82</v>
      </c>
      <c r="O340" s="34" t="s">
        <v>80</v>
      </c>
      <c r="P340" s="34" t="s">
        <v>81</v>
      </c>
      <c r="Q340" s="35" t="s">
        <v>82</v>
      </c>
      <c r="R340" s="34" t="s">
        <v>83</v>
      </c>
      <c r="S340" s="34" t="s">
        <v>12</v>
      </c>
      <c r="T340" s="34" t="s">
        <v>113</v>
      </c>
      <c r="U340" s="34" t="s">
        <v>85</v>
      </c>
      <c r="V340" s="35" t="s">
        <v>2512</v>
      </c>
      <c r="W340" s="35" t="s">
        <v>2513</v>
      </c>
      <c r="X340" s="34" t="s">
        <v>13</v>
      </c>
      <c r="Y340" s="37"/>
    </row>
    <row r="341" spans="1:25" ht="20" customHeight="1">
      <c r="A341" s="28">
        <v>339</v>
      </c>
      <c r="B341" s="28" t="s">
        <v>20</v>
      </c>
      <c r="C341" s="28" t="s">
        <v>22</v>
      </c>
      <c r="D341" s="29" t="s">
        <v>2514</v>
      </c>
      <c r="E341" s="30" t="s">
        <v>2515</v>
      </c>
      <c r="F341" s="30" t="s">
        <v>2516</v>
      </c>
      <c r="G341" s="29" t="s">
        <v>2517</v>
      </c>
      <c r="H341" s="30" t="s">
        <v>2518</v>
      </c>
      <c r="I341" s="28" t="s">
        <v>75</v>
      </c>
      <c r="J341" s="28" t="s">
        <v>76</v>
      </c>
      <c r="K341" s="31" t="s">
        <v>1248</v>
      </c>
      <c r="L341" s="28">
        <f>IF(K341="","",IFERROR(ROUND((TODAY()-IF(ISNUMBER(K341),K341,DATEVALUE(K341)))/365.25, 1),""))</f>
        <v>0</v>
      </c>
      <c r="M341" s="28" t="s">
        <v>507</v>
      </c>
      <c r="N341" s="29" t="s">
        <v>82</v>
      </c>
      <c r="O341" s="28" t="s">
        <v>80</v>
      </c>
      <c r="P341" s="28" t="s">
        <v>81</v>
      </c>
      <c r="Q341" s="29" t="s">
        <v>82</v>
      </c>
      <c r="R341" s="28" t="s">
        <v>83</v>
      </c>
      <c r="S341" s="28" t="s">
        <v>12</v>
      </c>
      <c r="T341" s="28" t="s">
        <v>113</v>
      </c>
      <c r="U341" s="28" t="s">
        <v>85</v>
      </c>
      <c r="V341" s="29" t="s">
        <v>2519</v>
      </c>
      <c r="W341" s="29" t="s">
        <v>2520</v>
      </c>
      <c r="X341" s="28" t="s">
        <v>13</v>
      </c>
      <c r="Y341" s="31"/>
    </row>
    <row r="342" spans="1:25" ht="20" customHeight="1">
      <c r="A342" s="34">
        <v>340</v>
      </c>
      <c r="B342" s="34" t="s">
        <v>20</v>
      </c>
      <c r="C342" s="34" t="s">
        <v>22</v>
      </c>
      <c r="D342" s="35" t="s">
        <v>2521</v>
      </c>
      <c r="E342" s="36" t="s">
        <v>2522</v>
      </c>
      <c r="F342" s="36" t="s">
        <v>2523</v>
      </c>
      <c r="G342" s="35" t="s">
        <v>2524</v>
      </c>
      <c r="H342" s="36" t="s">
        <v>2525</v>
      </c>
      <c r="I342" s="34" t="s">
        <v>75</v>
      </c>
      <c r="J342" s="34" t="s">
        <v>76</v>
      </c>
      <c r="K342" s="37" t="s">
        <v>1248</v>
      </c>
      <c r="L342" s="34">
        <f>IF(K342="","",IFERROR(ROUND((TODAY()-IF(ISNUMBER(K342),K342,DATEVALUE(K342)))/365.25, 1),""))</f>
        <v>0</v>
      </c>
      <c r="M342" s="34" t="s">
        <v>553</v>
      </c>
      <c r="N342" s="35" t="s">
        <v>82</v>
      </c>
      <c r="O342" s="34" t="s">
        <v>80</v>
      </c>
      <c r="P342" s="34" t="s">
        <v>81</v>
      </c>
      <c r="Q342" s="35" t="s">
        <v>82</v>
      </c>
      <c r="R342" s="34" t="s">
        <v>83</v>
      </c>
      <c r="S342" s="34" t="s">
        <v>12</v>
      </c>
      <c r="T342" s="34" t="s">
        <v>113</v>
      </c>
      <c r="U342" s="34" t="s">
        <v>85</v>
      </c>
      <c r="V342" s="35" t="s">
        <v>2526</v>
      </c>
      <c r="W342" s="35" t="s">
        <v>2527</v>
      </c>
      <c r="X342" s="34" t="s">
        <v>13</v>
      </c>
      <c r="Y342" s="37"/>
    </row>
    <row r="343" spans="1:25" ht="20" customHeight="1">
      <c r="A343" s="28">
        <v>341</v>
      </c>
      <c r="B343" s="28" t="s">
        <v>20</v>
      </c>
      <c r="C343" s="28" t="s">
        <v>22</v>
      </c>
      <c r="D343" s="29" t="s">
        <v>2528</v>
      </c>
      <c r="E343" s="30" t="s">
        <v>2529</v>
      </c>
      <c r="F343" s="30" t="s">
        <v>2530</v>
      </c>
      <c r="G343" s="29" t="s">
        <v>2531</v>
      </c>
      <c r="H343" s="30" t="s">
        <v>2532</v>
      </c>
      <c r="I343" s="28" t="s">
        <v>75</v>
      </c>
      <c r="J343" s="28" t="s">
        <v>76</v>
      </c>
      <c r="K343" s="31" t="s">
        <v>1292</v>
      </c>
      <c r="L343" s="28">
        <f>IF(K343="","",IFERROR(ROUND((TODAY()-IF(ISNUMBER(K343),K343,DATEVALUE(K343)))/365.25, 1),""))</f>
        <v>0</v>
      </c>
      <c r="M343" s="28" t="s">
        <v>553</v>
      </c>
      <c r="N343" s="29" t="s">
        <v>82</v>
      </c>
      <c r="O343" s="28" t="s">
        <v>80</v>
      </c>
      <c r="P343" s="28" t="s">
        <v>81</v>
      </c>
      <c r="Q343" s="29" t="s">
        <v>82</v>
      </c>
      <c r="R343" s="28" t="s">
        <v>83</v>
      </c>
      <c r="S343" s="28" t="s">
        <v>12</v>
      </c>
      <c r="T343" s="28" t="s">
        <v>113</v>
      </c>
      <c r="U343" s="28" t="s">
        <v>85</v>
      </c>
      <c r="V343" s="29" t="s">
        <v>2533</v>
      </c>
      <c r="W343" s="29" t="s">
        <v>2534</v>
      </c>
      <c r="X343" s="28" t="s">
        <v>13</v>
      </c>
      <c r="Y343" s="31"/>
    </row>
    <row r="344" spans="1:25" ht="20" customHeight="1">
      <c r="A344" s="34">
        <v>342</v>
      </c>
      <c r="B344" s="34" t="s">
        <v>20</v>
      </c>
      <c r="C344" s="34" t="s">
        <v>22</v>
      </c>
      <c r="D344" s="35" t="s">
        <v>2535</v>
      </c>
      <c r="E344" s="36" t="s">
        <v>2536</v>
      </c>
      <c r="F344" s="36" t="s">
        <v>2537</v>
      </c>
      <c r="G344" s="35" t="s">
        <v>2538</v>
      </c>
      <c r="H344" s="36" t="s">
        <v>2539</v>
      </c>
      <c r="I344" s="34" t="s">
        <v>75</v>
      </c>
      <c r="J344" s="34" t="s">
        <v>76</v>
      </c>
      <c r="K344" s="37" t="s">
        <v>1248</v>
      </c>
      <c r="L344" s="34">
        <f>IF(K344="","",IFERROR(ROUND((TODAY()-IF(ISNUMBER(K344),K344,DATEVALUE(K344)))/365.25, 1),""))</f>
        <v>0</v>
      </c>
      <c r="M344" s="34" t="s">
        <v>757</v>
      </c>
      <c r="N344" s="35" t="s">
        <v>82</v>
      </c>
      <c r="O344" s="34" t="s">
        <v>80</v>
      </c>
      <c r="P344" s="34" t="s">
        <v>81</v>
      </c>
      <c r="Q344" s="35" t="s">
        <v>82</v>
      </c>
      <c r="R344" s="34" t="s">
        <v>83</v>
      </c>
      <c r="S344" s="34" t="s">
        <v>12</v>
      </c>
      <c r="T344" s="34" t="s">
        <v>113</v>
      </c>
      <c r="U344" s="34" t="s">
        <v>85</v>
      </c>
      <c r="V344" s="35" t="s">
        <v>2540</v>
      </c>
      <c r="W344" s="35" t="s">
        <v>2541</v>
      </c>
      <c r="X344" s="34" t="s">
        <v>13</v>
      </c>
      <c r="Y344" s="37"/>
    </row>
    <row r="345" spans="1:25" ht="20" customHeight="1">
      <c r="A345" s="28">
        <v>343</v>
      </c>
      <c r="B345" s="28" t="s">
        <v>20</v>
      </c>
      <c r="C345" s="28" t="s">
        <v>22</v>
      </c>
      <c r="D345" s="29" t="s">
        <v>2542</v>
      </c>
      <c r="E345" s="30" t="s">
        <v>2543</v>
      </c>
      <c r="F345" s="30" t="s">
        <v>2544</v>
      </c>
      <c r="G345" s="29" t="s">
        <v>2545</v>
      </c>
      <c r="H345" s="30" t="s">
        <v>2546</v>
      </c>
      <c r="I345" s="28" t="s">
        <v>75</v>
      </c>
      <c r="J345" s="28" t="s">
        <v>76</v>
      </c>
      <c r="K345" s="31" t="s">
        <v>1248</v>
      </c>
      <c r="L345" s="28">
        <f>IF(K345="","",IFERROR(ROUND((TODAY()-IF(ISNUMBER(K345),K345,DATEVALUE(K345)))/365.25, 1),""))</f>
        <v>0</v>
      </c>
      <c r="M345" s="28" t="s">
        <v>553</v>
      </c>
      <c r="N345" s="29" t="s">
        <v>82</v>
      </c>
      <c r="O345" s="28" t="s">
        <v>80</v>
      </c>
      <c r="P345" s="28" t="s">
        <v>81</v>
      </c>
      <c r="Q345" s="29" t="s">
        <v>82</v>
      </c>
      <c r="R345" s="28" t="s">
        <v>83</v>
      </c>
      <c r="S345" s="28" t="s">
        <v>12</v>
      </c>
      <c r="T345" s="28" t="s">
        <v>113</v>
      </c>
      <c r="U345" s="28" t="s">
        <v>85</v>
      </c>
      <c r="V345" s="29" t="s">
        <v>2547</v>
      </c>
      <c r="W345" s="29" t="s">
        <v>2548</v>
      </c>
      <c r="X345" s="28" t="s">
        <v>13</v>
      </c>
      <c r="Y345" s="31"/>
    </row>
    <row r="346" spans="1:25" ht="20" customHeight="1">
      <c r="A346" s="34">
        <v>344</v>
      </c>
      <c r="B346" s="34" t="s">
        <v>20</v>
      </c>
      <c r="C346" s="34" t="s">
        <v>22</v>
      </c>
      <c r="D346" s="35" t="s">
        <v>2549</v>
      </c>
      <c r="E346" s="36" t="s">
        <v>2550</v>
      </c>
      <c r="F346" s="36" t="s">
        <v>2551</v>
      </c>
      <c r="G346" s="35" t="s">
        <v>2552</v>
      </c>
      <c r="H346" s="36" t="s">
        <v>2553</v>
      </c>
      <c r="I346" s="34" t="s">
        <v>75</v>
      </c>
      <c r="J346" s="34" t="s">
        <v>76</v>
      </c>
      <c r="K346" s="37" t="s">
        <v>1966</v>
      </c>
      <c r="L346" s="34">
        <f>IF(K346="","",IFERROR(ROUND((TODAY()-IF(ISNUMBER(K346),K346,DATEVALUE(K346)))/365.25, 1),""))</f>
        <v>0</v>
      </c>
      <c r="M346" s="34" t="s">
        <v>507</v>
      </c>
      <c r="N346" s="35" t="s">
        <v>82</v>
      </c>
      <c r="O346" s="34" t="s">
        <v>80</v>
      </c>
      <c r="P346" s="34" t="s">
        <v>81</v>
      </c>
      <c r="Q346" s="35" t="s">
        <v>82</v>
      </c>
      <c r="R346" s="34" t="s">
        <v>83</v>
      </c>
      <c r="S346" s="34" t="s">
        <v>12</v>
      </c>
      <c r="T346" s="34" t="s">
        <v>113</v>
      </c>
      <c r="U346" s="34" t="s">
        <v>85</v>
      </c>
      <c r="V346" s="35" t="s">
        <v>2554</v>
      </c>
      <c r="W346" s="35" t="s">
        <v>2555</v>
      </c>
      <c r="X346" s="34" t="s">
        <v>13</v>
      </c>
      <c r="Y346" s="37"/>
    </row>
    <row r="347" spans="1:25" ht="20" customHeight="1">
      <c r="A347" s="28">
        <v>345</v>
      </c>
      <c r="B347" s="28" t="s">
        <v>20</v>
      </c>
      <c r="C347" s="28" t="s">
        <v>22</v>
      </c>
      <c r="D347" s="29" t="s">
        <v>2556</v>
      </c>
      <c r="E347" s="30" t="s">
        <v>2557</v>
      </c>
      <c r="F347" s="30" t="s">
        <v>2558</v>
      </c>
      <c r="G347" s="29" t="s">
        <v>2559</v>
      </c>
      <c r="H347" s="30" t="s">
        <v>2560</v>
      </c>
      <c r="I347" s="28" t="s">
        <v>75</v>
      </c>
      <c r="J347" s="28" t="s">
        <v>76</v>
      </c>
      <c r="K347" s="31" t="s">
        <v>2561</v>
      </c>
      <c r="L347" s="28">
        <f>IF(K347="","",IFERROR(ROUND((TODAY()-IF(ISNUMBER(K347),K347,DATEVALUE(K347)))/365.25, 1),""))</f>
        <v>0</v>
      </c>
      <c r="M347" s="28" t="s">
        <v>757</v>
      </c>
      <c r="N347" s="29" t="s">
        <v>82</v>
      </c>
      <c r="O347" s="28" t="s">
        <v>80</v>
      </c>
      <c r="P347" s="28" t="s">
        <v>81</v>
      </c>
      <c r="Q347" s="29" t="s">
        <v>82</v>
      </c>
      <c r="R347" s="28" t="s">
        <v>83</v>
      </c>
      <c r="S347" s="28" t="s">
        <v>12</v>
      </c>
      <c r="T347" s="28" t="s">
        <v>113</v>
      </c>
      <c r="U347" s="28" t="s">
        <v>85</v>
      </c>
      <c r="V347" s="29" t="s">
        <v>2562</v>
      </c>
      <c r="W347" s="29" t="s">
        <v>2563</v>
      </c>
      <c r="X347" s="28" t="s">
        <v>13</v>
      </c>
      <c r="Y347" s="31"/>
    </row>
    <row r="348" spans="1:25" ht="20" customHeight="1">
      <c r="A348" s="34">
        <v>346</v>
      </c>
      <c r="B348" s="34" t="s">
        <v>20</v>
      </c>
      <c r="C348" s="34" t="s">
        <v>22</v>
      </c>
      <c r="D348" s="35" t="s">
        <v>2564</v>
      </c>
      <c r="E348" s="36" t="s">
        <v>2565</v>
      </c>
      <c r="F348" s="36" t="s">
        <v>2566</v>
      </c>
      <c r="G348" s="35" t="s">
        <v>2567</v>
      </c>
      <c r="H348" s="36" t="s">
        <v>2568</v>
      </c>
      <c r="I348" s="34" t="s">
        <v>75</v>
      </c>
      <c r="J348" s="34" t="s">
        <v>76</v>
      </c>
      <c r="K348" s="37" t="s">
        <v>2569</v>
      </c>
      <c r="L348" s="34">
        <f>IF(K348="","",IFERROR(ROUND((TODAY()-IF(ISNUMBER(K348),K348,DATEVALUE(K348)))/365.25, 1),""))</f>
        <v>0</v>
      </c>
      <c r="M348" s="34" t="s">
        <v>757</v>
      </c>
      <c r="N348" s="35" t="s">
        <v>82</v>
      </c>
      <c r="O348" s="34" t="s">
        <v>80</v>
      </c>
      <c r="P348" s="34" t="s">
        <v>81</v>
      </c>
      <c r="Q348" s="35" t="s">
        <v>82</v>
      </c>
      <c r="R348" s="34" t="s">
        <v>83</v>
      </c>
      <c r="S348" s="34" t="s">
        <v>12</v>
      </c>
      <c r="T348" s="34" t="s">
        <v>113</v>
      </c>
      <c r="U348" s="34" t="s">
        <v>85</v>
      </c>
      <c r="V348" s="35" t="s">
        <v>2570</v>
      </c>
      <c r="W348" s="35" t="s">
        <v>2571</v>
      </c>
      <c r="X348" s="34" t="s">
        <v>13</v>
      </c>
      <c r="Y348" s="37"/>
    </row>
    <row r="349" spans="1:25" ht="20" customHeight="1">
      <c r="A349" s="28">
        <v>347</v>
      </c>
      <c r="B349" s="28" t="s">
        <v>20</v>
      </c>
      <c r="C349" s="28" t="s">
        <v>22</v>
      </c>
      <c r="D349" s="29" t="s">
        <v>2572</v>
      </c>
      <c r="E349" s="30" t="s">
        <v>2573</v>
      </c>
      <c r="F349" s="30" t="s">
        <v>2574</v>
      </c>
      <c r="G349" s="29" t="s">
        <v>2575</v>
      </c>
      <c r="H349" s="30" t="s">
        <v>2576</v>
      </c>
      <c r="I349" s="28" t="s">
        <v>75</v>
      </c>
      <c r="J349" s="28" t="s">
        <v>76</v>
      </c>
      <c r="K349" s="31" t="s">
        <v>1704</v>
      </c>
      <c r="L349" s="28">
        <f>IF(K349="","",IFERROR(ROUND((TODAY()-IF(ISNUMBER(K349),K349,DATEVALUE(K349)))/365.25, 1),""))</f>
        <v>0</v>
      </c>
      <c r="M349" s="28" t="s">
        <v>553</v>
      </c>
      <c r="N349" s="29" t="s">
        <v>82</v>
      </c>
      <c r="O349" s="28" t="s">
        <v>80</v>
      </c>
      <c r="P349" s="28" t="s">
        <v>81</v>
      </c>
      <c r="Q349" s="29" t="s">
        <v>82</v>
      </c>
      <c r="R349" s="28" t="s">
        <v>83</v>
      </c>
      <c r="S349" s="28" t="s">
        <v>12</v>
      </c>
      <c r="T349" s="28" t="s">
        <v>113</v>
      </c>
      <c r="U349" s="28" t="s">
        <v>85</v>
      </c>
      <c r="V349" s="29" t="s">
        <v>2577</v>
      </c>
      <c r="W349" s="29" t="s">
        <v>2578</v>
      </c>
      <c r="X349" s="28" t="s">
        <v>13</v>
      </c>
      <c r="Y349" s="31"/>
    </row>
    <row r="350" spans="1:25" ht="20" customHeight="1">
      <c r="A350" s="34">
        <v>348</v>
      </c>
      <c r="B350" s="34" t="s">
        <v>20</v>
      </c>
      <c r="C350" s="34" t="s">
        <v>22</v>
      </c>
      <c r="D350" s="35" t="s">
        <v>2579</v>
      </c>
      <c r="E350" s="36" t="s">
        <v>2580</v>
      </c>
      <c r="F350" s="36" t="s">
        <v>2581</v>
      </c>
      <c r="G350" s="35" t="s">
        <v>2582</v>
      </c>
      <c r="H350" s="36" t="s">
        <v>2583</v>
      </c>
      <c r="I350" s="34" t="s">
        <v>75</v>
      </c>
      <c r="J350" s="34" t="s">
        <v>76</v>
      </c>
      <c r="K350" s="37" t="s">
        <v>1248</v>
      </c>
      <c r="L350" s="34">
        <f>IF(K350="","",IFERROR(ROUND((TODAY()-IF(ISNUMBER(K350),K350,DATEVALUE(K350)))/365.25, 1),""))</f>
        <v>0</v>
      </c>
      <c r="M350" s="34" t="s">
        <v>553</v>
      </c>
      <c r="N350" s="35" t="s">
        <v>82</v>
      </c>
      <c r="O350" s="34" t="s">
        <v>80</v>
      </c>
      <c r="P350" s="34" t="s">
        <v>81</v>
      </c>
      <c r="Q350" s="35" t="s">
        <v>82</v>
      </c>
      <c r="R350" s="34" t="s">
        <v>83</v>
      </c>
      <c r="S350" s="34" t="s">
        <v>12</v>
      </c>
      <c r="T350" s="34" t="s">
        <v>113</v>
      </c>
      <c r="U350" s="34" t="s">
        <v>85</v>
      </c>
      <c r="V350" s="35" t="s">
        <v>2584</v>
      </c>
      <c r="W350" s="35" t="s">
        <v>2585</v>
      </c>
      <c r="X350" s="34" t="s">
        <v>13</v>
      </c>
      <c r="Y350" s="37"/>
    </row>
    <row r="351" spans="1:25" ht="20" customHeight="1">
      <c r="A351" s="28">
        <v>349</v>
      </c>
      <c r="B351" s="28" t="s">
        <v>20</v>
      </c>
      <c r="C351" s="28" t="s">
        <v>22</v>
      </c>
      <c r="D351" s="29" t="s">
        <v>2586</v>
      </c>
      <c r="E351" s="30" t="s">
        <v>2587</v>
      </c>
      <c r="F351" s="30" t="s">
        <v>2588</v>
      </c>
      <c r="G351" s="29" t="s">
        <v>2589</v>
      </c>
      <c r="H351" s="30" t="s">
        <v>2590</v>
      </c>
      <c r="I351" s="28" t="s">
        <v>75</v>
      </c>
      <c r="J351" s="28" t="s">
        <v>76</v>
      </c>
      <c r="K351" s="31" t="s">
        <v>1263</v>
      </c>
      <c r="L351" s="28">
        <f>IF(K351="","",IFERROR(ROUND((TODAY()-IF(ISNUMBER(K351),K351,DATEVALUE(K351)))/365.25, 1),""))</f>
        <v>0</v>
      </c>
      <c r="M351" s="28" t="s">
        <v>553</v>
      </c>
      <c r="N351" s="29" t="s">
        <v>82</v>
      </c>
      <c r="O351" s="28" t="s">
        <v>80</v>
      </c>
      <c r="P351" s="28" t="s">
        <v>81</v>
      </c>
      <c r="Q351" s="29" t="s">
        <v>82</v>
      </c>
      <c r="R351" s="28" t="s">
        <v>83</v>
      </c>
      <c r="S351" s="28" t="s">
        <v>12</v>
      </c>
      <c r="T351" s="28" t="s">
        <v>113</v>
      </c>
      <c r="U351" s="28" t="s">
        <v>85</v>
      </c>
      <c r="V351" s="29" t="s">
        <v>2591</v>
      </c>
      <c r="W351" s="29" t="s">
        <v>2592</v>
      </c>
      <c r="X351" s="28" t="s">
        <v>13</v>
      </c>
      <c r="Y351" s="31"/>
    </row>
    <row r="352" spans="1:25" ht="20" customHeight="1">
      <c r="A352" s="34">
        <v>350</v>
      </c>
      <c r="B352" s="34" t="s">
        <v>20</v>
      </c>
      <c r="C352" s="34" t="s">
        <v>22</v>
      </c>
      <c r="D352" s="35" t="s">
        <v>2593</v>
      </c>
      <c r="E352" s="36" t="s">
        <v>2594</v>
      </c>
      <c r="F352" s="36" t="s">
        <v>2595</v>
      </c>
      <c r="G352" s="35" t="s">
        <v>2596</v>
      </c>
      <c r="H352" s="36" t="s">
        <v>2597</v>
      </c>
      <c r="I352" s="34" t="s">
        <v>75</v>
      </c>
      <c r="J352" s="34" t="s">
        <v>76</v>
      </c>
      <c r="K352" s="37" t="s">
        <v>1248</v>
      </c>
      <c r="L352" s="34">
        <f>IF(K352="","",IFERROR(ROUND((TODAY()-IF(ISNUMBER(K352),K352,DATEVALUE(K352)))/365.25, 1),""))</f>
        <v>0</v>
      </c>
      <c r="M352" s="34" t="s">
        <v>553</v>
      </c>
      <c r="N352" s="35" t="s">
        <v>82</v>
      </c>
      <c r="O352" s="34" t="s">
        <v>80</v>
      </c>
      <c r="P352" s="34" t="s">
        <v>81</v>
      </c>
      <c r="Q352" s="35" t="s">
        <v>82</v>
      </c>
      <c r="R352" s="34" t="s">
        <v>83</v>
      </c>
      <c r="S352" s="34" t="s">
        <v>12</v>
      </c>
      <c r="T352" s="34" t="s">
        <v>113</v>
      </c>
      <c r="U352" s="34" t="s">
        <v>85</v>
      </c>
      <c r="V352" s="35" t="s">
        <v>2598</v>
      </c>
      <c r="W352" s="35" t="s">
        <v>2599</v>
      </c>
      <c r="X352" s="34" t="s">
        <v>13</v>
      </c>
      <c r="Y352" s="37"/>
    </row>
    <row r="353" spans="1:25" ht="20" customHeight="1">
      <c r="A353" s="28">
        <v>351</v>
      </c>
      <c r="B353" s="28" t="s">
        <v>20</v>
      </c>
      <c r="C353" s="28" t="s">
        <v>22</v>
      </c>
      <c r="D353" s="29" t="s">
        <v>2600</v>
      </c>
      <c r="E353" s="30" t="s">
        <v>2601</v>
      </c>
      <c r="F353" s="30" t="s">
        <v>2602</v>
      </c>
      <c r="G353" s="29" t="s">
        <v>2603</v>
      </c>
      <c r="H353" s="30" t="s">
        <v>2604</v>
      </c>
      <c r="I353" s="28" t="s">
        <v>75</v>
      </c>
      <c r="J353" s="28" t="s">
        <v>76</v>
      </c>
      <c r="K353" s="31" t="s">
        <v>1263</v>
      </c>
      <c r="L353" s="28">
        <f>IF(K353="","",IFERROR(ROUND((TODAY()-IF(ISNUMBER(K353),K353,DATEVALUE(K353)))/365.25, 1),""))</f>
        <v>0</v>
      </c>
      <c r="M353" s="28" t="s">
        <v>553</v>
      </c>
      <c r="N353" s="29" t="s">
        <v>82</v>
      </c>
      <c r="O353" s="28" t="s">
        <v>80</v>
      </c>
      <c r="P353" s="28" t="s">
        <v>81</v>
      </c>
      <c r="Q353" s="29" t="s">
        <v>82</v>
      </c>
      <c r="R353" s="28" t="s">
        <v>83</v>
      </c>
      <c r="S353" s="28" t="s">
        <v>12</v>
      </c>
      <c r="T353" s="28" t="s">
        <v>113</v>
      </c>
      <c r="U353" s="28" t="s">
        <v>85</v>
      </c>
      <c r="V353" s="29" t="s">
        <v>2605</v>
      </c>
      <c r="W353" s="29" t="s">
        <v>2606</v>
      </c>
      <c r="X353" s="28" t="s">
        <v>13</v>
      </c>
      <c r="Y353" s="31"/>
    </row>
    <row r="354" spans="1:25" ht="20" customHeight="1">
      <c r="A354" s="34">
        <v>352</v>
      </c>
      <c r="B354" s="34" t="s">
        <v>20</v>
      </c>
      <c r="C354" s="34" t="s">
        <v>22</v>
      </c>
      <c r="D354" s="35" t="s">
        <v>2607</v>
      </c>
      <c r="E354" s="36" t="s">
        <v>2608</v>
      </c>
      <c r="F354" s="36" t="s">
        <v>2609</v>
      </c>
      <c r="G354" s="35" t="s">
        <v>2610</v>
      </c>
      <c r="H354" s="36" t="s">
        <v>2611</v>
      </c>
      <c r="I354" s="34" t="s">
        <v>75</v>
      </c>
      <c r="J354" s="34" t="s">
        <v>76</v>
      </c>
      <c r="K354" s="37" t="s">
        <v>1248</v>
      </c>
      <c r="L354" s="34">
        <f>IF(K354="","",IFERROR(ROUND((TODAY()-IF(ISNUMBER(K354),K354,DATEVALUE(K354)))/365.25, 1),""))</f>
        <v>0</v>
      </c>
      <c r="M354" s="34" t="s">
        <v>553</v>
      </c>
      <c r="N354" s="35" t="s">
        <v>82</v>
      </c>
      <c r="O354" s="34" t="s">
        <v>80</v>
      </c>
      <c r="P354" s="34" t="s">
        <v>81</v>
      </c>
      <c r="Q354" s="35" t="s">
        <v>82</v>
      </c>
      <c r="R354" s="34" t="s">
        <v>83</v>
      </c>
      <c r="S354" s="34" t="s">
        <v>12</v>
      </c>
      <c r="T354" s="34" t="s">
        <v>113</v>
      </c>
      <c r="U354" s="34" t="s">
        <v>85</v>
      </c>
      <c r="V354" s="35" t="s">
        <v>2612</v>
      </c>
      <c r="W354" s="35" t="s">
        <v>2613</v>
      </c>
      <c r="X354" s="34" t="s">
        <v>13</v>
      </c>
      <c r="Y354" s="37"/>
    </row>
    <row r="355" spans="1:25" ht="20" customHeight="1">
      <c r="A355" s="28">
        <v>353</v>
      </c>
      <c r="B355" s="28" t="s">
        <v>20</v>
      </c>
      <c r="C355" s="28" t="s">
        <v>22</v>
      </c>
      <c r="D355" s="29" t="s">
        <v>2614</v>
      </c>
      <c r="E355" s="30" t="s">
        <v>2615</v>
      </c>
      <c r="F355" s="30" t="s">
        <v>2616</v>
      </c>
      <c r="G355" s="29" t="s">
        <v>2617</v>
      </c>
      <c r="H355" s="30" t="s">
        <v>2618</v>
      </c>
      <c r="I355" s="28" t="s">
        <v>75</v>
      </c>
      <c r="J355" s="28" t="s">
        <v>76</v>
      </c>
      <c r="K355" s="31" t="s">
        <v>1610</v>
      </c>
      <c r="L355" s="28">
        <f>IF(K355="","",IFERROR(ROUND((TODAY()-IF(ISNUMBER(K355),K355,DATEVALUE(K355)))/365.25, 1),""))</f>
        <v>0</v>
      </c>
      <c r="M355" s="28" t="s">
        <v>553</v>
      </c>
      <c r="N355" s="29" t="s">
        <v>82</v>
      </c>
      <c r="O355" s="28" t="s">
        <v>80</v>
      </c>
      <c r="P355" s="28" t="s">
        <v>81</v>
      </c>
      <c r="Q355" s="29" t="s">
        <v>82</v>
      </c>
      <c r="R355" s="28" t="s">
        <v>83</v>
      </c>
      <c r="S355" s="28" t="s">
        <v>12</v>
      </c>
      <c r="T355" s="28" t="s">
        <v>113</v>
      </c>
      <c r="U355" s="28" t="s">
        <v>85</v>
      </c>
      <c r="V355" s="29" t="s">
        <v>2619</v>
      </c>
      <c r="W355" s="29" t="s">
        <v>2620</v>
      </c>
      <c r="X355" s="28" t="s">
        <v>13</v>
      </c>
      <c r="Y355" s="31"/>
    </row>
    <row r="356" spans="1:25" ht="20" customHeight="1">
      <c r="A356" s="34">
        <v>354</v>
      </c>
      <c r="B356" s="34" t="s">
        <v>20</v>
      </c>
      <c r="C356" s="34" t="s">
        <v>22</v>
      </c>
      <c r="D356" s="35" t="s">
        <v>2621</v>
      </c>
      <c r="E356" s="36" t="s">
        <v>175</v>
      </c>
      <c r="F356" s="36" t="s">
        <v>1420</v>
      </c>
      <c r="G356" s="35" t="s">
        <v>2622</v>
      </c>
      <c r="H356" s="36" t="s">
        <v>2623</v>
      </c>
      <c r="I356" s="34" t="s">
        <v>75</v>
      </c>
      <c r="J356" s="34" t="s">
        <v>76</v>
      </c>
      <c r="K356" s="37" t="s">
        <v>1248</v>
      </c>
      <c r="L356" s="34">
        <f>IF(K356="","",IFERROR(ROUND((TODAY()-IF(ISNUMBER(K356),K356,DATEVALUE(K356)))/365.25, 1),""))</f>
        <v>0</v>
      </c>
      <c r="M356" s="34" t="s">
        <v>553</v>
      </c>
      <c r="N356" s="35" t="s">
        <v>82</v>
      </c>
      <c r="O356" s="34" t="s">
        <v>80</v>
      </c>
      <c r="P356" s="34" t="s">
        <v>81</v>
      </c>
      <c r="Q356" s="35" t="s">
        <v>82</v>
      </c>
      <c r="R356" s="34" t="s">
        <v>83</v>
      </c>
      <c r="S356" s="34" t="s">
        <v>12</v>
      </c>
      <c r="T356" s="34" t="s">
        <v>113</v>
      </c>
      <c r="U356" s="34" t="s">
        <v>85</v>
      </c>
      <c r="V356" s="35" t="s">
        <v>2624</v>
      </c>
      <c r="W356" s="35" t="s">
        <v>1846</v>
      </c>
      <c r="X356" s="34" t="s">
        <v>13</v>
      </c>
      <c r="Y356" s="37"/>
    </row>
    <row r="357" spans="1:25" ht="20" customHeight="1">
      <c r="A357" s="28">
        <v>355</v>
      </c>
      <c r="B357" s="28" t="s">
        <v>20</v>
      </c>
      <c r="C357" s="28" t="s">
        <v>22</v>
      </c>
      <c r="D357" s="29" t="s">
        <v>2625</v>
      </c>
      <c r="E357" s="30" t="s">
        <v>2626</v>
      </c>
      <c r="F357" s="30" t="s">
        <v>2627</v>
      </c>
      <c r="G357" s="29" t="s">
        <v>2628</v>
      </c>
      <c r="H357" s="30" t="s">
        <v>2629</v>
      </c>
      <c r="I357" s="28" t="s">
        <v>75</v>
      </c>
      <c r="J357" s="28" t="s">
        <v>76</v>
      </c>
      <c r="K357" s="31" t="s">
        <v>1248</v>
      </c>
      <c r="L357" s="28">
        <f>IF(K357="","",IFERROR(ROUND((TODAY()-IF(ISNUMBER(K357),K357,DATEVALUE(K357)))/365.25, 1),""))</f>
        <v>0</v>
      </c>
      <c r="M357" s="28" t="s">
        <v>553</v>
      </c>
      <c r="N357" s="29" t="s">
        <v>82</v>
      </c>
      <c r="O357" s="28" t="s">
        <v>80</v>
      </c>
      <c r="P357" s="28" t="s">
        <v>81</v>
      </c>
      <c r="Q357" s="29" t="s">
        <v>82</v>
      </c>
      <c r="R357" s="28" t="s">
        <v>83</v>
      </c>
      <c r="S357" s="28" t="s">
        <v>12</v>
      </c>
      <c r="T357" s="28" t="s">
        <v>113</v>
      </c>
      <c r="U357" s="28" t="s">
        <v>85</v>
      </c>
      <c r="V357" s="29" t="s">
        <v>2630</v>
      </c>
      <c r="W357" s="29" t="s">
        <v>2631</v>
      </c>
      <c r="X357" s="28" t="s">
        <v>13</v>
      </c>
      <c r="Y357" s="31"/>
    </row>
    <row r="358" spans="1:25" ht="20" customHeight="1">
      <c r="A358" s="34">
        <v>356</v>
      </c>
      <c r="B358" s="34" t="s">
        <v>20</v>
      </c>
      <c r="C358" s="34" t="s">
        <v>22</v>
      </c>
      <c r="D358" s="35" t="s">
        <v>2632</v>
      </c>
      <c r="E358" s="36" t="s">
        <v>2633</v>
      </c>
      <c r="F358" s="36" t="s">
        <v>2634</v>
      </c>
      <c r="G358" s="35" t="s">
        <v>2635</v>
      </c>
      <c r="H358" s="36" t="s">
        <v>2636</v>
      </c>
      <c r="I358" s="34" t="s">
        <v>75</v>
      </c>
      <c r="J358" s="34" t="s">
        <v>76</v>
      </c>
      <c r="K358" s="37" t="s">
        <v>237</v>
      </c>
      <c r="L358" s="34">
        <f>IF(K358="","",IFERROR(ROUND((TODAY()-IF(ISNUMBER(K358),K358,DATEVALUE(K358)))/365.25, 1),""))</f>
        <v>0</v>
      </c>
      <c r="M358" s="34" t="s">
        <v>553</v>
      </c>
      <c r="N358" s="35" t="s">
        <v>82</v>
      </c>
      <c r="O358" s="34" t="s">
        <v>80</v>
      </c>
      <c r="P358" s="34" t="s">
        <v>81</v>
      </c>
      <c r="Q358" s="35" t="s">
        <v>82</v>
      </c>
      <c r="R358" s="34" t="s">
        <v>83</v>
      </c>
      <c r="S358" s="34" t="s">
        <v>12</v>
      </c>
      <c r="T358" s="34" t="s">
        <v>113</v>
      </c>
      <c r="U358" s="34" t="s">
        <v>85</v>
      </c>
      <c r="V358" s="35" t="s">
        <v>2637</v>
      </c>
      <c r="W358" s="35" t="s">
        <v>2638</v>
      </c>
      <c r="X358" s="34" t="s">
        <v>13</v>
      </c>
      <c r="Y358" s="37"/>
    </row>
    <row r="359" spans="1:25" ht="20" customHeight="1">
      <c r="A359" s="28">
        <v>357</v>
      </c>
      <c r="B359" s="28" t="s">
        <v>20</v>
      </c>
      <c r="C359" s="28" t="s">
        <v>22</v>
      </c>
      <c r="D359" s="29" t="s">
        <v>2639</v>
      </c>
      <c r="E359" s="30" t="s">
        <v>2640</v>
      </c>
      <c r="F359" s="30" t="s">
        <v>2641</v>
      </c>
      <c r="G359" s="29" t="s">
        <v>2642</v>
      </c>
      <c r="H359" s="30" t="s">
        <v>2643</v>
      </c>
      <c r="I359" s="28" t="s">
        <v>75</v>
      </c>
      <c r="J359" s="28" t="s">
        <v>76</v>
      </c>
      <c r="K359" s="31" t="s">
        <v>2644</v>
      </c>
      <c r="L359" s="28">
        <f>IF(K359="","",IFERROR(ROUND((TODAY()-IF(ISNUMBER(K359),K359,DATEVALUE(K359)))/365.25, 1),""))</f>
        <v>0</v>
      </c>
      <c r="M359" s="28" t="s">
        <v>553</v>
      </c>
      <c r="N359" s="29" t="s">
        <v>82</v>
      </c>
      <c r="O359" s="28" t="s">
        <v>80</v>
      </c>
      <c r="P359" s="28" t="s">
        <v>81</v>
      </c>
      <c r="Q359" s="29" t="s">
        <v>82</v>
      </c>
      <c r="R359" s="28" t="s">
        <v>83</v>
      </c>
      <c r="S359" s="28" t="s">
        <v>12</v>
      </c>
      <c r="T359" s="28" t="s">
        <v>113</v>
      </c>
      <c r="U359" s="28" t="s">
        <v>85</v>
      </c>
      <c r="V359" s="29" t="s">
        <v>2645</v>
      </c>
      <c r="W359" s="29" t="s">
        <v>2646</v>
      </c>
      <c r="X359" s="28" t="s">
        <v>13</v>
      </c>
      <c r="Y359" s="31"/>
    </row>
    <row r="360" spans="1:25" ht="20" customHeight="1">
      <c r="A360" s="34">
        <v>358</v>
      </c>
      <c r="B360" s="34" t="s">
        <v>20</v>
      </c>
      <c r="C360" s="34" t="s">
        <v>22</v>
      </c>
      <c r="D360" s="35" t="s">
        <v>2647</v>
      </c>
      <c r="E360" s="36" t="s">
        <v>2648</v>
      </c>
      <c r="F360" s="36" t="s">
        <v>2649</v>
      </c>
      <c r="G360" s="35" t="s">
        <v>2650</v>
      </c>
      <c r="H360" s="36" t="s">
        <v>2651</v>
      </c>
      <c r="I360" s="34" t="s">
        <v>75</v>
      </c>
      <c r="J360" s="34" t="s">
        <v>76</v>
      </c>
      <c r="K360" s="37" t="s">
        <v>1292</v>
      </c>
      <c r="L360" s="34">
        <f>IF(K360="","",IFERROR(ROUND((TODAY()-IF(ISNUMBER(K360),K360,DATEVALUE(K360)))/365.25, 1),""))</f>
        <v>0</v>
      </c>
      <c r="M360" s="34" t="s">
        <v>553</v>
      </c>
      <c r="N360" s="35" t="s">
        <v>82</v>
      </c>
      <c r="O360" s="34" t="s">
        <v>80</v>
      </c>
      <c r="P360" s="34" t="s">
        <v>81</v>
      </c>
      <c r="Q360" s="35" t="s">
        <v>82</v>
      </c>
      <c r="R360" s="34" t="s">
        <v>83</v>
      </c>
      <c r="S360" s="34" t="s">
        <v>12</v>
      </c>
      <c r="T360" s="34" t="s">
        <v>113</v>
      </c>
      <c r="U360" s="34" t="s">
        <v>85</v>
      </c>
      <c r="V360" s="35" t="s">
        <v>2652</v>
      </c>
      <c r="W360" s="35" t="s">
        <v>2653</v>
      </c>
      <c r="X360" s="34" t="s">
        <v>13</v>
      </c>
      <c r="Y360" s="37"/>
    </row>
    <row r="361" spans="1:25" ht="20" customHeight="1">
      <c r="A361" s="28">
        <v>359</v>
      </c>
      <c r="B361" s="28" t="s">
        <v>20</v>
      </c>
      <c r="C361" s="28" t="s">
        <v>22</v>
      </c>
      <c r="D361" s="29" t="s">
        <v>2654</v>
      </c>
      <c r="E361" s="30" t="s">
        <v>2346</v>
      </c>
      <c r="F361" s="30" t="s">
        <v>2655</v>
      </c>
      <c r="G361" s="29" t="s">
        <v>2656</v>
      </c>
      <c r="H361" s="30" t="s">
        <v>2657</v>
      </c>
      <c r="I361" s="28" t="s">
        <v>75</v>
      </c>
      <c r="J361" s="28" t="s">
        <v>76</v>
      </c>
      <c r="K361" s="31" t="s">
        <v>2658</v>
      </c>
      <c r="L361" s="28">
        <f>IF(K361="","",IFERROR(ROUND((TODAY()-IF(ISNUMBER(K361),K361,DATEVALUE(K361)))/365.25, 1),""))</f>
        <v>0</v>
      </c>
      <c r="M361" s="28" t="s">
        <v>553</v>
      </c>
      <c r="N361" s="29" t="s">
        <v>82</v>
      </c>
      <c r="O361" s="28" t="s">
        <v>80</v>
      </c>
      <c r="P361" s="28" t="s">
        <v>81</v>
      </c>
      <c r="Q361" s="29" t="s">
        <v>82</v>
      </c>
      <c r="R361" s="28" t="s">
        <v>83</v>
      </c>
      <c r="S361" s="28" t="s">
        <v>12</v>
      </c>
      <c r="T361" s="28" t="s">
        <v>113</v>
      </c>
      <c r="U361" s="28" t="s">
        <v>85</v>
      </c>
      <c r="V361" s="29" t="s">
        <v>2659</v>
      </c>
      <c r="W361" s="29" t="s">
        <v>2660</v>
      </c>
      <c r="X361" s="28" t="s">
        <v>13</v>
      </c>
      <c r="Y361" s="31"/>
    </row>
    <row r="362" spans="1:25" ht="20" customHeight="1">
      <c r="A362" s="34">
        <v>360</v>
      </c>
      <c r="B362" s="34" t="s">
        <v>20</v>
      </c>
      <c r="C362" s="34" t="s">
        <v>22</v>
      </c>
      <c r="D362" s="35" t="s">
        <v>2661</v>
      </c>
      <c r="E362" s="36" t="s">
        <v>459</v>
      </c>
      <c r="F362" s="36" t="s">
        <v>2662</v>
      </c>
      <c r="G362" s="35" t="s">
        <v>460</v>
      </c>
      <c r="H362" s="36" t="s">
        <v>2663</v>
      </c>
      <c r="I362" s="34" t="s">
        <v>75</v>
      </c>
      <c r="J362" s="34" t="s">
        <v>76</v>
      </c>
      <c r="K362" s="37" t="s">
        <v>1285</v>
      </c>
      <c r="L362" s="34">
        <f>IF(K362="","",IFERROR(ROUND((TODAY()-IF(ISNUMBER(K362),K362,DATEVALUE(K362)))/365.25, 1),""))</f>
        <v>0</v>
      </c>
      <c r="M362" s="34" t="s">
        <v>462</v>
      </c>
      <c r="N362" s="35" t="s">
        <v>82</v>
      </c>
      <c r="O362" s="34" t="s">
        <v>80</v>
      </c>
      <c r="P362" s="34" t="s">
        <v>81</v>
      </c>
      <c r="Q362" s="35" t="s">
        <v>82</v>
      </c>
      <c r="R362" s="34" t="s">
        <v>83</v>
      </c>
      <c r="S362" s="34" t="s">
        <v>12</v>
      </c>
      <c r="T362" s="34" t="s">
        <v>113</v>
      </c>
      <c r="U362" s="34" t="s">
        <v>85</v>
      </c>
      <c r="V362" s="35" t="s">
        <v>463</v>
      </c>
      <c r="W362" s="35" t="s">
        <v>464</v>
      </c>
      <c r="X362" s="34" t="s">
        <v>13</v>
      </c>
      <c r="Y362" s="37"/>
    </row>
    <row r="363" spans="1:25" ht="20" customHeight="1">
      <c r="A363" s="28">
        <v>361</v>
      </c>
      <c r="B363" s="28" t="s">
        <v>20</v>
      </c>
      <c r="C363" s="28" t="s">
        <v>22</v>
      </c>
      <c r="D363" s="29" t="s">
        <v>2664</v>
      </c>
      <c r="E363" s="30" t="s">
        <v>2665</v>
      </c>
      <c r="F363" s="30" t="s">
        <v>2666</v>
      </c>
      <c r="G363" s="29" t="s">
        <v>2667</v>
      </c>
      <c r="H363" s="30" t="s">
        <v>2668</v>
      </c>
      <c r="I363" s="28" t="s">
        <v>75</v>
      </c>
      <c r="J363" s="28" t="s">
        <v>76</v>
      </c>
      <c r="K363" s="31" t="s">
        <v>1248</v>
      </c>
      <c r="L363" s="28">
        <f>IF(K363="","",IFERROR(ROUND((TODAY()-IF(ISNUMBER(K363),K363,DATEVALUE(K363)))/365.25, 1),""))</f>
        <v>0</v>
      </c>
      <c r="M363" s="28" t="s">
        <v>507</v>
      </c>
      <c r="N363" s="29" t="s">
        <v>82</v>
      </c>
      <c r="O363" s="28" t="s">
        <v>80</v>
      </c>
      <c r="P363" s="28" t="s">
        <v>81</v>
      </c>
      <c r="Q363" s="29" t="s">
        <v>82</v>
      </c>
      <c r="R363" s="28" t="s">
        <v>83</v>
      </c>
      <c r="S363" s="28" t="s">
        <v>12</v>
      </c>
      <c r="T363" s="28" t="s">
        <v>113</v>
      </c>
      <c r="U363" s="28" t="s">
        <v>85</v>
      </c>
      <c r="V363" s="29" t="s">
        <v>2669</v>
      </c>
      <c r="W363" s="29" t="s">
        <v>2670</v>
      </c>
      <c r="X363" s="28" t="s">
        <v>13</v>
      </c>
      <c r="Y363" s="31"/>
    </row>
    <row r="364" spans="1:25" ht="20" customHeight="1">
      <c r="A364" s="34">
        <v>362</v>
      </c>
      <c r="B364" s="34" t="s">
        <v>20</v>
      </c>
      <c r="C364" s="34" t="s">
        <v>22</v>
      </c>
      <c r="D364" s="35" t="s">
        <v>2671</v>
      </c>
      <c r="E364" s="36" t="s">
        <v>2672</v>
      </c>
      <c r="F364" s="36" t="s">
        <v>2673</v>
      </c>
      <c r="G364" s="35" t="s">
        <v>2674</v>
      </c>
      <c r="H364" s="36" t="s">
        <v>2675</v>
      </c>
      <c r="I364" s="34" t="s">
        <v>75</v>
      </c>
      <c r="J364" s="34" t="s">
        <v>76</v>
      </c>
      <c r="K364" s="37" t="s">
        <v>1248</v>
      </c>
      <c r="L364" s="34">
        <f>IF(K364="","",IFERROR(ROUND((TODAY()-IF(ISNUMBER(K364),K364,DATEVALUE(K364)))/365.25, 1),""))</f>
        <v>0</v>
      </c>
      <c r="M364" s="34" t="s">
        <v>553</v>
      </c>
      <c r="N364" s="35" t="s">
        <v>82</v>
      </c>
      <c r="O364" s="34" t="s">
        <v>80</v>
      </c>
      <c r="P364" s="34" t="s">
        <v>81</v>
      </c>
      <c r="Q364" s="35" t="s">
        <v>82</v>
      </c>
      <c r="R364" s="34" t="s">
        <v>83</v>
      </c>
      <c r="S364" s="34" t="s">
        <v>12</v>
      </c>
      <c r="T364" s="34" t="s">
        <v>113</v>
      </c>
      <c r="U364" s="34" t="s">
        <v>85</v>
      </c>
      <c r="V364" s="35" t="s">
        <v>2676</v>
      </c>
      <c r="W364" s="35" t="s">
        <v>2677</v>
      </c>
      <c r="X364" s="34" t="s">
        <v>13</v>
      </c>
      <c r="Y364" s="37"/>
    </row>
    <row r="365" spans="1:25" ht="20" customHeight="1">
      <c r="A365" s="28">
        <v>363</v>
      </c>
      <c r="B365" s="28" t="s">
        <v>20</v>
      </c>
      <c r="C365" s="28" t="s">
        <v>22</v>
      </c>
      <c r="D365" s="29" t="s">
        <v>2678</v>
      </c>
      <c r="E365" s="30" t="s">
        <v>2679</v>
      </c>
      <c r="F365" s="30" t="s">
        <v>2680</v>
      </c>
      <c r="G365" s="29" t="s">
        <v>2681</v>
      </c>
      <c r="H365" s="30" t="s">
        <v>2682</v>
      </c>
      <c r="I365" s="28" t="s">
        <v>75</v>
      </c>
      <c r="J365" s="28" t="s">
        <v>76</v>
      </c>
      <c r="K365" s="31" t="s">
        <v>1300</v>
      </c>
      <c r="L365" s="28">
        <f>IF(K365="","",IFERROR(ROUND((TODAY()-IF(ISNUMBER(K365),K365,DATEVALUE(K365)))/365.25, 1),""))</f>
        <v>0</v>
      </c>
      <c r="M365" s="28" t="s">
        <v>553</v>
      </c>
      <c r="N365" s="29" t="s">
        <v>82</v>
      </c>
      <c r="O365" s="28" t="s">
        <v>80</v>
      </c>
      <c r="P365" s="28" t="s">
        <v>81</v>
      </c>
      <c r="Q365" s="29" t="s">
        <v>82</v>
      </c>
      <c r="R365" s="28" t="s">
        <v>83</v>
      </c>
      <c r="S365" s="28" t="s">
        <v>12</v>
      </c>
      <c r="T365" s="28" t="s">
        <v>113</v>
      </c>
      <c r="U365" s="28" t="s">
        <v>85</v>
      </c>
      <c r="V365" s="29" t="s">
        <v>2683</v>
      </c>
      <c r="W365" s="29" t="s">
        <v>2684</v>
      </c>
      <c r="X365" s="28" t="s">
        <v>13</v>
      </c>
      <c r="Y365" s="31"/>
    </row>
    <row r="366" spans="1:25" ht="20" customHeight="1">
      <c r="A366" s="34">
        <v>364</v>
      </c>
      <c r="B366" s="34" t="s">
        <v>20</v>
      </c>
      <c r="C366" s="34" t="s">
        <v>22</v>
      </c>
      <c r="D366" s="35" t="s">
        <v>2685</v>
      </c>
      <c r="E366" s="36" t="s">
        <v>306</v>
      </c>
      <c r="F366" s="36" t="s">
        <v>2686</v>
      </c>
      <c r="G366" s="35" t="s">
        <v>2687</v>
      </c>
      <c r="H366" s="36" t="s">
        <v>2688</v>
      </c>
      <c r="I366" s="34" t="s">
        <v>75</v>
      </c>
      <c r="J366" s="34" t="s">
        <v>76</v>
      </c>
      <c r="K366" s="37" t="s">
        <v>1704</v>
      </c>
      <c r="L366" s="34">
        <f>IF(K366="","",IFERROR(ROUND((TODAY()-IF(ISNUMBER(K366),K366,DATEVALUE(K366)))/365.25, 1),""))</f>
        <v>0</v>
      </c>
      <c r="M366" s="34" t="s">
        <v>553</v>
      </c>
      <c r="N366" s="35" t="s">
        <v>82</v>
      </c>
      <c r="O366" s="34" t="s">
        <v>80</v>
      </c>
      <c r="P366" s="34" t="s">
        <v>81</v>
      </c>
      <c r="Q366" s="35" t="s">
        <v>82</v>
      </c>
      <c r="R366" s="34" t="s">
        <v>83</v>
      </c>
      <c r="S366" s="34" t="s">
        <v>12</v>
      </c>
      <c r="T366" s="34" t="s">
        <v>113</v>
      </c>
      <c r="U366" s="34" t="s">
        <v>85</v>
      </c>
      <c r="V366" s="35" t="s">
        <v>2689</v>
      </c>
      <c r="W366" s="35" t="s">
        <v>2690</v>
      </c>
      <c r="X366" s="34" t="s">
        <v>13</v>
      </c>
      <c r="Y366" s="37"/>
    </row>
    <row r="367" spans="1:25" ht="20" customHeight="1">
      <c r="A367" s="28">
        <v>365</v>
      </c>
      <c r="B367" s="28" t="s">
        <v>20</v>
      </c>
      <c r="C367" s="28" t="s">
        <v>22</v>
      </c>
      <c r="D367" s="29" t="s">
        <v>2691</v>
      </c>
      <c r="E367" s="30" t="s">
        <v>2692</v>
      </c>
      <c r="F367" s="30" t="s">
        <v>2693</v>
      </c>
      <c r="G367" s="29" t="s">
        <v>2694</v>
      </c>
      <c r="H367" s="30" t="s">
        <v>2695</v>
      </c>
      <c r="I367" s="28" t="s">
        <v>75</v>
      </c>
      <c r="J367" s="28" t="s">
        <v>76</v>
      </c>
      <c r="K367" s="31" t="s">
        <v>1748</v>
      </c>
      <c r="L367" s="28">
        <f>IF(K367="","",IFERROR(ROUND((TODAY()-IF(ISNUMBER(K367),K367,DATEVALUE(K367)))/365.25, 1),""))</f>
        <v>0</v>
      </c>
      <c r="M367" s="28" t="s">
        <v>553</v>
      </c>
      <c r="N367" s="29" t="s">
        <v>82</v>
      </c>
      <c r="O367" s="28" t="s">
        <v>80</v>
      </c>
      <c r="P367" s="28" t="s">
        <v>81</v>
      </c>
      <c r="Q367" s="29" t="s">
        <v>82</v>
      </c>
      <c r="R367" s="28" t="s">
        <v>83</v>
      </c>
      <c r="S367" s="28" t="s">
        <v>12</v>
      </c>
      <c r="T367" s="28" t="s">
        <v>113</v>
      </c>
      <c r="U367" s="28" t="s">
        <v>85</v>
      </c>
      <c r="V367" s="29" t="s">
        <v>2696</v>
      </c>
      <c r="W367" s="29" t="s">
        <v>2697</v>
      </c>
      <c r="X367" s="28" t="s">
        <v>13</v>
      </c>
      <c r="Y367" s="31"/>
    </row>
    <row r="368" spans="1:25" ht="20" customHeight="1">
      <c r="A368" s="34">
        <v>366</v>
      </c>
      <c r="B368" s="34" t="s">
        <v>20</v>
      </c>
      <c r="C368" s="34" t="s">
        <v>22</v>
      </c>
      <c r="D368" s="35" t="s">
        <v>2698</v>
      </c>
      <c r="E368" s="36" t="s">
        <v>2699</v>
      </c>
      <c r="F368" s="36" t="s">
        <v>2700</v>
      </c>
      <c r="G368" s="35" t="s">
        <v>2701</v>
      </c>
      <c r="H368" s="36" t="s">
        <v>2702</v>
      </c>
      <c r="I368" s="34" t="s">
        <v>75</v>
      </c>
      <c r="J368" s="34" t="s">
        <v>76</v>
      </c>
      <c r="K368" s="37" t="s">
        <v>1248</v>
      </c>
      <c r="L368" s="34">
        <f>IF(K368="","",IFERROR(ROUND((TODAY()-IF(ISNUMBER(K368),K368,DATEVALUE(K368)))/365.25, 1),""))</f>
        <v>0</v>
      </c>
      <c r="M368" s="34" t="s">
        <v>553</v>
      </c>
      <c r="N368" s="35" t="s">
        <v>82</v>
      </c>
      <c r="O368" s="34" t="s">
        <v>80</v>
      </c>
      <c r="P368" s="34" t="s">
        <v>81</v>
      </c>
      <c r="Q368" s="35" t="s">
        <v>82</v>
      </c>
      <c r="R368" s="34" t="s">
        <v>83</v>
      </c>
      <c r="S368" s="34" t="s">
        <v>12</v>
      </c>
      <c r="T368" s="34" t="s">
        <v>113</v>
      </c>
      <c r="U368" s="34" t="s">
        <v>85</v>
      </c>
      <c r="V368" s="35" t="s">
        <v>2703</v>
      </c>
      <c r="W368" s="35" t="s">
        <v>2704</v>
      </c>
      <c r="X368" s="34" t="s">
        <v>13</v>
      </c>
      <c r="Y368" s="37"/>
    </row>
    <row r="369" spans="1:25" ht="20" customHeight="1">
      <c r="A369" s="28">
        <v>367</v>
      </c>
      <c r="B369" s="28" t="s">
        <v>20</v>
      </c>
      <c r="C369" s="28" t="s">
        <v>22</v>
      </c>
      <c r="D369" s="29" t="s">
        <v>2705</v>
      </c>
      <c r="E369" s="30" t="s">
        <v>2302</v>
      </c>
      <c r="F369" s="30" t="s">
        <v>2706</v>
      </c>
      <c r="G369" s="29" t="s">
        <v>2707</v>
      </c>
      <c r="H369" s="30" t="s">
        <v>2708</v>
      </c>
      <c r="I369" s="28" t="s">
        <v>75</v>
      </c>
      <c r="J369" s="28" t="s">
        <v>76</v>
      </c>
      <c r="K369" s="31" t="s">
        <v>1248</v>
      </c>
      <c r="L369" s="28">
        <f>IF(K369="","",IFERROR(ROUND((TODAY()-IF(ISNUMBER(K369),K369,DATEVALUE(K369)))/365.25, 1),""))</f>
        <v>0</v>
      </c>
      <c r="M369" s="28" t="s">
        <v>553</v>
      </c>
      <c r="N369" s="29" t="s">
        <v>82</v>
      </c>
      <c r="O369" s="28" t="s">
        <v>80</v>
      </c>
      <c r="P369" s="28" t="s">
        <v>81</v>
      </c>
      <c r="Q369" s="29" t="s">
        <v>82</v>
      </c>
      <c r="R369" s="28" t="s">
        <v>83</v>
      </c>
      <c r="S369" s="28" t="s">
        <v>12</v>
      </c>
      <c r="T369" s="28" t="s">
        <v>113</v>
      </c>
      <c r="U369" s="28" t="s">
        <v>85</v>
      </c>
      <c r="V369" s="29" t="s">
        <v>2709</v>
      </c>
      <c r="W369" s="29" t="s">
        <v>2710</v>
      </c>
      <c r="X369" s="28" t="s">
        <v>13</v>
      </c>
      <c r="Y369" s="31"/>
    </row>
    <row r="370" spans="1:25" ht="20" customHeight="1">
      <c r="A370" s="34">
        <v>368</v>
      </c>
      <c r="B370" s="34" t="s">
        <v>20</v>
      </c>
      <c r="C370" s="34" t="s">
        <v>22</v>
      </c>
      <c r="D370" s="35" t="s">
        <v>2711</v>
      </c>
      <c r="E370" s="36" t="s">
        <v>2712</v>
      </c>
      <c r="F370" s="36" t="s">
        <v>2713</v>
      </c>
      <c r="G370" s="35" t="s">
        <v>2714</v>
      </c>
      <c r="H370" s="36" t="s">
        <v>2715</v>
      </c>
      <c r="I370" s="34" t="s">
        <v>75</v>
      </c>
      <c r="J370" s="34" t="s">
        <v>76</v>
      </c>
      <c r="K370" s="37" t="s">
        <v>1248</v>
      </c>
      <c r="L370" s="34">
        <f>IF(K370="","",IFERROR(ROUND((TODAY()-IF(ISNUMBER(K370),K370,DATEVALUE(K370)))/365.25, 1),""))</f>
        <v>0</v>
      </c>
      <c r="M370" s="34" t="s">
        <v>553</v>
      </c>
      <c r="N370" s="35" t="s">
        <v>82</v>
      </c>
      <c r="O370" s="34" t="s">
        <v>80</v>
      </c>
      <c r="P370" s="34" t="s">
        <v>81</v>
      </c>
      <c r="Q370" s="35" t="s">
        <v>82</v>
      </c>
      <c r="R370" s="34" t="s">
        <v>83</v>
      </c>
      <c r="S370" s="34" t="s">
        <v>12</v>
      </c>
      <c r="T370" s="34" t="s">
        <v>113</v>
      </c>
      <c r="U370" s="34" t="s">
        <v>85</v>
      </c>
      <c r="V370" s="35" t="s">
        <v>2716</v>
      </c>
      <c r="W370" s="35" t="s">
        <v>2717</v>
      </c>
      <c r="X370" s="34" t="s">
        <v>13</v>
      </c>
      <c r="Y370" s="37"/>
    </row>
    <row r="371" spans="1:25" ht="20" customHeight="1">
      <c r="A371" s="28">
        <v>369</v>
      </c>
      <c r="B371" s="28" t="s">
        <v>20</v>
      </c>
      <c r="C371" s="28" t="s">
        <v>22</v>
      </c>
      <c r="D371" s="29" t="s">
        <v>2718</v>
      </c>
      <c r="E371" s="30" t="s">
        <v>2719</v>
      </c>
      <c r="F371" s="30" t="s">
        <v>2720</v>
      </c>
      <c r="G371" s="29" t="s">
        <v>2721</v>
      </c>
      <c r="H371" s="30" t="s">
        <v>2722</v>
      </c>
      <c r="I371" s="28" t="s">
        <v>75</v>
      </c>
      <c r="J371" s="28" t="s">
        <v>76</v>
      </c>
      <c r="K371" s="31" t="s">
        <v>2658</v>
      </c>
      <c r="L371" s="28">
        <f>IF(K371="","",IFERROR(ROUND((TODAY()-IF(ISNUMBER(K371),K371,DATEVALUE(K371)))/365.25, 1),""))</f>
        <v>0</v>
      </c>
      <c r="M371" s="28" t="s">
        <v>757</v>
      </c>
      <c r="N371" s="29" t="s">
        <v>82</v>
      </c>
      <c r="O371" s="28" t="s">
        <v>80</v>
      </c>
      <c r="P371" s="28" t="s">
        <v>81</v>
      </c>
      <c r="Q371" s="29" t="s">
        <v>82</v>
      </c>
      <c r="R371" s="28" t="s">
        <v>83</v>
      </c>
      <c r="S371" s="28" t="s">
        <v>12</v>
      </c>
      <c r="T371" s="28" t="s">
        <v>113</v>
      </c>
      <c r="U371" s="28" t="s">
        <v>85</v>
      </c>
      <c r="V371" s="29" t="s">
        <v>2723</v>
      </c>
      <c r="W371" s="29" t="s">
        <v>2724</v>
      </c>
      <c r="X371" s="28" t="s">
        <v>13</v>
      </c>
      <c r="Y371" s="31"/>
    </row>
    <row r="372" spans="1:25" ht="20" customHeight="1">
      <c r="A372" s="34">
        <v>370</v>
      </c>
      <c r="B372" s="34" t="s">
        <v>20</v>
      </c>
      <c r="C372" s="34" t="s">
        <v>22</v>
      </c>
      <c r="D372" s="35" t="s">
        <v>2725</v>
      </c>
      <c r="E372" s="36" t="s">
        <v>2726</v>
      </c>
      <c r="F372" s="36" t="s">
        <v>2727</v>
      </c>
      <c r="G372" s="35" t="s">
        <v>2728</v>
      </c>
      <c r="H372" s="36" t="s">
        <v>2729</v>
      </c>
      <c r="I372" s="34" t="s">
        <v>75</v>
      </c>
      <c r="J372" s="34" t="s">
        <v>76</v>
      </c>
      <c r="K372" s="37" t="s">
        <v>1248</v>
      </c>
      <c r="L372" s="34">
        <f>IF(K372="","",IFERROR(ROUND((TODAY()-IF(ISNUMBER(K372),K372,DATEVALUE(K372)))/365.25, 1),""))</f>
        <v>0</v>
      </c>
      <c r="M372" s="34" t="s">
        <v>553</v>
      </c>
      <c r="N372" s="35" t="s">
        <v>82</v>
      </c>
      <c r="O372" s="34" t="s">
        <v>80</v>
      </c>
      <c r="P372" s="34" t="s">
        <v>81</v>
      </c>
      <c r="Q372" s="35" t="s">
        <v>82</v>
      </c>
      <c r="R372" s="34" t="s">
        <v>83</v>
      </c>
      <c r="S372" s="34" t="s">
        <v>12</v>
      </c>
      <c r="T372" s="34" t="s">
        <v>113</v>
      </c>
      <c r="U372" s="34" t="s">
        <v>85</v>
      </c>
      <c r="V372" s="35" t="s">
        <v>2730</v>
      </c>
      <c r="W372" s="35" t="s">
        <v>2731</v>
      </c>
      <c r="X372" s="34" t="s">
        <v>13</v>
      </c>
      <c r="Y372" s="37"/>
    </row>
    <row r="373" spans="1:25" ht="20" customHeight="1">
      <c r="A373" s="28">
        <v>371</v>
      </c>
      <c r="B373" s="28" t="s">
        <v>20</v>
      </c>
      <c r="C373" s="28" t="s">
        <v>22</v>
      </c>
      <c r="D373" s="29" t="s">
        <v>2732</v>
      </c>
      <c r="E373" s="30" t="s">
        <v>2733</v>
      </c>
      <c r="F373" s="30" t="s">
        <v>2734</v>
      </c>
      <c r="G373" s="29" t="s">
        <v>2510</v>
      </c>
      <c r="H373" s="30" t="s">
        <v>2735</v>
      </c>
      <c r="I373" s="28" t="s">
        <v>75</v>
      </c>
      <c r="J373" s="28" t="s">
        <v>76</v>
      </c>
      <c r="K373" s="31" t="s">
        <v>2658</v>
      </c>
      <c r="L373" s="28">
        <f>IF(K373="","",IFERROR(ROUND((TODAY()-IF(ISNUMBER(K373),K373,DATEVALUE(K373)))/365.25, 1),""))</f>
        <v>0</v>
      </c>
      <c r="M373" s="28" t="s">
        <v>507</v>
      </c>
      <c r="N373" s="29" t="s">
        <v>82</v>
      </c>
      <c r="O373" s="28" t="s">
        <v>80</v>
      </c>
      <c r="P373" s="28" t="s">
        <v>81</v>
      </c>
      <c r="Q373" s="29" t="s">
        <v>82</v>
      </c>
      <c r="R373" s="28" t="s">
        <v>83</v>
      </c>
      <c r="S373" s="28" t="s">
        <v>12</v>
      </c>
      <c r="T373" s="28" t="s">
        <v>113</v>
      </c>
      <c r="U373" s="28" t="s">
        <v>85</v>
      </c>
      <c r="V373" s="29" t="s">
        <v>2736</v>
      </c>
      <c r="W373" s="29" t="s">
        <v>2737</v>
      </c>
      <c r="X373" s="28" t="s">
        <v>13</v>
      </c>
      <c r="Y373" s="31"/>
    </row>
    <row r="374" spans="1:25" ht="20" customHeight="1">
      <c r="A374" s="34">
        <v>372</v>
      </c>
      <c r="B374" s="34" t="s">
        <v>20</v>
      </c>
      <c r="C374" s="34" t="s">
        <v>22</v>
      </c>
      <c r="D374" s="35" t="s">
        <v>2738</v>
      </c>
      <c r="E374" s="36" t="s">
        <v>2739</v>
      </c>
      <c r="F374" s="36" t="s">
        <v>747</v>
      </c>
      <c r="G374" s="35" t="s">
        <v>2740</v>
      </c>
      <c r="H374" s="36" t="s">
        <v>2741</v>
      </c>
      <c r="I374" s="34" t="s">
        <v>75</v>
      </c>
      <c r="J374" s="34" t="s">
        <v>76</v>
      </c>
      <c r="K374" s="37" t="s">
        <v>1292</v>
      </c>
      <c r="L374" s="34">
        <f>IF(K374="","",IFERROR(ROUND((TODAY()-IF(ISNUMBER(K374),K374,DATEVALUE(K374)))/365.25, 1),""))</f>
        <v>0</v>
      </c>
      <c r="M374" s="34" t="s">
        <v>553</v>
      </c>
      <c r="N374" s="35" t="s">
        <v>82</v>
      </c>
      <c r="O374" s="34" t="s">
        <v>80</v>
      </c>
      <c r="P374" s="34" t="s">
        <v>81</v>
      </c>
      <c r="Q374" s="35" t="s">
        <v>82</v>
      </c>
      <c r="R374" s="34" t="s">
        <v>83</v>
      </c>
      <c r="S374" s="34" t="s">
        <v>12</v>
      </c>
      <c r="T374" s="34" t="s">
        <v>113</v>
      </c>
      <c r="U374" s="34" t="s">
        <v>85</v>
      </c>
      <c r="V374" s="35" t="s">
        <v>2742</v>
      </c>
      <c r="W374" s="35" t="s">
        <v>2743</v>
      </c>
      <c r="X374" s="34" t="s">
        <v>13</v>
      </c>
      <c r="Y374" s="37"/>
    </row>
    <row r="375" spans="1:25" ht="20" customHeight="1">
      <c r="A375" s="28">
        <v>373</v>
      </c>
      <c r="B375" s="28" t="s">
        <v>20</v>
      </c>
      <c r="C375" s="28" t="s">
        <v>22</v>
      </c>
      <c r="D375" s="29" t="s">
        <v>2744</v>
      </c>
      <c r="E375" s="30" t="s">
        <v>2745</v>
      </c>
      <c r="F375" s="30" t="s">
        <v>2746</v>
      </c>
      <c r="G375" s="29" t="s">
        <v>2747</v>
      </c>
      <c r="H375" s="30" t="s">
        <v>2748</v>
      </c>
      <c r="I375" s="28" t="s">
        <v>75</v>
      </c>
      <c r="J375" s="28" t="s">
        <v>76</v>
      </c>
      <c r="K375" s="31" t="s">
        <v>1248</v>
      </c>
      <c r="L375" s="28">
        <f>IF(K375="","",IFERROR(ROUND((TODAY()-IF(ISNUMBER(K375),K375,DATEVALUE(K375)))/365.25, 1),""))</f>
        <v>0</v>
      </c>
      <c r="M375" s="28" t="s">
        <v>553</v>
      </c>
      <c r="N375" s="29" t="s">
        <v>82</v>
      </c>
      <c r="O375" s="28" t="s">
        <v>80</v>
      </c>
      <c r="P375" s="28" t="s">
        <v>81</v>
      </c>
      <c r="Q375" s="29" t="s">
        <v>82</v>
      </c>
      <c r="R375" s="28" t="s">
        <v>83</v>
      </c>
      <c r="S375" s="28" t="s">
        <v>12</v>
      </c>
      <c r="T375" s="28" t="s">
        <v>113</v>
      </c>
      <c r="U375" s="28" t="s">
        <v>85</v>
      </c>
      <c r="V375" s="29" t="s">
        <v>2749</v>
      </c>
      <c r="W375" s="29" t="s">
        <v>2750</v>
      </c>
      <c r="X375" s="28" t="s">
        <v>13</v>
      </c>
      <c r="Y375" s="31"/>
    </row>
    <row r="376" spans="1:25" ht="20" customHeight="1">
      <c r="A376" s="34">
        <v>374</v>
      </c>
      <c r="B376" s="34" t="s">
        <v>20</v>
      </c>
      <c r="C376" s="34" t="s">
        <v>22</v>
      </c>
      <c r="D376" s="35" t="s">
        <v>2751</v>
      </c>
      <c r="E376" s="36" t="s">
        <v>2752</v>
      </c>
      <c r="F376" s="36" t="s">
        <v>2753</v>
      </c>
      <c r="G376" s="35" t="s">
        <v>2754</v>
      </c>
      <c r="H376" s="36" t="s">
        <v>2755</v>
      </c>
      <c r="I376" s="34" t="s">
        <v>75</v>
      </c>
      <c r="J376" s="34" t="s">
        <v>76</v>
      </c>
      <c r="K376" s="37" t="s">
        <v>1248</v>
      </c>
      <c r="L376" s="34">
        <f>IF(K376="","",IFERROR(ROUND((TODAY()-IF(ISNUMBER(K376),K376,DATEVALUE(K376)))/365.25, 1),""))</f>
        <v>0</v>
      </c>
      <c r="M376" s="34" t="s">
        <v>553</v>
      </c>
      <c r="N376" s="35" t="s">
        <v>82</v>
      </c>
      <c r="O376" s="34" t="s">
        <v>80</v>
      </c>
      <c r="P376" s="34" t="s">
        <v>81</v>
      </c>
      <c r="Q376" s="35" t="s">
        <v>82</v>
      </c>
      <c r="R376" s="34" t="s">
        <v>83</v>
      </c>
      <c r="S376" s="34" t="s">
        <v>12</v>
      </c>
      <c r="T376" s="34" t="s">
        <v>113</v>
      </c>
      <c r="U376" s="34" t="s">
        <v>85</v>
      </c>
      <c r="V376" s="35" t="s">
        <v>2756</v>
      </c>
      <c r="W376" s="35" t="s">
        <v>2757</v>
      </c>
      <c r="X376" s="34" t="s">
        <v>13</v>
      </c>
      <c r="Y376" s="37"/>
    </row>
    <row r="377" spans="1:25" ht="20" customHeight="1">
      <c r="A377" s="28">
        <v>375</v>
      </c>
      <c r="B377" s="28" t="s">
        <v>20</v>
      </c>
      <c r="C377" s="28" t="s">
        <v>22</v>
      </c>
      <c r="D377" s="29" t="s">
        <v>2758</v>
      </c>
      <c r="E377" s="30" t="s">
        <v>2759</v>
      </c>
      <c r="F377" s="30" t="s">
        <v>2760</v>
      </c>
      <c r="G377" s="29" t="s">
        <v>2761</v>
      </c>
      <c r="H377" s="30" t="s">
        <v>2762</v>
      </c>
      <c r="I377" s="28" t="s">
        <v>75</v>
      </c>
      <c r="J377" s="28" t="s">
        <v>76</v>
      </c>
      <c r="K377" s="31" t="s">
        <v>1248</v>
      </c>
      <c r="L377" s="28">
        <f>IF(K377="","",IFERROR(ROUND((TODAY()-IF(ISNUMBER(K377),K377,DATEVALUE(K377)))/365.25, 1),""))</f>
        <v>0</v>
      </c>
      <c r="M377" s="28" t="s">
        <v>553</v>
      </c>
      <c r="N377" s="29" t="s">
        <v>82</v>
      </c>
      <c r="O377" s="28" t="s">
        <v>80</v>
      </c>
      <c r="P377" s="28" t="s">
        <v>81</v>
      </c>
      <c r="Q377" s="29" t="s">
        <v>82</v>
      </c>
      <c r="R377" s="28" t="s">
        <v>83</v>
      </c>
      <c r="S377" s="28" t="s">
        <v>12</v>
      </c>
      <c r="T377" s="28" t="s">
        <v>113</v>
      </c>
      <c r="U377" s="28" t="s">
        <v>85</v>
      </c>
      <c r="V377" s="29" t="s">
        <v>2763</v>
      </c>
      <c r="W377" s="29" t="s">
        <v>2764</v>
      </c>
      <c r="X377" s="28" t="s">
        <v>13</v>
      </c>
      <c r="Y377" s="31"/>
    </row>
    <row r="378" spans="1:25" ht="20" customHeight="1">
      <c r="A378" s="34">
        <v>376</v>
      </c>
      <c r="B378" s="34" t="s">
        <v>20</v>
      </c>
      <c r="C378" s="34" t="s">
        <v>22</v>
      </c>
      <c r="D378" s="35" t="s">
        <v>2765</v>
      </c>
      <c r="E378" s="36" t="s">
        <v>2766</v>
      </c>
      <c r="F378" s="36" t="s">
        <v>2767</v>
      </c>
      <c r="G378" s="35" t="s">
        <v>2768</v>
      </c>
      <c r="H378" s="36" t="s">
        <v>2769</v>
      </c>
      <c r="I378" s="34" t="s">
        <v>75</v>
      </c>
      <c r="J378" s="34" t="s">
        <v>76</v>
      </c>
      <c r="K378" s="37" t="s">
        <v>1640</v>
      </c>
      <c r="L378" s="34">
        <f>IF(K378="","",IFERROR(ROUND((TODAY()-IF(ISNUMBER(K378),K378,DATEVALUE(K378)))/365.25, 1),""))</f>
        <v>0</v>
      </c>
      <c r="M378" s="34" t="s">
        <v>553</v>
      </c>
      <c r="N378" s="35" t="s">
        <v>82</v>
      </c>
      <c r="O378" s="34" t="s">
        <v>80</v>
      </c>
      <c r="P378" s="34" t="s">
        <v>81</v>
      </c>
      <c r="Q378" s="35" t="s">
        <v>82</v>
      </c>
      <c r="R378" s="34" t="s">
        <v>83</v>
      </c>
      <c r="S378" s="34" t="s">
        <v>12</v>
      </c>
      <c r="T378" s="34" t="s">
        <v>113</v>
      </c>
      <c r="U378" s="34" t="s">
        <v>85</v>
      </c>
      <c r="V378" s="35" t="s">
        <v>2770</v>
      </c>
      <c r="W378" s="35" t="s">
        <v>2771</v>
      </c>
      <c r="X378" s="34" t="s">
        <v>13</v>
      </c>
      <c r="Y378" s="37"/>
    </row>
    <row r="379" spans="1:25" ht="20" customHeight="1">
      <c r="A379" s="28">
        <v>377</v>
      </c>
      <c r="B379" s="28" t="s">
        <v>20</v>
      </c>
      <c r="C379" s="28" t="s">
        <v>22</v>
      </c>
      <c r="D379" s="29" t="s">
        <v>2772</v>
      </c>
      <c r="E379" s="30" t="s">
        <v>2773</v>
      </c>
      <c r="F379" s="30" t="s">
        <v>2774</v>
      </c>
      <c r="G379" s="29" t="s">
        <v>2775</v>
      </c>
      <c r="H379" s="30" t="s">
        <v>2776</v>
      </c>
      <c r="I379" s="28" t="s">
        <v>75</v>
      </c>
      <c r="J379" s="28" t="s">
        <v>76</v>
      </c>
      <c r="K379" s="31" t="s">
        <v>1248</v>
      </c>
      <c r="L379" s="28">
        <f>IF(K379="","",IFERROR(ROUND((TODAY()-IF(ISNUMBER(K379),K379,DATEVALUE(K379)))/365.25, 1),""))</f>
        <v>0</v>
      </c>
      <c r="M379" s="28" t="s">
        <v>757</v>
      </c>
      <c r="N379" s="29" t="s">
        <v>82</v>
      </c>
      <c r="O379" s="28" t="s">
        <v>80</v>
      </c>
      <c r="P379" s="28" t="s">
        <v>81</v>
      </c>
      <c r="Q379" s="29" t="s">
        <v>82</v>
      </c>
      <c r="R379" s="28" t="s">
        <v>83</v>
      </c>
      <c r="S379" s="28" t="s">
        <v>12</v>
      </c>
      <c r="T379" s="28" t="s">
        <v>113</v>
      </c>
      <c r="U379" s="28" t="s">
        <v>85</v>
      </c>
      <c r="V379" s="29" t="s">
        <v>2777</v>
      </c>
      <c r="W379" s="29" t="s">
        <v>2778</v>
      </c>
      <c r="X379" s="28" t="s">
        <v>13</v>
      </c>
      <c r="Y379" s="31"/>
    </row>
    <row r="380" spans="1:25" ht="20" customHeight="1">
      <c r="A380" s="34">
        <v>378</v>
      </c>
      <c r="B380" s="34" t="s">
        <v>20</v>
      </c>
      <c r="C380" s="34" t="s">
        <v>20</v>
      </c>
      <c r="D380" s="35" t="s">
        <v>2779</v>
      </c>
      <c r="E380" s="36" t="s">
        <v>2780</v>
      </c>
      <c r="F380" s="36" t="s">
        <v>2781</v>
      </c>
      <c r="G380" s="35" t="s">
        <v>2782</v>
      </c>
      <c r="H380" s="36" t="s">
        <v>2783</v>
      </c>
      <c r="I380" s="34" t="s">
        <v>128</v>
      </c>
      <c r="J380" s="34" t="s">
        <v>76</v>
      </c>
      <c r="K380" s="37" t="s">
        <v>2001</v>
      </c>
      <c r="L380" s="34">
        <f>IF(K380="","",IFERROR(ROUND((TODAY()-IF(ISNUMBER(K380),K380,DATEVALUE(K380)))/365.25, 1),""))</f>
        <v>0</v>
      </c>
      <c r="M380" s="34" t="s">
        <v>200</v>
      </c>
      <c r="N380" s="35" t="s">
        <v>82</v>
      </c>
      <c r="O380" s="34" t="s">
        <v>80</v>
      </c>
      <c r="P380" s="34" t="s">
        <v>81</v>
      </c>
      <c r="Q380" s="35" t="s">
        <v>82</v>
      </c>
      <c r="R380" s="34" t="s">
        <v>83</v>
      </c>
      <c r="S380" s="34" t="s">
        <v>11</v>
      </c>
      <c r="T380" s="34" t="s">
        <v>121</v>
      </c>
      <c r="U380" s="34" t="s">
        <v>85</v>
      </c>
      <c r="V380" s="35" t="s">
        <v>2784</v>
      </c>
      <c r="W380" s="35" t="s">
        <v>82</v>
      </c>
      <c r="X380" s="34" t="s">
        <v>13</v>
      </c>
      <c r="Y380" s="37"/>
    </row>
    <row r="381" spans="1:25" ht="20" customHeight="1">
      <c r="A381" s="28">
        <v>379</v>
      </c>
      <c r="B381" s="28" t="s">
        <v>20</v>
      </c>
      <c r="C381" s="28" t="s">
        <v>20</v>
      </c>
      <c r="D381" s="29" t="s">
        <v>2785</v>
      </c>
      <c r="E381" s="30" t="s">
        <v>738</v>
      </c>
      <c r="F381" s="30" t="s">
        <v>2786</v>
      </c>
      <c r="G381" s="29" t="s">
        <v>2787</v>
      </c>
      <c r="H381" s="30" t="s">
        <v>2788</v>
      </c>
      <c r="I381" s="28" t="s">
        <v>75</v>
      </c>
      <c r="J381" s="28" t="s">
        <v>76</v>
      </c>
      <c r="K381" s="31" t="s">
        <v>2067</v>
      </c>
      <c r="L381" s="28">
        <f>IF(K381="","",IFERROR(ROUND((TODAY()-IF(ISNUMBER(K381),K381,DATEVALUE(K381)))/365.25, 1),""))</f>
        <v>0</v>
      </c>
      <c r="M381" s="28" t="s">
        <v>2789</v>
      </c>
      <c r="N381" s="29" t="s">
        <v>2790</v>
      </c>
      <c r="O381" s="28" t="s">
        <v>80</v>
      </c>
      <c r="P381" s="28" t="s">
        <v>81</v>
      </c>
      <c r="Q381" s="29" t="s">
        <v>82</v>
      </c>
      <c r="R381" s="28" t="s">
        <v>83</v>
      </c>
      <c r="S381" s="28" t="s">
        <v>11</v>
      </c>
      <c r="T381" s="28" t="s">
        <v>113</v>
      </c>
      <c r="U381" s="28" t="s">
        <v>85</v>
      </c>
      <c r="V381" s="29" t="s">
        <v>2791</v>
      </c>
      <c r="W381" s="29" t="s">
        <v>82</v>
      </c>
      <c r="X381" s="28" t="s">
        <v>13</v>
      </c>
      <c r="Y381" s="31"/>
    </row>
    <row r="382" spans="1:25" ht="20" customHeight="1">
      <c r="A382" s="34">
        <v>380</v>
      </c>
      <c r="B382" s="34" t="s">
        <v>20</v>
      </c>
      <c r="C382" s="34" t="s">
        <v>21</v>
      </c>
      <c r="D382" s="35" t="s">
        <v>2792</v>
      </c>
      <c r="E382" s="36" t="s">
        <v>2793</v>
      </c>
      <c r="F382" s="36" t="s">
        <v>2794</v>
      </c>
      <c r="G382" s="35" t="s">
        <v>2795</v>
      </c>
      <c r="H382" s="36" t="s">
        <v>2796</v>
      </c>
      <c r="I382" s="34" t="s">
        <v>75</v>
      </c>
      <c r="J382" s="34" t="s">
        <v>92</v>
      </c>
      <c r="K382" s="37" t="s">
        <v>2797</v>
      </c>
      <c r="L382" s="34">
        <f>IF(K382="","",IFERROR(ROUND((TODAY()-IF(ISNUMBER(K382),K382,DATEVALUE(K382)))/365.25, 1),""))</f>
        <v>0</v>
      </c>
      <c r="M382" s="34" t="s">
        <v>507</v>
      </c>
      <c r="N382" s="35" t="s">
        <v>82</v>
      </c>
      <c r="O382" s="34" t="s">
        <v>111</v>
      </c>
      <c r="P382" s="34" t="s">
        <v>112</v>
      </c>
      <c r="Q382" s="35" t="s">
        <v>82</v>
      </c>
      <c r="R382" s="34" t="s">
        <v>88</v>
      </c>
      <c r="S382" s="34" t="s">
        <v>12</v>
      </c>
      <c r="T382" s="34" t="s">
        <v>113</v>
      </c>
      <c r="U382" s="34" t="s">
        <v>85</v>
      </c>
      <c r="V382" s="35" t="s">
        <v>2798</v>
      </c>
      <c r="W382" s="35" t="s">
        <v>2799</v>
      </c>
      <c r="X382" s="34" t="s">
        <v>13</v>
      </c>
      <c r="Y382" s="37"/>
    </row>
    <row r="383" spans="1:25" ht="20" customHeight="1">
      <c r="A383" s="28">
        <v>381</v>
      </c>
      <c r="B383" s="28" t="s">
        <v>20</v>
      </c>
      <c r="C383" s="28" t="s">
        <v>21</v>
      </c>
      <c r="D383" s="29" t="s">
        <v>2800</v>
      </c>
      <c r="E383" s="30" t="s">
        <v>2801</v>
      </c>
      <c r="F383" s="30" t="s">
        <v>2802</v>
      </c>
      <c r="G383" s="29" t="s">
        <v>2803</v>
      </c>
      <c r="H383" s="30" t="s">
        <v>2804</v>
      </c>
      <c r="I383" s="28" t="s">
        <v>75</v>
      </c>
      <c r="J383" s="28" t="s">
        <v>92</v>
      </c>
      <c r="K383" s="31" t="s">
        <v>2805</v>
      </c>
      <c r="L383" s="28">
        <f>IF(K383="","",IFERROR(ROUND((TODAY()-IF(ISNUMBER(K383),K383,DATEVALUE(K383)))/365.25, 1),""))</f>
        <v>0</v>
      </c>
      <c r="M383" s="28" t="s">
        <v>553</v>
      </c>
      <c r="N383" s="29" t="s">
        <v>82</v>
      </c>
      <c r="O383" s="28" t="s">
        <v>111</v>
      </c>
      <c r="P383" s="28" t="s">
        <v>112</v>
      </c>
      <c r="Q383" s="29" t="s">
        <v>82</v>
      </c>
      <c r="R383" s="28" t="s">
        <v>88</v>
      </c>
      <c r="S383" s="28" t="s">
        <v>11</v>
      </c>
      <c r="T383" s="28" t="s">
        <v>113</v>
      </c>
      <c r="U383" s="28" t="s">
        <v>85</v>
      </c>
      <c r="V383" s="29" t="s">
        <v>2806</v>
      </c>
      <c r="W383" s="29" t="s">
        <v>2807</v>
      </c>
      <c r="X383" s="28" t="s">
        <v>13</v>
      </c>
      <c r="Y383" s="31"/>
    </row>
    <row r="384" spans="1:25" ht="20" customHeight="1">
      <c r="A384" s="34">
        <v>382</v>
      </c>
      <c r="B384" s="34" t="s">
        <v>20</v>
      </c>
      <c r="C384" s="34" t="s">
        <v>21</v>
      </c>
      <c r="D384" s="35" t="s">
        <v>2808</v>
      </c>
      <c r="E384" s="36" t="s">
        <v>2809</v>
      </c>
      <c r="F384" s="36" t="s">
        <v>2810</v>
      </c>
      <c r="G384" s="35" t="s">
        <v>2811</v>
      </c>
      <c r="H384" s="36" t="s">
        <v>2812</v>
      </c>
      <c r="I384" s="34" t="s">
        <v>128</v>
      </c>
      <c r="J384" s="34" t="s">
        <v>92</v>
      </c>
      <c r="K384" s="37" t="s">
        <v>2813</v>
      </c>
      <c r="L384" s="34">
        <f>IF(K384="","",IFERROR(ROUND((TODAY()-IF(ISNUMBER(K384),K384,DATEVALUE(K384)))/365.25, 1),""))</f>
        <v>0</v>
      </c>
      <c r="M384" s="34" t="s">
        <v>553</v>
      </c>
      <c r="N384" s="35" t="s">
        <v>82</v>
      </c>
      <c r="O384" s="34" t="s">
        <v>111</v>
      </c>
      <c r="P384" s="34" t="s">
        <v>112</v>
      </c>
      <c r="Q384" s="35" t="s">
        <v>82</v>
      </c>
      <c r="R384" s="34" t="s">
        <v>88</v>
      </c>
      <c r="S384" s="34" t="s">
        <v>11</v>
      </c>
      <c r="T384" s="34" t="s">
        <v>113</v>
      </c>
      <c r="U384" s="34" t="s">
        <v>85</v>
      </c>
      <c r="V384" s="35" t="s">
        <v>2361</v>
      </c>
      <c r="W384" s="35" t="s">
        <v>2814</v>
      </c>
      <c r="X384" s="34" t="s">
        <v>13</v>
      </c>
      <c r="Y384" s="37"/>
    </row>
    <row r="385" spans="1:25" ht="20" customHeight="1">
      <c r="A385" s="28">
        <v>383</v>
      </c>
      <c r="B385" s="28" t="s">
        <v>20</v>
      </c>
      <c r="C385" s="28" t="s">
        <v>21</v>
      </c>
      <c r="D385" s="29" t="s">
        <v>2815</v>
      </c>
      <c r="E385" s="30" t="s">
        <v>2816</v>
      </c>
      <c r="F385" s="30" t="s">
        <v>2817</v>
      </c>
      <c r="G385" s="29" t="s">
        <v>2818</v>
      </c>
      <c r="H385" s="30" t="s">
        <v>2819</v>
      </c>
      <c r="I385" s="28" t="s">
        <v>75</v>
      </c>
      <c r="J385" s="28" t="s">
        <v>92</v>
      </c>
      <c r="K385" s="31" t="s">
        <v>2820</v>
      </c>
      <c r="L385" s="28">
        <f>IF(K385="","",IFERROR(ROUND((TODAY()-IF(ISNUMBER(K385),K385,DATEVALUE(K385)))/365.25, 1),""))</f>
        <v>0</v>
      </c>
      <c r="M385" s="28" t="s">
        <v>553</v>
      </c>
      <c r="N385" s="29" t="s">
        <v>82</v>
      </c>
      <c r="O385" s="28" t="s">
        <v>111</v>
      </c>
      <c r="P385" s="28" t="s">
        <v>112</v>
      </c>
      <c r="Q385" s="29" t="s">
        <v>82</v>
      </c>
      <c r="R385" s="28" t="s">
        <v>88</v>
      </c>
      <c r="S385" s="28" t="s">
        <v>11</v>
      </c>
      <c r="T385" s="28" t="s">
        <v>113</v>
      </c>
      <c r="U385" s="28" t="s">
        <v>85</v>
      </c>
      <c r="V385" s="29" t="s">
        <v>2821</v>
      </c>
      <c r="W385" s="29" t="s">
        <v>2822</v>
      </c>
      <c r="X385" s="28" t="s">
        <v>13</v>
      </c>
      <c r="Y385" s="31"/>
    </row>
    <row r="386" spans="1:25" ht="20" customHeight="1">
      <c r="A386" s="34">
        <v>384</v>
      </c>
      <c r="B386" s="34" t="s">
        <v>20</v>
      </c>
      <c r="C386" s="34" t="s">
        <v>21</v>
      </c>
      <c r="D386" s="35" t="s">
        <v>2823</v>
      </c>
      <c r="E386" s="36" t="s">
        <v>2824</v>
      </c>
      <c r="F386" s="36" t="s">
        <v>2825</v>
      </c>
      <c r="G386" s="35" t="s">
        <v>2826</v>
      </c>
      <c r="H386" s="36" t="s">
        <v>2827</v>
      </c>
      <c r="I386" s="34" t="s">
        <v>128</v>
      </c>
      <c r="J386" s="34" t="s">
        <v>92</v>
      </c>
      <c r="K386" s="37" t="s">
        <v>2813</v>
      </c>
      <c r="L386" s="34">
        <f>IF(K386="","",IFERROR(ROUND((TODAY()-IF(ISNUMBER(K386),K386,DATEVALUE(K386)))/365.25, 1),""))</f>
        <v>0</v>
      </c>
      <c r="M386" s="34" t="s">
        <v>553</v>
      </c>
      <c r="N386" s="35" t="s">
        <v>82</v>
      </c>
      <c r="O386" s="34" t="s">
        <v>111</v>
      </c>
      <c r="P386" s="34" t="s">
        <v>112</v>
      </c>
      <c r="Q386" s="35" t="s">
        <v>82</v>
      </c>
      <c r="R386" s="34" t="s">
        <v>88</v>
      </c>
      <c r="S386" s="34" t="s">
        <v>11</v>
      </c>
      <c r="T386" s="34" t="s">
        <v>113</v>
      </c>
      <c r="U386" s="34" t="s">
        <v>85</v>
      </c>
      <c r="V386" s="35" t="s">
        <v>2361</v>
      </c>
      <c r="W386" s="35" t="s">
        <v>2828</v>
      </c>
      <c r="X386" s="34" t="s">
        <v>13</v>
      </c>
      <c r="Y386" s="37"/>
    </row>
    <row r="387" spans="1:25" ht="20" customHeight="1">
      <c r="A387" s="28">
        <v>385</v>
      </c>
      <c r="B387" s="28" t="s">
        <v>20</v>
      </c>
      <c r="C387" s="28" t="s">
        <v>21</v>
      </c>
      <c r="D387" s="29" t="s">
        <v>2829</v>
      </c>
      <c r="E387" s="30" t="s">
        <v>2830</v>
      </c>
      <c r="F387" s="30" t="s">
        <v>2831</v>
      </c>
      <c r="G387" s="29" t="s">
        <v>2832</v>
      </c>
      <c r="H387" s="30" t="s">
        <v>2833</v>
      </c>
      <c r="I387" s="28" t="s">
        <v>75</v>
      </c>
      <c r="J387" s="28" t="s">
        <v>92</v>
      </c>
      <c r="K387" s="31" t="s">
        <v>2834</v>
      </c>
      <c r="L387" s="28">
        <f>IF(K387="","",IFERROR(ROUND((TODAY()-IF(ISNUMBER(K387),K387,DATEVALUE(K387)))/365.25, 1),""))</f>
        <v>0</v>
      </c>
      <c r="M387" s="28" t="s">
        <v>757</v>
      </c>
      <c r="N387" s="29" t="s">
        <v>82</v>
      </c>
      <c r="O387" s="28" t="s">
        <v>111</v>
      </c>
      <c r="P387" s="28" t="s">
        <v>112</v>
      </c>
      <c r="Q387" s="29" t="s">
        <v>82</v>
      </c>
      <c r="R387" s="28" t="s">
        <v>88</v>
      </c>
      <c r="S387" s="28" t="s">
        <v>12</v>
      </c>
      <c r="T387" s="28" t="s">
        <v>113</v>
      </c>
      <c r="U387" s="28" t="s">
        <v>85</v>
      </c>
      <c r="V387" s="29" t="s">
        <v>2835</v>
      </c>
      <c r="W387" s="29" t="s">
        <v>2836</v>
      </c>
      <c r="X387" s="28" t="s">
        <v>13</v>
      </c>
      <c r="Y387" s="31"/>
    </row>
    <row r="388" spans="1:25" ht="20" customHeight="1">
      <c r="A388" s="34">
        <v>386</v>
      </c>
      <c r="B388" s="34" t="s">
        <v>20</v>
      </c>
      <c r="C388" s="34" t="s">
        <v>21</v>
      </c>
      <c r="D388" s="35" t="s">
        <v>2837</v>
      </c>
      <c r="E388" s="36" t="s">
        <v>2838</v>
      </c>
      <c r="F388" s="36" t="s">
        <v>2839</v>
      </c>
      <c r="G388" s="35" t="s">
        <v>2840</v>
      </c>
      <c r="H388" s="36" t="s">
        <v>2841</v>
      </c>
      <c r="I388" s="34" t="s">
        <v>75</v>
      </c>
      <c r="J388" s="34" t="s">
        <v>76</v>
      </c>
      <c r="K388" s="37" t="s">
        <v>2842</v>
      </c>
      <c r="L388" s="34">
        <f>IF(K388="","",IFERROR(ROUND((TODAY()-IF(ISNUMBER(K388),K388,DATEVALUE(K388)))/365.25, 1),""))</f>
        <v>0</v>
      </c>
      <c r="M388" s="34" t="s">
        <v>553</v>
      </c>
      <c r="N388" s="35" t="s">
        <v>82</v>
      </c>
      <c r="O388" s="34" t="s">
        <v>80</v>
      </c>
      <c r="P388" s="34" t="s">
        <v>81</v>
      </c>
      <c r="Q388" s="35" t="s">
        <v>82</v>
      </c>
      <c r="R388" s="34" t="s">
        <v>83</v>
      </c>
      <c r="S388" s="34" t="s">
        <v>11</v>
      </c>
      <c r="T388" s="34" t="s">
        <v>113</v>
      </c>
      <c r="U388" s="34" t="s">
        <v>85</v>
      </c>
      <c r="V388" s="35" t="s">
        <v>2843</v>
      </c>
      <c r="W388" s="35" t="s">
        <v>2844</v>
      </c>
      <c r="X388" s="34" t="s">
        <v>13</v>
      </c>
      <c r="Y388" s="37"/>
    </row>
    <row r="389" spans="1:25" ht="20" customHeight="1">
      <c r="A389" s="28">
        <v>387</v>
      </c>
      <c r="B389" s="28" t="s">
        <v>20</v>
      </c>
      <c r="C389" s="28" t="s">
        <v>21</v>
      </c>
      <c r="D389" s="29" t="s">
        <v>2845</v>
      </c>
      <c r="E389" s="30" t="s">
        <v>2846</v>
      </c>
      <c r="F389" s="30" t="s">
        <v>2847</v>
      </c>
      <c r="G389" s="29" t="s">
        <v>2848</v>
      </c>
      <c r="H389" s="30" t="s">
        <v>2849</v>
      </c>
      <c r="I389" s="28" t="s">
        <v>75</v>
      </c>
      <c r="J389" s="28" t="s">
        <v>76</v>
      </c>
      <c r="K389" s="31" t="s">
        <v>129</v>
      </c>
      <c r="L389" s="28">
        <f>IF(K389="","",IFERROR(ROUND((TODAY()-IF(ISNUMBER(K389),K389,DATEVALUE(K389)))/365.25, 1),""))</f>
        <v>0</v>
      </c>
      <c r="M389" s="28" t="s">
        <v>553</v>
      </c>
      <c r="N389" s="29" t="s">
        <v>82</v>
      </c>
      <c r="O389" s="28" t="s">
        <v>80</v>
      </c>
      <c r="P389" s="28" t="s">
        <v>81</v>
      </c>
      <c r="Q389" s="29" t="s">
        <v>82</v>
      </c>
      <c r="R389" s="28" t="s">
        <v>83</v>
      </c>
      <c r="S389" s="28" t="s">
        <v>11</v>
      </c>
      <c r="T389" s="28" t="s">
        <v>113</v>
      </c>
      <c r="U389" s="28" t="s">
        <v>85</v>
      </c>
      <c r="V389" s="29" t="s">
        <v>2850</v>
      </c>
      <c r="W389" s="29" t="s">
        <v>2851</v>
      </c>
      <c r="X389" s="28" t="s">
        <v>13</v>
      </c>
      <c r="Y389" s="31"/>
    </row>
    <row r="390" spans="1:25" ht="20" customHeight="1">
      <c r="A390" s="34">
        <v>388</v>
      </c>
      <c r="B390" s="34" t="s">
        <v>20</v>
      </c>
      <c r="C390" s="34" t="s">
        <v>21</v>
      </c>
      <c r="D390" s="35" t="s">
        <v>2852</v>
      </c>
      <c r="E390" s="36" t="s">
        <v>1296</v>
      </c>
      <c r="F390" s="36" t="s">
        <v>1297</v>
      </c>
      <c r="G390" s="35" t="s">
        <v>1298</v>
      </c>
      <c r="H390" s="36" t="s">
        <v>2853</v>
      </c>
      <c r="I390" s="34" t="s">
        <v>75</v>
      </c>
      <c r="J390" s="34" t="s">
        <v>76</v>
      </c>
      <c r="K390" s="37" t="s">
        <v>2854</v>
      </c>
      <c r="L390" s="34">
        <f>IF(K390="","",IFERROR(ROUND((TODAY()-IF(ISNUMBER(K390),K390,DATEVALUE(K390)))/365.25, 1),""))</f>
        <v>0</v>
      </c>
      <c r="M390" s="34" t="s">
        <v>553</v>
      </c>
      <c r="N390" s="35" t="s">
        <v>82</v>
      </c>
      <c r="O390" s="34" t="s">
        <v>80</v>
      </c>
      <c r="P390" s="34" t="s">
        <v>81</v>
      </c>
      <c r="Q390" s="35" t="s">
        <v>82</v>
      </c>
      <c r="R390" s="34" t="s">
        <v>83</v>
      </c>
      <c r="S390" s="34" t="s">
        <v>12</v>
      </c>
      <c r="T390" s="34" t="s">
        <v>113</v>
      </c>
      <c r="U390" s="34" t="s">
        <v>85</v>
      </c>
      <c r="V390" s="35" t="s">
        <v>1301</v>
      </c>
      <c r="W390" s="35" t="s">
        <v>1302</v>
      </c>
      <c r="X390" s="34" t="s">
        <v>13</v>
      </c>
      <c r="Y390" s="37"/>
    </row>
    <row r="391" spans="1:25" ht="20" customHeight="1">
      <c r="A391" s="28">
        <v>389</v>
      </c>
      <c r="B391" s="28" t="s">
        <v>20</v>
      </c>
      <c r="C391" s="28" t="s">
        <v>21</v>
      </c>
      <c r="D391" s="29" t="s">
        <v>2855</v>
      </c>
      <c r="E391" s="30" t="s">
        <v>2856</v>
      </c>
      <c r="F391" s="30" t="s">
        <v>1229</v>
      </c>
      <c r="G391" s="29" t="s">
        <v>2361</v>
      </c>
      <c r="H391" s="30" t="s">
        <v>2857</v>
      </c>
      <c r="I391" s="28" t="s">
        <v>75</v>
      </c>
      <c r="J391" s="28" t="s">
        <v>76</v>
      </c>
      <c r="K391" s="31" t="s">
        <v>2858</v>
      </c>
      <c r="L391" s="28">
        <f>IF(K391="","",IFERROR(ROUND((TODAY()-IF(ISNUMBER(K391),K391,DATEVALUE(K391)))/365.25, 1),""))</f>
        <v>0</v>
      </c>
      <c r="M391" s="28" t="s">
        <v>553</v>
      </c>
      <c r="N391" s="29" t="s">
        <v>82</v>
      </c>
      <c r="O391" s="28" t="s">
        <v>80</v>
      </c>
      <c r="P391" s="28" t="s">
        <v>81</v>
      </c>
      <c r="Q391" s="29" t="s">
        <v>82</v>
      </c>
      <c r="R391" s="28" t="s">
        <v>83</v>
      </c>
      <c r="S391" s="28" t="s">
        <v>12</v>
      </c>
      <c r="T391" s="28" t="s">
        <v>113</v>
      </c>
      <c r="U391" s="28" t="s">
        <v>85</v>
      </c>
      <c r="V391" s="29" t="s">
        <v>2859</v>
      </c>
      <c r="W391" s="29" t="s">
        <v>2860</v>
      </c>
      <c r="X391" s="28" t="s">
        <v>13</v>
      </c>
      <c r="Y391" s="31"/>
    </row>
    <row r="392" spans="1:25" ht="20" customHeight="1">
      <c r="A392" s="34">
        <v>390</v>
      </c>
      <c r="B392" s="34" t="s">
        <v>20</v>
      </c>
      <c r="C392" s="34" t="s">
        <v>21</v>
      </c>
      <c r="D392" s="35" t="s">
        <v>2861</v>
      </c>
      <c r="E392" s="36" t="s">
        <v>2862</v>
      </c>
      <c r="F392" s="36" t="s">
        <v>2863</v>
      </c>
      <c r="G392" s="35" t="s">
        <v>2864</v>
      </c>
      <c r="H392" s="36" t="s">
        <v>2865</v>
      </c>
      <c r="I392" s="34" t="s">
        <v>75</v>
      </c>
      <c r="J392" s="34" t="s">
        <v>76</v>
      </c>
      <c r="K392" s="37" t="s">
        <v>2866</v>
      </c>
      <c r="L392" s="34">
        <f>IF(K392="","",IFERROR(ROUND((TODAY()-IF(ISNUMBER(K392),K392,DATEVALUE(K392)))/365.25, 1),""))</f>
        <v>0</v>
      </c>
      <c r="M392" s="34" t="s">
        <v>553</v>
      </c>
      <c r="N392" s="35" t="s">
        <v>82</v>
      </c>
      <c r="O392" s="34" t="s">
        <v>80</v>
      </c>
      <c r="P392" s="34" t="s">
        <v>81</v>
      </c>
      <c r="Q392" s="35" t="s">
        <v>82</v>
      </c>
      <c r="R392" s="34" t="s">
        <v>83</v>
      </c>
      <c r="S392" s="34" t="s">
        <v>11</v>
      </c>
      <c r="T392" s="34" t="s">
        <v>113</v>
      </c>
      <c r="U392" s="34" t="s">
        <v>85</v>
      </c>
      <c r="V392" s="35" t="s">
        <v>2867</v>
      </c>
      <c r="W392" s="35" t="s">
        <v>2868</v>
      </c>
      <c r="X392" s="34" t="s">
        <v>13</v>
      </c>
      <c r="Y392" s="37"/>
    </row>
    <row r="393" spans="1:25" ht="20" customHeight="1">
      <c r="A393" s="28">
        <v>391</v>
      </c>
      <c r="B393" s="28" t="s">
        <v>20</v>
      </c>
      <c r="C393" s="28" t="s">
        <v>21</v>
      </c>
      <c r="D393" s="29" t="s">
        <v>2869</v>
      </c>
      <c r="E393" s="30" t="s">
        <v>2870</v>
      </c>
      <c r="F393" s="30" t="s">
        <v>2871</v>
      </c>
      <c r="G393" s="29" t="s">
        <v>2872</v>
      </c>
      <c r="H393" s="30" t="s">
        <v>2849</v>
      </c>
      <c r="I393" s="28" t="s">
        <v>75</v>
      </c>
      <c r="J393" s="28" t="s">
        <v>76</v>
      </c>
      <c r="K393" s="31" t="s">
        <v>129</v>
      </c>
      <c r="L393" s="28">
        <f>IF(K393="","",IFERROR(ROUND((TODAY()-IF(ISNUMBER(K393),K393,DATEVALUE(K393)))/365.25, 1),""))</f>
        <v>0</v>
      </c>
      <c r="M393" s="28" t="s">
        <v>553</v>
      </c>
      <c r="N393" s="29" t="s">
        <v>82</v>
      </c>
      <c r="O393" s="28" t="s">
        <v>80</v>
      </c>
      <c r="P393" s="28" t="s">
        <v>81</v>
      </c>
      <c r="Q393" s="29" t="s">
        <v>82</v>
      </c>
      <c r="R393" s="28" t="s">
        <v>83</v>
      </c>
      <c r="S393" s="28" t="s">
        <v>12</v>
      </c>
      <c r="T393" s="28" t="s">
        <v>113</v>
      </c>
      <c r="U393" s="28" t="s">
        <v>85</v>
      </c>
      <c r="V393" s="29" t="s">
        <v>2873</v>
      </c>
      <c r="W393" s="29" t="s">
        <v>2874</v>
      </c>
      <c r="X393" s="28" t="s">
        <v>13</v>
      </c>
      <c r="Y393" s="31"/>
    </row>
    <row r="394" spans="1:25" ht="20" customHeight="1">
      <c r="A394" s="34">
        <v>392</v>
      </c>
      <c r="B394" s="34" t="s">
        <v>20</v>
      </c>
      <c r="C394" s="34" t="s">
        <v>21</v>
      </c>
      <c r="D394" s="35" t="s">
        <v>2875</v>
      </c>
      <c r="E394" s="36" t="s">
        <v>2876</v>
      </c>
      <c r="F394" s="36" t="s">
        <v>2877</v>
      </c>
      <c r="G394" s="35" t="s">
        <v>2878</v>
      </c>
      <c r="H394" s="36" t="s">
        <v>2849</v>
      </c>
      <c r="I394" s="34" t="s">
        <v>75</v>
      </c>
      <c r="J394" s="34" t="s">
        <v>76</v>
      </c>
      <c r="K394" s="37" t="s">
        <v>1206</v>
      </c>
      <c r="L394" s="34">
        <f>IF(K394="","",IFERROR(ROUND((TODAY()-IF(ISNUMBER(K394),K394,DATEVALUE(K394)))/365.25, 1),""))</f>
        <v>0</v>
      </c>
      <c r="M394" s="34" t="s">
        <v>553</v>
      </c>
      <c r="N394" s="35" t="s">
        <v>82</v>
      </c>
      <c r="O394" s="34" t="s">
        <v>80</v>
      </c>
      <c r="P394" s="34" t="s">
        <v>81</v>
      </c>
      <c r="Q394" s="35" t="s">
        <v>82</v>
      </c>
      <c r="R394" s="34" t="s">
        <v>83</v>
      </c>
      <c r="S394" s="34" t="s">
        <v>11</v>
      </c>
      <c r="T394" s="34" t="s">
        <v>113</v>
      </c>
      <c r="U394" s="34" t="s">
        <v>85</v>
      </c>
      <c r="V394" s="35" t="s">
        <v>2879</v>
      </c>
      <c r="W394" s="35" t="s">
        <v>2880</v>
      </c>
      <c r="X394" s="34" t="s">
        <v>13</v>
      </c>
      <c r="Y394" s="37"/>
    </row>
    <row r="395" spans="1:25" ht="20" customHeight="1">
      <c r="A395" s="28">
        <v>393</v>
      </c>
      <c r="B395" s="28" t="s">
        <v>20</v>
      </c>
      <c r="C395" s="28" t="s">
        <v>21</v>
      </c>
      <c r="D395" s="29" t="s">
        <v>2881</v>
      </c>
      <c r="E395" s="30" t="s">
        <v>2882</v>
      </c>
      <c r="F395" s="30" t="s">
        <v>2883</v>
      </c>
      <c r="G395" s="29" t="s">
        <v>2884</v>
      </c>
      <c r="H395" s="30" t="s">
        <v>2885</v>
      </c>
      <c r="I395" s="28" t="s">
        <v>75</v>
      </c>
      <c r="J395" s="28" t="s">
        <v>76</v>
      </c>
      <c r="K395" s="31" t="s">
        <v>2886</v>
      </c>
      <c r="L395" s="28">
        <f>IF(K395="","",IFERROR(ROUND((TODAY()-IF(ISNUMBER(K395),K395,DATEVALUE(K395)))/365.25, 1),""))</f>
        <v>0</v>
      </c>
      <c r="M395" s="28" t="s">
        <v>553</v>
      </c>
      <c r="N395" s="29" t="s">
        <v>82</v>
      </c>
      <c r="O395" s="28" t="s">
        <v>80</v>
      </c>
      <c r="P395" s="28" t="s">
        <v>81</v>
      </c>
      <c r="Q395" s="29" t="s">
        <v>82</v>
      </c>
      <c r="R395" s="28" t="s">
        <v>83</v>
      </c>
      <c r="S395" s="28" t="s">
        <v>11</v>
      </c>
      <c r="T395" s="28" t="s">
        <v>113</v>
      </c>
      <c r="U395" s="28" t="s">
        <v>85</v>
      </c>
      <c r="V395" s="29" t="s">
        <v>2887</v>
      </c>
      <c r="W395" s="29" t="s">
        <v>2888</v>
      </c>
      <c r="X395" s="28" t="s">
        <v>13</v>
      </c>
      <c r="Y395" s="31"/>
    </row>
    <row r="396" spans="1:25" ht="20" customHeight="1">
      <c r="A396" s="34">
        <v>394</v>
      </c>
      <c r="B396" s="34" t="s">
        <v>20</v>
      </c>
      <c r="C396" s="34" t="s">
        <v>21</v>
      </c>
      <c r="D396" s="35" t="s">
        <v>2889</v>
      </c>
      <c r="E396" s="36" t="s">
        <v>2890</v>
      </c>
      <c r="F396" s="36" t="s">
        <v>2891</v>
      </c>
      <c r="G396" s="35" t="s">
        <v>2361</v>
      </c>
      <c r="H396" s="36" t="s">
        <v>2892</v>
      </c>
      <c r="I396" s="34" t="s">
        <v>75</v>
      </c>
      <c r="J396" s="34" t="s">
        <v>76</v>
      </c>
      <c r="K396" s="37" t="s">
        <v>2813</v>
      </c>
      <c r="L396" s="34">
        <f>IF(K396="","",IFERROR(ROUND((TODAY()-IF(ISNUMBER(K396),K396,DATEVALUE(K396)))/365.25, 1),""))</f>
        <v>0</v>
      </c>
      <c r="M396" s="34" t="s">
        <v>553</v>
      </c>
      <c r="N396" s="35" t="s">
        <v>82</v>
      </c>
      <c r="O396" s="34" t="s">
        <v>80</v>
      </c>
      <c r="P396" s="34" t="s">
        <v>81</v>
      </c>
      <c r="Q396" s="35" t="s">
        <v>82</v>
      </c>
      <c r="R396" s="34" t="s">
        <v>83</v>
      </c>
      <c r="S396" s="34" t="s">
        <v>12</v>
      </c>
      <c r="T396" s="34" t="s">
        <v>113</v>
      </c>
      <c r="U396" s="34" t="s">
        <v>85</v>
      </c>
      <c r="V396" s="35" t="s">
        <v>2893</v>
      </c>
      <c r="W396" s="35" t="s">
        <v>2361</v>
      </c>
      <c r="X396" s="34" t="s">
        <v>13</v>
      </c>
      <c r="Y396" s="37"/>
    </row>
    <row r="397" spans="1:25" ht="20" customHeight="1">
      <c r="A397" s="28">
        <v>395</v>
      </c>
      <c r="B397" s="28" t="s">
        <v>20</v>
      </c>
      <c r="C397" s="28" t="s">
        <v>21</v>
      </c>
      <c r="D397" s="29" t="s">
        <v>2894</v>
      </c>
      <c r="E397" s="30" t="s">
        <v>2895</v>
      </c>
      <c r="F397" s="30" t="s">
        <v>2896</v>
      </c>
      <c r="G397" s="29" t="s">
        <v>2897</v>
      </c>
      <c r="H397" s="30" t="s">
        <v>2898</v>
      </c>
      <c r="I397" s="28" t="s">
        <v>128</v>
      </c>
      <c r="J397" s="28" t="s">
        <v>76</v>
      </c>
      <c r="K397" s="31" t="s">
        <v>1552</v>
      </c>
      <c r="L397" s="28">
        <f>IF(K397="","",IFERROR(ROUND((TODAY()-IF(ISNUMBER(K397),K397,DATEVALUE(K397)))/365.25, 1),""))</f>
        <v>0</v>
      </c>
      <c r="M397" s="28" t="s">
        <v>608</v>
      </c>
      <c r="N397" s="29" t="s">
        <v>82</v>
      </c>
      <c r="O397" s="28" t="s">
        <v>80</v>
      </c>
      <c r="P397" s="28" t="s">
        <v>81</v>
      </c>
      <c r="Q397" s="29" t="s">
        <v>82</v>
      </c>
      <c r="R397" s="28" t="s">
        <v>83</v>
      </c>
      <c r="S397" s="28" t="s">
        <v>12</v>
      </c>
      <c r="T397" s="28" t="s">
        <v>113</v>
      </c>
      <c r="U397" s="28" t="s">
        <v>85</v>
      </c>
      <c r="V397" s="29" t="s">
        <v>2899</v>
      </c>
      <c r="W397" s="29" t="s">
        <v>2900</v>
      </c>
      <c r="X397" s="28" t="s">
        <v>13</v>
      </c>
      <c r="Y397" s="31"/>
    </row>
    <row r="398" spans="1:25" ht="20" customHeight="1">
      <c r="A398" s="34">
        <v>396</v>
      </c>
      <c r="B398" s="34" t="s">
        <v>20</v>
      </c>
      <c r="C398" s="34" t="s">
        <v>21</v>
      </c>
      <c r="D398" s="35" t="s">
        <v>2901</v>
      </c>
      <c r="E398" s="36" t="s">
        <v>2902</v>
      </c>
      <c r="F398" s="36" t="s">
        <v>2903</v>
      </c>
      <c r="G398" s="35" t="s">
        <v>2904</v>
      </c>
      <c r="H398" s="36" t="s">
        <v>2905</v>
      </c>
      <c r="I398" s="34" t="s">
        <v>128</v>
      </c>
      <c r="J398" s="34" t="s">
        <v>76</v>
      </c>
      <c r="K398" s="37" t="s">
        <v>2842</v>
      </c>
      <c r="L398" s="34">
        <f>IF(K398="","",IFERROR(ROUND((TODAY()-IF(ISNUMBER(K398),K398,DATEVALUE(K398)))/365.25, 1),""))</f>
        <v>0</v>
      </c>
      <c r="M398" s="34" t="s">
        <v>608</v>
      </c>
      <c r="N398" s="35" t="s">
        <v>82</v>
      </c>
      <c r="O398" s="34" t="s">
        <v>80</v>
      </c>
      <c r="P398" s="34" t="s">
        <v>81</v>
      </c>
      <c r="Q398" s="35" t="s">
        <v>82</v>
      </c>
      <c r="R398" s="34" t="s">
        <v>83</v>
      </c>
      <c r="S398" s="34" t="s">
        <v>11</v>
      </c>
      <c r="T398" s="34" t="s">
        <v>113</v>
      </c>
      <c r="U398" s="34" t="s">
        <v>85</v>
      </c>
      <c r="V398" s="35" t="s">
        <v>2906</v>
      </c>
      <c r="W398" s="35" t="s">
        <v>2907</v>
      </c>
      <c r="X398" s="34" t="s">
        <v>13</v>
      </c>
      <c r="Y398" s="37"/>
    </row>
    <row r="399" spans="1:25" ht="20" customHeight="1">
      <c r="A399" s="28">
        <v>397</v>
      </c>
      <c r="B399" s="28" t="s">
        <v>20</v>
      </c>
      <c r="C399" s="28" t="s">
        <v>21</v>
      </c>
      <c r="D399" s="29" t="s">
        <v>2908</v>
      </c>
      <c r="E399" s="30" t="s">
        <v>2909</v>
      </c>
      <c r="F399" s="30" t="s">
        <v>2910</v>
      </c>
      <c r="G399" s="29" t="s">
        <v>2911</v>
      </c>
      <c r="H399" s="30" t="s">
        <v>2912</v>
      </c>
      <c r="I399" s="28" t="s">
        <v>75</v>
      </c>
      <c r="J399" s="28" t="s">
        <v>76</v>
      </c>
      <c r="K399" s="31" t="s">
        <v>2854</v>
      </c>
      <c r="L399" s="28">
        <f>IF(K399="","",IFERROR(ROUND((TODAY()-IF(ISNUMBER(K399),K399,DATEVALUE(K399)))/365.25, 1),""))</f>
        <v>0</v>
      </c>
      <c r="M399" s="28" t="s">
        <v>743</v>
      </c>
      <c r="N399" s="29" t="s">
        <v>82</v>
      </c>
      <c r="O399" s="28" t="s">
        <v>80</v>
      </c>
      <c r="P399" s="28" t="s">
        <v>81</v>
      </c>
      <c r="Q399" s="29" t="s">
        <v>82</v>
      </c>
      <c r="R399" s="28" t="s">
        <v>83</v>
      </c>
      <c r="S399" s="28" t="s">
        <v>12</v>
      </c>
      <c r="T399" s="28" t="s">
        <v>113</v>
      </c>
      <c r="U399" s="28" t="s">
        <v>85</v>
      </c>
      <c r="V399" s="29" t="s">
        <v>82</v>
      </c>
      <c r="W399" s="29" t="s">
        <v>2913</v>
      </c>
      <c r="X399" s="28" t="s">
        <v>13</v>
      </c>
      <c r="Y399" s="31"/>
    </row>
    <row r="400" spans="1:25" ht="20" customHeight="1">
      <c r="A400" s="34">
        <v>398</v>
      </c>
      <c r="B400" s="34" t="s">
        <v>20</v>
      </c>
      <c r="C400" s="34" t="s">
        <v>21</v>
      </c>
      <c r="D400" s="35" t="s">
        <v>2914</v>
      </c>
      <c r="E400" s="36" t="s">
        <v>2915</v>
      </c>
      <c r="F400" s="36" t="s">
        <v>2916</v>
      </c>
      <c r="G400" s="35" t="s">
        <v>2917</v>
      </c>
      <c r="H400" s="36" t="s">
        <v>2918</v>
      </c>
      <c r="I400" s="34" t="s">
        <v>75</v>
      </c>
      <c r="J400" s="34" t="s">
        <v>76</v>
      </c>
      <c r="K400" s="37" t="s">
        <v>2919</v>
      </c>
      <c r="L400" s="34">
        <f>IF(K400="","",IFERROR(ROUND((TODAY()-IF(ISNUMBER(K400),K400,DATEVALUE(K400)))/365.25, 1),""))</f>
        <v>0</v>
      </c>
      <c r="M400" s="34" t="s">
        <v>757</v>
      </c>
      <c r="N400" s="35" t="s">
        <v>82</v>
      </c>
      <c r="O400" s="34" t="s">
        <v>80</v>
      </c>
      <c r="P400" s="34" t="s">
        <v>81</v>
      </c>
      <c r="Q400" s="35" t="s">
        <v>82</v>
      </c>
      <c r="R400" s="34" t="s">
        <v>83</v>
      </c>
      <c r="S400" s="34" t="s">
        <v>12</v>
      </c>
      <c r="T400" s="34" t="s">
        <v>113</v>
      </c>
      <c r="U400" s="34" t="s">
        <v>85</v>
      </c>
      <c r="V400" s="35" t="s">
        <v>82</v>
      </c>
      <c r="W400" s="35" t="s">
        <v>2920</v>
      </c>
      <c r="X400" s="34" t="s">
        <v>13</v>
      </c>
      <c r="Y400" s="37"/>
    </row>
    <row r="401" spans="1:25" ht="20" customHeight="1">
      <c r="A401" s="28">
        <v>399</v>
      </c>
      <c r="B401" s="28" t="s">
        <v>20</v>
      </c>
      <c r="C401" s="28" t="s">
        <v>21</v>
      </c>
      <c r="D401" s="29" t="s">
        <v>2921</v>
      </c>
      <c r="E401" s="30" t="s">
        <v>2922</v>
      </c>
      <c r="F401" s="30" t="s">
        <v>2923</v>
      </c>
      <c r="G401" s="29" t="s">
        <v>2924</v>
      </c>
      <c r="H401" s="30" t="s">
        <v>2925</v>
      </c>
      <c r="I401" s="28" t="s">
        <v>75</v>
      </c>
      <c r="J401" s="28" t="s">
        <v>76</v>
      </c>
      <c r="K401" s="31" t="s">
        <v>129</v>
      </c>
      <c r="L401" s="28">
        <f>IF(K401="","",IFERROR(ROUND((TODAY()-IF(ISNUMBER(K401),K401,DATEVALUE(K401)))/365.25, 1),""))</f>
        <v>0</v>
      </c>
      <c r="M401" s="28" t="s">
        <v>757</v>
      </c>
      <c r="N401" s="29" t="s">
        <v>82</v>
      </c>
      <c r="O401" s="28" t="s">
        <v>80</v>
      </c>
      <c r="P401" s="28" t="s">
        <v>81</v>
      </c>
      <c r="Q401" s="29" t="s">
        <v>82</v>
      </c>
      <c r="R401" s="28" t="s">
        <v>83</v>
      </c>
      <c r="S401" s="28" t="s">
        <v>11</v>
      </c>
      <c r="T401" s="28" t="s">
        <v>113</v>
      </c>
      <c r="U401" s="28" t="s">
        <v>85</v>
      </c>
      <c r="V401" s="29" t="s">
        <v>2926</v>
      </c>
      <c r="W401" s="29" t="s">
        <v>2927</v>
      </c>
      <c r="X401" s="28" t="s">
        <v>13</v>
      </c>
      <c r="Y401" s="31"/>
    </row>
    <row r="402" spans="1:25" ht="20" customHeight="1">
      <c r="A402" s="34">
        <v>400</v>
      </c>
      <c r="B402" s="34" t="s">
        <v>20</v>
      </c>
      <c r="C402" s="34" t="s">
        <v>21</v>
      </c>
      <c r="D402" s="35" t="s">
        <v>2928</v>
      </c>
      <c r="E402" s="36" t="s">
        <v>2929</v>
      </c>
      <c r="F402" s="36" t="s">
        <v>2930</v>
      </c>
      <c r="G402" s="35" t="s">
        <v>2931</v>
      </c>
      <c r="H402" s="36" t="s">
        <v>2932</v>
      </c>
      <c r="I402" s="34" t="s">
        <v>75</v>
      </c>
      <c r="J402" s="34" t="s">
        <v>76</v>
      </c>
      <c r="K402" s="37" t="s">
        <v>2834</v>
      </c>
      <c r="L402" s="34">
        <f>IF(K402="","",IFERROR(ROUND((TODAY()-IF(ISNUMBER(K402),K402,DATEVALUE(K402)))/365.25, 1),""))</f>
        <v>0</v>
      </c>
      <c r="M402" s="34" t="s">
        <v>757</v>
      </c>
      <c r="N402" s="35" t="s">
        <v>82</v>
      </c>
      <c r="O402" s="34" t="s">
        <v>80</v>
      </c>
      <c r="P402" s="34" t="s">
        <v>81</v>
      </c>
      <c r="Q402" s="35" t="s">
        <v>82</v>
      </c>
      <c r="R402" s="34" t="s">
        <v>83</v>
      </c>
      <c r="S402" s="34" t="s">
        <v>11</v>
      </c>
      <c r="T402" s="34" t="s">
        <v>113</v>
      </c>
      <c r="U402" s="34" t="s">
        <v>85</v>
      </c>
      <c r="V402" s="35" t="s">
        <v>2933</v>
      </c>
      <c r="W402" s="35" t="s">
        <v>2934</v>
      </c>
      <c r="X402" s="34" t="s">
        <v>13</v>
      </c>
      <c r="Y402" s="37"/>
    </row>
    <row r="403" spans="1:25" ht="20" customHeight="1">
      <c r="A403" s="28">
        <v>401</v>
      </c>
      <c r="B403" s="28" t="s">
        <v>20</v>
      </c>
      <c r="C403" s="28" t="s">
        <v>25</v>
      </c>
      <c r="D403" s="29" t="s">
        <v>2935</v>
      </c>
      <c r="E403" s="30" t="s">
        <v>2936</v>
      </c>
      <c r="F403" s="30" t="s">
        <v>2937</v>
      </c>
      <c r="G403" s="29" t="s">
        <v>2938</v>
      </c>
      <c r="H403" s="30" t="s">
        <v>431</v>
      </c>
      <c r="I403" s="28" t="s">
        <v>75</v>
      </c>
      <c r="J403" s="28" t="s">
        <v>76</v>
      </c>
      <c r="K403" s="31" t="s">
        <v>2813</v>
      </c>
      <c r="L403" s="28">
        <f>IF(K403="","",IFERROR(ROUND((TODAY()-IF(ISNUMBER(K403),K403,DATEVALUE(K403)))/365.25, 1),""))</f>
        <v>0</v>
      </c>
      <c r="M403" s="28" t="s">
        <v>363</v>
      </c>
      <c r="N403" s="29" t="s">
        <v>82</v>
      </c>
      <c r="O403" s="28" t="s">
        <v>80</v>
      </c>
      <c r="P403" s="28" t="s">
        <v>81</v>
      </c>
      <c r="Q403" s="29" t="s">
        <v>82</v>
      </c>
      <c r="R403" s="28" t="s">
        <v>83</v>
      </c>
      <c r="S403" s="28" t="s">
        <v>11</v>
      </c>
      <c r="T403" s="28" t="s">
        <v>113</v>
      </c>
      <c r="U403" s="28" t="s">
        <v>85</v>
      </c>
      <c r="V403" s="29" t="s">
        <v>2939</v>
      </c>
      <c r="W403" s="29" t="s">
        <v>2940</v>
      </c>
      <c r="X403" s="28" t="s">
        <v>13</v>
      </c>
      <c r="Y403" s="31"/>
    </row>
    <row r="404" spans="1:25" ht="20" customHeight="1">
      <c r="A404" s="34">
        <v>402</v>
      </c>
      <c r="B404" s="34" t="s">
        <v>20</v>
      </c>
      <c r="C404" s="34" t="s">
        <v>25</v>
      </c>
      <c r="D404" s="35" t="s">
        <v>2941</v>
      </c>
      <c r="E404" s="36" t="s">
        <v>2942</v>
      </c>
      <c r="F404" s="36" t="s">
        <v>2943</v>
      </c>
      <c r="G404" s="35" t="s">
        <v>2944</v>
      </c>
      <c r="H404" s="36" t="s">
        <v>2945</v>
      </c>
      <c r="I404" s="34" t="s">
        <v>75</v>
      </c>
      <c r="J404" s="34" t="s">
        <v>76</v>
      </c>
      <c r="K404" s="37" t="s">
        <v>2946</v>
      </c>
      <c r="L404" s="34">
        <f>IF(K404="","",IFERROR(ROUND((TODAY()-IF(ISNUMBER(K404),K404,DATEVALUE(K404)))/365.25, 1),""))</f>
        <v>0</v>
      </c>
      <c r="M404" s="34" t="s">
        <v>2947</v>
      </c>
      <c r="N404" s="35" t="s">
        <v>82</v>
      </c>
      <c r="O404" s="34" t="s">
        <v>80</v>
      </c>
      <c r="P404" s="34" t="s">
        <v>81</v>
      </c>
      <c r="Q404" s="35" t="s">
        <v>82</v>
      </c>
      <c r="R404" s="34" t="s">
        <v>83</v>
      </c>
      <c r="S404" s="34" t="s">
        <v>11</v>
      </c>
      <c r="T404" s="34" t="s">
        <v>113</v>
      </c>
      <c r="U404" s="34" t="s">
        <v>85</v>
      </c>
      <c r="V404" s="35" t="s">
        <v>2948</v>
      </c>
      <c r="W404" s="35" t="s">
        <v>2949</v>
      </c>
      <c r="X404" s="34" t="s">
        <v>13</v>
      </c>
      <c r="Y404" s="37"/>
    </row>
    <row r="405" spans="1:25" ht="20" customHeight="1">
      <c r="A405" s="28">
        <v>403</v>
      </c>
      <c r="B405" s="28" t="s">
        <v>20</v>
      </c>
      <c r="C405" s="28" t="s">
        <v>25</v>
      </c>
      <c r="D405" s="29" t="s">
        <v>2950</v>
      </c>
      <c r="E405" s="30" t="s">
        <v>2951</v>
      </c>
      <c r="F405" s="30" t="s">
        <v>2952</v>
      </c>
      <c r="G405" s="29"/>
      <c r="H405" s="30" t="s">
        <v>2953</v>
      </c>
      <c r="I405" s="28" t="s">
        <v>75</v>
      </c>
      <c r="J405" s="28" t="s">
        <v>76</v>
      </c>
      <c r="K405" s="31" t="s">
        <v>2954</v>
      </c>
      <c r="L405" s="28">
        <f>IF(K405="","",IFERROR(ROUND((TODAY()-IF(ISNUMBER(K405),K405,DATEVALUE(K405)))/365.25, 1),""))</f>
        <v>0</v>
      </c>
      <c r="M405" s="28" t="s">
        <v>2947</v>
      </c>
      <c r="N405" s="29" t="s">
        <v>82</v>
      </c>
      <c r="O405" s="28" t="s">
        <v>80</v>
      </c>
      <c r="P405" s="28" t="s">
        <v>81</v>
      </c>
      <c r="Q405" s="29" t="s">
        <v>82</v>
      </c>
      <c r="R405" s="28" t="s">
        <v>83</v>
      </c>
      <c r="S405" s="28" t="s">
        <v>11</v>
      </c>
      <c r="T405" s="28" t="s">
        <v>113</v>
      </c>
      <c r="U405" s="28" t="s">
        <v>85</v>
      </c>
      <c r="V405" s="29" t="s">
        <v>2955</v>
      </c>
      <c r="W405" s="29" t="s">
        <v>2956</v>
      </c>
      <c r="X405" s="28" t="s">
        <v>13</v>
      </c>
      <c r="Y405" s="31"/>
    </row>
    <row r="406" spans="1:25" ht="20" customHeight="1">
      <c r="A406" s="34">
        <v>404</v>
      </c>
      <c r="B406" s="34" t="s">
        <v>20</v>
      </c>
      <c r="C406" s="34" t="s">
        <v>25</v>
      </c>
      <c r="D406" s="35" t="s">
        <v>2957</v>
      </c>
      <c r="E406" s="36" t="s">
        <v>2958</v>
      </c>
      <c r="F406" s="36" t="s">
        <v>2959</v>
      </c>
      <c r="G406" s="35" t="s">
        <v>2960</v>
      </c>
      <c r="H406" s="36" t="s">
        <v>2961</v>
      </c>
      <c r="I406" s="34" t="s">
        <v>75</v>
      </c>
      <c r="J406" s="34" t="s">
        <v>76</v>
      </c>
      <c r="K406" s="37" t="s">
        <v>2962</v>
      </c>
      <c r="L406" s="34">
        <f>IF(K406="","",IFERROR(ROUND((TODAY()-IF(ISNUMBER(K406),K406,DATEVALUE(K406)))/365.25, 1),""))</f>
        <v>0</v>
      </c>
      <c r="M406" s="34" t="s">
        <v>252</v>
      </c>
      <c r="N406" s="35" t="s">
        <v>82</v>
      </c>
      <c r="O406" s="34" t="s">
        <v>80</v>
      </c>
      <c r="P406" s="34" t="s">
        <v>81</v>
      </c>
      <c r="Q406" s="35" t="s">
        <v>82</v>
      </c>
      <c r="R406" s="34" t="s">
        <v>83</v>
      </c>
      <c r="S406" s="34" t="s">
        <v>11</v>
      </c>
      <c r="T406" s="34" t="s">
        <v>113</v>
      </c>
      <c r="U406" s="34" t="s">
        <v>85</v>
      </c>
      <c r="V406" s="35" t="s">
        <v>82</v>
      </c>
      <c r="W406" s="35" t="s">
        <v>2963</v>
      </c>
      <c r="X406" s="34" t="s">
        <v>13</v>
      </c>
      <c r="Y406" s="37"/>
    </row>
    <row r="407" spans="1:25" ht="20" customHeight="1">
      <c r="A407" s="28">
        <v>405</v>
      </c>
      <c r="B407" s="28" t="s">
        <v>20</v>
      </c>
      <c r="C407" s="28" t="s">
        <v>25</v>
      </c>
      <c r="D407" s="29" t="s">
        <v>2964</v>
      </c>
      <c r="E407" s="30" t="s">
        <v>2965</v>
      </c>
      <c r="F407" s="30" t="s">
        <v>2966</v>
      </c>
      <c r="G407" s="29" t="s">
        <v>2967</v>
      </c>
      <c r="H407" s="30" t="s">
        <v>2968</v>
      </c>
      <c r="I407" s="28" t="s">
        <v>75</v>
      </c>
      <c r="J407" s="28" t="s">
        <v>76</v>
      </c>
      <c r="K407" s="31" t="s">
        <v>2969</v>
      </c>
      <c r="L407" s="28">
        <f>IF(K407="","",IFERROR(ROUND((TODAY()-IF(ISNUMBER(K407),K407,DATEVALUE(K407)))/365.25, 1),""))</f>
        <v>0</v>
      </c>
      <c r="M407" s="28" t="s">
        <v>252</v>
      </c>
      <c r="N407" s="29" t="s">
        <v>82</v>
      </c>
      <c r="O407" s="28" t="s">
        <v>80</v>
      </c>
      <c r="P407" s="28" t="s">
        <v>81</v>
      </c>
      <c r="Q407" s="29" t="s">
        <v>82</v>
      </c>
      <c r="R407" s="28" t="s">
        <v>83</v>
      </c>
      <c r="S407" s="28" t="s">
        <v>11</v>
      </c>
      <c r="T407" s="28" t="s">
        <v>113</v>
      </c>
      <c r="U407" s="28" t="s">
        <v>85</v>
      </c>
      <c r="V407" s="29" t="s">
        <v>2970</v>
      </c>
      <c r="W407" s="29" t="s">
        <v>2971</v>
      </c>
      <c r="X407" s="28" t="s">
        <v>13</v>
      </c>
      <c r="Y407" s="31"/>
    </row>
    <row r="408" spans="1:25" ht="20" customHeight="1">
      <c r="A408" s="34">
        <v>406</v>
      </c>
      <c r="B408" s="34" t="s">
        <v>20</v>
      </c>
      <c r="C408" s="34" t="s">
        <v>25</v>
      </c>
      <c r="D408" s="35" t="s">
        <v>2972</v>
      </c>
      <c r="E408" s="36" t="s">
        <v>2973</v>
      </c>
      <c r="F408" s="36" t="s">
        <v>2974</v>
      </c>
      <c r="G408" s="35" t="s">
        <v>2975</v>
      </c>
      <c r="H408" s="36" t="s">
        <v>2976</v>
      </c>
      <c r="I408" s="34" t="s">
        <v>75</v>
      </c>
      <c r="J408" s="34" t="s">
        <v>92</v>
      </c>
      <c r="K408" s="37" t="s">
        <v>2797</v>
      </c>
      <c r="L408" s="34">
        <f>IF(K408="","",IFERROR(ROUND((TODAY()-IF(ISNUMBER(K408),K408,DATEVALUE(K408)))/365.25, 1),""))</f>
        <v>0</v>
      </c>
      <c r="M408" s="34" t="s">
        <v>303</v>
      </c>
      <c r="N408" s="35" t="s">
        <v>82</v>
      </c>
      <c r="O408" s="34" t="s">
        <v>111</v>
      </c>
      <c r="P408" s="34" t="s">
        <v>112</v>
      </c>
      <c r="Q408" s="35" t="s">
        <v>82</v>
      </c>
      <c r="R408" s="34" t="s">
        <v>88</v>
      </c>
      <c r="S408" s="34" t="s">
        <v>11</v>
      </c>
      <c r="T408" s="34" t="s">
        <v>84</v>
      </c>
      <c r="U408" s="34" t="s">
        <v>85</v>
      </c>
      <c r="V408" s="35" t="s">
        <v>2977</v>
      </c>
      <c r="W408" s="35" t="s">
        <v>2978</v>
      </c>
      <c r="X408" s="34" t="s">
        <v>13</v>
      </c>
      <c r="Y408" s="37"/>
    </row>
    <row r="409" spans="1:25" ht="20" customHeight="1">
      <c r="A409" s="28">
        <v>407</v>
      </c>
      <c r="B409" s="28" t="s">
        <v>20</v>
      </c>
      <c r="C409" s="28" t="s">
        <v>25</v>
      </c>
      <c r="D409" s="29" t="s">
        <v>2979</v>
      </c>
      <c r="E409" s="30" t="s">
        <v>292</v>
      </c>
      <c r="F409" s="30" t="s">
        <v>2980</v>
      </c>
      <c r="G409" s="29" t="s">
        <v>2981</v>
      </c>
      <c r="H409" s="30" t="s">
        <v>2982</v>
      </c>
      <c r="I409" s="28" t="s">
        <v>75</v>
      </c>
      <c r="J409" s="28" t="s">
        <v>92</v>
      </c>
      <c r="K409" s="31" t="s">
        <v>2983</v>
      </c>
      <c r="L409" s="28">
        <f>IF(K409="","",IFERROR(ROUND((TODAY()-IF(ISNUMBER(K409),K409,DATEVALUE(K409)))/365.25, 1),""))</f>
        <v>0</v>
      </c>
      <c r="M409" s="28" t="s">
        <v>2947</v>
      </c>
      <c r="N409" s="29" t="s">
        <v>82</v>
      </c>
      <c r="O409" s="28" t="s">
        <v>111</v>
      </c>
      <c r="P409" s="28" t="s">
        <v>112</v>
      </c>
      <c r="Q409" s="29" t="s">
        <v>82</v>
      </c>
      <c r="R409" s="28" t="s">
        <v>88</v>
      </c>
      <c r="S409" s="28" t="s">
        <v>11</v>
      </c>
      <c r="T409" s="28" t="s">
        <v>84</v>
      </c>
      <c r="U409" s="28" t="s">
        <v>85</v>
      </c>
      <c r="V409" s="29" t="s">
        <v>82</v>
      </c>
      <c r="W409" s="29" t="s">
        <v>2984</v>
      </c>
      <c r="X409" s="28" t="s">
        <v>13</v>
      </c>
      <c r="Y409" s="31"/>
    </row>
    <row r="410" spans="1:25" ht="20" customHeight="1">
      <c r="A410" s="34">
        <v>408</v>
      </c>
      <c r="B410" s="34" t="s">
        <v>20</v>
      </c>
      <c r="C410" s="34" t="s">
        <v>25</v>
      </c>
      <c r="D410" s="35" t="s">
        <v>2985</v>
      </c>
      <c r="E410" s="36" t="s">
        <v>2986</v>
      </c>
      <c r="F410" s="36" t="s">
        <v>2987</v>
      </c>
      <c r="G410" s="35" t="s">
        <v>2988</v>
      </c>
      <c r="H410" s="36" t="s">
        <v>2989</v>
      </c>
      <c r="I410" s="34" t="s">
        <v>75</v>
      </c>
      <c r="J410" s="34" t="s">
        <v>92</v>
      </c>
      <c r="K410" s="37" t="s">
        <v>2990</v>
      </c>
      <c r="L410" s="34">
        <f>IF(K410="","",IFERROR(ROUND((TODAY()-IF(ISNUMBER(K410),K410,DATEVALUE(K410)))/365.25, 1),""))</f>
        <v>0</v>
      </c>
      <c r="M410" s="34" t="s">
        <v>310</v>
      </c>
      <c r="N410" s="35" t="s">
        <v>82</v>
      </c>
      <c r="O410" s="34" t="s">
        <v>111</v>
      </c>
      <c r="P410" s="34" t="s">
        <v>112</v>
      </c>
      <c r="Q410" s="35" t="s">
        <v>82</v>
      </c>
      <c r="R410" s="34" t="s">
        <v>88</v>
      </c>
      <c r="S410" s="34" t="s">
        <v>11</v>
      </c>
      <c r="T410" s="34" t="s">
        <v>84</v>
      </c>
      <c r="U410" s="34" t="s">
        <v>85</v>
      </c>
      <c r="V410" s="35" t="s">
        <v>82</v>
      </c>
      <c r="W410" s="35" t="s">
        <v>2991</v>
      </c>
      <c r="X410" s="34" t="s">
        <v>13</v>
      </c>
      <c r="Y410" s="37"/>
    </row>
    <row r="411" spans="1:25" ht="20" customHeight="1">
      <c r="A411" s="28">
        <v>409</v>
      </c>
      <c r="B411" s="28" t="s">
        <v>23</v>
      </c>
      <c r="C411" s="28" t="s">
        <v>23</v>
      </c>
      <c r="D411" s="29" t="s">
        <v>2992</v>
      </c>
      <c r="E411" s="30" t="s">
        <v>542</v>
      </c>
      <c r="F411" s="30" t="s">
        <v>2993</v>
      </c>
      <c r="G411" s="29" t="s">
        <v>2994</v>
      </c>
      <c r="H411" s="30" t="s">
        <v>2995</v>
      </c>
      <c r="I411" s="28" t="s">
        <v>75</v>
      </c>
      <c r="J411" s="28" t="s">
        <v>76</v>
      </c>
      <c r="K411" s="31" t="s">
        <v>2996</v>
      </c>
      <c r="L411" s="28">
        <f>IF(K411="","",IFERROR(ROUND((TODAY()-IF(ISNUMBER(K411),K411,DATEVALUE(K411)))/365.25, 1),""))</f>
        <v>0</v>
      </c>
      <c r="M411" s="28" t="s">
        <v>2997</v>
      </c>
      <c r="N411" s="29" t="s">
        <v>82</v>
      </c>
      <c r="O411" s="28" t="s">
        <v>111</v>
      </c>
      <c r="P411" s="28" t="s">
        <v>112</v>
      </c>
      <c r="Q411" s="29" t="s">
        <v>82</v>
      </c>
      <c r="R411" s="28" t="s">
        <v>946</v>
      </c>
      <c r="S411" s="28" t="s">
        <v>11</v>
      </c>
      <c r="T411" s="28" t="s">
        <v>113</v>
      </c>
      <c r="U411" s="28" t="s">
        <v>2998</v>
      </c>
      <c r="V411" s="29" t="s">
        <v>2999</v>
      </c>
      <c r="W411" s="29" t="s">
        <v>3000</v>
      </c>
      <c r="X411" s="28" t="s">
        <v>13</v>
      </c>
      <c r="Y411" s="31"/>
    </row>
    <row r="412" spans="1:25" ht="20" customHeight="1">
      <c r="A412" s="34">
        <v>410</v>
      </c>
      <c r="B412" s="34" t="s">
        <v>23</v>
      </c>
      <c r="C412" s="34" t="s">
        <v>23</v>
      </c>
      <c r="D412" s="35" t="s">
        <v>3001</v>
      </c>
      <c r="E412" s="36" t="s">
        <v>3002</v>
      </c>
      <c r="F412" s="36" t="s">
        <v>3003</v>
      </c>
      <c r="G412" s="35" t="s">
        <v>3004</v>
      </c>
      <c r="H412" s="36" t="s">
        <v>3005</v>
      </c>
      <c r="I412" s="34" t="s">
        <v>75</v>
      </c>
      <c r="J412" s="34" t="s">
        <v>76</v>
      </c>
      <c r="K412" s="37" t="s">
        <v>339</v>
      </c>
      <c r="L412" s="34">
        <f>IF(K412="","",IFERROR(ROUND((TODAY()-IF(ISNUMBER(K412),K412,DATEVALUE(K412)))/365.25, 1),""))</f>
        <v>0</v>
      </c>
      <c r="M412" s="34" t="s">
        <v>3006</v>
      </c>
      <c r="N412" s="35" t="s">
        <v>82</v>
      </c>
      <c r="O412" s="34" t="s">
        <v>111</v>
      </c>
      <c r="P412" s="34" t="s">
        <v>112</v>
      </c>
      <c r="Q412" s="35" t="s">
        <v>82</v>
      </c>
      <c r="R412" s="34" t="s">
        <v>946</v>
      </c>
      <c r="S412" s="34" t="s">
        <v>11</v>
      </c>
      <c r="T412" s="34" t="s">
        <v>113</v>
      </c>
      <c r="U412" s="34" t="s">
        <v>2998</v>
      </c>
      <c r="V412" s="35" t="s">
        <v>3007</v>
      </c>
      <c r="W412" s="35" t="s">
        <v>3008</v>
      </c>
      <c r="X412" s="34" t="s">
        <v>13</v>
      </c>
      <c r="Y412" s="37"/>
    </row>
    <row r="413" spans="1:25" ht="20" customHeight="1">
      <c r="A413" s="28">
        <v>411</v>
      </c>
      <c r="B413" s="28" t="s">
        <v>23</v>
      </c>
      <c r="C413" s="28" t="s">
        <v>23</v>
      </c>
      <c r="D413" s="29" t="s">
        <v>3009</v>
      </c>
      <c r="E413" s="30" t="s">
        <v>3010</v>
      </c>
      <c r="F413" s="30" t="s">
        <v>3011</v>
      </c>
      <c r="G413" s="29" t="s">
        <v>3012</v>
      </c>
      <c r="H413" s="30" t="s">
        <v>3013</v>
      </c>
      <c r="I413" s="28" t="s">
        <v>75</v>
      </c>
      <c r="J413" s="28" t="s">
        <v>76</v>
      </c>
      <c r="K413" s="31" t="s">
        <v>3014</v>
      </c>
      <c r="L413" s="28">
        <f>IF(K413="","",IFERROR(ROUND((TODAY()-IF(ISNUMBER(K413),K413,DATEVALUE(K413)))/365.25, 1),""))</f>
        <v>0</v>
      </c>
      <c r="M413" s="28" t="s">
        <v>2997</v>
      </c>
      <c r="N413" s="29" t="s">
        <v>82</v>
      </c>
      <c r="O413" s="28" t="s">
        <v>111</v>
      </c>
      <c r="P413" s="28" t="s">
        <v>112</v>
      </c>
      <c r="Q413" s="29" t="s">
        <v>82</v>
      </c>
      <c r="R413" s="28" t="s">
        <v>946</v>
      </c>
      <c r="S413" s="28" t="s">
        <v>11</v>
      </c>
      <c r="T413" s="28" t="s">
        <v>113</v>
      </c>
      <c r="U413" s="28" t="s">
        <v>2998</v>
      </c>
      <c r="V413" s="29" t="s">
        <v>3015</v>
      </c>
      <c r="W413" s="29" t="s">
        <v>3016</v>
      </c>
      <c r="X413" s="28" t="s">
        <v>13</v>
      </c>
      <c r="Y413" s="31"/>
    </row>
    <row r="414" spans="1:25" ht="20" customHeight="1">
      <c r="A414" s="34">
        <v>412</v>
      </c>
      <c r="B414" s="34" t="s">
        <v>23</v>
      </c>
      <c r="C414" s="34" t="s">
        <v>23</v>
      </c>
      <c r="D414" s="35" t="s">
        <v>3017</v>
      </c>
      <c r="E414" s="36" t="s">
        <v>3018</v>
      </c>
      <c r="F414" s="36" t="s">
        <v>3019</v>
      </c>
      <c r="G414" s="35" t="s">
        <v>3020</v>
      </c>
      <c r="H414" s="36" t="s">
        <v>3021</v>
      </c>
      <c r="I414" s="34" t="s">
        <v>75</v>
      </c>
      <c r="J414" s="34" t="s">
        <v>92</v>
      </c>
      <c r="K414" s="37" t="s">
        <v>3022</v>
      </c>
      <c r="L414" s="34">
        <f>IF(K414="","",IFERROR(ROUND((TODAY()-IF(ISNUMBER(K414),K414,DATEVALUE(K414)))/365.25, 1),""))</f>
        <v>0</v>
      </c>
      <c r="M414" s="34" t="s">
        <v>2997</v>
      </c>
      <c r="N414" s="35" t="s">
        <v>82</v>
      </c>
      <c r="O414" s="34" t="s">
        <v>111</v>
      </c>
      <c r="P414" s="34" t="s">
        <v>112</v>
      </c>
      <c r="Q414" s="35" t="s">
        <v>82</v>
      </c>
      <c r="R414" s="34" t="s">
        <v>946</v>
      </c>
      <c r="S414" s="34" t="s">
        <v>11</v>
      </c>
      <c r="T414" s="34" t="s">
        <v>113</v>
      </c>
      <c r="U414" s="34" t="s">
        <v>2998</v>
      </c>
      <c r="V414" s="35" t="s">
        <v>3023</v>
      </c>
      <c r="W414" s="35" t="s">
        <v>3024</v>
      </c>
      <c r="X414" s="34" t="s">
        <v>13</v>
      </c>
      <c r="Y414" s="37"/>
    </row>
    <row r="415" spans="1:25" ht="20" customHeight="1">
      <c r="A415" s="28">
        <v>413</v>
      </c>
      <c r="B415" s="28" t="s">
        <v>23</v>
      </c>
      <c r="C415" s="28" t="s">
        <v>23</v>
      </c>
      <c r="D415" s="29" t="s">
        <v>3025</v>
      </c>
      <c r="E415" s="30" t="s">
        <v>732</v>
      </c>
      <c r="F415" s="30" t="s">
        <v>3026</v>
      </c>
      <c r="G415" s="29" t="s">
        <v>3027</v>
      </c>
      <c r="H415" s="30" t="s">
        <v>3028</v>
      </c>
      <c r="I415" s="28" t="s">
        <v>75</v>
      </c>
      <c r="J415" s="28" t="s">
        <v>76</v>
      </c>
      <c r="K415" s="31" t="s">
        <v>362</v>
      </c>
      <c r="L415" s="28">
        <f>IF(K415="","",IFERROR(ROUND((TODAY()-IF(ISNUMBER(K415),K415,DATEVALUE(K415)))/365.25, 1),""))</f>
        <v>0</v>
      </c>
      <c r="M415" s="28" t="s">
        <v>3029</v>
      </c>
      <c r="N415" s="29" t="s">
        <v>82</v>
      </c>
      <c r="O415" s="28" t="s">
        <v>111</v>
      </c>
      <c r="P415" s="28" t="s">
        <v>112</v>
      </c>
      <c r="Q415" s="29" t="s">
        <v>82</v>
      </c>
      <c r="R415" s="28" t="s">
        <v>946</v>
      </c>
      <c r="S415" s="28" t="s">
        <v>11</v>
      </c>
      <c r="T415" s="28" t="s">
        <v>113</v>
      </c>
      <c r="U415" s="28" t="s">
        <v>2998</v>
      </c>
      <c r="V415" s="29" t="s">
        <v>3030</v>
      </c>
      <c r="W415" s="29" t="s">
        <v>3031</v>
      </c>
      <c r="X415" s="28" t="s">
        <v>13</v>
      </c>
      <c r="Y415" s="31"/>
    </row>
    <row r="416" spans="1:25" ht="20" customHeight="1">
      <c r="A416" s="34">
        <v>414</v>
      </c>
      <c r="B416" s="34" t="s">
        <v>23</v>
      </c>
      <c r="C416" s="34" t="s">
        <v>23</v>
      </c>
      <c r="D416" s="35" t="s">
        <v>3032</v>
      </c>
      <c r="E416" s="36" t="s">
        <v>3033</v>
      </c>
      <c r="F416" s="36" t="s">
        <v>3034</v>
      </c>
      <c r="G416" s="35" t="s">
        <v>3035</v>
      </c>
      <c r="H416" s="36" t="s">
        <v>3036</v>
      </c>
      <c r="I416" s="34" t="s">
        <v>75</v>
      </c>
      <c r="J416" s="34" t="s">
        <v>76</v>
      </c>
      <c r="K416" s="37" t="s">
        <v>432</v>
      </c>
      <c r="L416" s="34">
        <f>IF(K416="","",IFERROR(ROUND((TODAY()-IF(ISNUMBER(K416),K416,DATEVALUE(K416)))/365.25, 1),""))</f>
        <v>0</v>
      </c>
      <c r="M416" s="34" t="s">
        <v>2997</v>
      </c>
      <c r="N416" s="35" t="s">
        <v>82</v>
      </c>
      <c r="O416" s="34" t="s">
        <v>111</v>
      </c>
      <c r="P416" s="34" t="s">
        <v>112</v>
      </c>
      <c r="Q416" s="35" t="s">
        <v>82</v>
      </c>
      <c r="R416" s="34" t="s">
        <v>946</v>
      </c>
      <c r="S416" s="34" t="s">
        <v>11</v>
      </c>
      <c r="T416" s="34" t="s">
        <v>113</v>
      </c>
      <c r="U416" s="34" t="s">
        <v>2998</v>
      </c>
      <c r="V416" s="35" t="s">
        <v>3037</v>
      </c>
      <c r="W416" s="35" t="s">
        <v>3038</v>
      </c>
      <c r="X416" s="34" t="s">
        <v>13</v>
      </c>
      <c r="Y416" s="37"/>
    </row>
    <row r="417" spans="1:25" ht="20" customHeight="1">
      <c r="A417" s="28">
        <v>415</v>
      </c>
      <c r="B417" s="28" t="s">
        <v>23</v>
      </c>
      <c r="C417" s="28" t="s">
        <v>23</v>
      </c>
      <c r="D417" s="29" t="s">
        <v>3039</v>
      </c>
      <c r="E417" s="30" t="s">
        <v>3040</v>
      </c>
      <c r="F417" s="30" t="s">
        <v>3041</v>
      </c>
      <c r="G417" s="29" t="s">
        <v>3042</v>
      </c>
      <c r="H417" s="30" t="s">
        <v>3043</v>
      </c>
      <c r="I417" s="28" t="s">
        <v>75</v>
      </c>
      <c r="J417" s="28" t="s">
        <v>92</v>
      </c>
      <c r="K417" s="31" t="s">
        <v>3044</v>
      </c>
      <c r="L417" s="28">
        <f>IF(K417="","",IFERROR(ROUND((TODAY()-IF(ISNUMBER(K417),K417,DATEVALUE(K417)))/365.25, 1),""))</f>
        <v>0</v>
      </c>
      <c r="M417" s="28" t="s">
        <v>3045</v>
      </c>
      <c r="N417" s="29" t="s">
        <v>82</v>
      </c>
      <c r="O417" s="28" t="s">
        <v>111</v>
      </c>
      <c r="P417" s="28" t="s">
        <v>112</v>
      </c>
      <c r="Q417" s="29" t="s">
        <v>82</v>
      </c>
      <c r="R417" s="28" t="s">
        <v>946</v>
      </c>
      <c r="S417" s="28" t="s">
        <v>11</v>
      </c>
      <c r="T417" s="28" t="s">
        <v>113</v>
      </c>
      <c r="U417" s="28" t="s">
        <v>2998</v>
      </c>
      <c r="V417" s="29" t="s">
        <v>3046</v>
      </c>
      <c r="W417" s="29" t="s">
        <v>3047</v>
      </c>
      <c r="X417" s="28" t="s">
        <v>13</v>
      </c>
      <c r="Y417" s="31"/>
    </row>
    <row r="418" spans="1:25" ht="20" customHeight="1">
      <c r="A418" s="34">
        <v>416</v>
      </c>
      <c r="B418" s="34" t="s">
        <v>23</v>
      </c>
      <c r="C418" s="34" t="s">
        <v>23</v>
      </c>
      <c r="D418" s="35" t="s">
        <v>3048</v>
      </c>
      <c r="E418" s="36" t="s">
        <v>3049</v>
      </c>
      <c r="F418" s="36" t="s">
        <v>3050</v>
      </c>
      <c r="G418" s="35" t="s">
        <v>3051</v>
      </c>
      <c r="H418" s="36" t="s">
        <v>3052</v>
      </c>
      <c r="I418" s="34" t="s">
        <v>75</v>
      </c>
      <c r="J418" s="34" t="s">
        <v>92</v>
      </c>
      <c r="K418" s="37" t="s">
        <v>3044</v>
      </c>
      <c r="L418" s="34">
        <f>IF(K418="","",IFERROR(ROUND((TODAY()-IF(ISNUMBER(K418),K418,DATEVALUE(K418)))/365.25, 1),""))</f>
        <v>0</v>
      </c>
      <c r="M418" s="34" t="s">
        <v>3045</v>
      </c>
      <c r="N418" s="35" t="s">
        <v>82</v>
      </c>
      <c r="O418" s="34" t="s">
        <v>111</v>
      </c>
      <c r="P418" s="34" t="s">
        <v>112</v>
      </c>
      <c r="Q418" s="35" t="s">
        <v>82</v>
      </c>
      <c r="R418" s="34" t="s">
        <v>946</v>
      </c>
      <c r="S418" s="34" t="s">
        <v>11</v>
      </c>
      <c r="T418" s="34" t="s">
        <v>113</v>
      </c>
      <c r="U418" s="34" t="s">
        <v>2998</v>
      </c>
      <c r="V418" s="35" t="s">
        <v>3053</v>
      </c>
      <c r="W418" s="35" t="s">
        <v>3054</v>
      </c>
      <c r="X418" s="34" t="s">
        <v>13</v>
      </c>
      <c r="Y418" s="37"/>
    </row>
    <row r="419" spans="1:25" ht="20" customHeight="1">
      <c r="A419" s="28">
        <v>417</v>
      </c>
      <c r="B419" s="28" t="s">
        <v>23</v>
      </c>
      <c r="C419" s="28" t="s">
        <v>23</v>
      </c>
      <c r="D419" s="29" t="s">
        <v>3055</v>
      </c>
      <c r="E419" s="30" t="s">
        <v>3056</v>
      </c>
      <c r="F419" s="30" t="s">
        <v>3057</v>
      </c>
      <c r="G419" s="29" t="s">
        <v>3058</v>
      </c>
      <c r="H419" s="30" t="s">
        <v>3059</v>
      </c>
      <c r="I419" s="28" t="s">
        <v>128</v>
      </c>
      <c r="J419" s="28" t="s">
        <v>76</v>
      </c>
      <c r="K419" s="31" t="s">
        <v>3022</v>
      </c>
      <c r="L419" s="28">
        <f>IF(K419="","",IFERROR(ROUND((TODAY()-IF(ISNUMBER(K419),K419,DATEVALUE(K419)))/365.25, 1),""))</f>
        <v>0</v>
      </c>
      <c r="M419" s="28" t="s">
        <v>2997</v>
      </c>
      <c r="N419" s="29" t="s">
        <v>82</v>
      </c>
      <c r="O419" s="28" t="s">
        <v>111</v>
      </c>
      <c r="P419" s="28" t="s">
        <v>112</v>
      </c>
      <c r="Q419" s="29" t="s">
        <v>82</v>
      </c>
      <c r="R419" s="28" t="s">
        <v>946</v>
      </c>
      <c r="S419" s="28" t="s">
        <v>11</v>
      </c>
      <c r="T419" s="28" t="s">
        <v>113</v>
      </c>
      <c r="U419" s="28" t="s">
        <v>2998</v>
      </c>
      <c r="V419" s="29" t="s">
        <v>3060</v>
      </c>
      <c r="W419" s="29" t="s">
        <v>3061</v>
      </c>
      <c r="X419" s="28" t="s">
        <v>13</v>
      </c>
      <c r="Y419" s="31"/>
    </row>
    <row r="420" spans="1:25" ht="20" customHeight="1">
      <c r="A420" s="34">
        <v>418</v>
      </c>
      <c r="B420" s="34" t="s">
        <v>23</v>
      </c>
      <c r="C420" s="34" t="s">
        <v>23</v>
      </c>
      <c r="D420" s="35" t="s">
        <v>3062</v>
      </c>
      <c r="E420" s="36" t="s">
        <v>3063</v>
      </c>
      <c r="F420" s="36" t="s">
        <v>3064</v>
      </c>
      <c r="G420" s="35" t="s">
        <v>3065</v>
      </c>
      <c r="H420" s="36" t="s">
        <v>3066</v>
      </c>
      <c r="I420" s="34" t="s">
        <v>75</v>
      </c>
      <c r="J420" s="34" t="s">
        <v>76</v>
      </c>
      <c r="K420" s="37" t="s">
        <v>3067</v>
      </c>
      <c r="L420" s="34">
        <f>IF(K420="","",IFERROR(ROUND((TODAY()-IF(ISNUMBER(K420),K420,DATEVALUE(K420)))/365.25, 1),""))</f>
        <v>0</v>
      </c>
      <c r="M420" s="34" t="s">
        <v>2997</v>
      </c>
      <c r="N420" s="35" t="s">
        <v>82</v>
      </c>
      <c r="O420" s="34" t="s">
        <v>111</v>
      </c>
      <c r="P420" s="34" t="s">
        <v>112</v>
      </c>
      <c r="Q420" s="35" t="s">
        <v>82</v>
      </c>
      <c r="R420" s="34" t="s">
        <v>946</v>
      </c>
      <c r="S420" s="34" t="s">
        <v>11</v>
      </c>
      <c r="T420" s="34" t="s">
        <v>113</v>
      </c>
      <c r="U420" s="34" t="s">
        <v>2998</v>
      </c>
      <c r="V420" s="35" t="s">
        <v>3068</v>
      </c>
      <c r="W420" s="35" t="s">
        <v>3069</v>
      </c>
      <c r="X420" s="34" t="s">
        <v>13</v>
      </c>
      <c r="Y420" s="37"/>
    </row>
    <row r="421" spans="1:25" ht="20" customHeight="1">
      <c r="A421" s="28">
        <v>419</v>
      </c>
      <c r="B421" s="28" t="s">
        <v>23</v>
      </c>
      <c r="C421" s="28" t="s">
        <v>23</v>
      </c>
      <c r="D421" s="29" t="s">
        <v>3070</v>
      </c>
      <c r="E421" s="30" t="s">
        <v>3071</v>
      </c>
      <c r="F421" s="30" t="s">
        <v>3072</v>
      </c>
      <c r="G421" s="29" t="s">
        <v>3073</v>
      </c>
      <c r="H421" s="30" t="s">
        <v>3074</v>
      </c>
      <c r="I421" s="28" t="s">
        <v>75</v>
      </c>
      <c r="J421" s="28" t="s">
        <v>76</v>
      </c>
      <c r="K421" s="31" t="s">
        <v>362</v>
      </c>
      <c r="L421" s="28">
        <f>IF(K421="","",IFERROR(ROUND((TODAY()-IF(ISNUMBER(K421),K421,DATEVALUE(K421)))/365.25, 1),""))</f>
        <v>0</v>
      </c>
      <c r="M421" s="28" t="s">
        <v>2997</v>
      </c>
      <c r="N421" s="29" t="s">
        <v>82</v>
      </c>
      <c r="O421" s="28" t="s">
        <v>111</v>
      </c>
      <c r="P421" s="28" t="s">
        <v>112</v>
      </c>
      <c r="Q421" s="29" t="s">
        <v>82</v>
      </c>
      <c r="R421" s="28" t="s">
        <v>946</v>
      </c>
      <c r="S421" s="28" t="s">
        <v>11</v>
      </c>
      <c r="T421" s="28" t="s">
        <v>113</v>
      </c>
      <c r="U421" s="28" t="s">
        <v>2998</v>
      </c>
      <c r="V421" s="29" t="s">
        <v>3075</v>
      </c>
      <c r="W421" s="29" t="s">
        <v>3076</v>
      </c>
      <c r="X421" s="28" t="s">
        <v>13</v>
      </c>
      <c r="Y421" s="31"/>
    </row>
    <row r="422" spans="1:25" ht="20" customHeight="1">
      <c r="A422" s="34">
        <v>420</v>
      </c>
      <c r="B422" s="34" t="s">
        <v>23</v>
      </c>
      <c r="C422" s="34" t="s">
        <v>23</v>
      </c>
      <c r="D422" s="35" t="s">
        <v>3077</v>
      </c>
      <c r="E422" s="36" t="s">
        <v>3078</v>
      </c>
      <c r="F422" s="36" t="s">
        <v>3079</v>
      </c>
      <c r="G422" s="35" t="s">
        <v>3080</v>
      </c>
      <c r="H422" s="36" t="s">
        <v>3081</v>
      </c>
      <c r="I422" s="34" t="s">
        <v>75</v>
      </c>
      <c r="J422" s="34" t="s">
        <v>76</v>
      </c>
      <c r="K422" s="37" t="s">
        <v>3082</v>
      </c>
      <c r="L422" s="34">
        <f>IF(K422="","",IFERROR(ROUND((TODAY()-IF(ISNUMBER(K422),K422,DATEVALUE(K422)))/365.25, 1),""))</f>
        <v>0</v>
      </c>
      <c r="M422" s="34" t="s">
        <v>3006</v>
      </c>
      <c r="N422" s="35" t="s">
        <v>82</v>
      </c>
      <c r="O422" s="34" t="s">
        <v>111</v>
      </c>
      <c r="P422" s="34" t="s">
        <v>112</v>
      </c>
      <c r="Q422" s="35" t="s">
        <v>82</v>
      </c>
      <c r="R422" s="34" t="s">
        <v>946</v>
      </c>
      <c r="S422" s="34" t="s">
        <v>11</v>
      </c>
      <c r="T422" s="34" t="s">
        <v>113</v>
      </c>
      <c r="U422" s="34" t="s">
        <v>2998</v>
      </c>
      <c r="V422" s="35" t="s">
        <v>3083</v>
      </c>
      <c r="W422" s="35" t="s">
        <v>3084</v>
      </c>
      <c r="X422" s="34" t="s">
        <v>13</v>
      </c>
      <c r="Y422" s="37"/>
    </row>
    <row r="423" spans="1:25" ht="20" customHeight="1">
      <c r="A423" s="28">
        <v>421</v>
      </c>
      <c r="B423" s="28" t="s">
        <v>23</v>
      </c>
      <c r="C423" s="28" t="s">
        <v>23</v>
      </c>
      <c r="D423" s="29" t="s">
        <v>3085</v>
      </c>
      <c r="E423" s="30" t="s">
        <v>3086</v>
      </c>
      <c r="F423" s="30" t="s">
        <v>3087</v>
      </c>
      <c r="G423" s="29" t="s">
        <v>3088</v>
      </c>
      <c r="H423" s="30" t="s">
        <v>3089</v>
      </c>
      <c r="I423" s="28" t="s">
        <v>75</v>
      </c>
      <c r="J423" s="28" t="s">
        <v>76</v>
      </c>
      <c r="K423" s="31" t="s">
        <v>339</v>
      </c>
      <c r="L423" s="28">
        <f>IF(K423="","",IFERROR(ROUND((TODAY()-IF(ISNUMBER(K423),K423,DATEVALUE(K423)))/365.25, 1),""))</f>
        <v>0</v>
      </c>
      <c r="M423" s="28" t="s">
        <v>3090</v>
      </c>
      <c r="N423" s="29" t="s">
        <v>82</v>
      </c>
      <c r="O423" s="28" t="s">
        <v>111</v>
      </c>
      <c r="P423" s="28" t="s">
        <v>112</v>
      </c>
      <c r="Q423" s="29" t="s">
        <v>82</v>
      </c>
      <c r="R423" s="28" t="s">
        <v>946</v>
      </c>
      <c r="S423" s="28" t="s">
        <v>11</v>
      </c>
      <c r="T423" s="28" t="s">
        <v>113</v>
      </c>
      <c r="U423" s="28" t="s">
        <v>2998</v>
      </c>
      <c r="V423" s="29" t="s">
        <v>3091</v>
      </c>
      <c r="W423" s="29" t="s">
        <v>82</v>
      </c>
      <c r="X423" s="28" t="s">
        <v>13</v>
      </c>
      <c r="Y423" s="31"/>
    </row>
    <row r="424" spans="1:25" ht="20" customHeight="1">
      <c r="A424" s="34">
        <v>422</v>
      </c>
      <c r="B424" s="34" t="s">
        <v>23</v>
      </c>
      <c r="C424" s="34" t="s">
        <v>23</v>
      </c>
      <c r="D424" s="35" t="s">
        <v>3092</v>
      </c>
      <c r="E424" s="36" t="s">
        <v>3093</v>
      </c>
      <c r="F424" s="36" t="s">
        <v>3094</v>
      </c>
      <c r="G424" s="35" t="s">
        <v>3095</v>
      </c>
      <c r="H424" s="36" t="s">
        <v>3096</v>
      </c>
      <c r="I424" s="34" t="s">
        <v>75</v>
      </c>
      <c r="J424" s="34" t="s">
        <v>76</v>
      </c>
      <c r="K424" s="37" t="s">
        <v>3067</v>
      </c>
      <c r="L424" s="34">
        <f>IF(K424="","",IFERROR(ROUND((TODAY()-IF(ISNUMBER(K424),K424,DATEVALUE(K424)))/365.25, 1),""))</f>
        <v>0</v>
      </c>
      <c r="M424" s="34" t="s">
        <v>3097</v>
      </c>
      <c r="N424" s="35" t="s">
        <v>82</v>
      </c>
      <c r="O424" s="34" t="s">
        <v>111</v>
      </c>
      <c r="P424" s="34" t="s">
        <v>112</v>
      </c>
      <c r="Q424" s="35" t="s">
        <v>82</v>
      </c>
      <c r="R424" s="34" t="s">
        <v>946</v>
      </c>
      <c r="S424" s="34" t="s">
        <v>11</v>
      </c>
      <c r="T424" s="34" t="s">
        <v>113</v>
      </c>
      <c r="U424" s="34" t="s">
        <v>2998</v>
      </c>
      <c r="V424" s="35" t="s">
        <v>3098</v>
      </c>
      <c r="W424" s="35" t="s">
        <v>3099</v>
      </c>
      <c r="X424" s="34" t="s">
        <v>13</v>
      </c>
      <c r="Y424" s="37"/>
    </row>
    <row r="425" spans="1:25" ht="20" customHeight="1">
      <c r="A425" s="28">
        <v>423</v>
      </c>
      <c r="B425" s="28" t="s">
        <v>23</v>
      </c>
      <c r="C425" s="28" t="s">
        <v>23</v>
      </c>
      <c r="D425" s="29" t="s">
        <v>3100</v>
      </c>
      <c r="E425" s="30" t="s">
        <v>3033</v>
      </c>
      <c r="F425" s="30" t="s">
        <v>3101</v>
      </c>
      <c r="G425" s="29" t="s">
        <v>3102</v>
      </c>
      <c r="H425" s="30" t="s">
        <v>3103</v>
      </c>
      <c r="I425" s="28" t="s">
        <v>75</v>
      </c>
      <c r="J425" s="28" t="s">
        <v>76</v>
      </c>
      <c r="K425" s="31" t="s">
        <v>599</v>
      </c>
      <c r="L425" s="28">
        <f>IF(K425="","",IFERROR(ROUND((TODAY()-IF(ISNUMBER(K425),K425,DATEVALUE(K425)))/365.25, 1),""))</f>
        <v>0</v>
      </c>
      <c r="M425" s="28" t="s">
        <v>2997</v>
      </c>
      <c r="N425" s="29" t="s">
        <v>82</v>
      </c>
      <c r="O425" s="28" t="s">
        <v>111</v>
      </c>
      <c r="P425" s="28" t="s">
        <v>112</v>
      </c>
      <c r="Q425" s="29" t="s">
        <v>82</v>
      </c>
      <c r="R425" s="28" t="s">
        <v>946</v>
      </c>
      <c r="S425" s="28" t="s">
        <v>11</v>
      </c>
      <c r="T425" s="28" t="s">
        <v>113</v>
      </c>
      <c r="U425" s="28" t="s">
        <v>2998</v>
      </c>
      <c r="V425" s="29" t="s">
        <v>3104</v>
      </c>
      <c r="W425" s="29" t="s">
        <v>3105</v>
      </c>
      <c r="X425" s="28" t="s">
        <v>13</v>
      </c>
      <c r="Y425" s="31"/>
    </row>
    <row r="426" spans="1:25" ht="20" customHeight="1">
      <c r="A426" s="34">
        <v>424</v>
      </c>
      <c r="B426" s="34" t="s">
        <v>23</v>
      </c>
      <c r="C426" s="34" t="s">
        <v>23</v>
      </c>
      <c r="D426" s="35" t="s">
        <v>3106</v>
      </c>
      <c r="E426" s="36" t="s">
        <v>3107</v>
      </c>
      <c r="F426" s="36" t="s">
        <v>3108</v>
      </c>
      <c r="G426" s="35" t="s">
        <v>3109</v>
      </c>
      <c r="H426" s="36" t="s">
        <v>3110</v>
      </c>
      <c r="I426" s="34" t="s">
        <v>75</v>
      </c>
      <c r="J426" s="34" t="s">
        <v>76</v>
      </c>
      <c r="K426" s="37" t="s">
        <v>3022</v>
      </c>
      <c r="L426" s="34">
        <f>IF(K426="","",IFERROR(ROUND((TODAY()-IF(ISNUMBER(K426),K426,DATEVALUE(K426)))/365.25, 1),""))</f>
        <v>0</v>
      </c>
      <c r="M426" s="34" t="s">
        <v>2997</v>
      </c>
      <c r="N426" s="35" t="s">
        <v>82</v>
      </c>
      <c r="O426" s="34" t="s">
        <v>111</v>
      </c>
      <c r="P426" s="34" t="s">
        <v>112</v>
      </c>
      <c r="Q426" s="35" t="s">
        <v>82</v>
      </c>
      <c r="R426" s="34" t="s">
        <v>946</v>
      </c>
      <c r="S426" s="34" t="s">
        <v>11</v>
      </c>
      <c r="T426" s="34" t="s">
        <v>113</v>
      </c>
      <c r="U426" s="34" t="s">
        <v>2998</v>
      </c>
      <c r="V426" s="35" t="s">
        <v>3111</v>
      </c>
      <c r="W426" s="35" t="s">
        <v>3112</v>
      </c>
      <c r="X426" s="34" t="s">
        <v>13</v>
      </c>
      <c r="Y426" s="37"/>
    </row>
    <row r="427" spans="1:25" ht="20" customHeight="1">
      <c r="A427" s="28">
        <v>425</v>
      </c>
      <c r="B427" s="28" t="s">
        <v>23</v>
      </c>
      <c r="C427" s="28" t="s">
        <v>23</v>
      </c>
      <c r="D427" s="29" t="s">
        <v>3113</v>
      </c>
      <c r="E427" s="30" t="s">
        <v>2389</v>
      </c>
      <c r="F427" s="30" t="s">
        <v>3114</v>
      </c>
      <c r="G427" s="29" t="s">
        <v>3115</v>
      </c>
      <c r="H427" s="30" t="s">
        <v>3116</v>
      </c>
      <c r="I427" s="28" t="s">
        <v>75</v>
      </c>
      <c r="J427" s="28" t="s">
        <v>76</v>
      </c>
      <c r="K427" s="31" t="s">
        <v>3022</v>
      </c>
      <c r="L427" s="28">
        <f>IF(K427="","",IFERROR(ROUND((TODAY()-IF(ISNUMBER(K427),K427,DATEVALUE(K427)))/365.25, 1),""))</f>
        <v>0</v>
      </c>
      <c r="M427" s="28" t="s">
        <v>2997</v>
      </c>
      <c r="N427" s="29" t="s">
        <v>82</v>
      </c>
      <c r="O427" s="28" t="s">
        <v>111</v>
      </c>
      <c r="P427" s="28" t="s">
        <v>112</v>
      </c>
      <c r="Q427" s="29" t="s">
        <v>82</v>
      </c>
      <c r="R427" s="28" t="s">
        <v>946</v>
      </c>
      <c r="S427" s="28" t="s">
        <v>11</v>
      </c>
      <c r="T427" s="28" t="s">
        <v>113</v>
      </c>
      <c r="U427" s="28" t="s">
        <v>2998</v>
      </c>
      <c r="V427" s="29" t="s">
        <v>3117</v>
      </c>
      <c r="W427" s="29" t="s">
        <v>3118</v>
      </c>
      <c r="X427" s="28" t="s">
        <v>13</v>
      </c>
      <c r="Y427" s="31"/>
    </row>
    <row r="428" spans="1:25" ht="20" customHeight="1">
      <c r="A428" s="34">
        <v>426</v>
      </c>
      <c r="B428" s="34" t="s">
        <v>23</v>
      </c>
      <c r="C428" s="34" t="s">
        <v>23</v>
      </c>
      <c r="D428" s="35" t="s">
        <v>3119</v>
      </c>
      <c r="E428" s="36" t="s">
        <v>3120</v>
      </c>
      <c r="F428" s="36" t="s">
        <v>3121</v>
      </c>
      <c r="G428" s="35" t="s">
        <v>3122</v>
      </c>
      <c r="H428" s="36" t="s">
        <v>3123</v>
      </c>
      <c r="I428" s="34" t="s">
        <v>128</v>
      </c>
      <c r="J428" s="34" t="s">
        <v>76</v>
      </c>
      <c r="K428" s="37" t="s">
        <v>3022</v>
      </c>
      <c r="L428" s="34">
        <f>IF(K428="","",IFERROR(ROUND((TODAY()-IF(ISNUMBER(K428),K428,DATEVALUE(K428)))/365.25, 1),""))</f>
        <v>0</v>
      </c>
      <c r="M428" s="34" t="s">
        <v>2997</v>
      </c>
      <c r="N428" s="35" t="s">
        <v>82</v>
      </c>
      <c r="O428" s="34" t="s">
        <v>111</v>
      </c>
      <c r="P428" s="34" t="s">
        <v>112</v>
      </c>
      <c r="Q428" s="35" t="s">
        <v>82</v>
      </c>
      <c r="R428" s="34" t="s">
        <v>946</v>
      </c>
      <c r="S428" s="34" t="s">
        <v>11</v>
      </c>
      <c r="T428" s="34" t="s">
        <v>113</v>
      </c>
      <c r="U428" s="34" t="s">
        <v>2998</v>
      </c>
      <c r="V428" s="35" t="s">
        <v>3124</v>
      </c>
      <c r="W428" s="35" t="s">
        <v>3125</v>
      </c>
      <c r="X428" s="34" t="s">
        <v>13</v>
      </c>
      <c r="Y428" s="37"/>
    </row>
    <row r="429" spans="1:25" ht="20" customHeight="1">
      <c r="A429" s="28">
        <v>427</v>
      </c>
      <c r="B429" s="28" t="s">
        <v>23</v>
      </c>
      <c r="C429" s="28" t="s">
        <v>23</v>
      </c>
      <c r="D429" s="29" t="s">
        <v>3126</v>
      </c>
      <c r="E429" s="30" t="s">
        <v>3127</v>
      </c>
      <c r="F429" s="30" t="s">
        <v>3128</v>
      </c>
      <c r="G429" s="29" t="s">
        <v>3129</v>
      </c>
      <c r="H429" s="30" t="s">
        <v>3130</v>
      </c>
      <c r="I429" s="28" t="s">
        <v>75</v>
      </c>
      <c r="J429" s="28" t="s">
        <v>76</v>
      </c>
      <c r="K429" s="31" t="s">
        <v>3022</v>
      </c>
      <c r="L429" s="28">
        <f>IF(K429="","",IFERROR(ROUND((TODAY()-IF(ISNUMBER(K429),K429,DATEVALUE(K429)))/365.25, 1),""))</f>
        <v>0</v>
      </c>
      <c r="M429" s="28" t="s">
        <v>2997</v>
      </c>
      <c r="N429" s="29" t="s">
        <v>82</v>
      </c>
      <c r="O429" s="28" t="s">
        <v>111</v>
      </c>
      <c r="P429" s="28" t="s">
        <v>112</v>
      </c>
      <c r="Q429" s="29" t="s">
        <v>82</v>
      </c>
      <c r="R429" s="28" t="s">
        <v>946</v>
      </c>
      <c r="S429" s="28" t="s">
        <v>11</v>
      </c>
      <c r="T429" s="28" t="s">
        <v>113</v>
      </c>
      <c r="U429" s="28" t="s">
        <v>2998</v>
      </c>
      <c r="V429" s="29" t="s">
        <v>3131</v>
      </c>
      <c r="W429" s="29" t="s">
        <v>3132</v>
      </c>
      <c r="X429" s="28" t="s">
        <v>13</v>
      </c>
      <c r="Y429" s="31"/>
    </row>
    <row r="430" spans="1:25" ht="20" customHeight="1">
      <c r="A430" s="34">
        <v>428</v>
      </c>
      <c r="B430" s="34" t="s">
        <v>23</v>
      </c>
      <c r="C430" s="34" t="s">
        <v>23</v>
      </c>
      <c r="D430" s="35" t="s">
        <v>3133</v>
      </c>
      <c r="E430" s="36" t="s">
        <v>3134</v>
      </c>
      <c r="F430" s="36" t="s">
        <v>3135</v>
      </c>
      <c r="G430" s="35" t="s">
        <v>3136</v>
      </c>
      <c r="H430" s="36" t="s">
        <v>3066</v>
      </c>
      <c r="I430" s="34" t="s">
        <v>75</v>
      </c>
      <c r="J430" s="34" t="s">
        <v>76</v>
      </c>
      <c r="K430" s="37" t="s">
        <v>3137</v>
      </c>
      <c r="L430" s="34">
        <f>IF(K430="","",IFERROR(ROUND((TODAY()-IF(ISNUMBER(K430),K430,DATEVALUE(K430)))/365.25, 1),""))</f>
        <v>0</v>
      </c>
      <c r="M430" s="34" t="s">
        <v>2997</v>
      </c>
      <c r="N430" s="35" t="s">
        <v>82</v>
      </c>
      <c r="O430" s="34" t="s">
        <v>111</v>
      </c>
      <c r="P430" s="34" t="s">
        <v>112</v>
      </c>
      <c r="Q430" s="35" t="s">
        <v>82</v>
      </c>
      <c r="R430" s="34" t="s">
        <v>946</v>
      </c>
      <c r="S430" s="34" t="s">
        <v>11</v>
      </c>
      <c r="T430" s="34" t="s">
        <v>113</v>
      </c>
      <c r="U430" s="34" t="s">
        <v>2998</v>
      </c>
      <c r="V430" s="35" t="s">
        <v>3138</v>
      </c>
      <c r="W430" s="35" t="s">
        <v>3139</v>
      </c>
      <c r="X430" s="34" t="s">
        <v>13</v>
      </c>
      <c r="Y430" s="37"/>
    </row>
    <row r="431" spans="1:25" ht="20" customHeight="1">
      <c r="A431" s="28">
        <v>429</v>
      </c>
      <c r="B431" s="28" t="s">
        <v>23</v>
      </c>
      <c r="C431" s="28" t="s">
        <v>23</v>
      </c>
      <c r="D431" s="29" t="s">
        <v>3140</v>
      </c>
      <c r="E431" s="30" t="s">
        <v>3141</v>
      </c>
      <c r="F431" s="30" t="s">
        <v>3142</v>
      </c>
      <c r="G431" s="29" t="s">
        <v>3143</v>
      </c>
      <c r="H431" s="30" t="s">
        <v>3144</v>
      </c>
      <c r="I431" s="28" t="s">
        <v>75</v>
      </c>
      <c r="J431" s="28" t="s">
        <v>76</v>
      </c>
      <c r="K431" s="31" t="s">
        <v>3137</v>
      </c>
      <c r="L431" s="28">
        <f>IF(K431="","",IFERROR(ROUND((TODAY()-IF(ISNUMBER(K431),K431,DATEVALUE(K431)))/365.25, 1),""))</f>
        <v>0</v>
      </c>
      <c r="M431" s="28" t="s">
        <v>3045</v>
      </c>
      <c r="N431" s="29" t="s">
        <v>82</v>
      </c>
      <c r="O431" s="28" t="s">
        <v>111</v>
      </c>
      <c r="P431" s="28" t="s">
        <v>112</v>
      </c>
      <c r="Q431" s="29" t="s">
        <v>82</v>
      </c>
      <c r="R431" s="28" t="s">
        <v>946</v>
      </c>
      <c r="S431" s="28" t="s">
        <v>11</v>
      </c>
      <c r="T431" s="28" t="s">
        <v>113</v>
      </c>
      <c r="U431" s="28" t="s">
        <v>2998</v>
      </c>
      <c r="V431" s="29" t="s">
        <v>3145</v>
      </c>
      <c r="W431" s="29" t="s">
        <v>3146</v>
      </c>
      <c r="X431" s="28" t="s">
        <v>13</v>
      </c>
      <c r="Y431" s="31"/>
    </row>
    <row r="432" spans="1:25" ht="20" customHeight="1">
      <c r="A432" s="34">
        <v>430</v>
      </c>
      <c r="B432" s="34" t="s">
        <v>23</v>
      </c>
      <c r="C432" s="34" t="s">
        <v>23</v>
      </c>
      <c r="D432" s="35" t="s">
        <v>3147</v>
      </c>
      <c r="E432" s="36" t="s">
        <v>1457</v>
      </c>
      <c r="F432" s="36" t="s">
        <v>3148</v>
      </c>
      <c r="G432" s="35" t="s">
        <v>3149</v>
      </c>
      <c r="H432" s="36" t="s">
        <v>3150</v>
      </c>
      <c r="I432" s="34" t="s">
        <v>75</v>
      </c>
      <c r="J432" s="34" t="s">
        <v>76</v>
      </c>
      <c r="K432" s="37" t="s">
        <v>3151</v>
      </c>
      <c r="L432" s="34">
        <f>IF(K432="","",IFERROR(ROUND((TODAY()-IF(ISNUMBER(K432),K432,DATEVALUE(K432)))/365.25, 1),""))</f>
        <v>0</v>
      </c>
      <c r="M432" s="34" t="s">
        <v>3152</v>
      </c>
      <c r="N432" s="35" t="s">
        <v>82</v>
      </c>
      <c r="O432" s="34" t="s">
        <v>111</v>
      </c>
      <c r="P432" s="34" t="s">
        <v>112</v>
      </c>
      <c r="Q432" s="35" t="s">
        <v>82</v>
      </c>
      <c r="R432" s="34" t="s">
        <v>946</v>
      </c>
      <c r="S432" s="34" t="s">
        <v>11</v>
      </c>
      <c r="T432" s="34" t="s">
        <v>113</v>
      </c>
      <c r="U432" s="34" t="s">
        <v>2998</v>
      </c>
      <c r="V432" s="35" t="s">
        <v>3153</v>
      </c>
      <c r="W432" s="35" t="s">
        <v>82</v>
      </c>
      <c r="X432" s="34" t="s">
        <v>13</v>
      </c>
      <c r="Y432" s="37"/>
    </row>
    <row r="433" spans="1:25" ht="20" customHeight="1">
      <c r="A433" s="28">
        <v>431</v>
      </c>
      <c r="B433" s="28" t="s">
        <v>23</v>
      </c>
      <c r="C433" s="28" t="s">
        <v>23</v>
      </c>
      <c r="D433" s="29" t="s">
        <v>3154</v>
      </c>
      <c r="E433" s="30" t="s">
        <v>747</v>
      </c>
      <c r="F433" s="30" t="s">
        <v>3155</v>
      </c>
      <c r="G433" s="29" t="s">
        <v>3156</v>
      </c>
      <c r="H433" s="30" t="s">
        <v>3157</v>
      </c>
      <c r="I433" s="28" t="s">
        <v>75</v>
      </c>
      <c r="J433" s="28" t="s">
        <v>76</v>
      </c>
      <c r="K433" s="31" t="s">
        <v>616</v>
      </c>
      <c r="L433" s="28">
        <f>IF(K433="","",IFERROR(ROUND((TODAY()-IF(ISNUMBER(K433),K433,DATEVALUE(K433)))/365.25, 1),""))</f>
        <v>0</v>
      </c>
      <c r="M433" s="28" t="s">
        <v>2997</v>
      </c>
      <c r="N433" s="29" t="s">
        <v>82</v>
      </c>
      <c r="O433" s="28" t="s">
        <v>111</v>
      </c>
      <c r="P433" s="28" t="s">
        <v>112</v>
      </c>
      <c r="Q433" s="29" t="s">
        <v>82</v>
      </c>
      <c r="R433" s="28" t="s">
        <v>946</v>
      </c>
      <c r="S433" s="28" t="s">
        <v>11</v>
      </c>
      <c r="T433" s="28" t="s">
        <v>113</v>
      </c>
      <c r="U433" s="28" t="s">
        <v>2998</v>
      </c>
      <c r="V433" s="29" t="s">
        <v>3158</v>
      </c>
      <c r="W433" s="29" t="s">
        <v>3159</v>
      </c>
      <c r="X433" s="28" t="s">
        <v>13</v>
      </c>
      <c r="Y433" s="31"/>
    </row>
    <row r="434" spans="1:25" ht="20" customHeight="1">
      <c r="A434" s="34">
        <v>432</v>
      </c>
      <c r="B434" s="34" t="s">
        <v>23</v>
      </c>
      <c r="C434" s="34" t="s">
        <v>23</v>
      </c>
      <c r="D434" s="35" t="s">
        <v>3160</v>
      </c>
      <c r="E434" s="36" t="s">
        <v>3161</v>
      </c>
      <c r="F434" s="36" t="s">
        <v>3162</v>
      </c>
      <c r="G434" s="35" t="s">
        <v>3163</v>
      </c>
      <c r="H434" s="36" t="s">
        <v>3164</v>
      </c>
      <c r="I434" s="34" t="s">
        <v>75</v>
      </c>
      <c r="J434" s="34" t="s">
        <v>76</v>
      </c>
      <c r="K434" s="37" t="s">
        <v>1893</v>
      </c>
      <c r="L434" s="34">
        <f>IF(K434="","",IFERROR(ROUND((TODAY()-IF(ISNUMBER(K434),K434,DATEVALUE(K434)))/365.25, 1),""))</f>
        <v>0</v>
      </c>
      <c r="M434" s="34" t="s">
        <v>3165</v>
      </c>
      <c r="N434" s="35" t="s">
        <v>82</v>
      </c>
      <c r="O434" s="34" t="s">
        <v>111</v>
      </c>
      <c r="P434" s="34" t="s">
        <v>112</v>
      </c>
      <c r="Q434" s="35" t="s">
        <v>82</v>
      </c>
      <c r="R434" s="34" t="s">
        <v>946</v>
      </c>
      <c r="S434" s="34" t="s">
        <v>11</v>
      </c>
      <c r="T434" s="34" t="s">
        <v>113</v>
      </c>
      <c r="U434" s="34" t="s">
        <v>2998</v>
      </c>
      <c r="V434" s="35" t="s">
        <v>3166</v>
      </c>
      <c r="W434" s="35" t="s">
        <v>3167</v>
      </c>
      <c r="X434" s="34" t="s">
        <v>13</v>
      </c>
      <c r="Y434" s="37"/>
    </row>
    <row r="435" spans="1:25" ht="20" customHeight="1">
      <c r="A435" s="28">
        <v>433</v>
      </c>
      <c r="B435" s="28" t="s">
        <v>23</v>
      </c>
      <c r="C435" s="28" t="s">
        <v>23</v>
      </c>
      <c r="D435" s="29" t="s">
        <v>3168</v>
      </c>
      <c r="E435" s="30" t="s">
        <v>2633</v>
      </c>
      <c r="F435" s="30" t="s">
        <v>3169</v>
      </c>
      <c r="G435" s="29" t="s">
        <v>3170</v>
      </c>
      <c r="H435" s="30" t="s">
        <v>3171</v>
      </c>
      <c r="I435" s="28" t="s">
        <v>75</v>
      </c>
      <c r="J435" s="28" t="s">
        <v>76</v>
      </c>
      <c r="K435" s="31" t="s">
        <v>1893</v>
      </c>
      <c r="L435" s="28">
        <f>IF(K435="","",IFERROR(ROUND((TODAY()-IF(ISNUMBER(K435),K435,DATEVALUE(K435)))/365.25, 1),""))</f>
        <v>0</v>
      </c>
      <c r="M435" s="28" t="s">
        <v>3172</v>
      </c>
      <c r="N435" s="29" t="s">
        <v>82</v>
      </c>
      <c r="O435" s="28" t="s">
        <v>111</v>
      </c>
      <c r="P435" s="28" t="s">
        <v>112</v>
      </c>
      <c r="Q435" s="29" t="s">
        <v>82</v>
      </c>
      <c r="R435" s="28" t="s">
        <v>946</v>
      </c>
      <c r="S435" s="28" t="s">
        <v>11</v>
      </c>
      <c r="T435" s="28" t="s">
        <v>113</v>
      </c>
      <c r="U435" s="28" t="s">
        <v>2998</v>
      </c>
      <c r="V435" s="29" t="s">
        <v>3173</v>
      </c>
      <c r="W435" s="29" t="s">
        <v>82</v>
      </c>
      <c r="X435" s="28" t="s">
        <v>13</v>
      </c>
      <c r="Y435" s="31"/>
    </row>
    <row r="436" spans="1:25" ht="20" customHeight="1">
      <c r="A436" s="34">
        <v>434</v>
      </c>
      <c r="B436" s="34" t="s">
        <v>23</v>
      </c>
      <c r="C436" s="34" t="s">
        <v>23</v>
      </c>
      <c r="D436" s="35" t="s">
        <v>3174</v>
      </c>
      <c r="E436" s="36" t="s">
        <v>946</v>
      </c>
      <c r="F436" s="36" t="s">
        <v>3175</v>
      </c>
      <c r="G436" s="35" t="s">
        <v>3176</v>
      </c>
      <c r="H436" s="36" t="s">
        <v>3177</v>
      </c>
      <c r="I436" s="34" t="s">
        <v>75</v>
      </c>
      <c r="J436" s="34" t="s">
        <v>3178</v>
      </c>
      <c r="K436" s="37" t="s">
        <v>3179</v>
      </c>
      <c r="L436" s="34">
        <f>IF(K436="","",IFERROR(ROUND((TODAY()-IF(ISNUMBER(K436),K436,DATEVALUE(K436)))/365.25, 1),""))</f>
        <v>0</v>
      </c>
      <c r="M436" s="34" t="s">
        <v>3180</v>
      </c>
      <c r="N436" s="35" t="s">
        <v>82</v>
      </c>
      <c r="O436" s="34" t="s">
        <v>111</v>
      </c>
      <c r="P436" s="34" t="s">
        <v>112</v>
      </c>
      <c r="Q436" s="35" t="s">
        <v>82</v>
      </c>
      <c r="R436" s="34" t="s">
        <v>946</v>
      </c>
      <c r="S436" s="34" t="s">
        <v>11</v>
      </c>
      <c r="T436" s="34" t="s">
        <v>113</v>
      </c>
      <c r="U436" s="34" t="s">
        <v>2998</v>
      </c>
      <c r="V436" s="35" t="s">
        <v>3181</v>
      </c>
      <c r="W436" s="35" t="s">
        <v>82</v>
      </c>
      <c r="X436" s="34" t="s">
        <v>13</v>
      </c>
      <c r="Y436" s="37"/>
    </row>
    <row r="437" spans="1:25" ht="20" customHeight="1">
      <c r="A437" s="28">
        <v>435</v>
      </c>
      <c r="B437" s="28" t="s">
        <v>23</v>
      </c>
      <c r="C437" s="28" t="s">
        <v>23</v>
      </c>
      <c r="D437" s="29" t="s">
        <v>3092</v>
      </c>
      <c r="E437" s="30" t="s">
        <v>3093</v>
      </c>
      <c r="F437" s="30" t="s">
        <v>3182</v>
      </c>
      <c r="G437" s="29" t="s">
        <v>3183</v>
      </c>
      <c r="H437" s="30" t="s">
        <v>3184</v>
      </c>
      <c r="I437" s="28" t="s">
        <v>75</v>
      </c>
      <c r="J437" s="28" t="s">
        <v>76</v>
      </c>
      <c r="K437" s="31" t="s">
        <v>3185</v>
      </c>
      <c r="L437" s="28">
        <f>IF(K437="","",IFERROR(ROUND((TODAY()-IF(ISNUMBER(K437),K437,DATEVALUE(K437)))/365.25, 1),""))</f>
        <v>0</v>
      </c>
      <c r="M437" s="28" t="s">
        <v>3186</v>
      </c>
      <c r="N437" s="29" t="s">
        <v>82</v>
      </c>
      <c r="O437" s="28" t="s">
        <v>111</v>
      </c>
      <c r="P437" s="28" t="s">
        <v>112</v>
      </c>
      <c r="Q437" s="29" t="s">
        <v>82</v>
      </c>
      <c r="R437" s="28" t="s">
        <v>946</v>
      </c>
      <c r="S437" s="28" t="s">
        <v>11</v>
      </c>
      <c r="T437" s="28" t="s">
        <v>113</v>
      </c>
      <c r="U437" s="28" t="s">
        <v>2998</v>
      </c>
      <c r="V437" s="29" t="s">
        <v>3098</v>
      </c>
      <c r="W437" s="29" t="s">
        <v>3099</v>
      </c>
      <c r="X437" s="28" t="s">
        <v>13</v>
      </c>
      <c r="Y437" s="31"/>
    </row>
    <row r="438" spans="1:25" ht="20" customHeight="1">
      <c r="A438" s="34">
        <v>436</v>
      </c>
      <c r="B438" s="34" t="s">
        <v>23</v>
      </c>
      <c r="C438" s="34" t="s">
        <v>23</v>
      </c>
      <c r="D438" s="35" t="s">
        <v>3174</v>
      </c>
      <c r="E438" s="36" t="s">
        <v>3187</v>
      </c>
      <c r="F438" s="36" t="s">
        <v>3188</v>
      </c>
      <c r="G438" s="35" t="s">
        <v>3189</v>
      </c>
      <c r="H438" s="36" t="s">
        <v>3190</v>
      </c>
      <c r="I438" s="34" t="s">
        <v>75</v>
      </c>
      <c r="J438" s="34" t="s">
        <v>3178</v>
      </c>
      <c r="K438" s="37" t="s">
        <v>3191</v>
      </c>
      <c r="L438" s="34">
        <f>IF(K438="","",IFERROR(ROUND((TODAY()-IF(ISNUMBER(K438),K438,DATEVALUE(K438)))/365.25, 1),""))</f>
        <v>0</v>
      </c>
      <c r="M438" s="34" t="s">
        <v>3192</v>
      </c>
      <c r="N438" s="35" t="s">
        <v>82</v>
      </c>
      <c r="O438" s="34" t="s">
        <v>111</v>
      </c>
      <c r="P438" s="34" t="s">
        <v>112</v>
      </c>
      <c r="Q438" s="35" t="s">
        <v>82</v>
      </c>
      <c r="R438" s="34" t="s">
        <v>946</v>
      </c>
      <c r="S438" s="34" t="s">
        <v>11</v>
      </c>
      <c r="T438" s="34" t="s">
        <v>113</v>
      </c>
      <c r="U438" s="34" t="s">
        <v>2998</v>
      </c>
      <c r="V438" s="35" t="s">
        <v>3193</v>
      </c>
      <c r="W438" s="35" t="s">
        <v>82</v>
      </c>
      <c r="X438" s="34" t="s">
        <v>13</v>
      </c>
      <c r="Y438" s="37"/>
    </row>
    <row r="439" spans="1:25" ht="20" customHeight="1">
      <c r="A439" s="28">
        <v>437</v>
      </c>
      <c r="B439" s="28" t="s">
        <v>23</v>
      </c>
      <c r="C439" s="28" t="s">
        <v>23</v>
      </c>
      <c r="D439" s="29" t="s">
        <v>3194</v>
      </c>
      <c r="E439" s="30" t="s">
        <v>3195</v>
      </c>
      <c r="F439" s="30" t="s">
        <v>3196</v>
      </c>
      <c r="G439" s="29" t="s">
        <v>3197</v>
      </c>
      <c r="H439" s="30" t="s">
        <v>3198</v>
      </c>
      <c r="I439" s="28" t="s">
        <v>75</v>
      </c>
      <c r="J439" s="28" t="s">
        <v>3178</v>
      </c>
      <c r="K439" s="31" t="s">
        <v>3191</v>
      </c>
      <c r="L439" s="28">
        <f>IF(K439="","",IFERROR(ROUND((TODAY()-IF(ISNUMBER(K439),K439,DATEVALUE(K439)))/365.25, 1),""))</f>
        <v>0</v>
      </c>
      <c r="M439" s="28" t="s">
        <v>120</v>
      </c>
      <c r="N439" s="29" t="s">
        <v>82</v>
      </c>
      <c r="O439" s="28" t="s">
        <v>111</v>
      </c>
      <c r="P439" s="28" t="s">
        <v>112</v>
      </c>
      <c r="Q439" s="29" t="s">
        <v>82</v>
      </c>
      <c r="R439" s="28" t="s">
        <v>946</v>
      </c>
      <c r="S439" s="28" t="s">
        <v>11</v>
      </c>
      <c r="T439" s="28" t="s">
        <v>113</v>
      </c>
      <c r="U439" s="28" t="s">
        <v>2998</v>
      </c>
      <c r="V439" s="29" t="s">
        <v>3199</v>
      </c>
      <c r="W439" s="29" t="s">
        <v>82</v>
      </c>
      <c r="X439" s="28" t="s">
        <v>13</v>
      </c>
      <c r="Y439" s="31"/>
    </row>
    <row r="440" spans="1:25" ht="20" customHeight="1">
      <c r="A440" s="34">
        <v>438</v>
      </c>
      <c r="B440" s="34" t="s">
        <v>23</v>
      </c>
      <c r="C440" s="34" t="s">
        <v>24</v>
      </c>
      <c r="D440" s="35" t="s">
        <v>3200</v>
      </c>
      <c r="E440" s="36" t="s">
        <v>3201</v>
      </c>
      <c r="F440" s="36" t="s">
        <v>3202</v>
      </c>
      <c r="G440" s="35" t="s">
        <v>3203</v>
      </c>
      <c r="H440" s="36" t="s">
        <v>3204</v>
      </c>
      <c r="I440" s="34" t="s">
        <v>75</v>
      </c>
      <c r="J440" s="34" t="s">
        <v>31</v>
      </c>
      <c r="K440" s="37" t="s">
        <v>3205</v>
      </c>
      <c r="L440" s="34">
        <f>IF(K440="","",IFERROR(ROUND((TODAY()-IF(ISNUMBER(K440),K440,DATEVALUE(K440)))/365.25, 1),""))</f>
        <v>0</v>
      </c>
      <c r="M440" s="34" t="s">
        <v>3206</v>
      </c>
      <c r="N440" s="35" t="s">
        <v>82</v>
      </c>
      <c r="O440" s="34" t="s">
        <v>111</v>
      </c>
      <c r="P440" s="34" t="s">
        <v>112</v>
      </c>
      <c r="Q440" s="35" t="s">
        <v>82</v>
      </c>
      <c r="R440" s="34" t="s">
        <v>946</v>
      </c>
      <c r="S440" s="34" t="s">
        <v>11</v>
      </c>
      <c r="T440" s="34" t="s">
        <v>113</v>
      </c>
      <c r="U440" s="34" t="s">
        <v>2998</v>
      </c>
      <c r="V440" s="35" t="s">
        <v>3207</v>
      </c>
      <c r="W440" s="35" t="s">
        <v>3208</v>
      </c>
      <c r="X440" s="34" t="s">
        <v>13</v>
      </c>
      <c r="Y440" s="37"/>
    </row>
    <row r="441" spans="1:25" ht="20" customHeight="1">
      <c r="A441" s="28">
        <v>439</v>
      </c>
      <c r="B441" s="28" t="s">
        <v>23</v>
      </c>
      <c r="C441" s="28" t="s">
        <v>24</v>
      </c>
      <c r="D441" s="29" t="s">
        <v>3209</v>
      </c>
      <c r="E441" s="30" t="s">
        <v>3210</v>
      </c>
      <c r="F441" s="30" t="s">
        <v>3211</v>
      </c>
      <c r="G441" s="29" t="s">
        <v>3212</v>
      </c>
      <c r="H441" s="30" t="s">
        <v>3213</v>
      </c>
      <c r="I441" s="28" t="s">
        <v>75</v>
      </c>
      <c r="J441" s="28" t="s">
        <v>31</v>
      </c>
      <c r="K441" s="31" t="s">
        <v>3214</v>
      </c>
      <c r="L441" s="28">
        <f>IF(K441="","",IFERROR(ROUND((TODAY()-IF(ISNUMBER(K441),K441,DATEVALUE(K441)))/365.25, 1),""))</f>
        <v>0</v>
      </c>
      <c r="M441" s="28" t="s">
        <v>3215</v>
      </c>
      <c r="N441" s="29" t="s">
        <v>82</v>
      </c>
      <c r="O441" s="28" t="s">
        <v>111</v>
      </c>
      <c r="P441" s="28" t="s">
        <v>112</v>
      </c>
      <c r="Q441" s="29" t="s">
        <v>82</v>
      </c>
      <c r="R441" s="28" t="s">
        <v>946</v>
      </c>
      <c r="S441" s="28" t="s">
        <v>11</v>
      </c>
      <c r="T441" s="28" t="s">
        <v>113</v>
      </c>
      <c r="U441" s="28" t="s">
        <v>2998</v>
      </c>
      <c r="V441" s="29" t="s">
        <v>3216</v>
      </c>
      <c r="W441" s="29" t="s">
        <v>3217</v>
      </c>
      <c r="X441" s="28" t="s">
        <v>13</v>
      </c>
      <c r="Y441" s="31"/>
    </row>
    <row r="442" spans="1:25" ht="20" customHeight="1">
      <c r="A442" s="34">
        <v>440</v>
      </c>
      <c r="B442" s="34" t="s">
        <v>23</v>
      </c>
      <c r="C442" s="34" t="s">
        <v>24</v>
      </c>
      <c r="D442" s="35" t="s">
        <v>3218</v>
      </c>
      <c r="E442" s="36" t="s">
        <v>3219</v>
      </c>
      <c r="F442" s="36" t="s">
        <v>3220</v>
      </c>
      <c r="G442" s="35" t="s">
        <v>3221</v>
      </c>
      <c r="H442" s="36" t="s">
        <v>3222</v>
      </c>
      <c r="I442" s="34" t="s">
        <v>75</v>
      </c>
      <c r="J442" s="34" t="s">
        <v>32</v>
      </c>
      <c r="K442" s="37" t="s">
        <v>3214</v>
      </c>
      <c r="L442" s="34">
        <f>IF(K442="","",IFERROR(ROUND((TODAY()-IF(ISNUMBER(K442),K442,DATEVALUE(K442)))/365.25, 1),""))</f>
        <v>0</v>
      </c>
      <c r="M442" s="34" t="s">
        <v>3215</v>
      </c>
      <c r="N442" s="35" t="s">
        <v>82</v>
      </c>
      <c r="O442" s="34" t="s">
        <v>111</v>
      </c>
      <c r="P442" s="34" t="s">
        <v>112</v>
      </c>
      <c r="Q442" s="35" t="s">
        <v>82</v>
      </c>
      <c r="R442" s="34" t="s">
        <v>946</v>
      </c>
      <c r="S442" s="34" t="s">
        <v>11</v>
      </c>
      <c r="T442" s="34" t="s">
        <v>113</v>
      </c>
      <c r="U442" s="34" t="s">
        <v>2998</v>
      </c>
      <c r="V442" s="35" t="s">
        <v>3223</v>
      </c>
      <c r="W442" s="35" t="s">
        <v>3224</v>
      </c>
      <c r="X442" s="34" t="s">
        <v>13</v>
      </c>
      <c r="Y442" s="37"/>
    </row>
    <row r="443" spans="1:25" ht="20" customHeight="1">
      <c r="A443" s="28">
        <v>441</v>
      </c>
      <c r="B443" s="28" t="s">
        <v>23</v>
      </c>
      <c r="C443" s="28" t="s">
        <v>24</v>
      </c>
      <c r="D443" s="29" t="s">
        <v>3225</v>
      </c>
      <c r="E443" s="30" t="s">
        <v>1842</v>
      </c>
      <c r="F443" s="30" t="s">
        <v>3226</v>
      </c>
      <c r="G443" s="29" t="s">
        <v>3227</v>
      </c>
      <c r="H443" s="30" t="s">
        <v>3228</v>
      </c>
      <c r="I443" s="28" t="s">
        <v>75</v>
      </c>
      <c r="J443" s="28" t="s">
        <v>31</v>
      </c>
      <c r="K443" s="31" t="s">
        <v>3229</v>
      </c>
      <c r="L443" s="28">
        <f>IF(K443="","",IFERROR(ROUND((TODAY()-IF(ISNUMBER(K443),K443,DATEVALUE(K443)))/365.25, 1),""))</f>
        <v>0</v>
      </c>
      <c r="M443" s="28" t="s">
        <v>3215</v>
      </c>
      <c r="N443" s="29" t="s">
        <v>82</v>
      </c>
      <c r="O443" s="28" t="s">
        <v>111</v>
      </c>
      <c r="P443" s="28" t="s">
        <v>112</v>
      </c>
      <c r="Q443" s="29" t="s">
        <v>82</v>
      </c>
      <c r="R443" s="28" t="s">
        <v>946</v>
      </c>
      <c r="S443" s="28" t="s">
        <v>11</v>
      </c>
      <c r="T443" s="28" t="s">
        <v>113</v>
      </c>
      <c r="U443" s="28" t="s">
        <v>2998</v>
      </c>
      <c r="V443" s="29" t="s">
        <v>3230</v>
      </c>
      <c r="W443" s="29" t="s">
        <v>3231</v>
      </c>
      <c r="X443" s="28" t="s">
        <v>13</v>
      </c>
      <c r="Y443" s="31"/>
    </row>
    <row r="444" spans="1:25" ht="20" customHeight="1">
      <c r="A444" s="34">
        <v>442</v>
      </c>
      <c r="B444" s="34" t="s">
        <v>23</v>
      </c>
      <c r="C444" s="34" t="s">
        <v>24</v>
      </c>
      <c r="D444" s="35" t="s">
        <v>3232</v>
      </c>
      <c r="E444" s="36" t="s">
        <v>3233</v>
      </c>
      <c r="F444" s="36" t="s">
        <v>3234</v>
      </c>
      <c r="G444" s="35" t="s">
        <v>3235</v>
      </c>
      <c r="H444" s="36" t="s">
        <v>3236</v>
      </c>
      <c r="I444" s="34" t="s">
        <v>75</v>
      </c>
      <c r="J444" s="34" t="s">
        <v>32</v>
      </c>
      <c r="K444" s="37" t="s">
        <v>1285</v>
      </c>
      <c r="L444" s="34">
        <f>IF(K444="","",IFERROR(ROUND((TODAY()-IF(ISNUMBER(K444),K444,DATEVALUE(K444)))/365.25, 1),""))</f>
        <v>0</v>
      </c>
      <c r="M444" s="34" t="s">
        <v>3237</v>
      </c>
      <c r="N444" s="35" t="s">
        <v>82</v>
      </c>
      <c r="O444" s="34" t="s">
        <v>111</v>
      </c>
      <c r="P444" s="34" t="s">
        <v>112</v>
      </c>
      <c r="Q444" s="35" t="s">
        <v>82</v>
      </c>
      <c r="R444" s="34" t="s">
        <v>946</v>
      </c>
      <c r="S444" s="34" t="s">
        <v>11</v>
      </c>
      <c r="T444" s="34" t="s">
        <v>113</v>
      </c>
      <c r="U444" s="34" t="s">
        <v>2998</v>
      </c>
      <c r="V444" s="35" t="s">
        <v>3238</v>
      </c>
      <c r="W444" s="35" t="s">
        <v>3239</v>
      </c>
      <c r="X444" s="34" t="s">
        <v>13</v>
      </c>
      <c r="Y444" s="37"/>
    </row>
    <row r="445" spans="1:25" ht="20" customHeight="1">
      <c r="A445" s="28">
        <v>443</v>
      </c>
      <c r="B445" s="28" t="s">
        <v>23</v>
      </c>
      <c r="C445" s="28" t="s">
        <v>24</v>
      </c>
      <c r="D445" s="29" t="s">
        <v>3240</v>
      </c>
      <c r="E445" s="30" t="s">
        <v>3241</v>
      </c>
      <c r="F445" s="30" t="s">
        <v>3242</v>
      </c>
      <c r="G445" s="29" t="s">
        <v>3243</v>
      </c>
      <c r="H445" s="30" t="s">
        <v>3244</v>
      </c>
      <c r="I445" s="28" t="s">
        <v>75</v>
      </c>
      <c r="J445" s="28" t="s">
        <v>31</v>
      </c>
      <c r="K445" s="31" t="s">
        <v>1610</v>
      </c>
      <c r="L445" s="28">
        <f>IF(K445="","",IFERROR(ROUND((TODAY()-IF(ISNUMBER(K445),K445,DATEVALUE(K445)))/365.25, 1),""))</f>
        <v>0</v>
      </c>
      <c r="M445" s="28" t="s">
        <v>3237</v>
      </c>
      <c r="N445" s="29" t="s">
        <v>82</v>
      </c>
      <c r="O445" s="28" t="s">
        <v>111</v>
      </c>
      <c r="P445" s="28" t="s">
        <v>112</v>
      </c>
      <c r="Q445" s="29" t="s">
        <v>82</v>
      </c>
      <c r="R445" s="28" t="s">
        <v>946</v>
      </c>
      <c r="S445" s="28" t="s">
        <v>11</v>
      </c>
      <c r="T445" s="28" t="s">
        <v>113</v>
      </c>
      <c r="U445" s="28" t="s">
        <v>2998</v>
      </c>
      <c r="V445" s="29" t="s">
        <v>3245</v>
      </c>
      <c r="W445" s="29" t="s">
        <v>3246</v>
      </c>
      <c r="X445" s="28" t="s">
        <v>13</v>
      </c>
      <c r="Y445" s="31"/>
    </row>
    <row r="446" spans="1:25" ht="20" customHeight="1">
      <c r="A446" s="34">
        <v>444</v>
      </c>
      <c r="B446" s="34" t="s">
        <v>23</v>
      </c>
      <c r="C446" s="34" t="s">
        <v>24</v>
      </c>
      <c r="D446" s="35" t="s">
        <v>3247</v>
      </c>
      <c r="E446" s="36" t="s">
        <v>3248</v>
      </c>
      <c r="F446" s="36" t="s">
        <v>3249</v>
      </c>
      <c r="G446" s="35" t="s">
        <v>3250</v>
      </c>
      <c r="H446" s="36" t="s">
        <v>3251</v>
      </c>
      <c r="I446" s="34" t="s">
        <v>75</v>
      </c>
      <c r="J446" s="34" t="s">
        <v>31</v>
      </c>
      <c r="K446" s="37" t="s">
        <v>2561</v>
      </c>
      <c r="L446" s="34">
        <f>IF(K446="","",IFERROR(ROUND((TODAY()-IF(ISNUMBER(K446),K446,DATEVALUE(K446)))/365.25, 1),""))</f>
        <v>0</v>
      </c>
      <c r="M446" s="34" t="s">
        <v>3252</v>
      </c>
      <c r="N446" s="35" t="s">
        <v>82</v>
      </c>
      <c r="O446" s="34" t="s">
        <v>111</v>
      </c>
      <c r="P446" s="34" t="s">
        <v>112</v>
      </c>
      <c r="Q446" s="35" t="s">
        <v>82</v>
      </c>
      <c r="R446" s="34" t="s">
        <v>946</v>
      </c>
      <c r="S446" s="34" t="s">
        <v>11</v>
      </c>
      <c r="T446" s="34" t="s">
        <v>113</v>
      </c>
      <c r="U446" s="34" t="s">
        <v>2998</v>
      </c>
      <c r="V446" s="35" t="s">
        <v>3253</v>
      </c>
      <c r="W446" s="35" t="s">
        <v>3254</v>
      </c>
      <c r="X446" s="34" t="s">
        <v>13</v>
      </c>
      <c r="Y446" s="37"/>
    </row>
    <row r="447" spans="1:25" ht="20" customHeight="1">
      <c r="A447" s="28">
        <v>445</v>
      </c>
      <c r="B447" s="28" t="s">
        <v>23</v>
      </c>
      <c r="C447" s="28" t="s">
        <v>24</v>
      </c>
      <c r="D447" s="29" t="s">
        <v>3255</v>
      </c>
      <c r="E447" s="30" t="s">
        <v>3256</v>
      </c>
      <c r="F447" s="30" t="s">
        <v>3257</v>
      </c>
      <c r="G447" s="29" t="s">
        <v>3258</v>
      </c>
      <c r="H447" s="30" t="s">
        <v>3259</v>
      </c>
      <c r="I447" s="28" t="s">
        <v>75</v>
      </c>
      <c r="J447" s="28" t="s">
        <v>32</v>
      </c>
      <c r="K447" s="31" t="s">
        <v>1838</v>
      </c>
      <c r="L447" s="28">
        <f>IF(K447="","",IFERROR(ROUND((TODAY()-IF(ISNUMBER(K447),K447,DATEVALUE(K447)))/365.25, 1),""))</f>
        <v>0</v>
      </c>
      <c r="M447" s="28" t="s">
        <v>3252</v>
      </c>
      <c r="N447" s="29" t="s">
        <v>82</v>
      </c>
      <c r="O447" s="28" t="s">
        <v>111</v>
      </c>
      <c r="P447" s="28" t="s">
        <v>112</v>
      </c>
      <c r="Q447" s="29" t="s">
        <v>82</v>
      </c>
      <c r="R447" s="28" t="s">
        <v>946</v>
      </c>
      <c r="S447" s="28" t="s">
        <v>11</v>
      </c>
      <c r="T447" s="28" t="s">
        <v>113</v>
      </c>
      <c r="U447" s="28" t="s">
        <v>2998</v>
      </c>
      <c r="V447" s="29" t="s">
        <v>3260</v>
      </c>
      <c r="W447" s="29" t="s">
        <v>3261</v>
      </c>
      <c r="X447" s="28" t="s">
        <v>13</v>
      </c>
      <c r="Y447" s="31"/>
    </row>
    <row r="448" spans="1:25" ht="20" customHeight="1">
      <c r="A448" s="34">
        <v>446</v>
      </c>
      <c r="B448" s="34" t="s">
        <v>23</v>
      </c>
      <c r="C448" s="34" t="s">
        <v>24</v>
      </c>
      <c r="D448" s="35" t="s">
        <v>3262</v>
      </c>
      <c r="E448" s="36" t="s">
        <v>3263</v>
      </c>
      <c r="F448" s="36" t="s">
        <v>3264</v>
      </c>
      <c r="G448" s="35" t="s">
        <v>3265</v>
      </c>
      <c r="H448" s="36" t="s">
        <v>3266</v>
      </c>
      <c r="I448" s="34" t="s">
        <v>75</v>
      </c>
      <c r="J448" s="34" t="s">
        <v>32</v>
      </c>
      <c r="K448" s="37" t="s">
        <v>3267</v>
      </c>
      <c r="L448" s="34">
        <f>IF(K448="","",IFERROR(ROUND((TODAY()-IF(ISNUMBER(K448),K448,DATEVALUE(K448)))/365.25, 1),""))</f>
        <v>0</v>
      </c>
      <c r="M448" s="34" t="s">
        <v>3252</v>
      </c>
      <c r="N448" s="35" t="s">
        <v>82</v>
      </c>
      <c r="O448" s="34" t="s">
        <v>111</v>
      </c>
      <c r="P448" s="34" t="s">
        <v>112</v>
      </c>
      <c r="Q448" s="35" t="s">
        <v>82</v>
      </c>
      <c r="R448" s="34" t="s">
        <v>946</v>
      </c>
      <c r="S448" s="34" t="s">
        <v>11</v>
      </c>
      <c r="T448" s="34" t="s">
        <v>113</v>
      </c>
      <c r="U448" s="34" t="s">
        <v>2998</v>
      </c>
      <c r="V448" s="35" t="s">
        <v>3268</v>
      </c>
      <c r="W448" s="35" t="s">
        <v>3269</v>
      </c>
      <c r="X448" s="34" t="s">
        <v>13</v>
      </c>
      <c r="Y448" s="37"/>
    </row>
    <row r="449" spans="1:25" ht="20" customHeight="1">
      <c r="A449" s="28">
        <v>447</v>
      </c>
      <c r="B449" s="28" t="s">
        <v>23</v>
      </c>
      <c r="C449" s="28" t="s">
        <v>24</v>
      </c>
      <c r="D449" s="29" t="s">
        <v>3270</v>
      </c>
      <c r="E449" s="30" t="s">
        <v>3271</v>
      </c>
      <c r="F449" s="30" t="s">
        <v>3272</v>
      </c>
      <c r="G449" s="29" t="s">
        <v>3273</v>
      </c>
      <c r="H449" s="30" t="s">
        <v>3274</v>
      </c>
      <c r="I449" s="28" t="s">
        <v>75</v>
      </c>
      <c r="J449" s="28" t="s">
        <v>32</v>
      </c>
      <c r="K449" s="31" t="s">
        <v>3267</v>
      </c>
      <c r="L449" s="28">
        <f>IF(K449="","",IFERROR(ROUND((TODAY()-IF(ISNUMBER(K449),K449,DATEVALUE(K449)))/365.25, 1),""))</f>
        <v>0</v>
      </c>
      <c r="M449" s="28" t="s">
        <v>3252</v>
      </c>
      <c r="N449" s="29" t="s">
        <v>82</v>
      </c>
      <c r="O449" s="28" t="s">
        <v>111</v>
      </c>
      <c r="P449" s="28" t="s">
        <v>112</v>
      </c>
      <c r="Q449" s="29" t="s">
        <v>82</v>
      </c>
      <c r="R449" s="28" t="s">
        <v>946</v>
      </c>
      <c r="S449" s="28" t="s">
        <v>11</v>
      </c>
      <c r="T449" s="28" t="s">
        <v>113</v>
      </c>
      <c r="U449" s="28" t="s">
        <v>2998</v>
      </c>
      <c r="V449" s="29" t="s">
        <v>3275</v>
      </c>
      <c r="W449" s="29" t="s">
        <v>3276</v>
      </c>
      <c r="X449" s="28" t="s">
        <v>13</v>
      </c>
      <c r="Y449" s="31"/>
    </row>
    <row r="450" spans="1:25" ht="20" customHeight="1">
      <c r="A450" s="34">
        <v>448</v>
      </c>
      <c r="B450" s="34" t="s">
        <v>23</v>
      </c>
      <c r="C450" s="34" t="s">
        <v>24</v>
      </c>
      <c r="D450" s="35" t="s">
        <v>3277</v>
      </c>
      <c r="E450" s="36" t="s">
        <v>3278</v>
      </c>
      <c r="F450" s="36" t="s">
        <v>3279</v>
      </c>
      <c r="G450" s="35" t="s">
        <v>3280</v>
      </c>
      <c r="H450" s="36" t="s">
        <v>3281</v>
      </c>
      <c r="I450" s="34" t="s">
        <v>75</v>
      </c>
      <c r="J450" s="34" t="s">
        <v>32</v>
      </c>
      <c r="K450" s="37" t="s">
        <v>3282</v>
      </c>
      <c r="L450" s="34">
        <f>IF(K450="","",IFERROR(ROUND((TODAY()-IF(ISNUMBER(K450),K450,DATEVALUE(K450)))/365.25, 1),""))</f>
        <v>0</v>
      </c>
      <c r="M450" s="34" t="s">
        <v>3252</v>
      </c>
      <c r="N450" s="35" t="s">
        <v>82</v>
      </c>
      <c r="O450" s="34" t="s">
        <v>111</v>
      </c>
      <c r="P450" s="34" t="s">
        <v>112</v>
      </c>
      <c r="Q450" s="35" t="s">
        <v>82</v>
      </c>
      <c r="R450" s="34" t="s">
        <v>946</v>
      </c>
      <c r="S450" s="34" t="s">
        <v>11</v>
      </c>
      <c r="T450" s="34" t="s">
        <v>113</v>
      </c>
      <c r="U450" s="34" t="s">
        <v>2998</v>
      </c>
      <c r="V450" s="35" t="s">
        <v>3283</v>
      </c>
      <c r="W450" s="35" t="s">
        <v>3284</v>
      </c>
      <c r="X450" s="34" t="s">
        <v>13</v>
      </c>
      <c r="Y450" s="37"/>
    </row>
    <row r="451" spans="1:25" ht="20" customHeight="1">
      <c r="A451" s="28">
        <v>449</v>
      </c>
      <c r="B451" s="28" t="s">
        <v>23</v>
      </c>
      <c r="C451" s="28" t="s">
        <v>24</v>
      </c>
      <c r="D451" s="29" t="s">
        <v>3285</v>
      </c>
      <c r="E451" s="30" t="s">
        <v>3286</v>
      </c>
      <c r="F451" s="30" t="s">
        <v>3287</v>
      </c>
      <c r="G451" s="29" t="s">
        <v>3288</v>
      </c>
      <c r="H451" s="30" t="s">
        <v>3289</v>
      </c>
      <c r="I451" s="28" t="s">
        <v>75</v>
      </c>
      <c r="J451" s="28" t="s">
        <v>31</v>
      </c>
      <c r="K451" s="31" t="s">
        <v>2983</v>
      </c>
      <c r="L451" s="28">
        <f>IF(K451="","",IFERROR(ROUND((TODAY()-IF(ISNUMBER(K451),K451,DATEVALUE(K451)))/365.25, 1),""))</f>
        <v>0</v>
      </c>
      <c r="M451" s="28" t="s">
        <v>3252</v>
      </c>
      <c r="N451" s="29" t="s">
        <v>82</v>
      </c>
      <c r="O451" s="28" t="s">
        <v>111</v>
      </c>
      <c r="P451" s="28" t="s">
        <v>112</v>
      </c>
      <c r="Q451" s="29" t="s">
        <v>82</v>
      </c>
      <c r="R451" s="28" t="s">
        <v>946</v>
      </c>
      <c r="S451" s="28" t="s">
        <v>11</v>
      </c>
      <c r="T451" s="28" t="s">
        <v>113</v>
      </c>
      <c r="U451" s="28" t="s">
        <v>2998</v>
      </c>
      <c r="V451" s="29" t="s">
        <v>3290</v>
      </c>
      <c r="W451" s="29" t="s">
        <v>3291</v>
      </c>
      <c r="X451" s="28" t="s">
        <v>13</v>
      </c>
      <c r="Y451" s="31"/>
    </row>
  </sheetData>
  <autoFilter ref="A2:Y451"/>
  <conditionalFormatting sqref="D3:D10000">
    <cfRule type="duplicateValues" dxfId="0" priority="1"/>
    <cfRule type="expression" dxfId="0" priority="2">
      <formula>AND(D3&lt;&gt;"", D3&lt;&gt;"Reliver", D3&lt;&gt;"NA", D3&lt;&gt;"N/A", D3&lt;&gt;"-", COUNTIF($D$3:$D$10000, D3)&gt;1)</formula>
    </cfRule>
  </conditionalFormatting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Contractual Staff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2026-08-20T14:08:47Z</dcterms:created>
  <dcterms:modified xsi:type="dcterms:W3CDTF">2026-08-20T14:08:47Z</dcterms:modified>
</cp:coreProperties>
</file>